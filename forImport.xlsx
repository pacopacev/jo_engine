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plamendimitrov\Desktop\"/>
    </mc:Choice>
  </mc:AlternateContent>
  <xr:revisionPtr revIDLastSave="0" documentId="13_ncr:1_{74DFCAF8-E29A-4153-8053-525A3502BA4B}" xr6:coauthVersionLast="47" xr6:coauthVersionMax="47" xr10:uidLastSave="{00000000-0000-0000-0000-000000000000}"/>
  <bookViews>
    <workbookView xWindow="-108" yWindow="-108" windowWidth="23256" windowHeight="12576" tabRatio="902" xr2:uid="{00000000-000D-0000-FFFF-FFFF00000000}"/>
  </bookViews>
  <sheets>
    <sheet name="product_list" sheetId="1" r:id="rId1"/>
    <sheet name="type_list" sheetId="4" r:id="rId2"/>
    <sheet name="color_list" sheetId="2" r:id="rId3"/>
    <sheet name="material_list" sheetId="5" r:id="rId4"/>
  </sheets>
  <definedNames>
    <definedName name="_xlnm._FilterDatabase" localSheetId="0" hidden="1">product_list!$Y$1:$AF$285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3" i="1"/>
  <c r="Y4" i="1"/>
  <c r="Y5" i="1"/>
  <c r="Y6" i="1"/>
  <c r="Y7" i="1"/>
  <c r="Y8" i="1"/>
  <c r="Y9" i="1"/>
  <c r="Y10" i="1"/>
  <c r="Y11" i="1"/>
  <c r="Y12" i="1"/>
  <c r="Y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4C52B-8218-4B17-AE88-D844CC75129C}" keepAlive="1" name="Query - engine" description="Connection to the 'engine' query in the workbook." type="5" refreshedVersion="8" background="1" saveData="1">
    <dbPr connection="Provider=Microsoft.Mashup.OleDb.1;Data Source=$Workbook$;Location=engine;Extended Properties=&quot;&quot;" command="SELECT * FROM [engine]"/>
  </connection>
  <connection id="2" xr16:uid="{0F7D1117-E3EC-4CB8-BFBE-46AFF2593489}" keepAlive="1" name="Query - engine progress" description="Connection to the 'engine progress' query in the workbook." type="5" refreshedVersion="8" background="1" saveData="1">
    <dbPr connection="Provider=Microsoft.Mashup.OleDb.1;Data Source=$Workbook$;Location=&quot;engine progress&quot;;Extended Properties=&quot;&quot;" command="SELECT * FROM [engine progress]"/>
  </connection>
  <connection id="3" xr16:uid="{432527AF-2F9D-4448-A5AC-175CF5FA7F87}" keepAlive="1" name="Query - h248LL" description="Connection to the 'h248LL' query in the workbook." type="5" refreshedVersion="8" background="1" saveData="1">
    <dbPr connection="Provider=Microsoft.Mashup.OleDb.1;Data Source=$Workbook$;Location=h248LL;Extended Properties=&quot;&quot;" command="SELECT * FROM [h248LL]"/>
  </connection>
  <connection id="4" xr16:uid="{D74131AC-F5D8-4082-9725-94CCCD90A9E6}" keepAlive="1" name="Query - materials" description="Connection to the 'materials' query in the workbook." type="5" refreshedVersion="8" background="1" saveData="1">
    <dbPr connection="Provider=Microsoft.Mashup.OleDb.1;Data Source=$Workbook$;Location=materials;Extended Properties=&quot;&quot;" command="SELECT * FROM [materials]"/>
  </connection>
  <connection id="5" xr16:uid="{C9044B01-43EB-4602-B90C-83E4AB3EFCF5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6" xr16:uid="{08597B15-F497-4188-B744-BC46B1F2BB79}" keepAlive="1" name="Query - Query1 (2)" description="Connection to the 'Query1 (2)' query in the workbook." type="5" refreshedVersion="8" background="1" saveData="1">
    <dbPr connection="Provider=Microsoft.Mashup.OleDb.1;Data Source=$Workbook$;Location=&quot;Query1 (2)&quot;;Extended Properties=&quot;&quot;" command="SELECT * FROM [Query1 (2)]"/>
  </connection>
  <connection id="7" xr16:uid="{32991CFE-709B-42CD-B71B-1D73C7F25802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8" xr16:uid="{F88485BB-4AA5-48E6-AC64-7AF2D2ADD8F7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  <connection id="9" xr16:uid="{C72AD30C-BC64-49EA-82EA-62649B6D19E8}" keepAlive="1" name="Query - Query4" description="Connection to the 'Query4' query in the workbook." type="5" refreshedVersion="8" background="1" saveData="1">
    <dbPr connection="Provider=Microsoft.Mashup.OleDb.1;Data Source=$Workbook$;Location=Query4;Extended Properties=&quot;&quot;" command="SELECT * FROM [Query4]"/>
  </connection>
  <connection id="10" xr16:uid="{53B48E85-63F1-4C74-A2B7-855D40DE159E}" keepAlive="1" name="Query - Query4 (2)" description="Connection to the 'Query4 (2)' query in the workbook." type="5" refreshedVersion="8" background="1" saveData="1">
    <dbPr connection="Provider=Microsoft.Mashup.OleDb.1;Data Source=$Workbook$;Location=&quot;Query4 (2)&quot;;Extended Properties=&quot;&quot;" command="SELECT * FROM [Query4 (2)]"/>
  </connection>
  <connection id="11" xr16:uid="{72488FCD-9ABE-451B-AFCF-5D07B2A10116}" keepAlive="1" name="Query - Query5" description="Connection to the 'Query5' query in the workbook." type="5" refreshedVersion="8" background="1" saveData="1">
    <dbPr connection="Provider=Microsoft.Mashup.OleDb.1;Data Source=$Workbook$;Location=Query5;Extended Properties=&quot;&quot;" command="SELECT * FROM [Query5]"/>
  </connection>
</connections>
</file>

<file path=xl/sharedStrings.xml><?xml version="1.0" encoding="utf-8"?>
<sst xmlns="http://schemas.openxmlformats.org/spreadsheetml/2006/main" count="1354" uniqueCount="502">
  <si>
    <t>MA_Number</t>
  </si>
  <si>
    <t>Product_Name</t>
  </si>
  <si>
    <t>Description</t>
  </si>
  <si>
    <t>Is_Assembly</t>
  </si>
  <si>
    <t>Part_Number</t>
  </si>
  <si>
    <t>Part_Qty</t>
  </si>
  <si>
    <t>Part_Length</t>
  </si>
  <si>
    <t>Part_Width</t>
  </si>
  <si>
    <t>Part_Height</t>
  </si>
  <si>
    <t>Assembly_Order</t>
  </si>
  <si>
    <t>Steel</t>
  </si>
  <si>
    <t>created_at</t>
  </si>
  <si>
    <t>updated_at</t>
  </si>
  <si>
    <t>created_by</t>
  </si>
  <si>
    <t>type_code</t>
  </si>
  <si>
    <t>type_name</t>
  </si>
  <si>
    <t>description</t>
  </si>
  <si>
    <t>connector holder</t>
  </si>
  <si>
    <t>pneumatic connector holder</t>
  </si>
  <si>
    <t>JB fork</t>
  </si>
  <si>
    <t>POM</t>
  </si>
  <si>
    <t>material_code</t>
  </si>
  <si>
    <t>material_name</t>
  </si>
  <si>
    <t>category</t>
  </si>
  <si>
    <t>density_kg_per_m3</t>
  </si>
  <si>
    <t>tensile_strength_mpa</t>
  </si>
  <si>
    <t>cost_per_kg</t>
  </si>
  <si>
    <t>is_active</t>
  </si>
  <si>
    <t>color_code</t>
  </si>
  <si>
    <t>color_name</t>
  </si>
  <si>
    <t>rgb_value</t>
  </si>
  <si>
    <t>pantone_code</t>
  </si>
  <si>
    <t>white</t>
  </si>
  <si>
    <t>black</t>
  </si>
  <si>
    <t>STL</t>
  </si>
  <si>
    <t>Derlin</t>
  </si>
  <si>
    <t>BR</t>
  </si>
  <si>
    <t>Brass</t>
  </si>
  <si>
    <t>parent_ma</t>
  </si>
  <si>
    <t>blue</t>
  </si>
  <si>
    <t>brown</t>
  </si>
  <si>
    <t>green</t>
  </si>
  <si>
    <t>red</t>
  </si>
  <si>
    <t>yellow</t>
  </si>
  <si>
    <t>WH</t>
  </si>
  <si>
    <t>BK</t>
  </si>
  <si>
    <t>BL</t>
  </si>
  <si>
    <t>BN</t>
  </si>
  <si>
    <t>GN</t>
  </si>
  <si>
    <t>RD</t>
  </si>
  <si>
    <t>YE</t>
  </si>
  <si>
    <t>color_name_bg</t>
  </si>
  <si>
    <t>БЯЛ</t>
  </si>
  <si>
    <t>ЧЕРЕН</t>
  </si>
  <si>
    <t>СИН</t>
  </si>
  <si>
    <t>КАФЯВ</t>
  </si>
  <si>
    <t>ЗЕЛЕН</t>
  </si>
  <si>
    <t>ЧЕРВЕН</t>
  </si>
  <si>
    <t>ЖЪЛТ</t>
  </si>
  <si>
    <t>material_name_bg</t>
  </si>
  <si>
    <t>СТОМАНА</t>
  </si>
  <si>
    <t>МЕСИНГ</t>
  </si>
  <si>
    <t>AL</t>
  </si>
  <si>
    <t>Aluminium</t>
  </si>
  <si>
    <t>АЛУМИНИЙ</t>
  </si>
  <si>
    <t>НЕРЪЖДАВЕЙКА</t>
  </si>
  <si>
    <t>Stainless steel</t>
  </si>
  <si>
    <t>SS</t>
  </si>
  <si>
    <t>process_cut</t>
  </si>
  <si>
    <t>process_mill</t>
  </si>
  <si>
    <t>10.21.80758A</t>
  </si>
  <si>
    <t>10.21.72966C</t>
  </si>
  <si>
    <t>10.21.72968A</t>
  </si>
  <si>
    <t>10.21.83798A</t>
  </si>
  <si>
    <t>10.21.35131A</t>
  </si>
  <si>
    <t>10.21.35334A</t>
  </si>
  <si>
    <t>10.21.89505A</t>
  </si>
  <si>
    <t>10.21.77121A</t>
  </si>
  <si>
    <t>10.21.27914A</t>
  </si>
  <si>
    <t>10.21.36860F</t>
  </si>
  <si>
    <t>10.21.54168C</t>
  </si>
  <si>
    <t>10.21.80751A</t>
  </si>
  <si>
    <t>10.21.35002C</t>
  </si>
  <si>
    <t>10.21.35003A</t>
  </si>
  <si>
    <t>10.21.77073A</t>
  </si>
  <si>
    <t>10.21.77045A</t>
  </si>
  <si>
    <t>10.21.83680A</t>
  </si>
  <si>
    <t>10.21.36271A</t>
  </si>
  <si>
    <t>10.21.83709A</t>
  </si>
  <si>
    <t>10.21.47236A</t>
  </si>
  <si>
    <t>10.21.83671B</t>
  </si>
  <si>
    <t>10.21.77085A</t>
  </si>
  <si>
    <t>10.21.73050A</t>
  </si>
  <si>
    <t>10.21.80748A</t>
  </si>
  <si>
    <t>10.21.42593A</t>
  </si>
  <si>
    <t>10.21.77076A</t>
  </si>
  <si>
    <t>10.21.72974A</t>
  </si>
  <si>
    <t>10.21.77049A</t>
  </si>
  <si>
    <t>10.21.42674D</t>
  </si>
  <si>
    <t>10.21.72978A</t>
  </si>
  <si>
    <t>10.21.83656D</t>
  </si>
  <si>
    <t>10.21.83657E</t>
  </si>
  <si>
    <t>10.21.35851A</t>
  </si>
  <si>
    <t>10.21.28074A</t>
  </si>
  <si>
    <t>10.21.76956B</t>
  </si>
  <si>
    <t>10.21.47066D</t>
  </si>
  <si>
    <t>10.21.47047D</t>
  </si>
  <si>
    <t>10.21.47065D</t>
  </si>
  <si>
    <t>10.21.96493A</t>
  </si>
  <si>
    <t>10.21.80753C</t>
  </si>
  <si>
    <t>10.21.83630A</t>
  </si>
  <si>
    <t>10.21.80775B</t>
  </si>
  <si>
    <t>10.21.80733A</t>
  </si>
  <si>
    <t>10.21.73031A</t>
  </si>
  <si>
    <t>10.21.72982A</t>
  </si>
  <si>
    <t>10.21.83758A</t>
  </si>
  <si>
    <t>10.21.80743B</t>
  </si>
  <si>
    <t>10.21.77054A</t>
  </si>
  <si>
    <t>10.21.77084A</t>
  </si>
  <si>
    <t>10.21.77047A</t>
  </si>
  <si>
    <t>10.21.35898A</t>
  </si>
  <si>
    <t>10.21.77160A</t>
  </si>
  <si>
    <t>10.21.77162A</t>
  </si>
  <si>
    <t>10.21.47100C</t>
  </si>
  <si>
    <t>10.21.83783A</t>
  </si>
  <si>
    <t>10.21.77152A</t>
  </si>
  <si>
    <t>10.21.76940C</t>
  </si>
  <si>
    <t>10.21.80752A</t>
  </si>
  <si>
    <t>10.21.47195A</t>
  </si>
  <si>
    <t>10.21.76987A</t>
  </si>
  <si>
    <t>10.21.76981A</t>
  </si>
  <si>
    <t>10.21.77157A</t>
  </si>
  <si>
    <t>10.21.77155A</t>
  </si>
  <si>
    <t>10.21.77156A</t>
  </si>
  <si>
    <t>10.21.76988A</t>
  </si>
  <si>
    <t>10.21.76967A</t>
  </si>
  <si>
    <t>10.21.35998A</t>
  </si>
  <si>
    <t>10.21.27982A</t>
  </si>
  <si>
    <t>10.21.73069A</t>
  </si>
  <si>
    <t>10.21.73067A</t>
  </si>
  <si>
    <t>10.21.77187A</t>
  </si>
  <si>
    <t>10.21.73076A</t>
  </si>
  <si>
    <t>10.21.73073A</t>
  </si>
  <si>
    <t>10.21.77066A</t>
  </si>
  <si>
    <t>10.21.77068A</t>
  </si>
  <si>
    <t>10.21.77069A</t>
  </si>
  <si>
    <t>10.21.77070A</t>
  </si>
  <si>
    <t>10.21.77038A</t>
  </si>
  <si>
    <t>10.21.77040A</t>
  </si>
  <si>
    <t>10.21.77039A</t>
  </si>
  <si>
    <t>10.21.77041A</t>
  </si>
  <si>
    <t>10.21.73066A</t>
  </si>
  <si>
    <t>10.21.77089A</t>
  </si>
  <si>
    <t>10.21.83646A</t>
  </si>
  <si>
    <t>10.21.77128A</t>
  </si>
  <si>
    <t>10.21.96496A</t>
  </si>
  <si>
    <t>10.21.96494A</t>
  </si>
  <si>
    <t>10.21.83677A</t>
  </si>
  <si>
    <t>10.21.50179G</t>
  </si>
  <si>
    <t>10.21.77159A</t>
  </si>
  <si>
    <t>10.21.80727A</t>
  </si>
  <si>
    <t>10.21.35125A</t>
  </si>
  <si>
    <t>10.21.83685A</t>
  </si>
  <si>
    <t>10.21.83672A</t>
  </si>
  <si>
    <t>10.21.77126A</t>
  </si>
  <si>
    <t>10.21.73070A</t>
  </si>
  <si>
    <t>10.21.79593A</t>
  </si>
  <si>
    <t>10.21.10820</t>
  </si>
  <si>
    <t>10.21.84626</t>
  </si>
  <si>
    <t>10.21.39356</t>
  </si>
  <si>
    <t>10.21.54460A</t>
  </si>
  <si>
    <t>10.21.10182</t>
  </si>
  <si>
    <t>10.21.37737</t>
  </si>
  <si>
    <t>10.21.35018</t>
  </si>
  <si>
    <t>10.21.96730E</t>
  </si>
  <si>
    <t>10.21.96716</t>
  </si>
  <si>
    <t>10.21.35019</t>
  </si>
  <si>
    <t>10.21.96734</t>
  </si>
  <si>
    <t>10.21.37442</t>
  </si>
  <si>
    <t>10.21.04100</t>
  </si>
  <si>
    <t>10.21.96728</t>
  </si>
  <si>
    <t>10.21.27932B</t>
  </si>
  <si>
    <t>10.21.34352</t>
  </si>
  <si>
    <t>10.21.19220</t>
  </si>
  <si>
    <t>10.21.84635</t>
  </si>
  <si>
    <t>10.21.96733</t>
  </si>
  <si>
    <t>10.21.76983B</t>
  </si>
  <si>
    <t>10.21.96501A</t>
  </si>
  <si>
    <t>10.21.83613A</t>
  </si>
  <si>
    <t>10.21.63361A</t>
  </si>
  <si>
    <t>10.21.77127C</t>
  </si>
  <si>
    <t>10.21.77190A</t>
  </si>
  <si>
    <t>10.21.77132A</t>
  </si>
  <si>
    <t>10.21.77083A</t>
  </si>
  <si>
    <t>10.21.83795A</t>
  </si>
  <si>
    <t>10.21.96498A</t>
  </si>
  <si>
    <t>10.21.80734A</t>
  </si>
  <si>
    <t>10.21.77149A</t>
  </si>
  <si>
    <t>10.21.79594A</t>
  </si>
  <si>
    <t>10.21.79595A</t>
  </si>
  <si>
    <t>10.21.77179A</t>
  </si>
  <si>
    <t>10.21.77151A</t>
  </si>
  <si>
    <t>10.21.35000A</t>
  </si>
  <si>
    <t>10.21.80774C</t>
  </si>
  <si>
    <t>10.21.83782A</t>
  </si>
  <si>
    <t>7118641830+7173344320</t>
  </si>
  <si>
    <t>7119127830+7234894130A</t>
  </si>
  <si>
    <t>71196683+7173344320+X1PO2488</t>
  </si>
  <si>
    <t>7119670830+7274290770A</t>
  </si>
  <si>
    <t>7119648630+7274171430A</t>
  </si>
  <si>
    <t>7183288530+7183288630+72742612A</t>
  </si>
  <si>
    <t>71884821+7134425740</t>
  </si>
  <si>
    <t>7188503730+7174152230A(7177097330)</t>
  </si>
  <si>
    <t>7189668330+7274136090A</t>
  </si>
  <si>
    <t>7189730210+7274146260A</t>
  </si>
  <si>
    <t>7198762530+7198600430+7274261190A</t>
  </si>
  <si>
    <t>7198914830+7234497030</t>
  </si>
  <si>
    <t>A1729821302_EYELET V2</t>
  </si>
  <si>
    <t>A1729821302_EYELET V3 2-KS</t>
  </si>
  <si>
    <t>A1729821302_EYELET V3 3-KS</t>
  </si>
  <si>
    <t>A1729821302_EYELET V3 4-KS</t>
  </si>
  <si>
    <t>ASSY_123024541</t>
  </si>
  <si>
    <t>ASSY_59Z063DC0B</t>
  </si>
  <si>
    <t>ASSY_59Z063DC0C</t>
  </si>
  <si>
    <t>ASSY_AMZ005DC0C</t>
  </si>
  <si>
    <t>ASSY_AMZ005DC0D</t>
  </si>
  <si>
    <t>ASSY_AMZ005DC0B</t>
  </si>
  <si>
    <t>ASSY_AMZ040C00B</t>
  </si>
  <si>
    <t>ASSY_AMZ040C00C</t>
  </si>
  <si>
    <t>ASSY_AMZ040C00D</t>
  </si>
  <si>
    <t>ASSY_AMZ040C00E</t>
  </si>
  <si>
    <t>ASSY_CA288A15199XXX</t>
  </si>
  <si>
    <t>ASSY_CA288A25199XXX</t>
  </si>
  <si>
    <t>ASSY_CA288A35199XXX</t>
  </si>
  <si>
    <t>ASSY_CA288B1519XXXX</t>
  </si>
  <si>
    <t>ASSY_D4Z001DC0C</t>
  </si>
  <si>
    <t>X1PP5M18</t>
  </si>
  <si>
    <t>ASSY_59Z006-T00D</t>
  </si>
  <si>
    <t>7187903970+7187904070</t>
  </si>
  <si>
    <t>X1PO2539</t>
  </si>
  <si>
    <t>71196683+7173344320+7173807630</t>
  </si>
  <si>
    <t>7289808930+7274153930</t>
  </si>
  <si>
    <t>ASSY_59Z006T00E</t>
  </si>
  <si>
    <t>ASSY_D4Z002DC0D</t>
  </si>
  <si>
    <t>7278246930/7298196130</t>
  </si>
  <si>
    <t>7118673890+7173344320</t>
  </si>
  <si>
    <t>7219678730+7134811530A</t>
  </si>
  <si>
    <t>7178412830+7198277430+72743637</t>
  </si>
  <si>
    <t>7177363290+7173344320</t>
  </si>
  <si>
    <t>ASSY_E6Z017DC1C</t>
  </si>
  <si>
    <t>7198810230+72742686A</t>
  </si>
  <si>
    <t>105x35x47-(x5PCS)</t>
  </si>
  <si>
    <t>138x35x40-(x5PCS)</t>
  </si>
  <si>
    <t>160x45x40-(x5PCS)</t>
  </si>
  <si>
    <t>138x36x47-(x5PCS)</t>
  </si>
  <si>
    <t>10.21.72967B</t>
  </si>
  <si>
    <t>10.21.73052A</t>
  </si>
  <si>
    <t>10.21.73082A</t>
  </si>
  <si>
    <t>CH</t>
  </si>
  <si>
    <t>PCH</t>
  </si>
  <si>
    <t>FORK</t>
  </si>
  <si>
    <t>CLIP H</t>
  </si>
  <si>
    <t>clip holder</t>
  </si>
  <si>
    <t>X1PO2003A</t>
  </si>
  <si>
    <t>7198913290+7189662430</t>
  </si>
  <si>
    <t>7198279630+7274154030</t>
  </si>
  <si>
    <t>7119162130+7274025390</t>
  </si>
  <si>
    <t>10.21.76983_B</t>
  </si>
  <si>
    <t>10.21.77132_A</t>
  </si>
  <si>
    <t>10.21.77157_A</t>
  </si>
  <si>
    <t>10.21.77190_A</t>
  </si>
  <si>
    <t>10.21.83671_B</t>
  </si>
  <si>
    <t>10.21.36176A</t>
  </si>
  <si>
    <t>10.21.73078A</t>
  </si>
  <si>
    <t>ASSY_59Z006T00C</t>
  </si>
  <si>
    <t>10.21.83587A</t>
  </si>
  <si>
    <t>26/20/35, РЯЗАНЕ, СИН, ДЕРЛИН</t>
  </si>
  <si>
    <t>10.21.76946A</t>
  </si>
  <si>
    <t>10.21.83610A</t>
  </si>
  <si>
    <t>10.21.77067A</t>
  </si>
  <si>
    <t>10.21.83700A</t>
  </si>
  <si>
    <t>ASSY_PPI0001107</t>
  </si>
  <si>
    <t>10.21.36071A</t>
  </si>
  <si>
    <t>is_3d_part</t>
  </si>
  <si>
    <t>ДЕЛРИН</t>
  </si>
  <si>
    <t>10.21.77162A - 1</t>
  </si>
  <si>
    <t>10.21.77162A - 2</t>
  </si>
  <si>
    <t>10.21.77162A - 3</t>
  </si>
  <si>
    <t>10.21.77162A - 4</t>
  </si>
  <si>
    <t>10.21.77162A - 5</t>
  </si>
  <si>
    <t>71186683+7173344320</t>
  </si>
  <si>
    <t>7119140530+7119140640+72741359</t>
  </si>
  <si>
    <t>7185173030+7185173130+72742608</t>
  </si>
  <si>
    <t>7198762530+7198600430+72743034</t>
  </si>
  <si>
    <t>7289256230+7174167930A</t>
  </si>
  <si>
    <t>ASSY_118021051</t>
  </si>
  <si>
    <t>ASSY_123024542</t>
  </si>
  <si>
    <t>ASSY_59Z006T00B</t>
  </si>
  <si>
    <t>ASSY_59Z063DC0A</t>
  </si>
  <si>
    <t>ASSY_59Z063DC0F</t>
  </si>
  <si>
    <t>ASSY_D4Z001DC0D</t>
  </si>
  <si>
    <t>X1PO2395</t>
  </si>
  <si>
    <t>X1PO2538</t>
  </si>
  <si>
    <t>7198809140+7274268930</t>
  </si>
  <si>
    <t>7289488430+7274297830A</t>
  </si>
  <si>
    <t>7298341860+7297341730</t>
  </si>
  <si>
    <t>ASSY_59K24K1XX92A4C</t>
  </si>
  <si>
    <t>ASSY_59Z163003F/ASSY_59Z163DC0F</t>
  </si>
  <si>
    <t>ASSY_D4K2RE1D5A5BDC/ASSY_D4K2RE1D5A5B</t>
  </si>
  <si>
    <t>10.21.76946A - 1</t>
  </si>
  <si>
    <t>10.21.76946A - 2</t>
  </si>
  <si>
    <t>10.21.76946A - 3</t>
  </si>
  <si>
    <t>10.21.77125A</t>
  </si>
  <si>
    <t>10.21.76941A</t>
  </si>
  <si>
    <t>7183288530+7183288630+72742612 - 7119632530+7119632630+72742614A</t>
  </si>
  <si>
    <t>qty_per_group</t>
  </si>
  <si>
    <t>group_processing</t>
  </si>
  <si>
    <t>dimension_x_g</t>
  </si>
  <si>
    <t>dimension_y_g</t>
  </si>
  <si>
    <t>dimension_z_g</t>
  </si>
  <si>
    <t>10.21.28341A</t>
  </si>
  <si>
    <t>10.21.83799A</t>
  </si>
  <si>
    <t>10.21.83616A</t>
  </si>
  <si>
    <t>10.21.83584A</t>
  </si>
  <si>
    <t>10.21.76999A</t>
  </si>
  <si>
    <t>10.21.42697A</t>
  </si>
  <si>
    <t>10.21.83618A</t>
  </si>
  <si>
    <t>10.21.83617A</t>
  </si>
  <si>
    <t>10.21.83619A</t>
  </si>
  <si>
    <t>10.21.80728A</t>
  </si>
  <si>
    <t>10.21.76992A</t>
  </si>
  <si>
    <t>10.21.35897A</t>
  </si>
  <si>
    <t>10.21.76989A</t>
  </si>
  <si>
    <t>10.21.54167A</t>
  </si>
  <si>
    <t>10.21.47366B</t>
  </si>
  <si>
    <t>10.21.76985A</t>
  </si>
  <si>
    <t>10.21.35126A</t>
  </si>
  <si>
    <t>10.21.47158B</t>
  </si>
  <si>
    <t>10.21.36272A</t>
  </si>
  <si>
    <t>10.21.73046A</t>
  </si>
  <si>
    <t>10.21.47450E</t>
  </si>
  <si>
    <t>10.21.54157A</t>
  </si>
  <si>
    <t>10.21.80759A</t>
  </si>
  <si>
    <t>10.21.72973</t>
  </si>
  <si>
    <t>10.21.80722A</t>
  </si>
  <si>
    <t>10.21.59093D</t>
  </si>
  <si>
    <t>10.21.76980B</t>
  </si>
  <si>
    <t>10.21.76978C</t>
  </si>
  <si>
    <t>10.21.76961A</t>
  </si>
  <si>
    <t>10.21.72976A</t>
  </si>
  <si>
    <t>10.21.76965A</t>
  </si>
  <si>
    <t>10.21.77186A</t>
  </si>
  <si>
    <t>7274114630+7289488430A</t>
  </si>
  <si>
    <t>10.21.42430A</t>
  </si>
  <si>
    <t>10.21.83667A</t>
  </si>
  <si>
    <t>10.21.42628C</t>
  </si>
  <si>
    <t>X1PO2363</t>
  </si>
  <si>
    <t>X1PP5350</t>
  </si>
  <si>
    <t>X1PO2348</t>
  </si>
  <si>
    <t>X1PP5707</t>
  </si>
  <si>
    <t>alt_name</t>
  </si>
  <si>
    <t>10.21.49811L</t>
  </si>
  <si>
    <t>10.21.77006A</t>
  </si>
  <si>
    <t>10.21.80868A</t>
  </si>
  <si>
    <t>10.21.77113A</t>
  </si>
  <si>
    <t>X1PO2109</t>
  </si>
  <si>
    <t>10.21.76979B</t>
  </si>
  <si>
    <t>10.21.54176B</t>
  </si>
  <si>
    <t>10.21.83644A</t>
  </si>
  <si>
    <t>10.21.83668A</t>
  </si>
  <si>
    <t>10.21.83614A</t>
  </si>
  <si>
    <t>10.21.77004A</t>
  </si>
  <si>
    <t>10.21.63360A</t>
  </si>
  <si>
    <t>10.21.35008A</t>
  </si>
  <si>
    <t>10.21.83692A</t>
  </si>
  <si>
    <t>10.21.83669A</t>
  </si>
  <si>
    <t>10.21.72971A</t>
  </si>
  <si>
    <t>7198940330+7198940430+72742881A</t>
  </si>
  <si>
    <t>10.21.76963A</t>
  </si>
  <si>
    <t>A1729821302_EYELET V1</t>
  </si>
  <si>
    <t>7298947030+7172174830</t>
  </si>
  <si>
    <t>10.21.89507А</t>
  </si>
  <si>
    <t>10.21.83703А</t>
  </si>
  <si>
    <t>10.21.02366А</t>
  </si>
  <si>
    <t>AL Part</t>
  </si>
  <si>
    <t>X1PO2527</t>
  </si>
  <si>
    <t>10.21.77174A</t>
  </si>
  <si>
    <t>10.21.83697A</t>
  </si>
  <si>
    <t>7189668330+7274135020A</t>
  </si>
  <si>
    <t>7289811630+7289811730+7274166590A</t>
  </si>
  <si>
    <t>ASSY_AMZ005000E/ASSY_AMZ005DC0E</t>
  </si>
  <si>
    <t>ASSY_AMZ005000F/ASSY_AMZ005DC0F</t>
  </si>
  <si>
    <t>ASSY_AMZ005000B/ASSY_AMZ005DC0B</t>
  </si>
  <si>
    <t>10.21.73073_A</t>
  </si>
  <si>
    <t>10.21.83604A</t>
  </si>
  <si>
    <t>10.21.83605A</t>
  </si>
  <si>
    <t>10.21.83601A</t>
  </si>
  <si>
    <t>10.21.83602A</t>
  </si>
  <si>
    <t>10.21.77046A</t>
  </si>
  <si>
    <t>10.21.77091A</t>
  </si>
  <si>
    <t>10.21.42632B</t>
  </si>
  <si>
    <t>7047135830S_DP</t>
  </si>
  <si>
    <t>2 part</t>
  </si>
  <si>
    <t>10.21.72847A</t>
  </si>
  <si>
    <t>10.21.72847A - 1</t>
  </si>
  <si>
    <t>10.21.72847A - 2</t>
  </si>
  <si>
    <t>7047186030D_DP</t>
  </si>
  <si>
    <t>10.21.54326E</t>
  </si>
  <si>
    <t>10.21.54326E - 1</t>
  </si>
  <si>
    <t>10.21.54326E - 2</t>
  </si>
  <si>
    <t>7035964930, X1PO2518, X1PP5823</t>
  </si>
  <si>
    <t>ASSY_PPI0001651, ASSY_PPI0001652</t>
  </si>
  <si>
    <t>10.21.72843E</t>
  </si>
  <si>
    <t>10.21.72843E - 1</t>
  </si>
  <si>
    <t>10.21.72843E - 2</t>
  </si>
  <si>
    <t>10.21.83606A</t>
  </si>
  <si>
    <t>123x30x48-(x5PCS)</t>
  </si>
  <si>
    <t>10.21.96554A</t>
  </si>
  <si>
    <t>10.21.75457A</t>
  </si>
  <si>
    <t>10.21.75457A - 1</t>
  </si>
  <si>
    <t>10.21.75457A - 2</t>
  </si>
  <si>
    <t>10.21.75456A</t>
  </si>
  <si>
    <t>10.21.75456A - 1</t>
  </si>
  <si>
    <t>10.21.75456A - 2</t>
  </si>
  <si>
    <t>10.21.75455A</t>
  </si>
  <si>
    <t>10.21.75455A - 1</t>
  </si>
  <si>
    <t>10.21.75455A - 2</t>
  </si>
  <si>
    <t>10.21.75458А</t>
  </si>
  <si>
    <t>10.21.75458А - 1</t>
  </si>
  <si>
    <t>10.21.75458А - 2</t>
  </si>
  <si>
    <t>10.21.96563A</t>
  </si>
  <si>
    <t>10.21.76985_A</t>
  </si>
  <si>
    <t>10.21.75459A</t>
  </si>
  <si>
    <t>10.21.75459A - 1</t>
  </si>
  <si>
    <t>10.21.75459A - 2</t>
  </si>
  <si>
    <t>10.21.96569A</t>
  </si>
  <si>
    <t>Only cap</t>
  </si>
  <si>
    <t>H248</t>
  </si>
  <si>
    <t>10.21.28242A</t>
  </si>
  <si>
    <t>A30</t>
  </si>
  <si>
    <t>10.21.83679A</t>
  </si>
  <si>
    <t>10.21.83758_A</t>
  </si>
  <si>
    <t>10.21.27972B</t>
  </si>
  <si>
    <t>10.21.54489A</t>
  </si>
  <si>
    <t>RIGHT</t>
  </si>
  <si>
    <t>LEFT</t>
  </si>
  <si>
    <t>10.21.96570A</t>
  </si>
  <si>
    <t>10.21.82666A</t>
  </si>
  <si>
    <t>10.21.96568A</t>
  </si>
  <si>
    <t>10.21.96571A</t>
  </si>
  <si>
    <t>Open up</t>
  </si>
  <si>
    <t>10.21.96572A</t>
  </si>
  <si>
    <t>3 part</t>
  </si>
  <si>
    <t>10.21.96572A - 1</t>
  </si>
  <si>
    <t>10.21.96572A - 2</t>
  </si>
  <si>
    <t>10.21.96575A</t>
  </si>
  <si>
    <t xml:space="preserve">10.21.96575A - 1 </t>
  </si>
  <si>
    <t>10.21.96575A - 2</t>
  </si>
  <si>
    <t>10.21.96576A</t>
  </si>
  <si>
    <t>10.21.96576A - 1</t>
  </si>
  <si>
    <t>10.21.96576A - 2</t>
  </si>
  <si>
    <t>10.21.96573A</t>
  </si>
  <si>
    <t>10.21.96574A</t>
  </si>
  <si>
    <t>10.21.96577A</t>
  </si>
  <si>
    <t>10.21.96577A - 1</t>
  </si>
  <si>
    <t>10.21.96577A - 2</t>
  </si>
  <si>
    <t>GR</t>
  </si>
  <si>
    <t>gray</t>
  </si>
  <si>
    <t>СИВ</t>
  </si>
  <si>
    <t>pneumatic connector clip</t>
  </si>
  <si>
    <t>10.21.77065A</t>
  </si>
  <si>
    <t>sample waiting</t>
  </si>
  <si>
    <t>Straight cover</t>
  </si>
  <si>
    <t>10.21.77088A</t>
  </si>
  <si>
    <t>10.21.77146A</t>
  </si>
  <si>
    <t>X1PO2536</t>
  </si>
  <si>
    <t>7119101830+7274131020</t>
  </si>
  <si>
    <t>7189482930+72741357</t>
  </si>
  <si>
    <t>7189811530+7289811830+72741554</t>
  </si>
  <si>
    <t>7198277430+7198277530+72741954</t>
  </si>
  <si>
    <t>7198774930+7198947430+72742908</t>
  </si>
  <si>
    <t>71987958A</t>
  </si>
  <si>
    <t>7289811630+7289811730+72741551</t>
  </si>
  <si>
    <t>7289811630+7289811730+7274155220</t>
  </si>
  <si>
    <t>A1729821302_EYELET V4_3</t>
  </si>
  <si>
    <t>7187903970+7187904070+7274060970</t>
  </si>
  <si>
    <t>10.21.77160A-1</t>
  </si>
  <si>
    <t>10.21.77160A-2</t>
  </si>
  <si>
    <t>160x45x40-, 126x45x40-(x4PCS)</t>
  </si>
  <si>
    <t>10.21.96697A</t>
  </si>
  <si>
    <t>10.21.08826A</t>
  </si>
  <si>
    <t>DESCRIPTION2</t>
  </si>
  <si>
    <t>ma number</t>
  </si>
  <si>
    <t xml:space="preserve">Product Type </t>
  </si>
  <si>
    <t>Malzeme Grubu</t>
  </si>
  <si>
    <t>Alt Grup</t>
  </si>
  <si>
    <t>Route</t>
  </si>
  <si>
    <t>Stock Tracking Type *</t>
  </si>
  <si>
    <t>İş Başı Malzeme Bilgisi</t>
  </si>
  <si>
    <t>GH</t>
  </si>
  <si>
    <t>grommet holder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</si>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</sst>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/>
    <xf numFmtId="0" fontId="3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</cellXfs>
  <cellStyles count="3">
    <cellStyle name="Excel Built-in Normal" xfId="1" xr:uid="{FC05862D-A32D-41BF-B86F-FCDFEB09A0C7}"/>
    <cellStyle name="Normal" xfId="0" builtinId="0"/>
    <cellStyle name="Normal 2 2" xfId="2" xr:uid="{A4FBF281-33E9-4B26-94D1-DCC04C82109A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4EFE6-1099-438A-9D64-1AFEA3E877E1}" name="Table1" displayName="Table1" ref="A1:W285" totalsRowShown="0" headerRowDxfId="36" dataDxfId="35">
  <autoFilter ref="A1:W285" xr:uid="{4FD4EFE6-1099-438A-9D64-1AFEA3E877E1}"/>
  <tableColumns count="23">
    <tableColumn id="1" xr3:uid="{3B7E460A-E4F8-4748-BDB7-69F9DF95E095}" name="MA_Number" dataDxfId="34"/>
    <tableColumn id="2" xr3:uid="{0C86C14C-C734-4C14-9D15-5BF628634433}" name="Product_Name" dataDxfId="33"/>
    <tableColumn id="30" xr3:uid="{050D8DE9-BC74-4050-94FA-10894F23596C}" name="alt_name" dataDxfId="32"/>
    <tableColumn id="5" xr3:uid="{B7270D78-2CE2-41E9-A475-02143C2A7D02}" name="type_code" dataDxfId="31"/>
    <tableColumn id="3" xr3:uid="{80614BD7-785D-4865-A2C0-9EC9C8EACE03}" name="Description" dataDxfId="30"/>
    <tableColumn id="4" xr3:uid="{712E4162-81D9-47C7-8EEF-73A898972DF4}" name="Is_Assembly" dataDxfId="29"/>
    <tableColumn id="16" xr3:uid="{499F8FD0-A2A3-4176-A552-313DDDC5BA39}" name="parent_ma" dataDxfId="28"/>
    <tableColumn id="7" xr3:uid="{D05F0B8F-F449-4B71-BFD4-5C771658ED9C}" name="Part_Number" dataDxfId="27"/>
    <tableColumn id="8" xr3:uid="{B643C364-3099-4EEB-AED1-F61689849DDE}" name="Part_Qty" dataDxfId="26"/>
    <tableColumn id="9" xr3:uid="{1FB793F0-5C0E-4E9E-A553-69662201D95E}" name="Part_Length" dataDxfId="25"/>
    <tableColumn id="10" xr3:uid="{A46D0FCB-3E53-48F9-A53C-473B67948093}" name="Part_Width" dataDxfId="24"/>
    <tableColumn id="11" xr3:uid="{60D16FF4-D45B-4799-81B5-5A76D0C9B75F}" name="Part_Height" dataDxfId="23"/>
    <tableColumn id="12" xr3:uid="{9236BC38-CC48-4A88-8E0F-CC0CF0FD23E8}" name="color_code" dataDxfId="22"/>
    <tableColumn id="13" xr3:uid="{733327CD-E162-4FAD-AEA1-3C7B2D569A38}" name="material_code" dataDxfId="21"/>
    <tableColumn id="18" xr3:uid="{71BB0E28-DF33-49EB-86CF-D06CFB367F4F}" name="process_cut" dataDxfId="20"/>
    <tableColumn id="19" xr3:uid="{A88BCE54-C957-4D13-B884-66299105378A}" name="process_mill" dataDxfId="19"/>
    <tableColumn id="22" xr3:uid="{470DB65E-5747-4C8C-9238-C17C0675B78F}" name="group_processing" dataDxfId="18"/>
    <tableColumn id="25" xr3:uid="{30741311-55D9-429E-B38B-6427F3C29609}" name="dimension_x_g" dataDxfId="17"/>
    <tableColumn id="24" xr3:uid="{18A9B155-40E3-47EE-8E28-F4D7F3F4192C}" name="dimension_y_g" dataDxfId="16"/>
    <tableColumn id="23" xr3:uid="{F373FF10-9E7B-464C-898A-9AC55A93F09E}" name="dimension_z_g" dataDxfId="15"/>
    <tableColumn id="26" xr3:uid="{7F78AD9C-5261-4F67-A5CE-87A37B6268AB}" name="qty_per_group" dataDxfId="14"/>
    <tableColumn id="21" xr3:uid="{9058C990-680C-4FA0-A028-47CC2085F6BD}" name="is_3d_part" dataDxfId="13"/>
    <tableColumn id="14" xr3:uid="{02DB0385-C9D0-43F2-90B3-4B0F2B4A9E03}" name="Assembly_Order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41380B-8236-4B79-8DB9-9C9113FC2C47}" name="Table3" displayName="Table3" ref="A1:F7" totalsRowShown="0">
  <autoFilter ref="A1:F7" xr:uid="{9141380B-8236-4B79-8DB9-9C9113FC2C47}"/>
  <tableColumns count="6">
    <tableColumn id="1" xr3:uid="{55F84D4F-9142-4A30-9787-35E7A399FA65}" name="type_code"/>
    <tableColumn id="2" xr3:uid="{A455EA27-82BC-42DB-A59F-DAA682332A1D}" name="type_name"/>
    <tableColumn id="3" xr3:uid="{2F9CEC10-0094-48CC-B3CD-7CFB3D8B0A8C}" name="description"/>
    <tableColumn id="4" xr3:uid="{CA63B818-D4A6-411D-B5DF-758E64C6C9A4}" name="created_at"/>
    <tableColumn id="5" xr3:uid="{6ECD55E8-66D7-40A7-82A5-1716404F8A25}" name="updated_at"/>
    <tableColumn id="6" xr3:uid="{B6EE05E8-5503-4E31-AF67-3FAAA36001E6}" name="created_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645311-CC6C-492D-B7C5-5D699985BED9}" name="Table6" displayName="Table6" ref="A1:I9" totalsRowShown="0">
  <autoFilter ref="A1:I9" xr:uid="{B9645311-CC6C-492D-B7C5-5D699985BED9}"/>
  <tableColumns count="9">
    <tableColumn id="1" xr3:uid="{7107930E-8449-4FA5-9EFB-73F82076086A}" name="color_code"/>
    <tableColumn id="2" xr3:uid="{B88664DC-B138-4920-809C-E6E720975BCA}" name="color_name"/>
    <tableColumn id="9" xr3:uid="{440A1156-8A15-43BD-B654-B9DE52F33BB8}" name="color_name_bg"/>
    <tableColumn id="3" xr3:uid="{49FFFC89-9ABD-4576-8EEB-F1AC5B6642B3}" name="rgb_value"/>
    <tableColumn id="4" xr3:uid="{12D32FA1-1F69-491C-A1B0-7ADB7E614640}" name="pantone_code"/>
    <tableColumn id="5" xr3:uid="{278EC752-D297-4241-BB3C-C634EBBCB6FA}" name="is_active"/>
    <tableColumn id="6" xr3:uid="{54D6F0B3-0424-412E-98C5-09758D2F293C}" name="created_at"/>
    <tableColumn id="7" xr3:uid="{7A86999D-AC8B-4859-B7CA-E3BF1FD65D2E}" name="updated_at"/>
    <tableColumn id="8" xr3:uid="{570FD0EC-8592-4299-8370-768C9551C39F}" name="created_b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755227-7A8D-4D43-A37C-53FA2E020984}" name="Table5" displayName="Table5" ref="A1:K6" totalsRowShown="0">
  <autoFilter ref="A1:K6" xr:uid="{81755227-7A8D-4D43-A37C-53FA2E020984}"/>
  <tableColumns count="11">
    <tableColumn id="1" xr3:uid="{C5153D17-FA5C-4FC0-A5CF-E316306521BE}" name="material_code"/>
    <tableColumn id="2" xr3:uid="{95110EAC-6F13-4F84-B241-9701770446B7}" name="material_name"/>
    <tableColumn id="11" xr3:uid="{2AD9C688-B30E-484F-9566-8244BE685254}" name="material_name_bg"/>
    <tableColumn id="3" xr3:uid="{FCB0B99F-4714-4C69-B77D-55E78738476E}" name="category"/>
    <tableColumn id="4" xr3:uid="{248CADA7-C7DB-42F6-B42C-5C54D067D712}" name="density_kg_per_m3"/>
    <tableColumn id="5" xr3:uid="{6D511D0E-E7B3-400B-94C7-0CD8083127AA}" name="tensile_strength_mpa"/>
    <tableColumn id="6" xr3:uid="{A030AB38-2AC6-4578-B8AD-A7FF0A90BD2E}" name="cost_per_kg"/>
    <tableColumn id="7" xr3:uid="{ABE281A3-0566-4F9B-9358-AD8FD5855238}" name="is_active"/>
    <tableColumn id="8" xr3:uid="{4EA5A0D8-17DB-464D-A17B-F01BB9BA1A89}" name="created_at"/>
    <tableColumn id="9" xr3:uid="{1CE8739B-A682-4CAC-B322-013ED64EE9C2}" name="updated_at"/>
    <tableColumn id="10" xr3:uid="{F89FF5FB-77DD-48F7-9205-55EC0191A5E7}" name="created_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285"/>
  <sheetViews>
    <sheetView tabSelected="1" topLeftCell="V1" zoomScale="70" zoomScaleNormal="70" workbookViewId="0">
      <selection activeCell="AJ160" sqref="AJ160"/>
    </sheetView>
  </sheetViews>
  <sheetFormatPr defaultRowHeight="14.4" x14ac:dyDescent="0.3"/>
  <cols>
    <col min="1" max="1" width="18.77734375" customWidth="1"/>
    <col min="2" max="2" width="65.109375" style="1" customWidth="1"/>
    <col min="3" max="3" width="38.88671875" customWidth="1"/>
    <col min="4" max="4" width="24" customWidth="1"/>
    <col min="5" max="5" width="29.88671875" customWidth="1"/>
    <col min="6" max="6" width="12.5546875" customWidth="1"/>
    <col min="7" max="7" width="15.33203125" customWidth="1"/>
    <col min="8" max="8" width="15.44140625" customWidth="1"/>
    <col min="9" max="9" width="13.109375" customWidth="1"/>
    <col min="10" max="10" width="12.44140625" customWidth="1"/>
    <col min="11" max="11" width="14.33203125" customWidth="1"/>
    <col min="12" max="12" width="16.6640625" customWidth="1"/>
    <col min="13" max="15" width="14.33203125" customWidth="1"/>
    <col min="16" max="16" width="15.6640625" customWidth="1"/>
    <col min="17" max="17" width="18.21875" customWidth="1"/>
    <col min="18" max="20" width="15.6640625" customWidth="1"/>
    <col min="21" max="21" width="19.109375" customWidth="1"/>
    <col min="22" max="22" width="17.109375" customWidth="1"/>
    <col min="23" max="23" width="10.5546875" customWidth="1"/>
    <col min="25" max="25" width="82.6640625" bestFit="1" customWidth="1"/>
    <col min="26" max="26" width="12.21875" bestFit="1" customWidth="1"/>
    <col min="27" max="27" width="14.33203125" bestFit="1" customWidth="1"/>
    <col min="28" max="28" width="16.109375" bestFit="1" customWidth="1"/>
    <col min="29" max="29" width="22.5546875" bestFit="1" customWidth="1"/>
    <col min="30" max="30" width="24.44140625" bestFit="1" customWidth="1"/>
    <col min="31" max="31" width="23.6640625" bestFit="1" customWidth="1"/>
    <col min="32" max="32" width="63.77734375" bestFit="1" customWidth="1"/>
  </cols>
  <sheetData>
    <row r="1" spans="1:32" x14ac:dyDescent="0.3">
      <c r="A1" t="s">
        <v>0</v>
      </c>
      <c r="B1" t="s">
        <v>1</v>
      </c>
      <c r="C1" t="s">
        <v>360</v>
      </c>
      <c r="D1" t="s">
        <v>14</v>
      </c>
      <c r="E1" t="s">
        <v>2</v>
      </c>
      <c r="F1" t="s">
        <v>3</v>
      </c>
      <c r="G1" t="s">
        <v>38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21</v>
      </c>
      <c r="O1" t="s">
        <v>68</v>
      </c>
      <c r="P1" t="s">
        <v>69</v>
      </c>
      <c r="Q1" t="s">
        <v>316</v>
      </c>
      <c r="R1" t="s">
        <v>317</v>
      </c>
      <c r="S1" t="s">
        <v>318</v>
      </c>
      <c r="T1" t="s">
        <v>319</v>
      </c>
      <c r="U1" t="s">
        <v>315</v>
      </c>
      <c r="V1" t="s">
        <v>283</v>
      </c>
      <c r="W1" t="s">
        <v>9</v>
      </c>
      <c r="Y1" t="s">
        <v>491</v>
      </c>
      <c r="Z1" t="s">
        <v>492</v>
      </c>
      <c r="AA1" t="s">
        <v>493</v>
      </c>
      <c r="AB1" t="s">
        <v>494</v>
      </c>
      <c r="AC1" t="s">
        <v>495</v>
      </c>
      <c r="AD1" t="s">
        <v>496</v>
      </c>
      <c r="AE1" t="s">
        <v>497</v>
      </c>
      <c r="AF1" t="s">
        <v>498</v>
      </c>
    </row>
    <row r="2" spans="1:32" x14ac:dyDescent="0.3">
      <c r="A2" t="s">
        <v>70</v>
      </c>
      <c r="B2" s="1">
        <v>7075231830</v>
      </c>
      <c r="C2" s="1" t="s">
        <v>301</v>
      </c>
      <c r="D2" t="s">
        <v>499</v>
      </c>
      <c r="F2" t="b">
        <v>0</v>
      </c>
      <c r="I2">
        <v>1</v>
      </c>
      <c r="J2">
        <v>90</v>
      </c>
      <c r="K2">
        <v>90</v>
      </c>
      <c r="L2">
        <v>65</v>
      </c>
      <c r="M2" t="s">
        <v>45</v>
      </c>
      <c r="N2" t="s">
        <v>20</v>
      </c>
      <c r="O2" t="b">
        <v>1</v>
      </c>
      <c r="Y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7075231830 Grommet Holder JB</v>
      </c>
      <c r="Z2" t="str">
        <f>IF(LEN(Table1[[#This Row],[MA_Number]])&gt;0, Table1[[#This Row],[MA_Number]], "")</f>
        <v>10.21.80758A</v>
      </c>
      <c r="AA2" t="str">
        <f>IF(OR(Table1[[#This Row],[type_code]]="GH", Table1[[#This Row],[type_code]]="CH", Table1[[#This Row],[type_code]]="CLIP H" ), "Finished Product", "")</f>
        <v>Finished Product</v>
      </c>
      <c r="AB2" t="str">
        <f>IF(OR(Table1[[#This Row],[type_code]]="GH", Table1[[#This Row],[type_code]]="CH", Table1[[#This Row],[type_code]]="CLIP H" ), "Holder", "")</f>
        <v>Holder</v>
      </c>
      <c r="AC2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" t="str">
        <f>IF(OR(Table1[[#This Row],[type_code]]="GH", Table1[[#This Row],[type_code]]="CH", Table1[[#This Row],[type_code]]="CLIP H" ), "Mechanic Holder Production", "")</f>
        <v>Mechanic Holder Production</v>
      </c>
      <c r="AE2" t="str">
        <f>IF(OR(Table1[[#This Row],[type_code]]="GH", Table1[[#This Row],[type_code]]="CH", Table1[[#This Row],[type_code]]="CLIP H" ), "Automatic After Production", "")</f>
        <v>Automatic After Production</v>
      </c>
      <c r="AF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90mm x 90mm x 65mm</v>
      </c>
    </row>
    <row r="3" spans="1:32" x14ac:dyDescent="0.3">
      <c r="A3" t="s">
        <v>71</v>
      </c>
      <c r="B3" s="1">
        <v>7075231930</v>
      </c>
      <c r="C3" s="1" t="s">
        <v>410</v>
      </c>
      <c r="D3" t="s">
        <v>499</v>
      </c>
      <c r="F3" t="b">
        <v>0</v>
      </c>
      <c r="I3">
        <v>1</v>
      </c>
      <c r="J3">
        <v>83</v>
      </c>
      <c r="K3">
        <v>57</v>
      </c>
      <c r="L3">
        <v>77</v>
      </c>
      <c r="M3" t="s">
        <v>45</v>
      </c>
      <c r="N3" t="s">
        <v>20</v>
      </c>
      <c r="O3" t="b">
        <v>1</v>
      </c>
      <c r="Y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7075231930 Grommet Holder JB</v>
      </c>
      <c r="Z3" t="str">
        <f>IF(LEN(Table1[[#This Row],[MA_Number]])&gt;0, Table1[[#This Row],[MA_Number]], "")</f>
        <v>10.21.72966C</v>
      </c>
      <c r="AA3" t="str">
        <f>IF(OR(Table1[[#This Row],[type_code]]="GH", Table1[[#This Row],[type_code]]="CH", Table1[[#This Row],[type_code]]="CLIP H" ), "Finished Product", "")</f>
        <v>Finished Product</v>
      </c>
      <c r="AB3" t="str">
        <f>IF(OR(Table1[[#This Row],[type_code]]="GH", Table1[[#This Row],[type_code]]="CH", Table1[[#This Row],[type_code]]="CLIP H" ), "Holder", "")</f>
        <v>Holder</v>
      </c>
      <c r="AC3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3" t="str">
        <f>IF(OR(Table1[[#This Row],[type_code]]="GH", Table1[[#This Row],[type_code]]="CH", Table1[[#This Row],[type_code]]="CLIP H" ), "Mechanic Holder Production", "")</f>
        <v>Mechanic Holder Production</v>
      </c>
      <c r="AE3" t="str">
        <f>IF(OR(Table1[[#This Row],[type_code]]="GH", Table1[[#This Row],[type_code]]="CH", Table1[[#This Row],[type_code]]="CLIP H" ), "Automatic After Production", "")</f>
        <v>Automatic After Production</v>
      </c>
      <c r="AF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83mm x 57mm x 77mm</v>
      </c>
    </row>
    <row r="4" spans="1:32" x14ac:dyDescent="0.3">
      <c r="A4" t="s">
        <v>72</v>
      </c>
      <c r="B4" s="1">
        <v>7075236930</v>
      </c>
      <c r="C4" s="1" t="s">
        <v>356</v>
      </c>
      <c r="D4" t="s">
        <v>499</v>
      </c>
      <c r="F4" t="b">
        <v>0</v>
      </c>
      <c r="I4">
        <v>1</v>
      </c>
      <c r="J4">
        <v>60</v>
      </c>
      <c r="K4">
        <v>43</v>
      </c>
      <c r="L4">
        <v>65</v>
      </c>
      <c r="M4" t="s">
        <v>45</v>
      </c>
      <c r="N4" t="s">
        <v>20</v>
      </c>
      <c r="O4" t="b">
        <v>1</v>
      </c>
      <c r="Y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7075236930 Grommet Holder JB</v>
      </c>
      <c r="Z4" t="str">
        <f>IF(LEN(Table1[[#This Row],[MA_Number]])&gt;0, Table1[[#This Row],[MA_Number]], "")</f>
        <v>10.21.72968A</v>
      </c>
      <c r="AA4" t="str">
        <f>IF(OR(Table1[[#This Row],[type_code]]="GH", Table1[[#This Row],[type_code]]="CH", Table1[[#This Row],[type_code]]="CLIP H" ), "Finished Product", "")</f>
        <v>Finished Product</v>
      </c>
      <c r="AB4" t="str">
        <f>IF(OR(Table1[[#This Row],[type_code]]="GH", Table1[[#This Row],[type_code]]="CH", Table1[[#This Row],[type_code]]="CLIP H" ), "Holder", "")</f>
        <v>Holder</v>
      </c>
      <c r="AC4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4" t="str">
        <f>IF(OR(Table1[[#This Row],[type_code]]="GH", Table1[[#This Row],[type_code]]="CH", Table1[[#This Row],[type_code]]="CLIP H" ), "Mechanic Holder Production", "")</f>
        <v>Mechanic Holder Production</v>
      </c>
      <c r="AE4" t="str">
        <f>IF(OR(Table1[[#This Row],[type_code]]="GH", Table1[[#This Row],[type_code]]="CH", Table1[[#This Row],[type_code]]="CLIP H" ), "Automatic After Production", "")</f>
        <v>Automatic After Production</v>
      </c>
      <c r="AF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60mm x 43mm x 65mm</v>
      </c>
    </row>
    <row r="5" spans="1:32" x14ac:dyDescent="0.3">
      <c r="A5" t="s">
        <v>73</v>
      </c>
      <c r="B5" s="1">
        <v>7075244730</v>
      </c>
      <c r="C5" s="1"/>
      <c r="D5" t="s">
        <v>499</v>
      </c>
      <c r="F5" t="b">
        <v>0</v>
      </c>
      <c r="I5">
        <v>1</v>
      </c>
      <c r="J5">
        <v>60</v>
      </c>
      <c r="K5">
        <v>37</v>
      </c>
      <c r="L5">
        <v>60</v>
      </c>
      <c r="M5" t="s">
        <v>45</v>
      </c>
      <c r="N5" t="s">
        <v>20</v>
      </c>
      <c r="O5" t="b">
        <v>1</v>
      </c>
      <c r="Y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7075244730 Grommet Holder JB</v>
      </c>
      <c r="Z5" t="str">
        <f>IF(LEN(Table1[[#This Row],[MA_Number]])&gt;0, Table1[[#This Row],[MA_Number]], "")</f>
        <v>10.21.83798A</v>
      </c>
      <c r="AA5" t="str">
        <f>IF(OR(Table1[[#This Row],[type_code]]="GH", Table1[[#This Row],[type_code]]="CH", Table1[[#This Row],[type_code]]="CLIP H" ), "Finished Product", "")</f>
        <v>Finished Product</v>
      </c>
      <c r="AB5" t="str">
        <f>IF(OR(Table1[[#This Row],[type_code]]="GH", Table1[[#This Row],[type_code]]="CH", Table1[[#This Row],[type_code]]="CLIP H" ), "Holder", "")</f>
        <v>Holder</v>
      </c>
      <c r="AC5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5" t="str">
        <f>IF(OR(Table1[[#This Row],[type_code]]="GH", Table1[[#This Row],[type_code]]="CH", Table1[[#This Row],[type_code]]="CLIP H" ), "Mechanic Holder Production", "")</f>
        <v>Mechanic Holder Production</v>
      </c>
      <c r="AE5" t="str">
        <f>IF(OR(Table1[[#This Row],[type_code]]="GH", Table1[[#This Row],[type_code]]="CH", Table1[[#This Row],[type_code]]="CLIP H" ), "Automatic After Production", "")</f>
        <v>Automatic After Production</v>
      </c>
      <c r="AF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60mm x 37mm x 60mm</v>
      </c>
    </row>
    <row r="6" spans="1:32" x14ac:dyDescent="0.3">
      <c r="A6" t="s">
        <v>74</v>
      </c>
      <c r="B6" s="1">
        <v>71186354</v>
      </c>
      <c r="C6" s="1"/>
      <c r="D6" t="s">
        <v>258</v>
      </c>
      <c r="F6" t="b">
        <v>0</v>
      </c>
      <c r="I6">
        <v>1</v>
      </c>
      <c r="J6">
        <v>48</v>
      </c>
      <c r="K6">
        <v>43</v>
      </c>
      <c r="L6">
        <v>51</v>
      </c>
      <c r="M6" t="s">
        <v>44</v>
      </c>
      <c r="N6" t="s">
        <v>20</v>
      </c>
      <c r="O6" t="b">
        <v>1</v>
      </c>
      <c r="Y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71186354 Connector Holder JB</v>
      </c>
      <c r="Z6" t="str">
        <f>IF(LEN(Table1[[#This Row],[MA_Number]])&gt;0, Table1[[#This Row],[MA_Number]], "")</f>
        <v>10.21.35131A</v>
      </c>
      <c r="AA6" t="str">
        <f>IF(OR(Table1[[#This Row],[type_code]]="GH", Table1[[#This Row],[type_code]]="CH", Table1[[#This Row],[type_code]]="CLIP H" ), "Finished Product", "")</f>
        <v>Finished Product</v>
      </c>
      <c r="AB6" t="str">
        <f>IF(OR(Table1[[#This Row],[type_code]]="GH", Table1[[#This Row],[type_code]]="CH", Table1[[#This Row],[type_code]]="CLIP H" ), "Holder", "")</f>
        <v>Holder</v>
      </c>
      <c r="AC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" t="str">
        <f>IF(OR(Table1[[#This Row],[type_code]]="GH", Table1[[#This Row],[type_code]]="CH", Table1[[#This Row],[type_code]]="CLIP H" ), "Mechanic Holder Production", "")</f>
        <v>Mechanic Holder Production</v>
      </c>
      <c r="AE6" t="str">
        <f>IF(OR(Table1[[#This Row],[type_code]]="GH", Table1[[#This Row],[type_code]]="CH", Table1[[#This Row],[type_code]]="CLIP H" ), "Automatic After Production", "")</f>
        <v>Automatic After Production</v>
      </c>
      <c r="AF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48mm x 43mm x 51mm</v>
      </c>
    </row>
    <row r="7" spans="1:32" x14ac:dyDescent="0.3">
      <c r="A7" t="s">
        <v>75</v>
      </c>
      <c r="B7" s="1" t="s">
        <v>205</v>
      </c>
      <c r="C7" s="1"/>
      <c r="D7" t="s">
        <v>258</v>
      </c>
      <c r="F7" t="b">
        <v>0</v>
      </c>
      <c r="I7">
        <v>1</v>
      </c>
      <c r="J7">
        <v>64</v>
      </c>
      <c r="K7">
        <v>50</v>
      </c>
      <c r="L7">
        <v>75</v>
      </c>
      <c r="M7" t="s">
        <v>45</v>
      </c>
      <c r="N7" t="s">
        <v>20</v>
      </c>
      <c r="O7" t="b">
        <v>1</v>
      </c>
      <c r="Y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7118641830+7173344320 Connector Holder JB</v>
      </c>
      <c r="Z7" t="str">
        <f>IF(LEN(Table1[[#This Row],[MA_Number]])&gt;0, Table1[[#This Row],[MA_Number]], "")</f>
        <v>10.21.35334A</v>
      </c>
      <c r="AA7" t="str">
        <f>IF(OR(Table1[[#This Row],[type_code]]="GH", Table1[[#This Row],[type_code]]="CH", Table1[[#This Row],[type_code]]="CLIP H" ), "Finished Product", "")</f>
        <v>Finished Product</v>
      </c>
      <c r="AB7" t="str">
        <f>IF(OR(Table1[[#This Row],[type_code]]="GH", Table1[[#This Row],[type_code]]="CH", Table1[[#This Row],[type_code]]="CLIP H" ), "Holder", "")</f>
        <v>Holder</v>
      </c>
      <c r="AC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" t="str">
        <f>IF(OR(Table1[[#This Row],[type_code]]="GH", Table1[[#This Row],[type_code]]="CH", Table1[[#This Row],[type_code]]="CLIP H" ), "Mechanic Holder Production", "")</f>
        <v>Mechanic Holder Production</v>
      </c>
      <c r="AE7" t="str">
        <f>IF(OR(Table1[[#This Row],[type_code]]="GH", Table1[[#This Row],[type_code]]="CH", Table1[[#This Row],[type_code]]="CLIP H" ), "Automatic After Production", "")</f>
        <v>Automatic After Production</v>
      </c>
      <c r="AF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64mm x 50mm x 75mm</v>
      </c>
    </row>
    <row r="8" spans="1:32" x14ac:dyDescent="0.3">
      <c r="A8" t="s">
        <v>76</v>
      </c>
      <c r="B8" s="1" t="s">
        <v>290</v>
      </c>
      <c r="C8" s="1"/>
      <c r="D8" t="s">
        <v>258</v>
      </c>
      <c r="F8" t="b">
        <v>0</v>
      </c>
      <c r="I8">
        <v>1</v>
      </c>
      <c r="J8">
        <v>73</v>
      </c>
      <c r="K8">
        <v>74</v>
      </c>
      <c r="L8">
        <v>65</v>
      </c>
      <c r="M8" t="s">
        <v>44</v>
      </c>
      <c r="N8" t="s">
        <v>20</v>
      </c>
      <c r="O8" t="b">
        <v>1</v>
      </c>
      <c r="Y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71186683+7173344320 Connector Holder JB</v>
      </c>
      <c r="Z8" t="str">
        <f>IF(LEN(Table1[[#This Row],[MA_Number]])&gt;0, Table1[[#This Row],[MA_Number]], "")</f>
        <v>10.21.89505A</v>
      </c>
      <c r="AA8" t="str">
        <f>IF(OR(Table1[[#This Row],[type_code]]="GH", Table1[[#This Row],[type_code]]="CH", Table1[[#This Row],[type_code]]="CLIP H" ), "Finished Product", "")</f>
        <v>Finished Product</v>
      </c>
      <c r="AB8" t="str">
        <f>IF(OR(Table1[[#This Row],[type_code]]="GH", Table1[[#This Row],[type_code]]="CH", Table1[[#This Row],[type_code]]="CLIP H" ), "Holder", "")</f>
        <v>Holder</v>
      </c>
      <c r="AC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" t="str">
        <f>IF(OR(Table1[[#This Row],[type_code]]="GH", Table1[[#This Row],[type_code]]="CH", Table1[[#This Row],[type_code]]="CLIP H" ), "Mechanic Holder Production", "")</f>
        <v>Mechanic Holder Production</v>
      </c>
      <c r="AE8" t="str">
        <f>IF(OR(Table1[[#This Row],[type_code]]="GH", Table1[[#This Row],[type_code]]="CH", Table1[[#This Row],[type_code]]="CLIP H" ), "Automatic After Production", "")</f>
        <v>Automatic After Production</v>
      </c>
      <c r="AF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73mm x 74mm x 65mm</v>
      </c>
    </row>
    <row r="9" spans="1:32" x14ac:dyDescent="0.3">
      <c r="A9" t="s">
        <v>77</v>
      </c>
      <c r="B9" s="1">
        <v>7118670020</v>
      </c>
      <c r="C9" s="1"/>
      <c r="D9" t="s">
        <v>258</v>
      </c>
      <c r="F9" t="b">
        <v>0</v>
      </c>
      <c r="I9">
        <v>1</v>
      </c>
      <c r="J9">
        <v>50</v>
      </c>
      <c r="K9">
        <v>47</v>
      </c>
      <c r="L9">
        <v>51</v>
      </c>
      <c r="M9" t="s">
        <v>49</v>
      </c>
      <c r="N9" t="s">
        <v>20</v>
      </c>
      <c r="O9" t="b">
        <v>1</v>
      </c>
      <c r="Y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7118670020 Connector Holder JB</v>
      </c>
      <c r="Z9" t="str">
        <f>IF(LEN(Table1[[#This Row],[MA_Number]])&gt;0, Table1[[#This Row],[MA_Number]], "")</f>
        <v>10.21.77121A</v>
      </c>
      <c r="AA9" t="str">
        <f>IF(OR(Table1[[#This Row],[type_code]]="GH", Table1[[#This Row],[type_code]]="CH", Table1[[#This Row],[type_code]]="CLIP H" ), "Finished Product", "")</f>
        <v>Finished Product</v>
      </c>
      <c r="AB9" t="str">
        <f>IF(OR(Table1[[#This Row],[type_code]]="GH", Table1[[#This Row],[type_code]]="CH", Table1[[#This Row],[type_code]]="CLIP H" ), "Holder", "")</f>
        <v>Holder</v>
      </c>
      <c r="AC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9" t="str">
        <f>IF(OR(Table1[[#This Row],[type_code]]="GH", Table1[[#This Row],[type_code]]="CH", Table1[[#This Row],[type_code]]="CLIP H" ), "Mechanic Holder Production", "")</f>
        <v>Mechanic Holder Production</v>
      </c>
      <c r="AE9" t="str">
        <f>IF(OR(Table1[[#This Row],[type_code]]="GH", Table1[[#This Row],[type_code]]="CH", Table1[[#This Row],[type_code]]="CLIP H" ), "Automatic After Production", "")</f>
        <v>Automatic After Production</v>
      </c>
      <c r="AF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ЧЕРВЕН* - RED, POM  - ДЕЛРИН, 
РЯЗАНЕ, 50mm x 47mm x 51mm</v>
      </c>
    </row>
    <row r="10" spans="1:32" x14ac:dyDescent="0.3">
      <c r="A10" t="s">
        <v>78</v>
      </c>
      <c r="B10" s="1" t="s">
        <v>476</v>
      </c>
      <c r="C10" s="1"/>
      <c r="D10" t="s">
        <v>258</v>
      </c>
      <c r="F10" t="b">
        <v>0</v>
      </c>
      <c r="I10">
        <v>1</v>
      </c>
      <c r="J10">
        <v>56</v>
      </c>
      <c r="K10">
        <v>48</v>
      </c>
      <c r="L10">
        <v>50</v>
      </c>
      <c r="M10" t="s">
        <v>49</v>
      </c>
      <c r="N10" t="s">
        <v>20</v>
      </c>
      <c r="O10" t="b">
        <v>1</v>
      </c>
      <c r="Y1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7119101830+7274131020 Connector Holder JB</v>
      </c>
      <c r="Z10" t="str">
        <f>IF(LEN(Table1[[#This Row],[MA_Number]])&gt;0, Table1[[#This Row],[MA_Number]], "")</f>
        <v>10.21.27914A</v>
      </c>
      <c r="AA10" t="str">
        <f>IF(OR(Table1[[#This Row],[type_code]]="GH", Table1[[#This Row],[type_code]]="CH", Table1[[#This Row],[type_code]]="CLIP H" ), "Finished Product", "")</f>
        <v>Finished Product</v>
      </c>
      <c r="AB10" t="str">
        <f>IF(OR(Table1[[#This Row],[type_code]]="GH", Table1[[#This Row],[type_code]]="CH", Table1[[#This Row],[type_code]]="CLIP H" ), "Holder", "")</f>
        <v>Holder</v>
      </c>
      <c r="AC1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0" t="str">
        <f>IF(OR(Table1[[#This Row],[type_code]]="GH", Table1[[#This Row],[type_code]]="CH", Table1[[#This Row],[type_code]]="CLIP H" ), "Mechanic Holder Production", "")</f>
        <v>Mechanic Holder Production</v>
      </c>
      <c r="AE10" t="str">
        <f>IF(OR(Table1[[#This Row],[type_code]]="GH", Table1[[#This Row],[type_code]]="CH", Table1[[#This Row],[type_code]]="CLIP H" ), "Automatic After Production", "")</f>
        <v>Automatic After Production</v>
      </c>
      <c r="AF1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ЧЕРВЕН* - RED, POM  - ДЕЛРИН, 
РЯЗАНЕ, 56mm x 48mm x 50mm</v>
      </c>
    </row>
    <row r="11" spans="1:32" x14ac:dyDescent="0.3">
      <c r="A11" t="s">
        <v>79</v>
      </c>
      <c r="B11" s="1" t="s">
        <v>206</v>
      </c>
      <c r="C11" s="1"/>
      <c r="D11" t="s">
        <v>258</v>
      </c>
      <c r="F11" t="b">
        <v>0</v>
      </c>
      <c r="I11">
        <v>1</v>
      </c>
      <c r="J11">
        <v>57</v>
      </c>
      <c r="K11">
        <v>48</v>
      </c>
      <c r="L11">
        <v>50</v>
      </c>
      <c r="M11" t="s">
        <v>45</v>
      </c>
      <c r="N11" t="s">
        <v>20</v>
      </c>
      <c r="O11" t="b">
        <v>1</v>
      </c>
      <c r="V11" t="b">
        <v>1</v>
      </c>
      <c r="Y1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7119127830+7234894130A Connector Holder JB</v>
      </c>
      <c r="Z11" t="str">
        <f>IF(LEN(Table1[[#This Row],[MA_Number]])&gt;0, Table1[[#This Row],[MA_Number]], "")</f>
        <v>10.21.36860F</v>
      </c>
      <c r="AA11" t="str">
        <f>IF(OR(Table1[[#This Row],[type_code]]="GH", Table1[[#This Row],[type_code]]="CH", Table1[[#This Row],[type_code]]="CLIP H" ), "Finished Product", "")</f>
        <v>Finished Product</v>
      </c>
      <c r="AB11" t="str">
        <f>IF(OR(Table1[[#This Row],[type_code]]="GH", Table1[[#This Row],[type_code]]="CH", Table1[[#This Row],[type_code]]="CLIP H" ), "Holder", "")</f>
        <v>Holder</v>
      </c>
      <c r="AC1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1" t="str">
        <f>IF(OR(Table1[[#This Row],[type_code]]="GH", Table1[[#This Row],[type_code]]="CH", Table1[[#This Row],[type_code]]="CLIP H" ), "Mechanic Holder Production", "")</f>
        <v>Mechanic Holder Production</v>
      </c>
      <c r="AE11" t="str">
        <f>IF(OR(Table1[[#This Row],[type_code]]="GH", Table1[[#This Row],[type_code]]="CH", Table1[[#This Row],[type_code]]="CLIP H" ), "Automatic After Production", "")</f>
        <v>Automatic After Production</v>
      </c>
      <c r="AF1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57mm x 48mm x 50mm</v>
      </c>
    </row>
    <row r="12" spans="1:32" x14ac:dyDescent="0.3">
      <c r="A12" t="s">
        <v>80</v>
      </c>
      <c r="B12" s="1">
        <v>7119131530</v>
      </c>
      <c r="C12" s="1"/>
      <c r="D12" t="s">
        <v>258</v>
      </c>
      <c r="F12" t="b">
        <v>0</v>
      </c>
      <c r="I12">
        <v>1</v>
      </c>
      <c r="J12">
        <v>42</v>
      </c>
      <c r="K12">
        <v>34</v>
      </c>
      <c r="L12">
        <v>42</v>
      </c>
      <c r="M12" t="s">
        <v>45</v>
      </c>
      <c r="N12" t="s">
        <v>20</v>
      </c>
      <c r="O12" t="b">
        <v>1</v>
      </c>
      <c r="Y1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7119131530 Connector Holder JB</v>
      </c>
      <c r="Z12" t="str">
        <f>IF(LEN(Table1[[#This Row],[MA_Number]])&gt;0, Table1[[#This Row],[MA_Number]], "")</f>
        <v>10.21.54168C</v>
      </c>
      <c r="AA12" t="str">
        <f>IF(OR(Table1[[#This Row],[type_code]]="GH", Table1[[#This Row],[type_code]]="CH", Table1[[#This Row],[type_code]]="CLIP H" ), "Finished Product", "")</f>
        <v>Finished Product</v>
      </c>
      <c r="AB12" t="str">
        <f>IF(OR(Table1[[#This Row],[type_code]]="GH", Table1[[#This Row],[type_code]]="CH", Table1[[#This Row],[type_code]]="CLIP H" ), "Holder", "")</f>
        <v>Holder</v>
      </c>
      <c r="AC1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2" t="str">
        <f>IF(OR(Table1[[#This Row],[type_code]]="GH", Table1[[#This Row],[type_code]]="CH", Table1[[#This Row],[type_code]]="CLIP H" ), "Mechanic Holder Production", "")</f>
        <v>Mechanic Holder Production</v>
      </c>
      <c r="AE12" t="str">
        <f>IF(OR(Table1[[#This Row],[type_code]]="GH", Table1[[#This Row],[type_code]]="CH", Table1[[#This Row],[type_code]]="CLIP H" ), "Automatic After Production", "")</f>
        <v>Automatic After Production</v>
      </c>
      <c r="AF1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42mm x 34mm x 42mm</v>
      </c>
    </row>
    <row r="13" spans="1:32" x14ac:dyDescent="0.3">
      <c r="A13" t="s">
        <v>81</v>
      </c>
      <c r="B13" s="1" t="s">
        <v>291</v>
      </c>
      <c r="C13" s="1"/>
      <c r="D13" t="s">
        <v>258</v>
      </c>
      <c r="F13" t="b">
        <v>0</v>
      </c>
      <c r="I13">
        <v>1</v>
      </c>
      <c r="J13">
        <v>90</v>
      </c>
      <c r="K13">
        <v>50</v>
      </c>
      <c r="L13">
        <v>52</v>
      </c>
      <c r="M13" t="s">
        <v>44</v>
      </c>
      <c r="N13" t="s">
        <v>20</v>
      </c>
      <c r="O13" t="b">
        <v>1</v>
      </c>
      <c r="V13" t="b">
        <v>1</v>
      </c>
      <c r="Y1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7119140530+7119140640+72741359 Connector Holder JB</v>
      </c>
      <c r="Z13" t="str">
        <f>IF(LEN(Table1[[#This Row],[MA_Number]])&gt;0, Table1[[#This Row],[MA_Number]], "")</f>
        <v>10.21.80751A</v>
      </c>
      <c r="AA13" t="str">
        <f>IF(OR(Table1[[#This Row],[type_code]]="GH", Table1[[#This Row],[type_code]]="CH", Table1[[#This Row],[type_code]]="CLIP H" ), "Finished Product", "")</f>
        <v>Finished Product</v>
      </c>
      <c r="AB13" t="str">
        <f>IF(OR(Table1[[#This Row],[type_code]]="GH", Table1[[#This Row],[type_code]]="CH", Table1[[#This Row],[type_code]]="CLIP H" ), "Holder", "")</f>
        <v>Holder</v>
      </c>
      <c r="AC1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" t="str">
        <f>IF(OR(Table1[[#This Row],[type_code]]="GH", Table1[[#This Row],[type_code]]="CH", Table1[[#This Row],[type_code]]="CLIP H" ), "Mechanic Holder Production", "")</f>
        <v>Mechanic Holder Production</v>
      </c>
      <c r="AE13" t="str">
        <f>IF(OR(Table1[[#This Row],[type_code]]="GH", Table1[[#This Row],[type_code]]="CH", Table1[[#This Row],[type_code]]="CLIP H" ), "Automatic After Production", "")</f>
        <v>Automatic After Production</v>
      </c>
      <c r="AF1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90mm x 50mm x 52mm</v>
      </c>
    </row>
    <row r="14" spans="1:32" x14ac:dyDescent="0.3">
      <c r="A14" t="s">
        <v>82</v>
      </c>
      <c r="B14" s="1">
        <v>7119146730</v>
      </c>
      <c r="C14" s="1"/>
      <c r="D14" t="s">
        <v>258</v>
      </c>
      <c r="F14" t="b">
        <v>0</v>
      </c>
      <c r="I14">
        <v>1</v>
      </c>
      <c r="J14">
        <v>42</v>
      </c>
      <c r="K14">
        <v>38</v>
      </c>
      <c r="L14">
        <v>42</v>
      </c>
      <c r="M14" t="s">
        <v>45</v>
      </c>
      <c r="N14" t="s">
        <v>20</v>
      </c>
      <c r="O14" t="b">
        <v>1</v>
      </c>
      <c r="Y1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7119146730 Connector Holder JB</v>
      </c>
      <c r="Z14" t="str">
        <f>IF(LEN(Table1[[#This Row],[MA_Number]])&gt;0, Table1[[#This Row],[MA_Number]], "")</f>
        <v>10.21.35002C</v>
      </c>
      <c r="AA14" t="str">
        <f>IF(OR(Table1[[#This Row],[type_code]]="GH", Table1[[#This Row],[type_code]]="CH", Table1[[#This Row],[type_code]]="CLIP H" ), "Finished Product", "")</f>
        <v>Finished Product</v>
      </c>
      <c r="AB14" t="str">
        <f>IF(OR(Table1[[#This Row],[type_code]]="GH", Table1[[#This Row],[type_code]]="CH", Table1[[#This Row],[type_code]]="CLIP H" ), "Holder", "")</f>
        <v>Holder</v>
      </c>
      <c r="AC1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4" t="str">
        <f>IF(OR(Table1[[#This Row],[type_code]]="GH", Table1[[#This Row],[type_code]]="CH", Table1[[#This Row],[type_code]]="CLIP H" ), "Mechanic Holder Production", "")</f>
        <v>Mechanic Holder Production</v>
      </c>
      <c r="AE14" t="str">
        <f>IF(OR(Table1[[#This Row],[type_code]]="GH", Table1[[#This Row],[type_code]]="CH", Table1[[#This Row],[type_code]]="CLIP H" ), "Automatic After Production", "")</f>
        <v>Automatic After Production</v>
      </c>
      <c r="AF1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42mm x 38mm x 42mm</v>
      </c>
    </row>
    <row r="15" spans="1:32" x14ac:dyDescent="0.3">
      <c r="A15" t="s">
        <v>83</v>
      </c>
      <c r="B15" s="1">
        <v>71191993</v>
      </c>
      <c r="C15" s="1"/>
      <c r="D15" t="s">
        <v>258</v>
      </c>
      <c r="F15" t="b">
        <v>0</v>
      </c>
      <c r="I15">
        <v>1</v>
      </c>
      <c r="J15">
        <v>42</v>
      </c>
      <c r="K15">
        <v>35</v>
      </c>
      <c r="L15">
        <v>44</v>
      </c>
      <c r="M15" t="s">
        <v>44</v>
      </c>
      <c r="N15" t="s">
        <v>20</v>
      </c>
      <c r="O15" t="b">
        <v>1</v>
      </c>
      <c r="Y1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71191993 Connector Holder JB</v>
      </c>
      <c r="Z15" t="str">
        <f>IF(LEN(Table1[[#This Row],[MA_Number]])&gt;0, Table1[[#This Row],[MA_Number]], "")</f>
        <v>10.21.35003A</v>
      </c>
      <c r="AA15" t="str">
        <f>IF(OR(Table1[[#This Row],[type_code]]="GH", Table1[[#This Row],[type_code]]="CH", Table1[[#This Row],[type_code]]="CLIP H" ), "Finished Product", "")</f>
        <v>Finished Product</v>
      </c>
      <c r="AB15" t="str">
        <f>IF(OR(Table1[[#This Row],[type_code]]="GH", Table1[[#This Row],[type_code]]="CH", Table1[[#This Row],[type_code]]="CLIP H" ), "Holder", "")</f>
        <v>Holder</v>
      </c>
      <c r="AC1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5" t="str">
        <f>IF(OR(Table1[[#This Row],[type_code]]="GH", Table1[[#This Row],[type_code]]="CH", Table1[[#This Row],[type_code]]="CLIP H" ), "Mechanic Holder Production", "")</f>
        <v>Mechanic Holder Production</v>
      </c>
      <c r="AE15" t="str">
        <f>IF(OR(Table1[[#This Row],[type_code]]="GH", Table1[[#This Row],[type_code]]="CH", Table1[[#This Row],[type_code]]="CLIP H" ), "Automatic After Production", "")</f>
        <v>Automatic After Production</v>
      </c>
      <c r="AF1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42mm x 35mm x 44mm</v>
      </c>
    </row>
    <row r="16" spans="1:32" x14ac:dyDescent="0.3">
      <c r="A16" t="s">
        <v>84</v>
      </c>
      <c r="B16" s="1">
        <v>71196180</v>
      </c>
      <c r="C16" s="1"/>
      <c r="D16" t="s">
        <v>258</v>
      </c>
      <c r="F16" t="b">
        <v>0</v>
      </c>
      <c r="I16">
        <v>1</v>
      </c>
      <c r="J16">
        <v>40</v>
      </c>
      <c r="K16">
        <v>40</v>
      </c>
      <c r="L16">
        <v>52</v>
      </c>
      <c r="M16" t="s">
        <v>44</v>
      </c>
      <c r="N16" t="s">
        <v>20</v>
      </c>
      <c r="O16" t="b">
        <v>1</v>
      </c>
      <c r="Y1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71196180 Connector Holder JB</v>
      </c>
      <c r="Z16" t="str">
        <f>IF(LEN(Table1[[#This Row],[MA_Number]])&gt;0, Table1[[#This Row],[MA_Number]], "")</f>
        <v>10.21.77073A</v>
      </c>
      <c r="AA16" t="str">
        <f>IF(OR(Table1[[#This Row],[type_code]]="GH", Table1[[#This Row],[type_code]]="CH", Table1[[#This Row],[type_code]]="CLIP H" ), "Finished Product", "")</f>
        <v>Finished Product</v>
      </c>
      <c r="AB16" t="str">
        <f>IF(OR(Table1[[#This Row],[type_code]]="GH", Table1[[#This Row],[type_code]]="CH", Table1[[#This Row],[type_code]]="CLIP H" ), "Holder", "")</f>
        <v>Holder</v>
      </c>
      <c r="AC1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6" t="str">
        <f>IF(OR(Table1[[#This Row],[type_code]]="GH", Table1[[#This Row],[type_code]]="CH", Table1[[#This Row],[type_code]]="CLIP H" ), "Mechanic Holder Production", "")</f>
        <v>Mechanic Holder Production</v>
      </c>
      <c r="AE16" t="str">
        <f>IF(OR(Table1[[#This Row],[type_code]]="GH", Table1[[#This Row],[type_code]]="CH", Table1[[#This Row],[type_code]]="CLIP H" ), "Automatic After Production", "")</f>
        <v>Automatic After Production</v>
      </c>
      <c r="AF1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40mm x 40mm x 52mm</v>
      </c>
    </row>
    <row r="17" spans="1:32" x14ac:dyDescent="0.3">
      <c r="A17" t="s">
        <v>85</v>
      </c>
      <c r="B17" s="1" t="s">
        <v>314</v>
      </c>
      <c r="C17" s="1"/>
      <c r="D17" t="s">
        <v>258</v>
      </c>
      <c r="F17" t="b">
        <v>0</v>
      </c>
      <c r="I17">
        <v>1</v>
      </c>
      <c r="J17">
        <v>82</v>
      </c>
      <c r="K17">
        <v>77</v>
      </c>
      <c r="L17">
        <v>52</v>
      </c>
      <c r="M17" t="s">
        <v>44</v>
      </c>
      <c r="N17" t="s">
        <v>20</v>
      </c>
      <c r="O17" t="b">
        <v>1</v>
      </c>
      <c r="Y1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7183288530+7183288630+72742612 - 7119632530+7119632630+72742614A Connector Holder JB</v>
      </c>
      <c r="Z17" t="str">
        <f>IF(LEN(Table1[[#This Row],[MA_Number]])&gt;0, Table1[[#This Row],[MA_Number]], "")</f>
        <v>10.21.77045A</v>
      </c>
      <c r="AA17" t="str">
        <f>IF(OR(Table1[[#This Row],[type_code]]="GH", Table1[[#This Row],[type_code]]="CH", Table1[[#This Row],[type_code]]="CLIP H" ), "Finished Product", "")</f>
        <v>Finished Product</v>
      </c>
      <c r="AB17" t="str">
        <f>IF(OR(Table1[[#This Row],[type_code]]="GH", Table1[[#This Row],[type_code]]="CH", Table1[[#This Row],[type_code]]="CLIP H" ), "Holder", "")</f>
        <v>Holder</v>
      </c>
      <c r="AC1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" t="str">
        <f>IF(OR(Table1[[#This Row],[type_code]]="GH", Table1[[#This Row],[type_code]]="CH", Table1[[#This Row],[type_code]]="CLIP H" ), "Mechanic Holder Production", "")</f>
        <v>Mechanic Holder Production</v>
      </c>
      <c r="AE17" t="str">
        <f>IF(OR(Table1[[#This Row],[type_code]]="GH", Table1[[#This Row],[type_code]]="CH", Table1[[#This Row],[type_code]]="CLIP H" ), "Automatic After Production", "")</f>
        <v>Automatic After Production</v>
      </c>
      <c r="AF1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82mm x 77mm x 52mm</v>
      </c>
    </row>
    <row r="18" spans="1:32" x14ac:dyDescent="0.3">
      <c r="A18" t="s">
        <v>86</v>
      </c>
      <c r="B18" s="1">
        <v>7119639830</v>
      </c>
      <c r="C18" s="1"/>
      <c r="D18" t="s">
        <v>258</v>
      </c>
      <c r="F18" t="b">
        <v>0</v>
      </c>
      <c r="I18">
        <v>1</v>
      </c>
      <c r="J18">
        <v>46</v>
      </c>
      <c r="K18">
        <v>40</v>
      </c>
      <c r="L18">
        <v>48</v>
      </c>
      <c r="M18" t="s">
        <v>45</v>
      </c>
      <c r="N18" t="s">
        <v>20</v>
      </c>
      <c r="O18" t="b">
        <v>1</v>
      </c>
      <c r="Y1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7119639830 Connector Holder JB</v>
      </c>
      <c r="Z18" t="str">
        <f>IF(LEN(Table1[[#This Row],[MA_Number]])&gt;0, Table1[[#This Row],[MA_Number]], "")</f>
        <v>10.21.83680A</v>
      </c>
      <c r="AA18" t="str">
        <f>IF(OR(Table1[[#This Row],[type_code]]="GH", Table1[[#This Row],[type_code]]="CH", Table1[[#This Row],[type_code]]="CLIP H" ), "Finished Product", "")</f>
        <v>Finished Product</v>
      </c>
      <c r="AB18" t="str">
        <f>IF(OR(Table1[[#This Row],[type_code]]="GH", Table1[[#This Row],[type_code]]="CH", Table1[[#This Row],[type_code]]="CLIP H" ), "Holder", "")</f>
        <v>Holder</v>
      </c>
      <c r="AC1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" t="str">
        <f>IF(OR(Table1[[#This Row],[type_code]]="GH", Table1[[#This Row],[type_code]]="CH", Table1[[#This Row],[type_code]]="CLIP H" ), "Mechanic Holder Production", "")</f>
        <v>Mechanic Holder Production</v>
      </c>
      <c r="AE18" t="str">
        <f>IF(OR(Table1[[#This Row],[type_code]]="GH", Table1[[#This Row],[type_code]]="CH", Table1[[#This Row],[type_code]]="CLIP H" ), "Automatic After Production", "")</f>
        <v>Automatic After Production</v>
      </c>
      <c r="AF1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46mm x 40mm x 48mm</v>
      </c>
    </row>
    <row r="19" spans="1:32" x14ac:dyDescent="0.3">
      <c r="A19" t="s">
        <v>87</v>
      </c>
      <c r="B19" s="1">
        <v>71196401</v>
      </c>
      <c r="C19" s="1"/>
      <c r="D19" t="s">
        <v>258</v>
      </c>
      <c r="F19" t="b">
        <v>0</v>
      </c>
      <c r="I19">
        <v>1</v>
      </c>
      <c r="J19">
        <v>42</v>
      </c>
      <c r="K19">
        <v>39</v>
      </c>
      <c r="L19">
        <v>46</v>
      </c>
      <c r="M19" t="s">
        <v>44</v>
      </c>
      <c r="N19" t="s">
        <v>20</v>
      </c>
      <c r="O19" t="b">
        <v>1</v>
      </c>
      <c r="Y1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71196401 Connector Holder JB</v>
      </c>
      <c r="Z19" t="str">
        <f>IF(LEN(Table1[[#This Row],[MA_Number]])&gt;0, Table1[[#This Row],[MA_Number]], "")</f>
        <v>10.21.36271A</v>
      </c>
      <c r="AA19" t="str">
        <f>IF(OR(Table1[[#This Row],[type_code]]="GH", Table1[[#This Row],[type_code]]="CH", Table1[[#This Row],[type_code]]="CLIP H" ), "Finished Product", "")</f>
        <v>Finished Product</v>
      </c>
      <c r="AB19" t="str">
        <f>IF(OR(Table1[[#This Row],[type_code]]="GH", Table1[[#This Row],[type_code]]="CH", Table1[[#This Row],[type_code]]="CLIP H" ), "Holder", "")</f>
        <v>Holder</v>
      </c>
      <c r="AC1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" t="str">
        <f>IF(OR(Table1[[#This Row],[type_code]]="GH", Table1[[#This Row],[type_code]]="CH", Table1[[#This Row],[type_code]]="CLIP H" ), "Mechanic Holder Production", "")</f>
        <v>Mechanic Holder Production</v>
      </c>
      <c r="AE19" t="str">
        <f>IF(OR(Table1[[#This Row],[type_code]]="GH", Table1[[#This Row],[type_code]]="CH", Table1[[#This Row],[type_code]]="CLIP H" ), "Automatic After Production", "")</f>
        <v>Automatic After Production</v>
      </c>
      <c r="AF1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42mm x 39mm x 46mm</v>
      </c>
    </row>
    <row r="20" spans="1:32" x14ac:dyDescent="0.3">
      <c r="A20" t="s">
        <v>88</v>
      </c>
      <c r="B20" s="1">
        <v>7119641970</v>
      </c>
      <c r="C20" s="1"/>
      <c r="D20" t="s">
        <v>258</v>
      </c>
      <c r="F20" t="b">
        <v>0</v>
      </c>
      <c r="I20">
        <v>1</v>
      </c>
      <c r="J20">
        <v>42</v>
      </c>
      <c r="K20">
        <v>36</v>
      </c>
      <c r="L20">
        <v>46</v>
      </c>
      <c r="M20" t="s">
        <v>50</v>
      </c>
      <c r="N20" t="s">
        <v>20</v>
      </c>
      <c r="O20" t="b">
        <v>1</v>
      </c>
      <c r="Y2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7119641970 Connector Holder JB</v>
      </c>
      <c r="Z20" t="str">
        <f>IF(LEN(Table1[[#This Row],[MA_Number]])&gt;0, Table1[[#This Row],[MA_Number]], "")</f>
        <v>10.21.83709A</v>
      </c>
      <c r="AA20" t="str">
        <f>IF(OR(Table1[[#This Row],[type_code]]="GH", Table1[[#This Row],[type_code]]="CH", Table1[[#This Row],[type_code]]="CLIP H" ), "Finished Product", "")</f>
        <v>Finished Product</v>
      </c>
      <c r="AB20" t="str">
        <f>IF(OR(Table1[[#This Row],[type_code]]="GH", Table1[[#This Row],[type_code]]="CH", Table1[[#This Row],[type_code]]="CLIP H" ), "Holder", "")</f>
        <v>Holder</v>
      </c>
      <c r="AC2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" t="str">
        <f>IF(OR(Table1[[#This Row],[type_code]]="GH", Table1[[#This Row],[type_code]]="CH", Table1[[#This Row],[type_code]]="CLIP H" ), "Mechanic Holder Production", "")</f>
        <v>Mechanic Holder Production</v>
      </c>
      <c r="AE20" t="str">
        <f>IF(OR(Table1[[#This Row],[type_code]]="GH", Table1[[#This Row],[type_code]]="CH", Table1[[#This Row],[type_code]]="CLIP H" ), "Automatic After Production", "")</f>
        <v>Automatic After Production</v>
      </c>
      <c r="AF2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42mm x 36mm x 46mm</v>
      </c>
    </row>
    <row r="21" spans="1:32" x14ac:dyDescent="0.3">
      <c r="A21" t="s">
        <v>89</v>
      </c>
      <c r="B21" s="1">
        <v>71196506</v>
      </c>
      <c r="C21" s="1"/>
      <c r="D21" t="s">
        <v>258</v>
      </c>
      <c r="F21" t="b">
        <v>0</v>
      </c>
      <c r="I21">
        <v>1</v>
      </c>
      <c r="J21">
        <v>42</v>
      </c>
      <c r="K21">
        <v>33</v>
      </c>
      <c r="L21">
        <v>47</v>
      </c>
      <c r="M21" t="s">
        <v>44</v>
      </c>
      <c r="N21" t="s">
        <v>20</v>
      </c>
      <c r="O21" t="b">
        <v>1</v>
      </c>
      <c r="V21" t="b">
        <v>1</v>
      </c>
      <c r="Y2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71196506 Connector Holder JB</v>
      </c>
      <c r="Z21" t="str">
        <f>IF(LEN(Table1[[#This Row],[MA_Number]])&gt;0, Table1[[#This Row],[MA_Number]], "")</f>
        <v>10.21.47236A</v>
      </c>
      <c r="AA21" t="str">
        <f>IF(OR(Table1[[#This Row],[type_code]]="GH", Table1[[#This Row],[type_code]]="CH", Table1[[#This Row],[type_code]]="CLIP H" ), "Finished Product", "")</f>
        <v>Finished Product</v>
      </c>
      <c r="AB21" t="str">
        <f>IF(OR(Table1[[#This Row],[type_code]]="GH", Table1[[#This Row],[type_code]]="CH", Table1[[#This Row],[type_code]]="CLIP H" ), "Holder", "")</f>
        <v>Holder</v>
      </c>
      <c r="AC2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1" t="str">
        <f>IF(OR(Table1[[#This Row],[type_code]]="GH", Table1[[#This Row],[type_code]]="CH", Table1[[#This Row],[type_code]]="CLIP H" ), "Mechanic Holder Production", "")</f>
        <v>Mechanic Holder Production</v>
      </c>
      <c r="AE21" t="str">
        <f>IF(OR(Table1[[#This Row],[type_code]]="GH", Table1[[#This Row],[type_code]]="CH", Table1[[#This Row],[type_code]]="CLIP H" ), "Automatic After Production", "")</f>
        <v>Automatic After Production</v>
      </c>
      <c r="AF2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42mm x 33mm x 47mm</v>
      </c>
    </row>
    <row r="22" spans="1:32" x14ac:dyDescent="0.3">
      <c r="A22" t="s">
        <v>90</v>
      </c>
      <c r="B22" s="1" t="s">
        <v>207</v>
      </c>
      <c r="C22" s="1"/>
      <c r="D22" t="s">
        <v>258</v>
      </c>
      <c r="F22" t="b">
        <v>0</v>
      </c>
      <c r="I22">
        <v>1</v>
      </c>
      <c r="J22">
        <v>61</v>
      </c>
      <c r="K22">
        <v>50</v>
      </c>
      <c r="L22">
        <v>87</v>
      </c>
      <c r="M22" t="s">
        <v>44</v>
      </c>
      <c r="N22" t="s">
        <v>20</v>
      </c>
      <c r="O22" t="b">
        <v>1</v>
      </c>
      <c r="Y2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71196683+7173344320+X1PO2488 Connector Holder JB</v>
      </c>
      <c r="Z22" t="str">
        <f>IF(LEN(Table1[[#This Row],[MA_Number]])&gt;0, Table1[[#This Row],[MA_Number]], "")</f>
        <v>10.21.83671B</v>
      </c>
      <c r="AA22" t="str">
        <f>IF(OR(Table1[[#This Row],[type_code]]="GH", Table1[[#This Row],[type_code]]="CH", Table1[[#This Row],[type_code]]="CLIP H" ), "Finished Product", "")</f>
        <v>Finished Product</v>
      </c>
      <c r="AB22" t="str">
        <f>IF(OR(Table1[[#This Row],[type_code]]="GH", Table1[[#This Row],[type_code]]="CH", Table1[[#This Row],[type_code]]="CLIP H" ), "Holder", "")</f>
        <v>Holder</v>
      </c>
      <c r="AC2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2" t="str">
        <f>IF(OR(Table1[[#This Row],[type_code]]="GH", Table1[[#This Row],[type_code]]="CH", Table1[[#This Row],[type_code]]="CLIP H" ), "Mechanic Holder Production", "")</f>
        <v>Mechanic Holder Production</v>
      </c>
      <c r="AE22" t="str">
        <f>IF(OR(Table1[[#This Row],[type_code]]="GH", Table1[[#This Row],[type_code]]="CH", Table1[[#This Row],[type_code]]="CLIP H" ), "Automatic After Production", "")</f>
        <v>Automatic After Production</v>
      </c>
      <c r="AF2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61mm x 50mm x 87mm</v>
      </c>
    </row>
    <row r="23" spans="1:32" x14ac:dyDescent="0.3">
      <c r="A23" t="s">
        <v>91</v>
      </c>
      <c r="B23" s="1">
        <v>7119668820</v>
      </c>
      <c r="C23" s="1"/>
      <c r="D23" t="s">
        <v>258</v>
      </c>
      <c r="F23" t="b">
        <v>0</v>
      </c>
      <c r="I23">
        <v>1</v>
      </c>
      <c r="J23">
        <v>40</v>
      </c>
      <c r="K23">
        <v>37</v>
      </c>
      <c r="L23">
        <v>52</v>
      </c>
      <c r="M23" t="s">
        <v>49</v>
      </c>
      <c r="N23" t="s">
        <v>20</v>
      </c>
      <c r="O23" t="b">
        <v>1</v>
      </c>
      <c r="Y2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7119668820 Connector Holder JB</v>
      </c>
      <c r="Z23" t="str">
        <f>IF(LEN(Table1[[#This Row],[MA_Number]])&gt;0, Table1[[#This Row],[MA_Number]], "")</f>
        <v>10.21.77085A</v>
      </c>
      <c r="AA23" t="str">
        <f>IF(OR(Table1[[#This Row],[type_code]]="GH", Table1[[#This Row],[type_code]]="CH", Table1[[#This Row],[type_code]]="CLIP H" ), "Finished Product", "")</f>
        <v>Finished Product</v>
      </c>
      <c r="AB23" t="str">
        <f>IF(OR(Table1[[#This Row],[type_code]]="GH", Table1[[#This Row],[type_code]]="CH", Table1[[#This Row],[type_code]]="CLIP H" ), "Holder", "")</f>
        <v>Holder</v>
      </c>
      <c r="AC2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3" t="str">
        <f>IF(OR(Table1[[#This Row],[type_code]]="GH", Table1[[#This Row],[type_code]]="CH", Table1[[#This Row],[type_code]]="CLIP H" ), "Mechanic Holder Production", "")</f>
        <v>Mechanic Holder Production</v>
      </c>
      <c r="AE23" t="str">
        <f>IF(OR(Table1[[#This Row],[type_code]]="GH", Table1[[#This Row],[type_code]]="CH", Table1[[#This Row],[type_code]]="CLIP H" ), "Automatic After Production", "")</f>
        <v>Automatic After Production</v>
      </c>
      <c r="AF2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ЧЕРВЕН* - RED, POM  - ДЕЛРИН, 
РЯЗАНЕ, 40mm x 37mm x 52mm</v>
      </c>
    </row>
    <row r="24" spans="1:32" x14ac:dyDescent="0.3">
      <c r="A24" t="s">
        <v>92</v>
      </c>
      <c r="B24" s="1" t="s">
        <v>208</v>
      </c>
      <c r="C24" s="1"/>
      <c r="D24" t="s">
        <v>258</v>
      </c>
      <c r="F24" t="b">
        <v>0</v>
      </c>
      <c r="I24">
        <v>1</v>
      </c>
      <c r="J24">
        <v>55</v>
      </c>
      <c r="K24">
        <v>67</v>
      </c>
      <c r="L24">
        <v>52</v>
      </c>
      <c r="M24" t="s">
        <v>50</v>
      </c>
      <c r="N24" t="s">
        <v>20</v>
      </c>
      <c r="O24" t="b">
        <v>1</v>
      </c>
      <c r="Y2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7119670830+7274290770A Connector Holder JB</v>
      </c>
      <c r="Z24" t="str">
        <f>IF(LEN(Table1[[#This Row],[MA_Number]])&gt;0, Table1[[#This Row],[MA_Number]], "")</f>
        <v>10.21.73050A</v>
      </c>
      <c r="AA24" t="str">
        <f>IF(OR(Table1[[#This Row],[type_code]]="GH", Table1[[#This Row],[type_code]]="CH", Table1[[#This Row],[type_code]]="CLIP H" ), "Finished Product", "")</f>
        <v>Finished Product</v>
      </c>
      <c r="AB24" t="str">
        <f>IF(OR(Table1[[#This Row],[type_code]]="GH", Table1[[#This Row],[type_code]]="CH", Table1[[#This Row],[type_code]]="CLIP H" ), "Holder", "")</f>
        <v>Holder</v>
      </c>
      <c r="AC2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4" t="str">
        <f>IF(OR(Table1[[#This Row],[type_code]]="GH", Table1[[#This Row],[type_code]]="CH", Table1[[#This Row],[type_code]]="CLIP H" ), "Mechanic Holder Production", "")</f>
        <v>Mechanic Holder Production</v>
      </c>
      <c r="AE24" t="str">
        <f>IF(OR(Table1[[#This Row],[type_code]]="GH", Table1[[#This Row],[type_code]]="CH", Table1[[#This Row],[type_code]]="CLIP H" ), "Automatic After Production", "")</f>
        <v>Automatic After Production</v>
      </c>
      <c r="AF2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55mm x 67mm x 52mm</v>
      </c>
    </row>
    <row r="25" spans="1:32" x14ac:dyDescent="0.3">
      <c r="A25" t="s">
        <v>93</v>
      </c>
      <c r="B25" s="1">
        <v>71196714</v>
      </c>
      <c r="C25" s="1"/>
      <c r="D25" t="s">
        <v>258</v>
      </c>
      <c r="F25" t="b">
        <v>0</v>
      </c>
      <c r="I25">
        <v>1</v>
      </c>
      <c r="J25">
        <v>45</v>
      </c>
      <c r="K25">
        <v>38</v>
      </c>
      <c r="L25">
        <v>59</v>
      </c>
      <c r="M25" t="s">
        <v>44</v>
      </c>
      <c r="N25" t="s">
        <v>20</v>
      </c>
      <c r="O25" t="b">
        <v>1</v>
      </c>
      <c r="Y2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71196714 Connector Holder JB</v>
      </c>
      <c r="Z25" t="str">
        <f>IF(LEN(Table1[[#This Row],[MA_Number]])&gt;0, Table1[[#This Row],[MA_Number]], "")</f>
        <v>10.21.80748A</v>
      </c>
      <c r="AA25" t="str">
        <f>IF(OR(Table1[[#This Row],[type_code]]="GH", Table1[[#This Row],[type_code]]="CH", Table1[[#This Row],[type_code]]="CLIP H" ), "Finished Product", "")</f>
        <v>Finished Product</v>
      </c>
      <c r="AB25" t="str">
        <f>IF(OR(Table1[[#This Row],[type_code]]="GH", Table1[[#This Row],[type_code]]="CH", Table1[[#This Row],[type_code]]="CLIP H" ), "Holder", "")</f>
        <v>Holder</v>
      </c>
      <c r="AC2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5" t="str">
        <f>IF(OR(Table1[[#This Row],[type_code]]="GH", Table1[[#This Row],[type_code]]="CH", Table1[[#This Row],[type_code]]="CLIP H" ), "Mechanic Holder Production", "")</f>
        <v>Mechanic Holder Production</v>
      </c>
      <c r="AE25" t="str">
        <f>IF(OR(Table1[[#This Row],[type_code]]="GH", Table1[[#This Row],[type_code]]="CH", Table1[[#This Row],[type_code]]="CLIP H" ), "Automatic After Production", "")</f>
        <v>Automatic After Production</v>
      </c>
      <c r="AF2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45mm x 38mm x 59mm</v>
      </c>
    </row>
    <row r="26" spans="1:32" x14ac:dyDescent="0.3">
      <c r="A26" t="s">
        <v>94</v>
      </c>
      <c r="B26" s="1" t="s">
        <v>209</v>
      </c>
      <c r="C26" s="1"/>
      <c r="D26" t="s">
        <v>258</v>
      </c>
      <c r="F26" t="b">
        <v>0</v>
      </c>
      <c r="I26">
        <v>1</v>
      </c>
      <c r="J26">
        <v>62</v>
      </c>
      <c r="K26">
        <v>67</v>
      </c>
      <c r="L26">
        <v>60</v>
      </c>
      <c r="M26" t="s">
        <v>45</v>
      </c>
      <c r="N26" t="s">
        <v>20</v>
      </c>
      <c r="O26" t="b">
        <v>1</v>
      </c>
      <c r="Y2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7119648630+7274171430A Connector Holder JB</v>
      </c>
      <c r="Z26" t="str">
        <f>IF(LEN(Table1[[#This Row],[MA_Number]])&gt;0, Table1[[#This Row],[MA_Number]], "")</f>
        <v>10.21.42593A</v>
      </c>
      <c r="AA26" t="str">
        <f>IF(OR(Table1[[#This Row],[type_code]]="GH", Table1[[#This Row],[type_code]]="CH", Table1[[#This Row],[type_code]]="CLIP H" ), "Finished Product", "")</f>
        <v>Finished Product</v>
      </c>
      <c r="AB26" t="str">
        <f>IF(OR(Table1[[#This Row],[type_code]]="GH", Table1[[#This Row],[type_code]]="CH", Table1[[#This Row],[type_code]]="CLIP H" ), "Holder", "")</f>
        <v>Holder</v>
      </c>
      <c r="AC2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6" t="str">
        <f>IF(OR(Table1[[#This Row],[type_code]]="GH", Table1[[#This Row],[type_code]]="CH", Table1[[#This Row],[type_code]]="CLIP H" ), "Mechanic Holder Production", "")</f>
        <v>Mechanic Holder Production</v>
      </c>
      <c r="AE26" t="str">
        <f>IF(OR(Table1[[#This Row],[type_code]]="GH", Table1[[#This Row],[type_code]]="CH", Table1[[#This Row],[type_code]]="CLIP H" ), "Automatic After Production", "")</f>
        <v>Automatic After Production</v>
      </c>
      <c r="AF2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62mm x 67mm x 60mm</v>
      </c>
    </row>
    <row r="27" spans="1:32" x14ac:dyDescent="0.3">
      <c r="A27" t="s">
        <v>95</v>
      </c>
      <c r="B27" s="1">
        <v>71781405</v>
      </c>
      <c r="C27" s="1"/>
      <c r="D27" t="s">
        <v>258</v>
      </c>
      <c r="F27" t="b">
        <v>0</v>
      </c>
      <c r="I27">
        <v>1</v>
      </c>
      <c r="J27">
        <v>40</v>
      </c>
      <c r="K27">
        <v>39</v>
      </c>
      <c r="L27">
        <v>45</v>
      </c>
      <c r="M27" t="s">
        <v>44</v>
      </c>
      <c r="N27" t="s">
        <v>20</v>
      </c>
      <c r="O27" t="b">
        <v>1</v>
      </c>
      <c r="Y2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71781405 Connector Holder JB</v>
      </c>
      <c r="Z27" t="str">
        <f>IF(LEN(Table1[[#This Row],[MA_Number]])&gt;0, Table1[[#This Row],[MA_Number]], "")</f>
        <v>10.21.77076A</v>
      </c>
      <c r="AA27" t="str">
        <f>IF(OR(Table1[[#This Row],[type_code]]="GH", Table1[[#This Row],[type_code]]="CH", Table1[[#This Row],[type_code]]="CLIP H" ), "Finished Product", "")</f>
        <v>Finished Product</v>
      </c>
      <c r="AB27" t="str">
        <f>IF(OR(Table1[[#This Row],[type_code]]="GH", Table1[[#This Row],[type_code]]="CH", Table1[[#This Row],[type_code]]="CLIP H" ), "Holder", "")</f>
        <v>Holder</v>
      </c>
      <c r="AC2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7" t="str">
        <f>IF(OR(Table1[[#This Row],[type_code]]="GH", Table1[[#This Row],[type_code]]="CH", Table1[[#This Row],[type_code]]="CLIP H" ), "Mechanic Holder Production", "")</f>
        <v>Mechanic Holder Production</v>
      </c>
      <c r="AE27" t="str">
        <f>IF(OR(Table1[[#This Row],[type_code]]="GH", Table1[[#This Row],[type_code]]="CH", Table1[[#This Row],[type_code]]="CLIP H" ), "Automatic After Production", "")</f>
        <v>Automatic After Production</v>
      </c>
      <c r="AF2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40mm x 39mm x 45mm</v>
      </c>
    </row>
    <row r="28" spans="1:32" x14ac:dyDescent="0.3">
      <c r="A28" t="s">
        <v>96</v>
      </c>
      <c r="B28" s="1" t="s">
        <v>210</v>
      </c>
      <c r="C28" s="1"/>
      <c r="D28" t="s">
        <v>258</v>
      </c>
      <c r="F28" t="b">
        <v>0</v>
      </c>
      <c r="I28">
        <v>1</v>
      </c>
      <c r="J28">
        <v>82</v>
      </c>
      <c r="K28">
        <v>77</v>
      </c>
      <c r="L28">
        <v>52</v>
      </c>
      <c r="M28" t="s">
        <v>44</v>
      </c>
      <c r="N28" t="s">
        <v>20</v>
      </c>
      <c r="O28" t="b">
        <v>1</v>
      </c>
      <c r="Y2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7183288530+7183288630+72742612A Connector Holder JB</v>
      </c>
      <c r="Z28" t="str">
        <f>IF(LEN(Table1[[#This Row],[MA_Number]])&gt;0, Table1[[#This Row],[MA_Number]], "")</f>
        <v>10.21.72974A</v>
      </c>
      <c r="AA28" t="str">
        <f>IF(OR(Table1[[#This Row],[type_code]]="GH", Table1[[#This Row],[type_code]]="CH", Table1[[#This Row],[type_code]]="CLIP H" ), "Finished Product", "")</f>
        <v>Finished Product</v>
      </c>
      <c r="AB28" t="str">
        <f>IF(OR(Table1[[#This Row],[type_code]]="GH", Table1[[#This Row],[type_code]]="CH", Table1[[#This Row],[type_code]]="CLIP H" ), "Holder", "")</f>
        <v>Holder</v>
      </c>
      <c r="AC2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8" t="str">
        <f>IF(OR(Table1[[#This Row],[type_code]]="GH", Table1[[#This Row],[type_code]]="CH", Table1[[#This Row],[type_code]]="CLIP H" ), "Mechanic Holder Production", "")</f>
        <v>Mechanic Holder Production</v>
      </c>
      <c r="AE28" t="str">
        <f>IF(OR(Table1[[#This Row],[type_code]]="GH", Table1[[#This Row],[type_code]]="CH", Table1[[#This Row],[type_code]]="CLIP H" ), "Automatic After Production", "")</f>
        <v>Automatic After Production</v>
      </c>
      <c r="AF2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82mm x 77mm x 52mm</v>
      </c>
    </row>
    <row r="29" spans="1:32" x14ac:dyDescent="0.3">
      <c r="A29" t="s">
        <v>97</v>
      </c>
      <c r="B29" s="1" t="s">
        <v>292</v>
      </c>
      <c r="C29" s="1"/>
      <c r="D29" t="s">
        <v>258</v>
      </c>
      <c r="F29" t="b">
        <v>0</v>
      </c>
      <c r="I29">
        <v>1</v>
      </c>
      <c r="J29">
        <v>92</v>
      </c>
      <c r="K29">
        <v>75</v>
      </c>
      <c r="L29">
        <v>52</v>
      </c>
      <c r="M29" t="s">
        <v>44</v>
      </c>
      <c r="N29" t="s">
        <v>20</v>
      </c>
      <c r="O29" t="b">
        <v>1</v>
      </c>
      <c r="Y2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7185173030+7185173130+72742608 Connector Holder JB</v>
      </c>
      <c r="Z29" t="str">
        <f>IF(LEN(Table1[[#This Row],[MA_Number]])&gt;0, Table1[[#This Row],[MA_Number]], "")</f>
        <v>10.21.77049A</v>
      </c>
      <c r="AA29" t="str">
        <f>IF(OR(Table1[[#This Row],[type_code]]="GH", Table1[[#This Row],[type_code]]="CH", Table1[[#This Row],[type_code]]="CLIP H" ), "Finished Product", "")</f>
        <v>Finished Product</v>
      </c>
      <c r="AB29" t="str">
        <f>IF(OR(Table1[[#This Row],[type_code]]="GH", Table1[[#This Row],[type_code]]="CH", Table1[[#This Row],[type_code]]="CLIP H" ), "Holder", "")</f>
        <v>Holder</v>
      </c>
      <c r="AC2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9" t="str">
        <f>IF(OR(Table1[[#This Row],[type_code]]="GH", Table1[[#This Row],[type_code]]="CH", Table1[[#This Row],[type_code]]="CLIP H" ), "Mechanic Holder Production", "")</f>
        <v>Mechanic Holder Production</v>
      </c>
      <c r="AE29" t="str">
        <f>IF(OR(Table1[[#This Row],[type_code]]="GH", Table1[[#This Row],[type_code]]="CH", Table1[[#This Row],[type_code]]="CLIP H" ), "Automatic After Production", "")</f>
        <v>Automatic After Production</v>
      </c>
      <c r="AF2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92mm x 75mm x 52mm</v>
      </c>
    </row>
    <row r="30" spans="1:32" x14ac:dyDescent="0.3">
      <c r="A30" t="s">
        <v>98</v>
      </c>
      <c r="B30" s="1" t="s">
        <v>485</v>
      </c>
      <c r="C30" s="1"/>
      <c r="D30" t="s">
        <v>258</v>
      </c>
      <c r="F30" t="b">
        <v>0</v>
      </c>
      <c r="I30">
        <v>1</v>
      </c>
      <c r="J30">
        <v>92</v>
      </c>
      <c r="K30">
        <v>68</v>
      </c>
      <c r="L30">
        <v>55</v>
      </c>
      <c r="M30" t="s">
        <v>50</v>
      </c>
      <c r="N30" t="s">
        <v>20</v>
      </c>
      <c r="O30" t="b">
        <v>1</v>
      </c>
      <c r="Y3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7187903970+7187904070+7274060970 Connector Holder JB</v>
      </c>
      <c r="Z30" t="str">
        <f>IF(LEN(Table1[[#This Row],[MA_Number]])&gt;0, Table1[[#This Row],[MA_Number]], "")</f>
        <v>10.21.42674D</v>
      </c>
      <c r="AA30" t="str">
        <f>IF(OR(Table1[[#This Row],[type_code]]="GH", Table1[[#This Row],[type_code]]="CH", Table1[[#This Row],[type_code]]="CLIP H" ), "Finished Product", "")</f>
        <v>Finished Product</v>
      </c>
      <c r="AB30" t="str">
        <f>IF(OR(Table1[[#This Row],[type_code]]="GH", Table1[[#This Row],[type_code]]="CH", Table1[[#This Row],[type_code]]="CLIP H" ), "Holder", "")</f>
        <v>Holder</v>
      </c>
      <c r="AC3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30" t="str">
        <f>IF(OR(Table1[[#This Row],[type_code]]="GH", Table1[[#This Row],[type_code]]="CH", Table1[[#This Row],[type_code]]="CLIP H" ), "Mechanic Holder Production", "")</f>
        <v>Mechanic Holder Production</v>
      </c>
      <c r="AE30" t="str">
        <f>IF(OR(Table1[[#This Row],[type_code]]="GH", Table1[[#This Row],[type_code]]="CH", Table1[[#This Row],[type_code]]="CLIP H" ), "Automatic After Production", "")</f>
        <v>Automatic After Production</v>
      </c>
      <c r="AF3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92mm x 68mm x 55mm</v>
      </c>
    </row>
    <row r="31" spans="1:32" x14ac:dyDescent="0.3">
      <c r="A31" t="s">
        <v>99</v>
      </c>
      <c r="B31" s="1" t="s">
        <v>211</v>
      </c>
      <c r="C31" s="1"/>
      <c r="D31" t="s">
        <v>258</v>
      </c>
      <c r="F31" t="b">
        <v>0</v>
      </c>
      <c r="I31">
        <v>1</v>
      </c>
      <c r="J31">
        <v>51</v>
      </c>
      <c r="K31">
        <v>51</v>
      </c>
      <c r="L31">
        <v>66</v>
      </c>
      <c r="M31" t="s">
        <v>44</v>
      </c>
      <c r="N31" t="s">
        <v>20</v>
      </c>
      <c r="O31" t="b">
        <v>1</v>
      </c>
      <c r="Y3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71884821+7134425740 Connector Holder JB</v>
      </c>
      <c r="Z31" t="str">
        <f>IF(LEN(Table1[[#This Row],[MA_Number]])&gt;0, Table1[[#This Row],[MA_Number]], "")</f>
        <v>10.21.72978A</v>
      </c>
      <c r="AA31" t="str">
        <f>IF(OR(Table1[[#This Row],[type_code]]="GH", Table1[[#This Row],[type_code]]="CH", Table1[[#This Row],[type_code]]="CLIP H" ), "Finished Product", "")</f>
        <v>Finished Product</v>
      </c>
      <c r="AB31" t="str">
        <f>IF(OR(Table1[[#This Row],[type_code]]="GH", Table1[[#This Row],[type_code]]="CH", Table1[[#This Row],[type_code]]="CLIP H" ), "Holder", "")</f>
        <v>Holder</v>
      </c>
      <c r="AC3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31" t="str">
        <f>IF(OR(Table1[[#This Row],[type_code]]="GH", Table1[[#This Row],[type_code]]="CH", Table1[[#This Row],[type_code]]="CLIP H" ), "Mechanic Holder Production", "")</f>
        <v>Mechanic Holder Production</v>
      </c>
      <c r="AE31" t="str">
        <f>IF(OR(Table1[[#This Row],[type_code]]="GH", Table1[[#This Row],[type_code]]="CH", Table1[[#This Row],[type_code]]="CLIP H" ), "Automatic After Production", "")</f>
        <v>Automatic After Production</v>
      </c>
      <c r="AF3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51mm x 51mm x 66mm</v>
      </c>
    </row>
    <row r="32" spans="1:32" x14ac:dyDescent="0.3">
      <c r="A32" t="s">
        <v>100</v>
      </c>
      <c r="B32" s="1" t="s">
        <v>212</v>
      </c>
      <c r="C32" s="1"/>
      <c r="D32" t="s">
        <v>258</v>
      </c>
      <c r="F32" t="b">
        <v>0</v>
      </c>
      <c r="I32">
        <v>1</v>
      </c>
      <c r="J32">
        <v>84</v>
      </c>
      <c r="K32">
        <v>78</v>
      </c>
      <c r="L32">
        <v>49</v>
      </c>
      <c r="M32" t="s">
        <v>45</v>
      </c>
      <c r="N32" t="s">
        <v>20</v>
      </c>
      <c r="O32" t="b">
        <v>1</v>
      </c>
      <c r="Y3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7188503730+7174152230A(7177097330) Connector Holder JB</v>
      </c>
      <c r="Z32" t="str">
        <f>IF(LEN(Table1[[#This Row],[MA_Number]])&gt;0, Table1[[#This Row],[MA_Number]], "")</f>
        <v>10.21.83656D</v>
      </c>
      <c r="AA32" t="str">
        <f>IF(OR(Table1[[#This Row],[type_code]]="GH", Table1[[#This Row],[type_code]]="CH", Table1[[#This Row],[type_code]]="CLIP H" ), "Finished Product", "")</f>
        <v>Finished Product</v>
      </c>
      <c r="AB32" t="str">
        <f>IF(OR(Table1[[#This Row],[type_code]]="GH", Table1[[#This Row],[type_code]]="CH", Table1[[#This Row],[type_code]]="CLIP H" ), "Holder", "")</f>
        <v>Holder</v>
      </c>
      <c r="AC3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32" t="str">
        <f>IF(OR(Table1[[#This Row],[type_code]]="GH", Table1[[#This Row],[type_code]]="CH", Table1[[#This Row],[type_code]]="CLIP H" ), "Mechanic Holder Production", "")</f>
        <v>Mechanic Holder Production</v>
      </c>
      <c r="AE32" t="str">
        <f>IF(OR(Table1[[#This Row],[type_code]]="GH", Table1[[#This Row],[type_code]]="CH", Table1[[#This Row],[type_code]]="CLIP H" ), "Automatic After Production", "")</f>
        <v>Automatic After Production</v>
      </c>
      <c r="AF3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84mm x 78mm x 49mm</v>
      </c>
    </row>
    <row r="33" spans="1:32" x14ac:dyDescent="0.3">
      <c r="A33" t="s">
        <v>101</v>
      </c>
      <c r="B33" s="1" t="s">
        <v>212</v>
      </c>
      <c r="C33" s="1"/>
      <c r="D33" t="s">
        <v>258</v>
      </c>
      <c r="F33" t="b">
        <v>0</v>
      </c>
      <c r="I33">
        <v>1</v>
      </c>
      <c r="J33">
        <v>84</v>
      </c>
      <c r="K33">
        <v>78</v>
      </c>
      <c r="L33">
        <v>49</v>
      </c>
      <c r="M33" t="s">
        <v>45</v>
      </c>
      <c r="N33" t="s">
        <v>20</v>
      </c>
      <c r="O33" t="b">
        <v>1</v>
      </c>
      <c r="Y3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7188503730+7174152230A(7177097330) Connector Holder JB</v>
      </c>
      <c r="Z33" t="str">
        <f>IF(LEN(Table1[[#This Row],[MA_Number]])&gt;0, Table1[[#This Row],[MA_Number]], "")</f>
        <v>10.21.83657E</v>
      </c>
      <c r="AA33" t="str">
        <f>IF(OR(Table1[[#This Row],[type_code]]="GH", Table1[[#This Row],[type_code]]="CH", Table1[[#This Row],[type_code]]="CLIP H" ), "Finished Product", "")</f>
        <v>Finished Product</v>
      </c>
      <c r="AB33" t="str">
        <f>IF(OR(Table1[[#This Row],[type_code]]="GH", Table1[[#This Row],[type_code]]="CH", Table1[[#This Row],[type_code]]="CLIP H" ), "Holder", "")</f>
        <v>Holder</v>
      </c>
      <c r="AC3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33" t="str">
        <f>IF(OR(Table1[[#This Row],[type_code]]="GH", Table1[[#This Row],[type_code]]="CH", Table1[[#This Row],[type_code]]="CLIP H" ), "Mechanic Holder Production", "")</f>
        <v>Mechanic Holder Production</v>
      </c>
      <c r="AE33" t="str">
        <f>IF(OR(Table1[[#This Row],[type_code]]="GH", Table1[[#This Row],[type_code]]="CH", Table1[[#This Row],[type_code]]="CLIP H" ), "Automatic After Production", "")</f>
        <v>Automatic After Production</v>
      </c>
      <c r="AF3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84mm x 78mm x 49mm</v>
      </c>
    </row>
    <row r="34" spans="1:32" x14ac:dyDescent="0.3">
      <c r="A34" t="s">
        <v>102</v>
      </c>
      <c r="B34" s="1">
        <v>7189663170</v>
      </c>
      <c r="C34" s="1"/>
      <c r="D34" t="s">
        <v>258</v>
      </c>
      <c r="F34" t="b">
        <v>0</v>
      </c>
      <c r="I34">
        <v>1</v>
      </c>
      <c r="J34">
        <v>44</v>
      </c>
      <c r="K34">
        <v>36</v>
      </c>
      <c r="L34">
        <v>46</v>
      </c>
      <c r="M34" t="s">
        <v>50</v>
      </c>
      <c r="N34" t="s">
        <v>20</v>
      </c>
      <c r="O34" t="b">
        <v>1</v>
      </c>
      <c r="Y3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7189663170 Connector Holder JB</v>
      </c>
      <c r="Z34" t="str">
        <f>IF(LEN(Table1[[#This Row],[MA_Number]])&gt;0, Table1[[#This Row],[MA_Number]], "")</f>
        <v>10.21.35851A</v>
      </c>
      <c r="AA34" t="str">
        <f>IF(OR(Table1[[#This Row],[type_code]]="GH", Table1[[#This Row],[type_code]]="CH", Table1[[#This Row],[type_code]]="CLIP H" ), "Finished Product", "")</f>
        <v>Finished Product</v>
      </c>
      <c r="AB34" t="str">
        <f>IF(OR(Table1[[#This Row],[type_code]]="GH", Table1[[#This Row],[type_code]]="CH", Table1[[#This Row],[type_code]]="CLIP H" ), "Holder", "")</f>
        <v>Holder</v>
      </c>
      <c r="AC3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34" t="str">
        <f>IF(OR(Table1[[#This Row],[type_code]]="GH", Table1[[#This Row],[type_code]]="CH", Table1[[#This Row],[type_code]]="CLIP H" ), "Mechanic Holder Production", "")</f>
        <v>Mechanic Holder Production</v>
      </c>
      <c r="AE34" t="str">
        <f>IF(OR(Table1[[#This Row],[type_code]]="GH", Table1[[#This Row],[type_code]]="CH", Table1[[#This Row],[type_code]]="CLIP H" ), "Automatic After Production", "")</f>
        <v>Automatic After Production</v>
      </c>
      <c r="AF3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44mm x 36mm x 46mm</v>
      </c>
    </row>
    <row r="35" spans="1:32" x14ac:dyDescent="0.3">
      <c r="A35" t="s">
        <v>313</v>
      </c>
      <c r="B35" s="1" t="s">
        <v>478</v>
      </c>
      <c r="C35" s="1"/>
      <c r="D35" t="s">
        <v>258</v>
      </c>
      <c r="F35" t="b">
        <v>0</v>
      </c>
      <c r="I35">
        <v>1</v>
      </c>
      <c r="J35">
        <v>124</v>
      </c>
      <c r="K35">
        <v>76</v>
      </c>
      <c r="L35">
        <v>62</v>
      </c>
      <c r="M35" t="s">
        <v>44</v>
      </c>
      <c r="N35" t="s">
        <v>20</v>
      </c>
      <c r="O35" t="b">
        <v>1</v>
      </c>
      <c r="Y3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7189811530+7289811830+72741554 Connector Holder JB</v>
      </c>
      <c r="Z35" t="str">
        <f>IF(LEN(Table1[[#This Row],[MA_Number]])&gt;0, Table1[[#This Row],[MA_Number]], "")</f>
        <v>10.21.76941A</v>
      </c>
      <c r="AA35" t="str">
        <f>IF(OR(Table1[[#This Row],[type_code]]="GH", Table1[[#This Row],[type_code]]="CH", Table1[[#This Row],[type_code]]="CLIP H" ), "Finished Product", "")</f>
        <v>Finished Product</v>
      </c>
      <c r="AB35" t="str">
        <f>IF(OR(Table1[[#This Row],[type_code]]="GH", Table1[[#This Row],[type_code]]="CH", Table1[[#This Row],[type_code]]="CLIP H" ), "Holder", "")</f>
        <v>Holder</v>
      </c>
      <c r="AC3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35" t="str">
        <f>IF(OR(Table1[[#This Row],[type_code]]="GH", Table1[[#This Row],[type_code]]="CH", Table1[[#This Row],[type_code]]="CLIP H" ), "Mechanic Holder Production", "")</f>
        <v>Mechanic Holder Production</v>
      </c>
      <c r="AE35" t="str">
        <f>IF(OR(Table1[[#This Row],[type_code]]="GH", Table1[[#This Row],[type_code]]="CH", Table1[[#This Row],[type_code]]="CLIP H" ), "Automatic After Production", "")</f>
        <v>Automatic After Production</v>
      </c>
      <c r="AF3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124mm x 76mm x 62mm</v>
      </c>
    </row>
    <row r="36" spans="1:32" x14ac:dyDescent="0.3">
      <c r="A36" t="s">
        <v>103</v>
      </c>
      <c r="B36" s="1">
        <v>71899503</v>
      </c>
      <c r="C36" s="1"/>
      <c r="D36" t="s">
        <v>258</v>
      </c>
      <c r="F36" t="b">
        <v>0</v>
      </c>
      <c r="I36">
        <v>1</v>
      </c>
      <c r="J36">
        <v>40</v>
      </c>
      <c r="K36">
        <v>32</v>
      </c>
      <c r="L36">
        <v>47</v>
      </c>
      <c r="M36" t="s">
        <v>44</v>
      </c>
      <c r="N36" t="s">
        <v>20</v>
      </c>
      <c r="O36" t="b">
        <v>1</v>
      </c>
      <c r="Y3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71899503 Connector Holder JB</v>
      </c>
      <c r="Z36" t="str">
        <f>IF(LEN(Table1[[#This Row],[MA_Number]])&gt;0, Table1[[#This Row],[MA_Number]], "")</f>
        <v>10.21.28074A</v>
      </c>
      <c r="AA36" t="str">
        <f>IF(OR(Table1[[#This Row],[type_code]]="GH", Table1[[#This Row],[type_code]]="CH", Table1[[#This Row],[type_code]]="CLIP H" ), "Finished Product", "")</f>
        <v>Finished Product</v>
      </c>
      <c r="AB36" t="str">
        <f>IF(OR(Table1[[#This Row],[type_code]]="GH", Table1[[#This Row],[type_code]]="CH", Table1[[#This Row],[type_code]]="CLIP H" ), "Holder", "")</f>
        <v>Holder</v>
      </c>
      <c r="AC3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36" t="str">
        <f>IF(OR(Table1[[#This Row],[type_code]]="GH", Table1[[#This Row],[type_code]]="CH", Table1[[#This Row],[type_code]]="CLIP H" ), "Mechanic Holder Production", "")</f>
        <v>Mechanic Holder Production</v>
      </c>
      <c r="AE36" t="str">
        <f>IF(OR(Table1[[#This Row],[type_code]]="GH", Table1[[#This Row],[type_code]]="CH", Table1[[#This Row],[type_code]]="CLIP H" ), "Automatic After Production", "")</f>
        <v>Automatic After Production</v>
      </c>
      <c r="AF3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40mm x 32mm x 47mm</v>
      </c>
    </row>
    <row r="37" spans="1:32" x14ac:dyDescent="0.3">
      <c r="A37" t="s">
        <v>104</v>
      </c>
      <c r="B37" s="1">
        <v>7189982830</v>
      </c>
      <c r="C37" s="1"/>
      <c r="D37" t="s">
        <v>258</v>
      </c>
      <c r="F37" t="b">
        <v>0</v>
      </c>
      <c r="I37">
        <v>1</v>
      </c>
      <c r="J37">
        <v>42</v>
      </c>
      <c r="K37">
        <v>42</v>
      </c>
      <c r="L37">
        <v>51</v>
      </c>
      <c r="M37" t="s">
        <v>45</v>
      </c>
      <c r="N37" t="s">
        <v>20</v>
      </c>
      <c r="O37" t="b">
        <v>1</v>
      </c>
      <c r="Y3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7189982830 Connector Holder JB</v>
      </c>
      <c r="Z37" t="str">
        <f>IF(LEN(Table1[[#This Row],[MA_Number]])&gt;0, Table1[[#This Row],[MA_Number]], "")</f>
        <v>10.21.76956B</v>
      </c>
      <c r="AA37" t="str">
        <f>IF(OR(Table1[[#This Row],[type_code]]="GH", Table1[[#This Row],[type_code]]="CH", Table1[[#This Row],[type_code]]="CLIP H" ), "Finished Product", "")</f>
        <v>Finished Product</v>
      </c>
      <c r="AB37" t="str">
        <f>IF(OR(Table1[[#This Row],[type_code]]="GH", Table1[[#This Row],[type_code]]="CH", Table1[[#This Row],[type_code]]="CLIP H" ), "Holder", "")</f>
        <v>Holder</v>
      </c>
      <c r="AC3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37" t="str">
        <f>IF(OR(Table1[[#This Row],[type_code]]="GH", Table1[[#This Row],[type_code]]="CH", Table1[[#This Row],[type_code]]="CLIP H" ), "Mechanic Holder Production", "")</f>
        <v>Mechanic Holder Production</v>
      </c>
      <c r="AE37" t="str">
        <f>IF(OR(Table1[[#This Row],[type_code]]="GH", Table1[[#This Row],[type_code]]="CH", Table1[[#This Row],[type_code]]="CLIP H" ), "Automatic After Production", "")</f>
        <v>Automatic After Production</v>
      </c>
      <c r="AF3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42mm x 42mm x 51mm</v>
      </c>
    </row>
    <row r="38" spans="1:32" x14ac:dyDescent="0.3">
      <c r="A38" t="s">
        <v>105</v>
      </c>
      <c r="B38" s="1" t="s">
        <v>388</v>
      </c>
      <c r="C38" s="1"/>
      <c r="D38" t="s">
        <v>258</v>
      </c>
      <c r="F38" t="b">
        <v>0</v>
      </c>
      <c r="I38">
        <v>1</v>
      </c>
      <c r="J38">
        <v>68</v>
      </c>
      <c r="K38">
        <v>65</v>
      </c>
      <c r="L38">
        <v>50</v>
      </c>
      <c r="M38" t="s">
        <v>49</v>
      </c>
      <c r="N38" t="s">
        <v>20</v>
      </c>
      <c r="O38" t="b">
        <v>1</v>
      </c>
      <c r="V38" t="b">
        <v>1</v>
      </c>
      <c r="Y3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7189668330+7274135020A Connector Holder JB</v>
      </c>
      <c r="Z38" t="str">
        <f>IF(LEN(Table1[[#This Row],[MA_Number]])&gt;0, Table1[[#This Row],[MA_Number]], "")</f>
        <v>10.21.47066D</v>
      </c>
      <c r="AA38" t="str">
        <f>IF(OR(Table1[[#This Row],[type_code]]="GH", Table1[[#This Row],[type_code]]="CH", Table1[[#This Row],[type_code]]="CLIP H" ), "Finished Product", "")</f>
        <v>Finished Product</v>
      </c>
      <c r="AB38" t="str">
        <f>IF(OR(Table1[[#This Row],[type_code]]="GH", Table1[[#This Row],[type_code]]="CH", Table1[[#This Row],[type_code]]="CLIP H" ), "Holder", "")</f>
        <v>Holder</v>
      </c>
      <c r="AC3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38" t="str">
        <f>IF(OR(Table1[[#This Row],[type_code]]="GH", Table1[[#This Row],[type_code]]="CH", Table1[[#This Row],[type_code]]="CLIP H" ), "Mechanic Holder Production", "")</f>
        <v>Mechanic Holder Production</v>
      </c>
      <c r="AE38" t="str">
        <f>IF(OR(Table1[[#This Row],[type_code]]="GH", Table1[[#This Row],[type_code]]="CH", Table1[[#This Row],[type_code]]="CLIP H" ), "Automatic After Production", "")</f>
        <v>Automatic After Production</v>
      </c>
      <c r="AF3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ЧЕРВЕН* - RED, POM  - ДЕЛРИН, 
РЯЗАНЕ, 68mm x 65mm x 50mm</v>
      </c>
    </row>
    <row r="39" spans="1:32" x14ac:dyDescent="0.3">
      <c r="A39" t="s">
        <v>106</v>
      </c>
      <c r="B39" s="1" t="s">
        <v>213</v>
      </c>
      <c r="C39" s="1"/>
      <c r="D39" t="s">
        <v>258</v>
      </c>
      <c r="F39" t="b">
        <v>0</v>
      </c>
      <c r="I39">
        <v>1</v>
      </c>
      <c r="J39">
        <v>68</v>
      </c>
      <c r="K39">
        <v>65</v>
      </c>
      <c r="L39">
        <v>52</v>
      </c>
      <c r="M39" t="s">
        <v>46</v>
      </c>
      <c r="N39" t="s">
        <v>20</v>
      </c>
      <c r="O39" t="b">
        <v>1</v>
      </c>
      <c r="V39" t="b">
        <v>1</v>
      </c>
      <c r="Y3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7189668330+7274136090A Connector Holder JB</v>
      </c>
      <c r="Z39" t="str">
        <f>IF(LEN(Table1[[#This Row],[MA_Number]])&gt;0, Table1[[#This Row],[MA_Number]], "")</f>
        <v>10.21.47047D</v>
      </c>
      <c r="AA39" t="str">
        <f>IF(OR(Table1[[#This Row],[type_code]]="GH", Table1[[#This Row],[type_code]]="CH", Table1[[#This Row],[type_code]]="CLIP H" ), "Finished Product", "")</f>
        <v>Finished Product</v>
      </c>
      <c r="AB39" t="str">
        <f>IF(OR(Table1[[#This Row],[type_code]]="GH", Table1[[#This Row],[type_code]]="CH", Table1[[#This Row],[type_code]]="CLIP H" ), "Holder", "")</f>
        <v>Holder</v>
      </c>
      <c r="AC3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39" t="str">
        <f>IF(OR(Table1[[#This Row],[type_code]]="GH", Table1[[#This Row],[type_code]]="CH", Table1[[#This Row],[type_code]]="CLIP H" ), "Mechanic Holder Production", "")</f>
        <v>Mechanic Holder Production</v>
      </c>
      <c r="AE39" t="str">
        <f>IF(OR(Table1[[#This Row],[type_code]]="GH", Table1[[#This Row],[type_code]]="CH", Table1[[#This Row],[type_code]]="CLIP H" ), "Automatic After Production", "")</f>
        <v>Automatic After Production</v>
      </c>
      <c r="AF3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68mm x 65mm x 52mm</v>
      </c>
    </row>
    <row r="40" spans="1:32" x14ac:dyDescent="0.3">
      <c r="A40" t="s">
        <v>107</v>
      </c>
      <c r="B40" s="1" t="s">
        <v>214</v>
      </c>
      <c r="C40" s="1"/>
      <c r="D40" t="s">
        <v>258</v>
      </c>
      <c r="F40" t="b">
        <v>0</v>
      </c>
      <c r="I40">
        <v>1</v>
      </c>
      <c r="J40">
        <v>68</v>
      </c>
      <c r="K40">
        <v>65</v>
      </c>
      <c r="L40">
        <v>50</v>
      </c>
      <c r="M40" t="s">
        <v>48</v>
      </c>
      <c r="N40" t="s">
        <v>20</v>
      </c>
      <c r="O40" t="b">
        <v>1</v>
      </c>
      <c r="V40" t="b">
        <v>1</v>
      </c>
      <c r="Y4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7189730210+7274146260A Connector Holder JB</v>
      </c>
      <c r="Z40" t="str">
        <f>IF(LEN(Table1[[#This Row],[MA_Number]])&gt;0, Table1[[#This Row],[MA_Number]], "")</f>
        <v>10.21.47065D</v>
      </c>
      <c r="AA40" t="str">
        <f>IF(OR(Table1[[#This Row],[type_code]]="GH", Table1[[#This Row],[type_code]]="CH", Table1[[#This Row],[type_code]]="CLIP H" ), "Finished Product", "")</f>
        <v>Finished Product</v>
      </c>
      <c r="AB40" t="str">
        <f>IF(OR(Table1[[#This Row],[type_code]]="GH", Table1[[#This Row],[type_code]]="CH", Table1[[#This Row],[type_code]]="CLIP H" ), "Holder", "")</f>
        <v>Holder</v>
      </c>
      <c r="AC4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40" t="str">
        <f>IF(OR(Table1[[#This Row],[type_code]]="GH", Table1[[#This Row],[type_code]]="CH", Table1[[#This Row],[type_code]]="CLIP H" ), "Mechanic Holder Production", "")</f>
        <v>Mechanic Holder Production</v>
      </c>
      <c r="AE40" t="str">
        <f>IF(OR(Table1[[#This Row],[type_code]]="GH", Table1[[#This Row],[type_code]]="CH", Table1[[#This Row],[type_code]]="CLIP H" ), "Automatic After Production", "")</f>
        <v>Automatic After Production</v>
      </c>
      <c r="AF4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68mm x 65mm x 50mm</v>
      </c>
    </row>
    <row r="41" spans="1:32" x14ac:dyDescent="0.3">
      <c r="A41" t="s">
        <v>108</v>
      </c>
      <c r="B41" s="1">
        <v>71980943</v>
      </c>
      <c r="C41" s="1"/>
      <c r="D41" t="s">
        <v>258</v>
      </c>
      <c r="F41" t="b">
        <v>0</v>
      </c>
      <c r="I41">
        <v>1</v>
      </c>
      <c r="J41">
        <v>42</v>
      </c>
      <c r="K41">
        <v>42</v>
      </c>
      <c r="L41">
        <v>46</v>
      </c>
      <c r="M41" t="s">
        <v>44</v>
      </c>
      <c r="N41" t="s">
        <v>20</v>
      </c>
      <c r="O41" t="b">
        <v>1</v>
      </c>
      <c r="Y4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71980943 Connector Holder JB</v>
      </c>
      <c r="Z41" t="str">
        <f>IF(LEN(Table1[[#This Row],[MA_Number]])&gt;0, Table1[[#This Row],[MA_Number]], "")</f>
        <v>10.21.96493A</v>
      </c>
      <c r="AA41" t="str">
        <f>IF(OR(Table1[[#This Row],[type_code]]="GH", Table1[[#This Row],[type_code]]="CH", Table1[[#This Row],[type_code]]="CLIP H" ), "Finished Product", "")</f>
        <v>Finished Product</v>
      </c>
      <c r="AB41" t="str">
        <f>IF(OR(Table1[[#This Row],[type_code]]="GH", Table1[[#This Row],[type_code]]="CH", Table1[[#This Row],[type_code]]="CLIP H" ), "Holder", "")</f>
        <v>Holder</v>
      </c>
      <c r="AC4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41" t="str">
        <f>IF(OR(Table1[[#This Row],[type_code]]="GH", Table1[[#This Row],[type_code]]="CH", Table1[[#This Row],[type_code]]="CLIP H" ), "Mechanic Holder Production", "")</f>
        <v>Mechanic Holder Production</v>
      </c>
      <c r="AE41" t="str">
        <f>IF(OR(Table1[[#This Row],[type_code]]="GH", Table1[[#This Row],[type_code]]="CH", Table1[[#This Row],[type_code]]="CLIP H" ), "Automatic After Production", "")</f>
        <v>Automatic After Production</v>
      </c>
      <c r="AF4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42mm x 42mm x 46mm</v>
      </c>
    </row>
    <row r="42" spans="1:32" x14ac:dyDescent="0.3">
      <c r="A42" t="s">
        <v>109</v>
      </c>
      <c r="B42" s="1" t="s">
        <v>479</v>
      </c>
      <c r="C42" s="1"/>
      <c r="D42" t="s">
        <v>258</v>
      </c>
      <c r="F42" t="b">
        <v>0</v>
      </c>
      <c r="I42">
        <v>1</v>
      </c>
      <c r="J42">
        <v>100</v>
      </c>
      <c r="K42">
        <v>57</v>
      </c>
      <c r="L42">
        <v>53</v>
      </c>
      <c r="M42" t="s">
        <v>44</v>
      </c>
      <c r="N42" t="s">
        <v>20</v>
      </c>
      <c r="O42" t="b">
        <v>1</v>
      </c>
      <c r="Y4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7198277430+7198277530+72741954 Connector Holder JB</v>
      </c>
      <c r="Z42" t="str">
        <f>IF(LEN(Table1[[#This Row],[MA_Number]])&gt;0, Table1[[#This Row],[MA_Number]], "")</f>
        <v>10.21.80753C</v>
      </c>
      <c r="AA42" t="str">
        <f>IF(OR(Table1[[#This Row],[type_code]]="GH", Table1[[#This Row],[type_code]]="CH", Table1[[#This Row],[type_code]]="CLIP H" ), "Finished Product", "")</f>
        <v>Finished Product</v>
      </c>
      <c r="AB42" t="str">
        <f>IF(OR(Table1[[#This Row],[type_code]]="GH", Table1[[#This Row],[type_code]]="CH", Table1[[#This Row],[type_code]]="CLIP H" ), "Holder", "")</f>
        <v>Holder</v>
      </c>
      <c r="AC4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42" t="str">
        <f>IF(OR(Table1[[#This Row],[type_code]]="GH", Table1[[#This Row],[type_code]]="CH", Table1[[#This Row],[type_code]]="CLIP H" ), "Mechanic Holder Production", "")</f>
        <v>Mechanic Holder Production</v>
      </c>
      <c r="AE42" t="str">
        <f>IF(OR(Table1[[#This Row],[type_code]]="GH", Table1[[#This Row],[type_code]]="CH", Table1[[#This Row],[type_code]]="CLIP H" ), "Automatic After Production", "")</f>
        <v>Automatic After Production</v>
      </c>
      <c r="AF4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100mm x 57mm x 53mm</v>
      </c>
    </row>
    <row r="43" spans="1:32" x14ac:dyDescent="0.3">
      <c r="A43" t="s">
        <v>312</v>
      </c>
      <c r="B43" s="1">
        <v>71986562</v>
      </c>
      <c r="C43" s="1"/>
      <c r="D43" t="s">
        <v>258</v>
      </c>
      <c r="F43" t="b">
        <v>0</v>
      </c>
      <c r="I43">
        <v>1</v>
      </c>
      <c r="J43">
        <v>44</v>
      </c>
      <c r="K43">
        <v>41</v>
      </c>
      <c r="L43">
        <v>48</v>
      </c>
      <c r="M43" t="s">
        <v>44</v>
      </c>
      <c r="N43" t="s">
        <v>20</v>
      </c>
      <c r="O43" t="b">
        <v>1</v>
      </c>
      <c r="Y4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71986562 Connector Holder JB</v>
      </c>
      <c r="Z43" t="str">
        <f>IF(LEN(Table1[[#This Row],[MA_Number]])&gt;0, Table1[[#This Row],[MA_Number]], "")</f>
        <v>10.21.77125A</v>
      </c>
      <c r="AA43" t="str">
        <f>IF(OR(Table1[[#This Row],[type_code]]="GH", Table1[[#This Row],[type_code]]="CH", Table1[[#This Row],[type_code]]="CLIP H" ), "Finished Product", "")</f>
        <v>Finished Product</v>
      </c>
      <c r="AB43" t="str">
        <f>IF(OR(Table1[[#This Row],[type_code]]="GH", Table1[[#This Row],[type_code]]="CH", Table1[[#This Row],[type_code]]="CLIP H" ), "Holder", "")</f>
        <v>Holder</v>
      </c>
      <c r="AC4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43" t="str">
        <f>IF(OR(Table1[[#This Row],[type_code]]="GH", Table1[[#This Row],[type_code]]="CH", Table1[[#This Row],[type_code]]="CLIP H" ), "Mechanic Holder Production", "")</f>
        <v>Mechanic Holder Production</v>
      </c>
      <c r="AE43" t="str">
        <f>IF(OR(Table1[[#This Row],[type_code]]="GH", Table1[[#This Row],[type_code]]="CH", Table1[[#This Row],[type_code]]="CLIP H" ), "Automatic After Production", "")</f>
        <v>Automatic After Production</v>
      </c>
      <c r="AF4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44mm x 41mm x 48mm</v>
      </c>
    </row>
    <row r="44" spans="1:32" x14ac:dyDescent="0.3">
      <c r="A44" t="s">
        <v>110</v>
      </c>
      <c r="B44" s="1" t="s">
        <v>215</v>
      </c>
      <c r="C44" s="1"/>
      <c r="D44" t="s">
        <v>258</v>
      </c>
      <c r="F44" t="b">
        <v>0</v>
      </c>
      <c r="I44">
        <v>1</v>
      </c>
      <c r="J44">
        <v>100</v>
      </c>
      <c r="K44">
        <v>75</v>
      </c>
      <c r="L44">
        <v>60</v>
      </c>
      <c r="M44" t="s">
        <v>46</v>
      </c>
      <c r="N44" t="s">
        <v>20</v>
      </c>
      <c r="O44" t="b">
        <v>1</v>
      </c>
      <c r="Y4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7198762530+7198600430+7274261190A Connector Holder JB</v>
      </c>
      <c r="Z44" t="str">
        <f>IF(LEN(Table1[[#This Row],[MA_Number]])&gt;0, Table1[[#This Row],[MA_Number]], "")</f>
        <v>10.21.83630A</v>
      </c>
      <c r="AA44" t="str">
        <f>IF(OR(Table1[[#This Row],[type_code]]="GH", Table1[[#This Row],[type_code]]="CH", Table1[[#This Row],[type_code]]="CLIP H" ), "Finished Product", "")</f>
        <v>Finished Product</v>
      </c>
      <c r="AB44" t="str">
        <f>IF(OR(Table1[[#This Row],[type_code]]="GH", Table1[[#This Row],[type_code]]="CH", Table1[[#This Row],[type_code]]="CLIP H" ), "Holder", "")</f>
        <v>Holder</v>
      </c>
      <c r="AC4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44" t="str">
        <f>IF(OR(Table1[[#This Row],[type_code]]="GH", Table1[[#This Row],[type_code]]="CH", Table1[[#This Row],[type_code]]="CLIP H" ), "Mechanic Holder Production", "")</f>
        <v>Mechanic Holder Production</v>
      </c>
      <c r="AE44" t="str">
        <f>IF(OR(Table1[[#This Row],[type_code]]="GH", Table1[[#This Row],[type_code]]="CH", Table1[[#This Row],[type_code]]="CLIP H" ), "Automatic After Production", "")</f>
        <v>Automatic After Production</v>
      </c>
      <c r="AF4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100mm x 75mm x 60mm</v>
      </c>
    </row>
    <row r="45" spans="1:32" x14ac:dyDescent="0.3">
      <c r="A45" t="s">
        <v>111</v>
      </c>
      <c r="B45" s="1" t="s">
        <v>480</v>
      </c>
      <c r="C45" s="1"/>
      <c r="D45" t="s">
        <v>258</v>
      </c>
      <c r="F45" t="b">
        <v>0</v>
      </c>
      <c r="I45">
        <v>1</v>
      </c>
      <c r="J45">
        <v>106</v>
      </c>
      <c r="K45">
        <v>74</v>
      </c>
      <c r="L45">
        <v>66</v>
      </c>
      <c r="M45" t="s">
        <v>44</v>
      </c>
      <c r="N45" t="s">
        <v>20</v>
      </c>
      <c r="O45" t="b">
        <v>1</v>
      </c>
      <c r="Y4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7198774930+7198947430+72742908 Connector Holder JB</v>
      </c>
      <c r="Z45" t="str">
        <f>IF(LEN(Table1[[#This Row],[MA_Number]])&gt;0, Table1[[#This Row],[MA_Number]], "")</f>
        <v>10.21.80775B</v>
      </c>
      <c r="AA45" t="str">
        <f>IF(OR(Table1[[#This Row],[type_code]]="GH", Table1[[#This Row],[type_code]]="CH", Table1[[#This Row],[type_code]]="CLIP H" ), "Finished Product", "")</f>
        <v>Finished Product</v>
      </c>
      <c r="AB45" t="str">
        <f>IF(OR(Table1[[#This Row],[type_code]]="GH", Table1[[#This Row],[type_code]]="CH", Table1[[#This Row],[type_code]]="CLIP H" ), "Holder", "")</f>
        <v>Holder</v>
      </c>
      <c r="AC4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45" t="str">
        <f>IF(OR(Table1[[#This Row],[type_code]]="GH", Table1[[#This Row],[type_code]]="CH", Table1[[#This Row],[type_code]]="CLIP H" ), "Mechanic Holder Production", "")</f>
        <v>Mechanic Holder Production</v>
      </c>
      <c r="AE45" t="str">
        <f>IF(OR(Table1[[#This Row],[type_code]]="GH", Table1[[#This Row],[type_code]]="CH", Table1[[#This Row],[type_code]]="CLIP H" ), "Automatic After Production", "")</f>
        <v>Automatic After Production</v>
      </c>
      <c r="AF4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106mm x 74mm x 66mm</v>
      </c>
    </row>
    <row r="46" spans="1:32" x14ac:dyDescent="0.3">
      <c r="A46" t="s">
        <v>112</v>
      </c>
      <c r="B46" s="1" t="s">
        <v>481</v>
      </c>
      <c r="C46" s="1"/>
      <c r="D46" t="s">
        <v>258</v>
      </c>
      <c r="F46" t="b">
        <v>0</v>
      </c>
      <c r="I46">
        <v>1</v>
      </c>
      <c r="J46">
        <v>80</v>
      </c>
      <c r="K46">
        <v>45</v>
      </c>
      <c r="L46">
        <v>53</v>
      </c>
      <c r="M46" t="s">
        <v>44</v>
      </c>
      <c r="N46" t="s">
        <v>20</v>
      </c>
      <c r="O46" t="b">
        <v>1</v>
      </c>
      <c r="Y4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71987958A Connector Holder JB</v>
      </c>
      <c r="Z46" t="str">
        <f>IF(LEN(Table1[[#This Row],[MA_Number]])&gt;0, Table1[[#This Row],[MA_Number]], "")</f>
        <v>10.21.80733A</v>
      </c>
      <c r="AA46" t="str">
        <f>IF(OR(Table1[[#This Row],[type_code]]="GH", Table1[[#This Row],[type_code]]="CH", Table1[[#This Row],[type_code]]="CLIP H" ), "Finished Product", "")</f>
        <v>Finished Product</v>
      </c>
      <c r="AB46" t="str">
        <f>IF(OR(Table1[[#This Row],[type_code]]="GH", Table1[[#This Row],[type_code]]="CH", Table1[[#This Row],[type_code]]="CLIP H" ), "Holder", "")</f>
        <v>Holder</v>
      </c>
      <c r="AC4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46" t="str">
        <f>IF(OR(Table1[[#This Row],[type_code]]="GH", Table1[[#This Row],[type_code]]="CH", Table1[[#This Row],[type_code]]="CLIP H" ), "Mechanic Holder Production", "")</f>
        <v>Mechanic Holder Production</v>
      </c>
      <c r="AE46" t="str">
        <f>IF(OR(Table1[[#This Row],[type_code]]="GH", Table1[[#This Row],[type_code]]="CH", Table1[[#This Row],[type_code]]="CLIP H" ), "Automatic After Production", "")</f>
        <v>Automatic After Production</v>
      </c>
      <c r="AF4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80mm x 45mm x 53mm</v>
      </c>
    </row>
    <row r="47" spans="1:32" x14ac:dyDescent="0.3">
      <c r="A47" t="s">
        <v>113</v>
      </c>
      <c r="B47" s="1">
        <v>7198796290</v>
      </c>
      <c r="C47" s="1"/>
      <c r="D47" t="s">
        <v>258</v>
      </c>
      <c r="F47" t="b">
        <v>0</v>
      </c>
      <c r="I47">
        <v>1</v>
      </c>
      <c r="J47">
        <v>41</v>
      </c>
      <c r="K47">
        <v>41</v>
      </c>
      <c r="L47">
        <v>42</v>
      </c>
      <c r="M47" t="s">
        <v>46</v>
      </c>
      <c r="N47" t="s">
        <v>20</v>
      </c>
      <c r="O47" t="b">
        <v>1</v>
      </c>
      <c r="Y4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7198796290 Connector Holder JB</v>
      </c>
      <c r="Z47" t="str">
        <f>IF(LEN(Table1[[#This Row],[MA_Number]])&gt;0, Table1[[#This Row],[MA_Number]], "")</f>
        <v>10.21.73031A</v>
      </c>
      <c r="AA47" t="str">
        <f>IF(OR(Table1[[#This Row],[type_code]]="GH", Table1[[#This Row],[type_code]]="CH", Table1[[#This Row],[type_code]]="CLIP H" ), "Finished Product", "")</f>
        <v>Finished Product</v>
      </c>
      <c r="AB47" t="str">
        <f>IF(OR(Table1[[#This Row],[type_code]]="GH", Table1[[#This Row],[type_code]]="CH", Table1[[#This Row],[type_code]]="CLIP H" ), "Holder", "")</f>
        <v>Holder</v>
      </c>
      <c r="AC4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47" t="str">
        <f>IF(OR(Table1[[#This Row],[type_code]]="GH", Table1[[#This Row],[type_code]]="CH", Table1[[#This Row],[type_code]]="CLIP H" ), "Mechanic Holder Production", "")</f>
        <v>Mechanic Holder Production</v>
      </c>
      <c r="AE47" t="str">
        <f>IF(OR(Table1[[#This Row],[type_code]]="GH", Table1[[#This Row],[type_code]]="CH", Table1[[#This Row],[type_code]]="CLIP H" ), "Automatic After Production", "")</f>
        <v>Automatic After Production</v>
      </c>
      <c r="AF4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41mm x 41mm x 42mm</v>
      </c>
    </row>
    <row r="48" spans="1:32" x14ac:dyDescent="0.3">
      <c r="A48" t="s">
        <v>114</v>
      </c>
      <c r="B48" s="1">
        <v>71988082</v>
      </c>
      <c r="C48" s="1"/>
      <c r="D48" t="s">
        <v>258</v>
      </c>
      <c r="F48" t="b">
        <v>0</v>
      </c>
      <c r="I48">
        <v>1</v>
      </c>
      <c r="J48">
        <v>40</v>
      </c>
      <c r="K48">
        <v>38</v>
      </c>
      <c r="L48">
        <v>40</v>
      </c>
      <c r="M48" t="s">
        <v>44</v>
      </c>
      <c r="N48" t="s">
        <v>20</v>
      </c>
      <c r="O48" t="b">
        <v>1</v>
      </c>
      <c r="Y4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71988082 Connector Holder JB</v>
      </c>
      <c r="Z48" t="str">
        <f>IF(LEN(Table1[[#This Row],[MA_Number]])&gt;0, Table1[[#This Row],[MA_Number]], "")</f>
        <v>10.21.72982A</v>
      </c>
      <c r="AA48" t="str">
        <f>IF(OR(Table1[[#This Row],[type_code]]="GH", Table1[[#This Row],[type_code]]="CH", Table1[[#This Row],[type_code]]="CLIP H" ), "Finished Product", "")</f>
        <v>Finished Product</v>
      </c>
      <c r="AB48" t="str">
        <f>IF(OR(Table1[[#This Row],[type_code]]="GH", Table1[[#This Row],[type_code]]="CH", Table1[[#This Row],[type_code]]="CLIP H" ), "Holder", "")</f>
        <v>Holder</v>
      </c>
      <c r="AC4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48" t="str">
        <f>IF(OR(Table1[[#This Row],[type_code]]="GH", Table1[[#This Row],[type_code]]="CH", Table1[[#This Row],[type_code]]="CLIP H" ), "Mechanic Holder Production", "")</f>
        <v>Mechanic Holder Production</v>
      </c>
      <c r="AE48" t="str">
        <f>IF(OR(Table1[[#This Row],[type_code]]="GH", Table1[[#This Row],[type_code]]="CH", Table1[[#This Row],[type_code]]="CLIP H" ), "Automatic After Production", "")</f>
        <v>Automatic After Production</v>
      </c>
      <c r="AF4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40mm x 38mm x 40mm</v>
      </c>
    </row>
    <row r="49" spans="1:32" x14ac:dyDescent="0.3">
      <c r="A49" t="s">
        <v>115</v>
      </c>
      <c r="B49" s="1" t="s">
        <v>303</v>
      </c>
      <c r="C49" s="1"/>
      <c r="D49" t="s">
        <v>258</v>
      </c>
      <c r="F49" t="b">
        <v>0</v>
      </c>
      <c r="I49">
        <v>1</v>
      </c>
      <c r="J49">
        <v>82</v>
      </c>
      <c r="K49">
        <v>57</v>
      </c>
      <c r="L49">
        <v>54</v>
      </c>
      <c r="M49" t="s">
        <v>45</v>
      </c>
      <c r="N49" t="s">
        <v>20</v>
      </c>
      <c r="O49" t="b">
        <v>1</v>
      </c>
      <c r="Y4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7198809140+7274268930 Connector Holder JB</v>
      </c>
      <c r="Z49" t="str">
        <f>IF(LEN(Table1[[#This Row],[MA_Number]])&gt;0, Table1[[#This Row],[MA_Number]], "")</f>
        <v>10.21.83758A</v>
      </c>
      <c r="AA49" t="str">
        <f>IF(OR(Table1[[#This Row],[type_code]]="GH", Table1[[#This Row],[type_code]]="CH", Table1[[#This Row],[type_code]]="CLIP H" ), "Finished Product", "")</f>
        <v>Finished Product</v>
      </c>
      <c r="AB49" t="str">
        <f>IF(OR(Table1[[#This Row],[type_code]]="GH", Table1[[#This Row],[type_code]]="CH", Table1[[#This Row],[type_code]]="CLIP H" ), "Holder", "")</f>
        <v>Holder</v>
      </c>
      <c r="AC4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49" t="str">
        <f>IF(OR(Table1[[#This Row],[type_code]]="GH", Table1[[#This Row],[type_code]]="CH", Table1[[#This Row],[type_code]]="CLIP H" ), "Mechanic Holder Production", "")</f>
        <v>Mechanic Holder Production</v>
      </c>
      <c r="AE49" t="str">
        <f>IF(OR(Table1[[#This Row],[type_code]]="GH", Table1[[#This Row],[type_code]]="CH", Table1[[#This Row],[type_code]]="CLIP H" ), "Automatic After Production", "")</f>
        <v>Automatic After Production</v>
      </c>
      <c r="AF4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82mm x 57mm x 54mm</v>
      </c>
    </row>
    <row r="50" spans="1:32" x14ac:dyDescent="0.3">
      <c r="A50" t="s">
        <v>116</v>
      </c>
      <c r="B50" s="1" t="s">
        <v>216</v>
      </c>
      <c r="C50" s="1"/>
      <c r="D50" t="s">
        <v>258</v>
      </c>
      <c r="F50" t="b">
        <v>0</v>
      </c>
      <c r="I50">
        <v>1</v>
      </c>
      <c r="J50">
        <v>68</v>
      </c>
      <c r="K50">
        <v>48</v>
      </c>
      <c r="L50">
        <v>51</v>
      </c>
      <c r="M50" t="s">
        <v>45</v>
      </c>
      <c r="N50" t="s">
        <v>20</v>
      </c>
      <c r="O50" t="b">
        <v>1</v>
      </c>
      <c r="Y5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7198914830+7234497030 Connector Holder JB</v>
      </c>
      <c r="Z50" t="str">
        <f>IF(LEN(Table1[[#This Row],[MA_Number]])&gt;0, Table1[[#This Row],[MA_Number]], "")</f>
        <v>10.21.80743B</v>
      </c>
      <c r="AA50" t="str">
        <f>IF(OR(Table1[[#This Row],[type_code]]="GH", Table1[[#This Row],[type_code]]="CH", Table1[[#This Row],[type_code]]="CLIP H" ), "Finished Product", "")</f>
        <v>Finished Product</v>
      </c>
      <c r="AB50" t="str">
        <f>IF(OR(Table1[[#This Row],[type_code]]="GH", Table1[[#This Row],[type_code]]="CH", Table1[[#This Row],[type_code]]="CLIP H" ), "Holder", "")</f>
        <v>Holder</v>
      </c>
      <c r="AC5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50" t="str">
        <f>IF(OR(Table1[[#This Row],[type_code]]="GH", Table1[[#This Row],[type_code]]="CH", Table1[[#This Row],[type_code]]="CLIP H" ), "Mechanic Holder Production", "")</f>
        <v>Mechanic Holder Production</v>
      </c>
      <c r="AE50" t="str">
        <f>IF(OR(Table1[[#This Row],[type_code]]="GH", Table1[[#This Row],[type_code]]="CH", Table1[[#This Row],[type_code]]="CLIP H" ), "Automatic After Production", "")</f>
        <v>Automatic After Production</v>
      </c>
      <c r="AF5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68mm x 48mm x 51mm</v>
      </c>
    </row>
    <row r="51" spans="1:32" x14ac:dyDescent="0.3">
      <c r="A51" t="s">
        <v>117</v>
      </c>
      <c r="B51" s="1">
        <v>7198916130</v>
      </c>
      <c r="C51" s="1"/>
      <c r="D51" t="s">
        <v>258</v>
      </c>
      <c r="F51" t="b">
        <v>0</v>
      </c>
      <c r="I51">
        <v>1</v>
      </c>
      <c r="J51">
        <v>50</v>
      </c>
      <c r="K51">
        <v>32</v>
      </c>
      <c r="L51">
        <v>60</v>
      </c>
      <c r="M51" t="s">
        <v>45</v>
      </c>
      <c r="N51" t="s">
        <v>20</v>
      </c>
      <c r="O51" t="b">
        <v>1</v>
      </c>
      <c r="Y5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7198916130 Connector Holder JB</v>
      </c>
      <c r="Z51" t="str">
        <f>IF(LEN(Table1[[#This Row],[MA_Number]])&gt;0, Table1[[#This Row],[MA_Number]], "")</f>
        <v>10.21.77054A</v>
      </c>
      <c r="AA51" t="str">
        <f>IF(OR(Table1[[#This Row],[type_code]]="GH", Table1[[#This Row],[type_code]]="CH", Table1[[#This Row],[type_code]]="CLIP H" ), "Finished Product", "")</f>
        <v>Finished Product</v>
      </c>
      <c r="AB51" t="str">
        <f>IF(OR(Table1[[#This Row],[type_code]]="GH", Table1[[#This Row],[type_code]]="CH", Table1[[#This Row],[type_code]]="CLIP H" ), "Holder", "")</f>
        <v>Holder</v>
      </c>
      <c r="AC5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51" t="str">
        <f>IF(OR(Table1[[#This Row],[type_code]]="GH", Table1[[#This Row],[type_code]]="CH", Table1[[#This Row],[type_code]]="CLIP H" ), "Mechanic Holder Production", "")</f>
        <v>Mechanic Holder Production</v>
      </c>
      <c r="AE51" t="str">
        <f>IF(OR(Table1[[#This Row],[type_code]]="GH", Table1[[#This Row],[type_code]]="CH", Table1[[#This Row],[type_code]]="CLIP H" ), "Automatic After Production", "")</f>
        <v>Automatic After Production</v>
      </c>
      <c r="AF5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50mm x 32mm x 60mm</v>
      </c>
    </row>
    <row r="52" spans="1:32" x14ac:dyDescent="0.3">
      <c r="A52" t="s">
        <v>118</v>
      </c>
      <c r="B52" s="1">
        <v>71989162</v>
      </c>
      <c r="C52" s="1"/>
      <c r="D52" t="s">
        <v>258</v>
      </c>
      <c r="F52" t="b">
        <v>0</v>
      </c>
      <c r="I52">
        <v>1</v>
      </c>
      <c r="J52">
        <v>48</v>
      </c>
      <c r="K52">
        <v>48</v>
      </c>
      <c r="L52">
        <v>48</v>
      </c>
      <c r="M52" t="s">
        <v>44</v>
      </c>
      <c r="N52" t="s">
        <v>20</v>
      </c>
      <c r="O52" t="b">
        <v>1</v>
      </c>
      <c r="Y5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71989162 Connector Holder JB</v>
      </c>
      <c r="Z52" t="str">
        <f>IF(LEN(Table1[[#This Row],[MA_Number]])&gt;0, Table1[[#This Row],[MA_Number]], "")</f>
        <v>10.21.77084A</v>
      </c>
      <c r="AA52" t="str">
        <f>IF(OR(Table1[[#This Row],[type_code]]="GH", Table1[[#This Row],[type_code]]="CH", Table1[[#This Row],[type_code]]="CLIP H" ), "Finished Product", "")</f>
        <v>Finished Product</v>
      </c>
      <c r="AB52" t="str">
        <f>IF(OR(Table1[[#This Row],[type_code]]="GH", Table1[[#This Row],[type_code]]="CH", Table1[[#This Row],[type_code]]="CLIP H" ), "Holder", "")</f>
        <v>Holder</v>
      </c>
      <c r="AC5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52" t="str">
        <f>IF(OR(Table1[[#This Row],[type_code]]="GH", Table1[[#This Row],[type_code]]="CH", Table1[[#This Row],[type_code]]="CLIP H" ), "Mechanic Holder Production", "")</f>
        <v>Mechanic Holder Production</v>
      </c>
      <c r="AE52" t="str">
        <f>IF(OR(Table1[[#This Row],[type_code]]="GH", Table1[[#This Row],[type_code]]="CH", Table1[[#This Row],[type_code]]="CLIP H" ), "Automatic After Production", "")</f>
        <v>Automatic After Production</v>
      </c>
      <c r="AF5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48mm x 48mm x 48mm</v>
      </c>
    </row>
    <row r="53" spans="1:32" x14ac:dyDescent="0.3">
      <c r="A53" t="s">
        <v>119</v>
      </c>
      <c r="B53" s="1">
        <v>7198948560</v>
      </c>
      <c r="C53" s="1"/>
      <c r="D53" t="s">
        <v>258</v>
      </c>
      <c r="F53" t="b">
        <v>0</v>
      </c>
      <c r="I53">
        <v>1</v>
      </c>
      <c r="J53">
        <v>40</v>
      </c>
      <c r="K53">
        <v>39</v>
      </c>
      <c r="L53">
        <v>41</v>
      </c>
      <c r="M53" t="s">
        <v>48</v>
      </c>
      <c r="N53" t="s">
        <v>20</v>
      </c>
      <c r="O53" t="b">
        <v>1</v>
      </c>
      <c r="Y5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7198948560 Connector Holder JB</v>
      </c>
      <c r="Z53" t="str">
        <f>IF(LEN(Table1[[#This Row],[MA_Number]])&gt;0, Table1[[#This Row],[MA_Number]], "")</f>
        <v>10.21.77047A</v>
      </c>
      <c r="AA53" t="str">
        <f>IF(OR(Table1[[#This Row],[type_code]]="GH", Table1[[#This Row],[type_code]]="CH", Table1[[#This Row],[type_code]]="CLIP H" ), "Finished Product", "")</f>
        <v>Finished Product</v>
      </c>
      <c r="AB53" t="str">
        <f>IF(OR(Table1[[#This Row],[type_code]]="GH", Table1[[#This Row],[type_code]]="CH", Table1[[#This Row],[type_code]]="CLIP H" ), "Holder", "")</f>
        <v>Holder</v>
      </c>
      <c r="AC5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53" t="str">
        <f>IF(OR(Table1[[#This Row],[type_code]]="GH", Table1[[#This Row],[type_code]]="CH", Table1[[#This Row],[type_code]]="CLIP H" ), "Mechanic Holder Production", "")</f>
        <v>Mechanic Holder Production</v>
      </c>
      <c r="AE53" t="str">
        <f>IF(OR(Table1[[#This Row],[type_code]]="GH", Table1[[#This Row],[type_code]]="CH", Table1[[#This Row],[type_code]]="CLIP H" ), "Automatic After Production", "")</f>
        <v>Automatic After Production</v>
      </c>
      <c r="AF5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40mm x 39mm x 41mm</v>
      </c>
    </row>
    <row r="54" spans="1:32" x14ac:dyDescent="0.3">
      <c r="A54" t="s">
        <v>120</v>
      </c>
      <c r="B54" s="1">
        <v>7223686530</v>
      </c>
      <c r="C54" s="1"/>
      <c r="D54" t="s">
        <v>258</v>
      </c>
      <c r="F54" t="b">
        <v>0</v>
      </c>
      <c r="I54">
        <v>1</v>
      </c>
      <c r="J54">
        <v>41</v>
      </c>
      <c r="K54">
        <v>40</v>
      </c>
      <c r="L54">
        <v>73</v>
      </c>
      <c r="M54" t="s">
        <v>45</v>
      </c>
      <c r="N54" t="s">
        <v>20</v>
      </c>
      <c r="O54" t="b">
        <v>1</v>
      </c>
      <c r="Y5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7223686530 Connector Holder JB</v>
      </c>
      <c r="Z54" t="str">
        <f>IF(LEN(Table1[[#This Row],[MA_Number]])&gt;0, Table1[[#This Row],[MA_Number]], "")</f>
        <v>10.21.35898A</v>
      </c>
      <c r="AA54" t="str">
        <f>IF(OR(Table1[[#This Row],[type_code]]="GH", Table1[[#This Row],[type_code]]="CH", Table1[[#This Row],[type_code]]="CLIP H" ), "Finished Product", "")</f>
        <v>Finished Product</v>
      </c>
      <c r="AB54" t="str">
        <f>IF(OR(Table1[[#This Row],[type_code]]="GH", Table1[[#This Row],[type_code]]="CH", Table1[[#This Row],[type_code]]="CLIP H" ), "Holder", "")</f>
        <v>Holder</v>
      </c>
      <c r="AC5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54" t="str">
        <f>IF(OR(Table1[[#This Row],[type_code]]="GH", Table1[[#This Row],[type_code]]="CH", Table1[[#This Row],[type_code]]="CLIP H" ), "Mechanic Holder Production", "")</f>
        <v>Mechanic Holder Production</v>
      </c>
      <c r="AE54" t="str">
        <f>IF(OR(Table1[[#This Row],[type_code]]="GH", Table1[[#This Row],[type_code]]="CH", Table1[[#This Row],[type_code]]="CLIP H" ), "Automatic After Production", "")</f>
        <v>Automatic After Production</v>
      </c>
      <c r="AF5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41mm x 40mm x 73mm</v>
      </c>
    </row>
    <row r="55" spans="1:32" x14ac:dyDescent="0.3">
      <c r="A55" t="s">
        <v>121</v>
      </c>
      <c r="B55" s="1">
        <v>7271007030</v>
      </c>
      <c r="C55" s="1" t="s">
        <v>475</v>
      </c>
      <c r="D55" t="s">
        <v>258</v>
      </c>
      <c r="F55" t="b">
        <v>1</v>
      </c>
      <c r="I55">
        <v>1</v>
      </c>
      <c r="Y5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7271007030 Connector Holder JB</v>
      </c>
      <c r="Z55" t="str">
        <f>IF(LEN(Table1[[#This Row],[MA_Number]])&gt;0, Table1[[#This Row],[MA_Number]], "")</f>
        <v>10.21.77160A</v>
      </c>
      <c r="AA55" t="str">
        <f>IF(OR(Table1[[#This Row],[type_code]]="GH", Table1[[#This Row],[type_code]]="CH", Table1[[#This Row],[type_code]]="CLIP H" ), "Finished Product", "")</f>
        <v>Finished Product</v>
      </c>
      <c r="AB55" t="str">
        <f>IF(OR(Table1[[#This Row],[type_code]]="GH", Table1[[#This Row],[type_code]]="CH", Table1[[#This Row],[type_code]]="CLIP H" ), "Holder", "")</f>
        <v>Holder</v>
      </c>
      <c r="AC5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55" t="str">
        <f>IF(OR(Table1[[#This Row],[type_code]]="GH", Table1[[#This Row],[type_code]]="CH", Table1[[#This Row],[type_code]]="CLIP H" ), "Mechanic Holder Production", "")</f>
        <v>Mechanic Holder Production</v>
      </c>
      <c r="AE55" t="str">
        <f>IF(OR(Table1[[#This Row],[type_code]]="GH", Table1[[#This Row],[type_code]]="CH", Table1[[#This Row],[type_code]]="CLIP H" ), "Automatic After Production", "")</f>
        <v>Automatic After Production</v>
      </c>
      <c r="AF5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56" spans="1:32" x14ac:dyDescent="0.3">
      <c r="B56" s="1">
        <v>7271007030</v>
      </c>
      <c r="C56" s="1"/>
      <c r="G56" t="s">
        <v>121</v>
      </c>
      <c r="H56" t="s">
        <v>486</v>
      </c>
      <c r="I56">
        <v>1</v>
      </c>
      <c r="J56">
        <v>194</v>
      </c>
      <c r="K56">
        <v>131</v>
      </c>
      <c r="L56">
        <v>80</v>
      </c>
      <c r="M56" t="s">
        <v>44</v>
      </c>
      <c r="N56" t="s">
        <v>20</v>
      </c>
      <c r="O56" t="b">
        <v>1</v>
      </c>
      <c r="Y5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56" t="str">
        <f>IF(LEN(Table1[[#This Row],[MA_Number]])&gt;0, Table1[[#This Row],[MA_Number]], "")</f>
        <v/>
      </c>
      <c r="AA56" t="str">
        <f>IF(OR(Table1[[#This Row],[type_code]]="GH", Table1[[#This Row],[type_code]]="CH", Table1[[#This Row],[type_code]]="CLIP H" ), "Finished Product", "")</f>
        <v/>
      </c>
      <c r="AB56" t="str">
        <f>IF(OR(Table1[[#This Row],[type_code]]="GH", Table1[[#This Row],[type_code]]="CH", Table1[[#This Row],[type_code]]="CLIP H" ), "Holder", "")</f>
        <v/>
      </c>
      <c r="AC56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56" t="str">
        <f>IF(OR(Table1[[#This Row],[type_code]]="GH", Table1[[#This Row],[type_code]]="CH", Table1[[#This Row],[type_code]]="CLIP H" ), "Mechanic Holder Production", "")</f>
        <v/>
      </c>
      <c r="AE56" t="str">
        <f>IF(OR(Table1[[#This Row],[type_code]]="GH", Table1[[#This Row],[type_code]]="CH", Table1[[#This Row],[type_code]]="CLIP H" ), "Automatic After Production", "")</f>
        <v/>
      </c>
      <c r="AF5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194mm x 131mm x 80mm</v>
      </c>
    </row>
    <row r="57" spans="1:32" x14ac:dyDescent="0.3">
      <c r="B57" s="1">
        <v>7271007030</v>
      </c>
      <c r="C57" s="1"/>
      <c r="G57" t="s">
        <v>121</v>
      </c>
      <c r="H57" t="s">
        <v>487</v>
      </c>
      <c r="I57">
        <v>1</v>
      </c>
      <c r="J57">
        <v>60</v>
      </c>
      <c r="K57">
        <v>27</v>
      </c>
      <c r="L57">
        <v>60</v>
      </c>
      <c r="M57" t="s">
        <v>44</v>
      </c>
      <c r="N57" t="s">
        <v>20</v>
      </c>
      <c r="O57" t="b">
        <v>1</v>
      </c>
      <c r="Y5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57" t="str">
        <f>IF(LEN(Table1[[#This Row],[MA_Number]])&gt;0, Table1[[#This Row],[MA_Number]], "")</f>
        <v/>
      </c>
      <c r="AA57" t="str">
        <f>IF(OR(Table1[[#This Row],[type_code]]="GH", Table1[[#This Row],[type_code]]="CH", Table1[[#This Row],[type_code]]="CLIP H" ), "Finished Product", "")</f>
        <v/>
      </c>
      <c r="AB57" t="str">
        <f>IF(OR(Table1[[#This Row],[type_code]]="GH", Table1[[#This Row],[type_code]]="CH", Table1[[#This Row],[type_code]]="CLIP H" ), "Holder", "")</f>
        <v/>
      </c>
      <c r="AC57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57" t="str">
        <f>IF(OR(Table1[[#This Row],[type_code]]="GH", Table1[[#This Row],[type_code]]="CH", Table1[[#This Row],[type_code]]="CLIP H" ), "Mechanic Holder Production", "")</f>
        <v/>
      </c>
      <c r="AE57" t="str">
        <f>IF(OR(Table1[[#This Row],[type_code]]="GH", Table1[[#This Row],[type_code]]="CH", Table1[[#This Row],[type_code]]="CLIP H" ), "Automatic After Production", "")</f>
        <v/>
      </c>
      <c r="AF5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60mm x 27mm x 60mm</v>
      </c>
    </row>
    <row r="58" spans="1:32" x14ac:dyDescent="0.3">
      <c r="A58" t="s">
        <v>123</v>
      </c>
      <c r="B58" s="1" t="s">
        <v>389</v>
      </c>
      <c r="C58" s="1"/>
      <c r="D58" t="s">
        <v>258</v>
      </c>
      <c r="F58" t="b">
        <v>0</v>
      </c>
      <c r="I58">
        <v>1</v>
      </c>
      <c r="J58">
        <v>104</v>
      </c>
      <c r="K58">
        <v>84</v>
      </c>
      <c r="L58">
        <v>53</v>
      </c>
      <c r="M58" t="s">
        <v>46</v>
      </c>
      <c r="N58" t="s">
        <v>20</v>
      </c>
      <c r="O58" t="b">
        <v>1</v>
      </c>
      <c r="V58" t="b">
        <v>1</v>
      </c>
      <c r="Y5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7289811630+7289811730+7274166590A Connector Holder JB</v>
      </c>
      <c r="Z58" t="str">
        <f>IF(LEN(Table1[[#This Row],[MA_Number]])&gt;0, Table1[[#This Row],[MA_Number]], "")</f>
        <v>10.21.47100C</v>
      </c>
      <c r="AA58" t="str">
        <f>IF(OR(Table1[[#This Row],[type_code]]="GH", Table1[[#This Row],[type_code]]="CH", Table1[[#This Row],[type_code]]="CLIP H" ), "Finished Product", "")</f>
        <v>Finished Product</v>
      </c>
      <c r="AB58" t="str">
        <f>IF(OR(Table1[[#This Row],[type_code]]="GH", Table1[[#This Row],[type_code]]="CH", Table1[[#This Row],[type_code]]="CLIP H" ), "Holder", "")</f>
        <v>Holder</v>
      </c>
      <c r="AC5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58" t="str">
        <f>IF(OR(Table1[[#This Row],[type_code]]="GH", Table1[[#This Row],[type_code]]="CH", Table1[[#This Row],[type_code]]="CLIP H" ), "Mechanic Holder Production", "")</f>
        <v>Mechanic Holder Production</v>
      </c>
      <c r="AE58" t="str">
        <f>IF(OR(Table1[[#This Row],[type_code]]="GH", Table1[[#This Row],[type_code]]="CH", Table1[[#This Row],[type_code]]="CLIP H" ), "Automatic After Production", "")</f>
        <v>Automatic After Production</v>
      </c>
      <c r="AF5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104mm x 84mm x 53mm</v>
      </c>
    </row>
    <row r="59" spans="1:32" x14ac:dyDescent="0.3">
      <c r="A59" t="s">
        <v>124</v>
      </c>
      <c r="B59" s="1">
        <v>7278246930</v>
      </c>
      <c r="C59" s="1"/>
      <c r="D59" t="s">
        <v>258</v>
      </c>
      <c r="F59" t="b">
        <v>0</v>
      </c>
      <c r="I59">
        <v>1</v>
      </c>
      <c r="J59">
        <v>48</v>
      </c>
      <c r="K59">
        <v>48</v>
      </c>
      <c r="L59">
        <v>63</v>
      </c>
      <c r="M59" t="s">
        <v>45</v>
      </c>
      <c r="N59" t="s">
        <v>20</v>
      </c>
      <c r="O59" t="b">
        <v>1</v>
      </c>
      <c r="Y5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7278246930 Connector Holder JB</v>
      </c>
      <c r="Z59" t="str">
        <f>IF(LEN(Table1[[#This Row],[MA_Number]])&gt;0, Table1[[#This Row],[MA_Number]], "")</f>
        <v>10.21.83783A</v>
      </c>
      <c r="AA59" t="str">
        <f>IF(OR(Table1[[#This Row],[type_code]]="GH", Table1[[#This Row],[type_code]]="CH", Table1[[#This Row],[type_code]]="CLIP H" ), "Finished Product", "")</f>
        <v>Finished Product</v>
      </c>
      <c r="AB59" t="str">
        <f>IF(OR(Table1[[#This Row],[type_code]]="GH", Table1[[#This Row],[type_code]]="CH", Table1[[#This Row],[type_code]]="CLIP H" ), "Holder", "")</f>
        <v>Holder</v>
      </c>
      <c r="AC5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59" t="str">
        <f>IF(OR(Table1[[#This Row],[type_code]]="GH", Table1[[#This Row],[type_code]]="CH", Table1[[#This Row],[type_code]]="CLIP H" ), "Mechanic Holder Production", "")</f>
        <v>Mechanic Holder Production</v>
      </c>
      <c r="AE59" t="str">
        <f>IF(OR(Table1[[#This Row],[type_code]]="GH", Table1[[#This Row],[type_code]]="CH", Table1[[#This Row],[type_code]]="CLIP H" ), "Automatic After Production", "")</f>
        <v>Automatic After Production</v>
      </c>
      <c r="AF5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48mm x 48mm x 63mm</v>
      </c>
    </row>
    <row r="60" spans="1:32" x14ac:dyDescent="0.3">
      <c r="A60" t="s">
        <v>125</v>
      </c>
      <c r="B60" s="1">
        <v>7283837230</v>
      </c>
      <c r="C60" s="1"/>
      <c r="D60" t="s">
        <v>258</v>
      </c>
      <c r="F60" t="b">
        <v>0</v>
      </c>
      <c r="I60">
        <v>1</v>
      </c>
      <c r="J60">
        <v>42</v>
      </c>
      <c r="K60">
        <v>37</v>
      </c>
      <c r="L60">
        <v>51</v>
      </c>
      <c r="M60" t="s">
        <v>45</v>
      </c>
      <c r="N60" t="s">
        <v>20</v>
      </c>
      <c r="O60" t="b">
        <v>1</v>
      </c>
      <c r="Y6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7283837230 Connector Holder JB</v>
      </c>
      <c r="Z60" t="str">
        <f>IF(LEN(Table1[[#This Row],[MA_Number]])&gt;0, Table1[[#This Row],[MA_Number]], "")</f>
        <v>10.21.77152A</v>
      </c>
      <c r="AA60" t="str">
        <f>IF(OR(Table1[[#This Row],[type_code]]="GH", Table1[[#This Row],[type_code]]="CH", Table1[[#This Row],[type_code]]="CLIP H" ), "Finished Product", "")</f>
        <v>Finished Product</v>
      </c>
      <c r="AB60" t="str">
        <f>IF(OR(Table1[[#This Row],[type_code]]="GH", Table1[[#This Row],[type_code]]="CH", Table1[[#This Row],[type_code]]="CLIP H" ), "Holder", "")</f>
        <v>Holder</v>
      </c>
      <c r="AC6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0" t="str">
        <f>IF(OR(Table1[[#This Row],[type_code]]="GH", Table1[[#This Row],[type_code]]="CH", Table1[[#This Row],[type_code]]="CLIP H" ), "Mechanic Holder Production", "")</f>
        <v>Mechanic Holder Production</v>
      </c>
      <c r="AE60" t="str">
        <f>IF(OR(Table1[[#This Row],[type_code]]="GH", Table1[[#This Row],[type_code]]="CH", Table1[[#This Row],[type_code]]="CLIP H" ), "Automatic After Production", "")</f>
        <v>Automatic After Production</v>
      </c>
      <c r="AF6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42mm x 37mm x 51mm</v>
      </c>
    </row>
    <row r="61" spans="1:32" x14ac:dyDescent="0.3">
      <c r="A61" t="s">
        <v>126</v>
      </c>
      <c r="B61" s="1" t="s">
        <v>482</v>
      </c>
      <c r="C61" s="1"/>
      <c r="D61" t="s">
        <v>258</v>
      </c>
      <c r="F61" t="b">
        <v>0</v>
      </c>
      <c r="I61">
        <v>1</v>
      </c>
      <c r="J61">
        <v>102</v>
      </c>
      <c r="K61">
        <v>80</v>
      </c>
      <c r="L61">
        <v>67</v>
      </c>
      <c r="M61" t="s">
        <v>44</v>
      </c>
      <c r="N61" t="s">
        <v>20</v>
      </c>
      <c r="O61" t="b">
        <v>1</v>
      </c>
      <c r="V61" t="b">
        <v>1</v>
      </c>
      <c r="Y6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7289811630+7289811730+72741551 Connector Holder JB</v>
      </c>
      <c r="Z61" t="str">
        <f>IF(LEN(Table1[[#This Row],[MA_Number]])&gt;0, Table1[[#This Row],[MA_Number]], "")</f>
        <v>10.21.76940C</v>
      </c>
      <c r="AA61" t="str">
        <f>IF(OR(Table1[[#This Row],[type_code]]="GH", Table1[[#This Row],[type_code]]="CH", Table1[[#This Row],[type_code]]="CLIP H" ), "Finished Product", "")</f>
        <v>Finished Product</v>
      </c>
      <c r="AB61" t="str">
        <f>IF(OR(Table1[[#This Row],[type_code]]="GH", Table1[[#This Row],[type_code]]="CH", Table1[[#This Row],[type_code]]="CLIP H" ), "Holder", "")</f>
        <v>Holder</v>
      </c>
      <c r="AC6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1" t="str">
        <f>IF(OR(Table1[[#This Row],[type_code]]="GH", Table1[[#This Row],[type_code]]="CH", Table1[[#This Row],[type_code]]="CLIP H" ), "Mechanic Holder Production", "")</f>
        <v>Mechanic Holder Production</v>
      </c>
      <c r="AE61" t="str">
        <f>IF(OR(Table1[[#This Row],[type_code]]="GH", Table1[[#This Row],[type_code]]="CH", Table1[[#This Row],[type_code]]="CLIP H" ), "Automatic After Production", "")</f>
        <v>Automatic After Production</v>
      </c>
      <c r="AF6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102mm x 80mm x 67mm</v>
      </c>
    </row>
    <row r="62" spans="1:32" x14ac:dyDescent="0.3">
      <c r="A62" t="s">
        <v>127</v>
      </c>
      <c r="B62" s="1" t="s">
        <v>483</v>
      </c>
      <c r="C62" s="1"/>
      <c r="D62" t="s">
        <v>258</v>
      </c>
      <c r="F62" t="b">
        <v>0</v>
      </c>
      <c r="I62">
        <v>1</v>
      </c>
      <c r="J62">
        <v>102</v>
      </c>
      <c r="K62">
        <v>80</v>
      </c>
      <c r="L62">
        <v>55</v>
      </c>
      <c r="M62" t="s">
        <v>49</v>
      </c>
      <c r="N62" t="s">
        <v>20</v>
      </c>
      <c r="O62" t="b">
        <v>1</v>
      </c>
      <c r="V62" t="b">
        <v>1</v>
      </c>
      <c r="Y6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7289811630+7289811730+7274155220 Connector Holder JB</v>
      </c>
      <c r="Z62" t="str">
        <f>IF(LEN(Table1[[#This Row],[MA_Number]])&gt;0, Table1[[#This Row],[MA_Number]], "")</f>
        <v>10.21.80752A</v>
      </c>
      <c r="AA62" t="str">
        <f>IF(OR(Table1[[#This Row],[type_code]]="GH", Table1[[#This Row],[type_code]]="CH", Table1[[#This Row],[type_code]]="CLIP H" ), "Finished Product", "")</f>
        <v>Finished Product</v>
      </c>
      <c r="AB62" t="str">
        <f>IF(OR(Table1[[#This Row],[type_code]]="GH", Table1[[#This Row],[type_code]]="CH", Table1[[#This Row],[type_code]]="CLIP H" ), "Holder", "")</f>
        <v>Holder</v>
      </c>
      <c r="AC6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2" t="str">
        <f>IF(OR(Table1[[#This Row],[type_code]]="GH", Table1[[#This Row],[type_code]]="CH", Table1[[#This Row],[type_code]]="CLIP H" ), "Mechanic Holder Production", "")</f>
        <v>Mechanic Holder Production</v>
      </c>
      <c r="AE62" t="str">
        <f>IF(OR(Table1[[#This Row],[type_code]]="GH", Table1[[#This Row],[type_code]]="CH", Table1[[#This Row],[type_code]]="CLIP H" ), "Automatic After Production", "")</f>
        <v>Automatic After Production</v>
      </c>
      <c r="AF6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ЧЕРВЕН* - RED, POM  - ДЕЛРИН, 
РЯЗАНЕ, 102mm x 80mm x 55mm</v>
      </c>
    </row>
    <row r="63" spans="1:32" x14ac:dyDescent="0.3">
      <c r="A63" t="s">
        <v>128</v>
      </c>
      <c r="B63" s="1">
        <v>7289896430</v>
      </c>
      <c r="C63" s="1"/>
      <c r="D63" t="s">
        <v>258</v>
      </c>
      <c r="F63" t="b">
        <v>0</v>
      </c>
      <c r="I63">
        <v>1</v>
      </c>
      <c r="J63">
        <v>42</v>
      </c>
      <c r="K63">
        <v>45</v>
      </c>
      <c r="L63">
        <v>61</v>
      </c>
      <c r="M63" t="s">
        <v>45</v>
      </c>
      <c r="N63" t="s">
        <v>20</v>
      </c>
      <c r="O63" t="b">
        <v>1</v>
      </c>
      <c r="Y6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7289896430 Connector Holder JB</v>
      </c>
      <c r="Z63" t="str">
        <f>IF(LEN(Table1[[#This Row],[MA_Number]])&gt;0, Table1[[#This Row],[MA_Number]], "")</f>
        <v>10.21.47195A</v>
      </c>
      <c r="AA63" t="str">
        <f>IF(OR(Table1[[#This Row],[type_code]]="GH", Table1[[#This Row],[type_code]]="CH", Table1[[#This Row],[type_code]]="CLIP H" ), "Finished Product", "")</f>
        <v>Finished Product</v>
      </c>
      <c r="AB63" t="str">
        <f>IF(OR(Table1[[#This Row],[type_code]]="GH", Table1[[#This Row],[type_code]]="CH", Table1[[#This Row],[type_code]]="CLIP H" ), "Holder", "")</f>
        <v>Holder</v>
      </c>
      <c r="AC6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3" t="str">
        <f>IF(OR(Table1[[#This Row],[type_code]]="GH", Table1[[#This Row],[type_code]]="CH", Table1[[#This Row],[type_code]]="CLIP H" ), "Mechanic Holder Production", "")</f>
        <v>Mechanic Holder Production</v>
      </c>
      <c r="AE63" t="str">
        <f>IF(OR(Table1[[#This Row],[type_code]]="GH", Table1[[#This Row],[type_code]]="CH", Table1[[#This Row],[type_code]]="CLIP H" ), "Automatic After Production", "")</f>
        <v>Automatic After Production</v>
      </c>
      <c r="AF6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42mm x 45mm x 61mm</v>
      </c>
    </row>
    <row r="64" spans="1:32" x14ac:dyDescent="0.3">
      <c r="A64" t="s">
        <v>129</v>
      </c>
      <c r="B64" s="1">
        <v>72897304</v>
      </c>
      <c r="C64" s="1"/>
      <c r="D64" t="s">
        <v>258</v>
      </c>
      <c r="F64" t="b">
        <v>0</v>
      </c>
      <c r="I64">
        <v>1</v>
      </c>
      <c r="J64">
        <v>55</v>
      </c>
      <c r="K64">
        <v>65</v>
      </c>
      <c r="L64">
        <v>92</v>
      </c>
      <c r="M64" t="s">
        <v>44</v>
      </c>
      <c r="N64" t="s">
        <v>20</v>
      </c>
      <c r="O64" t="b">
        <v>1</v>
      </c>
      <c r="Y6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72897304 Connector Holder JB</v>
      </c>
      <c r="Z64" t="str">
        <f>IF(LEN(Table1[[#This Row],[MA_Number]])&gt;0, Table1[[#This Row],[MA_Number]], "")</f>
        <v>10.21.76987A</v>
      </c>
      <c r="AA64" t="str">
        <f>IF(OR(Table1[[#This Row],[type_code]]="GH", Table1[[#This Row],[type_code]]="CH", Table1[[#This Row],[type_code]]="CLIP H" ), "Finished Product", "")</f>
        <v>Finished Product</v>
      </c>
      <c r="AB64" t="str">
        <f>IF(OR(Table1[[#This Row],[type_code]]="GH", Table1[[#This Row],[type_code]]="CH", Table1[[#This Row],[type_code]]="CLIP H" ), "Holder", "")</f>
        <v>Holder</v>
      </c>
      <c r="AC6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4" t="str">
        <f>IF(OR(Table1[[#This Row],[type_code]]="GH", Table1[[#This Row],[type_code]]="CH", Table1[[#This Row],[type_code]]="CLIP H" ), "Mechanic Holder Production", "")</f>
        <v>Mechanic Holder Production</v>
      </c>
      <c r="AE64" t="str">
        <f>IF(OR(Table1[[#This Row],[type_code]]="GH", Table1[[#This Row],[type_code]]="CH", Table1[[#This Row],[type_code]]="CLIP H" ), "Automatic After Production", "")</f>
        <v>Automatic After Production</v>
      </c>
      <c r="AF6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55mm x 65mm x 92mm</v>
      </c>
    </row>
    <row r="65" spans="1:32" x14ac:dyDescent="0.3">
      <c r="A65" t="s">
        <v>130</v>
      </c>
      <c r="B65" s="1">
        <v>7297944190</v>
      </c>
      <c r="C65" s="1"/>
      <c r="D65" t="s">
        <v>258</v>
      </c>
      <c r="F65" t="b">
        <v>0</v>
      </c>
      <c r="I65">
        <v>1</v>
      </c>
      <c r="J65">
        <v>54</v>
      </c>
      <c r="K65">
        <v>51</v>
      </c>
      <c r="L65">
        <v>50</v>
      </c>
      <c r="M65" t="s">
        <v>46</v>
      </c>
      <c r="N65" t="s">
        <v>20</v>
      </c>
      <c r="O65" t="b">
        <v>1</v>
      </c>
      <c r="Y6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7297944190 Connector Holder JB</v>
      </c>
      <c r="Z65" t="str">
        <f>IF(LEN(Table1[[#This Row],[MA_Number]])&gt;0, Table1[[#This Row],[MA_Number]], "")</f>
        <v>10.21.76981A</v>
      </c>
      <c r="AA65" t="str">
        <f>IF(OR(Table1[[#This Row],[type_code]]="GH", Table1[[#This Row],[type_code]]="CH", Table1[[#This Row],[type_code]]="CLIP H" ), "Finished Product", "")</f>
        <v>Finished Product</v>
      </c>
      <c r="AB65" t="str">
        <f>IF(OR(Table1[[#This Row],[type_code]]="GH", Table1[[#This Row],[type_code]]="CH", Table1[[#This Row],[type_code]]="CLIP H" ), "Holder", "")</f>
        <v>Holder</v>
      </c>
      <c r="AC6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5" t="str">
        <f>IF(OR(Table1[[#This Row],[type_code]]="GH", Table1[[#This Row],[type_code]]="CH", Table1[[#This Row],[type_code]]="CLIP H" ), "Mechanic Holder Production", "")</f>
        <v>Mechanic Holder Production</v>
      </c>
      <c r="AE65" t="str">
        <f>IF(OR(Table1[[#This Row],[type_code]]="GH", Table1[[#This Row],[type_code]]="CH", Table1[[#This Row],[type_code]]="CLIP H" ), "Automatic After Production", "")</f>
        <v>Automatic After Production</v>
      </c>
      <c r="AF6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54mm x 51mm x 50mm</v>
      </c>
    </row>
    <row r="66" spans="1:32" x14ac:dyDescent="0.3">
      <c r="A66" t="s">
        <v>273</v>
      </c>
      <c r="B66" s="1">
        <v>72988085</v>
      </c>
      <c r="C66" s="1"/>
      <c r="D66" t="s">
        <v>258</v>
      </c>
      <c r="F66" t="b">
        <v>0</v>
      </c>
      <c r="I66">
        <v>1</v>
      </c>
      <c r="J66">
        <v>56</v>
      </c>
      <c r="K66">
        <v>41</v>
      </c>
      <c r="L66">
        <v>78</v>
      </c>
      <c r="M66" t="s">
        <v>44</v>
      </c>
      <c r="N66" t="s">
        <v>20</v>
      </c>
      <c r="O66" t="b">
        <v>1</v>
      </c>
      <c r="Y6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72988085 Connector Holder JB</v>
      </c>
      <c r="Z66" t="str">
        <f>IF(LEN(Table1[[#This Row],[MA_Number]])&gt;0, Table1[[#This Row],[MA_Number]], "")</f>
        <v>10.21.73078A</v>
      </c>
      <c r="AA66" t="str">
        <f>IF(OR(Table1[[#This Row],[type_code]]="GH", Table1[[#This Row],[type_code]]="CH", Table1[[#This Row],[type_code]]="CLIP H" ), "Finished Product", "")</f>
        <v>Finished Product</v>
      </c>
      <c r="AB66" t="str">
        <f>IF(OR(Table1[[#This Row],[type_code]]="GH", Table1[[#This Row],[type_code]]="CH", Table1[[#This Row],[type_code]]="CLIP H" ), "Holder", "")</f>
        <v>Holder</v>
      </c>
      <c r="AC6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6" t="str">
        <f>IF(OR(Table1[[#This Row],[type_code]]="GH", Table1[[#This Row],[type_code]]="CH", Table1[[#This Row],[type_code]]="CLIP H" ), "Mechanic Holder Production", "")</f>
        <v>Mechanic Holder Production</v>
      </c>
      <c r="AE66" t="str">
        <f>IF(OR(Table1[[#This Row],[type_code]]="GH", Table1[[#This Row],[type_code]]="CH", Table1[[#This Row],[type_code]]="CLIP H" ), "Automatic After Production", "")</f>
        <v>Automatic After Production</v>
      </c>
      <c r="AF6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56mm x 41mm x 78mm</v>
      </c>
    </row>
    <row r="67" spans="1:32" x14ac:dyDescent="0.3">
      <c r="A67" t="s">
        <v>131</v>
      </c>
      <c r="B67" s="1" t="s">
        <v>217</v>
      </c>
      <c r="C67" s="1"/>
      <c r="D67" t="s">
        <v>258</v>
      </c>
      <c r="F67" t="b">
        <v>0</v>
      </c>
      <c r="I67">
        <v>1</v>
      </c>
      <c r="J67">
        <v>54</v>
      </c>
      <c r="K67">
        <v>54</v>
      </c>
      <c r="L67">
        <v>50</v>
      </c>
      <c r="M67" t="s">
        <v>44</v>
      </c>
      <c r="N67" t="s">
        <v>20</v>
      </c>
      <c r="O67" t="b">
        <v>1</v>
      </c>
      <c r="Y6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A1729821302_EYELET V2 Connector Holder JB</v>
      </c>
      <c r="Z67" t="str">
        <f>IF(LEN(Table1[[#This Row],[MA_Number]])&gt;0, Table1[[#This Row],[MA_Number]], "")</f>
        <v>10.21.77157A</v>
      </c>
      <c r="AA67" t="str">
        <f>IF(OR(Table1[[#This Row],[type_code]]="GH", Table1[[#This Row],[type_code]]="CH", Table1[[#This Row],[type_code]]="CLIP H" ), "Finished Product", "")</f>
        <v>Finished Product</v>
      </c>
      <c r="AB67" t="str">
        <f>IF(OR(Table1[[#This Row],[type_code]]="GH", Table1[[#This Row],[type_code]]="CH", Table1[[#This Row],[type_code]]="CLIP H" ), "Holder", "")</f>
        <v>Holder</v>
      </c>
      <c r="AC6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7" t="str">
        <f>IF(OR(Table1[[#This Row],[type_code]]="GH", Table1[[#This Row],[type_code]]="CH", Table1[[#This Row],[type_code]]="CLIP H" ), "Mechanic Holder Production", "")</f>
        <v>Mechanic Holder Production</v>
      </c>
      <c r="AE67" t="str">
        <f>IF(OR(Table1[[#This Row],[type_code]]="GH", Table1[[#This Row],[type_code]]="CH", Table1[[#This Row],[type_code]]="CLIP H" ), "Automatic After Production", "")</f>
        <v>Automatic After Production</v>
      </c>
      <c r="AF6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54mm x 54mm x 50mm</v>
      </c>
    </row>
    <row r="68" spans="1:32" x14ac:dyDescent="0.3">
      <c r="A68" t="s">
        <v>269</v>
      </c>
      <c r="B68" s="1" t="s">
        <v>218</v>
      </c>
      <c r="C68" s="1"/>
      <c r="D68" t="s">
        <v>258</v>
      </c>
      <c r="F68" t="b">
        <v>0</v>
      </c>
      <c r="I68">
        <v>1</v>
      </c>
      <c r="J68">
        <v>54</v>
      </c>
      <c r="K68">
        <v>54</v>
      </c>
      <c r="L68">
        <v>50</v>
      </c>
      <c r="M68" t="s">
        <v>44</v>
      </c>
      <c r="N68" t="s">
        <v>20</v>
      </c>
      <c r="O68" t="b">
        <v>1</v>
      </c>
      <c r="Y6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A1729821302_EYELET V3 2-KS Connector Holder JB</v>
      </c>
      <c r="Z68" t="str">
        <f>IF(LEN(Table1[[#This Row],[MA_Number]])&gt;0, Table1[[#This Row],[MA_Number]], "")</f>
        <v>10.21.77157_A</v>
      </c>
      <c r="AA68" t="str">
        <f>IF(OR(Table1[[#This Row],[type_code]]="GH", Table1[[#This Row],[type_code]]="CH", Table1[[#This Row],[type_code]]="CLIP H" ), "Finished Product", "")</f>
        <v>Finished Product</v>
      </c>
      <c r="AB68" t="str">
        <f>IF(OR(Table1[[#This Row],[type_code]]="GH", Table1[[#This Row],[type_code]]="CH", Table1[[#This Row],[type_code]]="CLIP H" ), "Holder", "")</f>
        <v>Holder</v>
      </c>
      <c r="AC6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8" t="str">
        <f>IF(OR(Table1[[#This Row],[type_code]]="GH", Table1[[#This Row],[type_code]]="CH", Table1[[#This Row],[type_code]]="CLIP H" ), "Mechanic Holder Production", "")</f>
        <v>Mechanic Holder Production</v>
      </c>
      <c r="AE68" t="str">
        <f>IF(OR(Table1[[#This Row],[type_code]]="GH", Table1[[#This Row],[type_code]]="CH", Table1[[#This Row],[type_code]]="CLIP H" ), "Automatic After Production", "")</f>
        <v>Automatic After Production</v>
      </c>
      <c r="AF6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54mm x 54mm x 50mm</v>
      </c>
    </row>
    <row r="69" spans="1:32" x14ac:dyDescent="0.3">
      <c r="A69" t="s">
        <v>132</v>
      </c>
      <c r="B69" s="1" t="s">
        <v>219</v>
      </c>
      <c r="C69" s="1"/>
      <c r="D69" t="s">
        <v>258</v>
      </c>
      <c r="F69" t="b">
        <v>0</v>
      </c>
      <c r="I69">
        <v>1</v>
      </c>
      <c r="J69">
        <v>54</v>
      </c>
      <c r="K69">
        <v>54</v>
      </c>
      <c r="L69">
        <v>50</v>
      </c>
      <c r="M69" t="s">
        <v>44</v>
      </c>
      <c r="N69" t="s">
        <v>20</v>
      </c>
      <c r="O69" t="b">
        <v>1</v>
      </c>
      <c r="Y6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A1729821302_EYELET V3 3-KS Connector Holder JB</v>
      </c>
      <c r="Z69" t="str">
        <f>IF(LEN(Table1[[#This Row],[MA_Number]])&gt;0, Table1[[#This Row],[MA_Number]], "")</f>
        <v>10.21.77155A</v>
      </c>
      <c r="AA69" t="str">
        <f>IF(OR(Table1[[#This Row],[type_code]]="GH", Table1[[#This Row],[type_code]]="CH", Table1[[#This Row],[type_code]]="CLIP H" ), "Finished Product", "")</f>
        <v>Finished Product</v>
      </c>
      <c r="AB69" t="str">
        <f>IF(OR(Table1[[#This Row],[type_code]]="GH", Table1[[#This Row],[type_code]]="CH", Table1[[#This Row],[type_code]]="CLIP H" ), "Holder", "")</f>
        <v>Holder</v>
      </c>
      <c r="AC6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69" t="str">
        <f>IF(OR(Table1[[#This Row],[type_code]]="GH", Table1[[#This Row],[type_code]]="CH", Table1[[#This Row],[type_code]]="CLIP H" ), "Mechanic Holder Production", "")</f>
        <v>Mechanic Holder Production</v>
      </c>
      <c r="AE69" t="str">
        <f>IF(OR(Table1[[#This Row],[type_code]]="GH", Table1[[#This Row],[type_code]]="CH", Table1[[#This Row],[type_code]]="CLIP H" ), "Automatic After Production", "")</f>
        <v>Automatic After Production</v>
      </c>
      <c r="AF6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54mm x 54mm x 50mm</v>
      </c>
    </row>
    <row r="70" spans="1:32" x14ac:dyDescent="0.3">
      <c r="A70" t="s">
        <v>133</v>
      </c>
      <c r="B70" s="1" t="s">
        <v>484</v>
      </c>
      <c r="C70" s="1" t="s">
        <v>220</v>
      </c>
      <c r="D70" t="s">
        <v>258</v>
      </c>
      <c r="F70" t="b">
        <v>0</v>
      </c>
      <c r="I70">
        <v>1</v>
      </c>
      <c r="J70">
        <v>54</v>
      </c>
      <c r="K70">
        <v>54</v>
      </c>
      <c r="L70">
        <v>50</v>
      </c>
      <c r="M70" t="s">
        <v>44</v>
      </c>
      <c r="N70" t="s">
        <v>20</v>
      </c>
      <c r="O70" t="b">
        <v>1</v>
      </c>
      <c r="Y7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A1729821302_EYELET V4_3 Connector Holder JB</v>
      </c>
      <c r="Z70" t="str">
        <f>IF(LEN(Table1[[#This Row],[MA_Number]])&gt;0, Table1[[#This Row],[MA_Number]], "")</f>
        <v>10.21.77156A</v>
      </c>
      <c r="AA70" t="str">
        <f>IF(OR(Table1[[#This Row],[type_code]]="GH", Table1[[#This Row],[type_code]]="CH", Table1[[#This Row],[type_code]]="CLIP H" ), "Finished Product", "")</f>
        <v>Finished Product</v>
      </c>
      <c r="AB70" t="str">
        <f>IF(OR(Table1[[#This Row],[type_code]]="GH", Table1[[#This Row],[type_code]]="CH", Table1[[#This Row],[type_code]]="CLIP H" ), "Holder", "")</f>
        <v>Holder</v>
      </c>
      <c r="AC7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0" t="str">
        <f>IF(OR(Table1[[#This Row],[type_code]]="GH", Table1[[#This Row],[type_code]]="CH", Table1[[#This Row],[type_code]]="CLIP H" ), "Mechanic Holder Production", "")</f>
        <v>Mechanic Holder Production</v>
      </c>
      <c r="AE70" t="str">
        <f>IF(OR(Table1[[#This Row],[type_code]]="GH", Table1[[#This Row],[type_code]]="CH", Table1[[#This Row],[type_code]]="CLIP H" ), "Automatic After Production", "")</f>
        <v>Automatic After Production</v>
      </c>
      <c r="AF7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54mm x 54mm x 50mm</v>
      </c>
    </row>
    <row r="71" spans="1:32" x14ac:dyDescent="0.3">
      <c r="A71" t="s">
        <v>134</v>
      </c>
      <c r="B71" s="1" t="s">
        <v>296</v>
      </c>
      <c r="C71" s="1"/>
      <c r="D71" t="s">
        <v>258</v>
      </c>
      <c r="F71" t="b">
        <v>0</v>
      </c>
      <c r="I71">
        <v>1</v>
      </c>
      <c r="J71">
        <v>40</v>
      </c>
      <c r="K71">
        <v>37</v>
      </c>
      <c r="L71">
        <v>46</v>
      </c>
      <c r="M71" t="s">
        <v>44</v>
      </c>
      <c r="N71" t="s">
        <v>20</v>
      </c>
      <c r="O71" t="b">
        <v>1</v>
      </c>
      <c r="Y7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ASSY_123024542 Connector Holder JB</v>
      </c>
      <c r="Z71" t="str">
        <f>IF(LEN(Table1[[#This Row],[MA_Number]])&gt;0, Table1[[#This Row],[MA_Number]], "")</f>
        <v>10.21.76988A</v>
      </c>
      <c r="AA71" t="str">
        <f>IF(OR(Table1[[#This Row],[type_code]]="GH", Table1[[#This Row],[type_code]]="CH", Table1[[#This Row],[type_code]]="CLIP H" ), "Finished Product", "")</f>
        <v>Finished Product</v>
      </c>
      <c r="AB71" t="str">
        <f>IF(OR(Table1[[#This Row],[type_code]]="GH", Table1[[#This Row],[type_code]]="CH", Table1[[#This Row],[type_code]]="CLIP H" ), "Holder", "")</f>
        <v>Holder</v>
      </c>
      <c r="AC7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1" t="str">
        <f>IF(OR(Table1[[#This Row],[type_code]]="GH", Table1[[#This Row],[type_code]]="CH", Table1[[#This Row],[type_code]]="CLIP H" ), "Mechanic Holder Production", "")</f>
        <v>Mechanic Holder Production</v>
      </c>
      <c r="AE71" t="str">
        <f>IF(OR(Table1[[#This Row],[type_code]]="GH", Table1[[#This Row],[type_code]]="CH", Table1[[#This Row],[type_code]]="CLIP H" ), "Automatic After Production", "")</f>
        <v>Automatic After Production</v>
      </c>
      <c r="AF7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40mm x 37mm x 46mm</v>
      </c>
    </row>
    <row r="72" spans="1:32" x14ac:dyDescent="0.3">
      <c r="A72" t="s">
        <v>135</v>
      </c>
      <c r="B72" s="1" t="s">
        <v>221</v>
      </c>
      <c r="C72" s="1"/>
      <c r="D72" t="s">
        <v>258</v>
      </c>
      <c r="F72" t="b">
        <v>0</v>
      </c>
      <c r="I72">
        <v>1</v>
      </c>
      <c r="J72">
        <v>40</v>
      </c>
      <c r="K72">
        <v>34</v>
      </c>
      <c r="L72">
        <v>44</v>
      </c>
      <c r="M72" t="s">
        <v>45</v>
      </c>
      <c r="N72" t="s">
        <v>20</v>
      </c>
      <c r="O72" t="b">
        <v>1</v>
      </c>
      <c r="Y7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ASSY_123024541 Connector Holder JB</v>
      </c>
      <c r="Z72" t="str">
        <f>IF(LEN(Table1[[#This Row],[MA_Number]])&gt;0, Table1[[#This Row],[MA_Number]], "")</f>
        <v>10.21.76967A</v>
      </c>
      <c r="AA72" t="str">
        <f>IF(OR(Table1[[#This Row],[type_code]]="GH", Table1[[#This Row],[type_code]]="CH", Table1[[#This Row],[type_code]]="CLIP H" ), "Finished Product", "")</f>
        <v>Finished Product</v>
      </c>
      <c r="AB72" t="str">
        <f>IF(OR(Table1[[#This Row],[type_code]]="GH", Table1[[#This Row],[type_code]]="CH", Table1[[#This Row],[type_code]]="CLIP H" ), "Holder", "")</f>
        <v>Holder</v>
      </c>
      <c r="AC7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2" t="str">
        <f>IF(OR(Table1[[#This Row],[type_code]]="GH", Table1[[#This Row],[type_code]]="CH", Table1[[#This Row],[type_code]]="CLIP H" ), "Mechanic Holder Production", "")</f>
        <v>Mechanic Holder Production</v>
      </c>
      <c r="AE72" t="str">
        <f>IF(OR(Table1[[#This Row],[type_code]]="GH", Table1[[#This Row],[type_code]]="CH", Table1[[#This Row],[type_code]]="CLIP H" ), "Automatic After Production", "")</f>
        <v>Automatic After Production</v>
      </c>
      <c r="AF7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40mm x 34mm x 44mm</v>
      </c>
    </row>
    <row r="73" spans="1:32" x14ac:dyDescent="0.3">
      <c r="A73" t="s">
        <v>136</v>
      </c>
      <c r="B73" s="1" t="s">
        <v>222</v>
      </c>
      <c r="C73" s="1"/>
      <c r="D73" t="s">
        <v>258</v>
      </c>
      <c r="F73" t="b">
        <v>0</v>
      </c>
      <c r="I73">
        <v>1</v>
      </c>
      <c r="J73">
        <v>49</v>
      </c>
      <c r="K73">
        <v>33</v>
      </c>
      <c r="L73">
        <v>44</v>
      </c>
      <c r="M73" t="s">
        <v>44</v>
      </c>
      <c r="N73" t="s">
        <v>20</v>
      </c>
      <c r="O73" t="b">
        <v>1</v>
      </c>
      <c r="Y7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ASSY_59Z063DC0B Connector Holder JB</v>
      </c>
      <c r="Z73" t="str">
        <f>IF(LEN(Table1[[#This Row],[MA_Number]])&gt;0, Table1[[#This Row],[MA_Number]], "")</f>
        <v>10.21.35998A</v>
      </c>
      <c r="AA73" t="str">
        <f>IF(OR(Table1[[#This Row],[type_code]]="GH", Table1[[#This Row],[type_code]]="CH", Table1[[#This Row],[type_code]]="CLIP H" ), "Finished Product", "")</f>
        <v>Finished Product</v>
      </c>
      <c r="AB73" t="str">
        <f>IF(OR(Table1[[#This Row],[type_code]]="GH", Table1[[#This Row],[type_code]]="CH", Table1[[#This Row],[type_code]]="CLIP H" ), "Holder", "")</f>
        <v>Holder</v>
      </c>
      <c r="AC7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3" t="str">
        <f>IF(OR(Table1[[#This Row],[type_code]]="GH", Table1[[#This Row],[type_code]]="CH", Table1[[#This Row],[type_code]]="CLIP H" ), "Mechanic Holder Production", "")</f>
        <v>Mechanic Holder Production</v>
      </c>
      <c r="AE73" t="str">
        <f>IF(OR(Table1[[#This Row],[type_code]]="GH", Table1[[#This Row],[type_code]]="CH", Table1[[#This Row],[type_code]]="CLIP H" ), "Automatic After Production", "")</f>
        <v>Automatic After Production</v>
      </c>
      <c r="AF7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49mm x 33mm x 44mm</v>
      </c>
    </row>
    <row r="74" spans="1:32" x14ac:dyDescent="0.3">
      <c r="A74" t="s">
        <v>137</v>
      </c>
      <c r="B74" s="1" t="s">
        <v>223</v>
      </c>
      <c r="C74" s="1"/>
      <c r="D74" t="s">
        <v>258</v>
      </c>
      <c r="F74" t="b">
        <v>0</v>
      </c>
      <c r="I74">
        <v>1</v>
      </c>
      <c r="J74">
        <v>49</v>
      </c>
      <c r="K74">
        <v>34</v>
      </c>
      <c r="L74">
        <v>44</v>
      </c>
      <c r="M74" t="s">
        <v>46</v>
      </c>
      <c r="N74" t="s">
        <v>20</v>
      </c>
      <c r="O74" t="b">
        <v>1</v>
      </c>
      <c r="Y7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ASSY_59Z063DC0C Connector Holder JB</v>
      </c>
      <c r="Z74" t="str">
        <f>IF(LEN(Table1[[#This Row],[MA_Number]])&gt;0, Table1[[#This Row],[MA_Number]], "")</f>
        <v>10.21.27982A</v>
      </c>
      <c r="AA74" t="str">
        <f>IF(OR(Table1[[#This Row],[type_code]]="GH", Table1[[#This Row],[type_code]]="CH", Table1[[#This Row],[type_code]]="CLIP H" ), "Finished Product", "")</f>
        <v>Finished Product</v>
      </c>
      <c r="AB74" t="str">
        <f>IF(OR(Table1[[#This Row],[type_code]]="GH", Table1[[#This Row],[type_code]]="CH", Table1[[#This Row],[type_code]]="CLIP H" ), "Holder", "")</f>
        <v>Holder</v>
      </c>
      <c r="AC7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4" t="str">
        <f>IF(OR(Table1[[#This Row],[type_code]]="GH", Table1[[#This Row],[type_code]]="CH", Table1[[#This Row],[type_code]]="CLIP H" ), "Mechanic Holder Production", "")</f>
        <v>Mechanic Holder Production</v>
      </c>
      <c r="AE74" t="str">
        <f>IF(OR(Table1[[#This Row],[type_code]]="GH", Table1[[#This Row],[type_code]]="CH", Table1[[#This Row],[type_code]]="CLIP H" ), "Automatic After Production", "")</f>
        <v>Automatic After Production</v>
      </c>
      <c r="AF7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49mm x 34mm x 44mm</v>
      </c>
    </row>
    <row r="75" spans="1:32" x14ac:dyDescent="0.3">
      <c r="A75" t="s">
        <v>138</v>
      </c>
      <c r="B75" s="1" t="s">
        <v>390</v>
      </c>
      <c r="C75" s="1"/>
      <c r="D75" t="s">
        <v>258</v>
      </c>
      <c r="F75" t="b">
        <v>0</v>
      </c>
      <c r="I75">
        <v>1</v>
      </c>
      <c r="J75">
        <v>45</v>
      </c>
      <c r="K75">
        <v>37</v>
      </c>
      <c r="L75">
        <v>46</v>
      </c>
      <c r="M75" t="s">
        <v>48</v>
      </c>
      <c r="N75" t="s">
        <v>20</v>
      </c>
      <c r="O75" t="b">
        <v>1</v>
      </c>
      <c r="Y7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ASSY_AMZ005000E/ASSY_AMZ005DC0E Connector Holder JB</v>
      </c>
      <c r="Z75" t="str">
        <f>IF(LEN(Table1[[#This Row],[MA_Number]])&gt;0, Table1[[#This Row],[MA_Number]], "")</f>
        <v>10.21.73069A</v>
      </c>
      <c r="AA75" t="str">
        <f>IF(OR(Table1[[#This Row],[type_code]]="GH", Table1[[#This Row],[type_code]]="CH", Table1[[#This Row],[type_code]]="CLIP H" ), "Finished Product", "")</f>
        <v>Finished Product</v>
      </c>
      <c r="AB75" t="str">
        <f>IF(OR(Table1[[#This Row],[type_code]]="GH", Table1[[#This Row],[type_code]]="CH", Table1[[#This Row],[type_code]]="CLIP H" ), "Holder", "")</f>
        <v>Holder</v>
      </c>
      <c r="AC7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5" t="str">
        <f>IF(OR(Table1[[#This Row],[type_code]]="GH", Table1[[#This Row],[type_code]]="CH", Table1[[#This Row],[type_code]]="CLIP H" ), "Mechanic Holder Production", "")</f>
        <v>Mechanic Holder Production</v>
      </c>
      <c r="AE75" t="str">
        <f>IF(OR(Table1[[#This Row],[type_code]]="GH", Table1[[#This Row],[type_code]]="CH", Table1[[#This Row],[type_code]]="CLIP H" ), "Automatic After Production", "")</f>
        <v>Automatic After Production</v>
      </c>
      <c r="AF7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45mm x 37mm x 46mm</v>
      </c>
    </row>
    <row r="76" spans="1:32" x14ac:dyDescent="0.3">
      <c r="A76" t="s">
        <v>139</v>
      </c>
      <c r="B76" s="1" t="s">
        <v>224</v>
      </c>
      <c r="C76" s="1"/>
      <c r="D76" t="s">
        <v>258</v>
      </c>
      <c r="F76" t="b">
        <v>0</v>
      </c>
      <c r="I76">
        <v>1</v>
      </c>
      <c r="J76">
        <v>45</v>
      </c>
      <c r="K76">
        <v>37</v>
      </c>
      <c r="L76">
        <v>46</v>
      </c>
      <c r="M76" t="s">
        <v>46</v>
      </c>
      <c r="N76" t="s">
        <v>20</v>
      </c>
      <c r="O76" t="b">
        <v>1</v>
      </c>
      <c r="Y7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ASSY_AMZ005DC0C Connector Holder JB</v>
      </c>
      <c r="Z76" t="str">
        <f>IF(LEN(Table1[[#This Row],[MA_Number]])&gt;0, Table1[[#This Row],[MA_Number]], "")</f>
        <v>10.21.73067A</v>
      </c>
      <c r="AA76" t="str">
        <f>IF(OR(Table1[[#This Row],[type_code]]="GH", Table1[[#This Row],[type_code]]="CH", Table1[[#This Row],[type_code]]="CLIP H" ), "Finished Product", "")</f>
        <v>Finished Product</v>
      </c>
      <c r="AB76" t="str">
        <f>IF(OR(Table1[[#This Row],[type_code]]="GH", Table1[[#This Row],[type_code]]="CH", Table1[[#This Row],[type_code]]="CLIP H" ), "Holder", "")</f>
        <v>Holder</v>
      </c>
      <c r="AC7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6" t="str">
        <f>IF(OR(Table1[[#This Row],[type_code]]="GH", Table1[[#This Row],[type_code]]="CH", Table1[[#This Row],[type_code]]="CLIP H" ), "Mechanic Holder Production", "")</f>
        <v>Mechanic Holder Production</v>
      </c>
      <c r="AE76" t="str">
        <f>IF(OR(Table1[[#This Row],[type_code]]="GH", Table1[[#This Row],[type_code]]="CH", Table1[[#This Row],[type_code]]="CLIP H" ), "Automatic After Production", "")</f>
        <v>Automatic After Production</v>
      </c>
      <c r="AF7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45mm x 37mm x 46mm</v>
      </c>
    </row>
    <row r="77" spans="1:32" x14ac:dyDescent="0.3">
      <c r="A77" t="s">
        <v>140</v>
      </c>
      <c r="B77" s="1" t="s">
        <v>225</v>
      </c>
      <c r="C77" s="1"/>
      <c r="D77" t="s">
        <v>258</v>
      </c>
      <c r="F77" t="b">
        <v>0</v>
      </c>
      <c r="I77">
        <v>1</v>
      </c>
      <c r="J77">
        <v>45</v>
      </c>
      <c r="K77">
        <v>37</v>
      </c>
      <c r="L77">
        <v>46</v>
      </c>
      <c r="M77" t="s">
        <v>49</v>
      </c>
      <c r="N77" t="s">
        <v>20</v>
      </c>
      <c r="O77" t="b">
        <v>1</v>
      </c>
      <c r="Y7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ASSY_AMZ005DC0D Connector Holder JB</v>
      </c>
      <c r="Z77" t="str">
        <f>IF(LEN(Table1[[#This Row],[MA_Number]])&gt;0, Table1[[#This Row],[MA_Number]], "")</f>
        <v>10.21.77187A</v>
      </c>
      <c r="AA77" t="str">
        <f>IF(OR(Table1[[#This Row],[type_code]]="GH", Table1[[#This Row],[type_code]]="CH", Table1[[#This Row],[type_code]]="CLIP H" ), "Finished Product", "")</f>
        <v>Finished Product</v>
      </c>
      <c r="AB77" t="str">
        <f>IF(OR(Table1[[#This Row],[type_code]]="GH", Table1[[#This Row],[type_code]]="CH", Table1[[#This Row],[type_code]]="CLIP H" ), "Holder", "")</f>
        <v>Holder</v>
      </c>
      <c r="AC7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7" t="str">
        <f>IF(OR(Table1[[#This Row],[type_code]]="GH", Table1[[#This Row],[type_code]]="CH", Table1[[#This Row],[type_code]]="CLIP H" ), "Mechanic Holder Production", "")</f>
        <v>Mechanic Holder Production</v>
      </c>
      <c r="AE77" t="str">
        <f>IF(OR(Table1[[#This Row],[type_code]]="GH", Table1[[#This Row],[type_code]]="CH", Table1[[#This Row],[type_code]]="CLIP H" ), "Automatic After Production", "")</f>
        <v>Automatic After Production</v>
      </c>
      <c r="AF7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ЧЕРВЕН* - RED, POM  - ДЕЛРИН, 
РЯЗАНЕ, 45mm x 37mm x 46mm</v>
      </c>
    </row>
    <row r="78" spans="1:32" x14ac:dyDescent="0.3">
      <c r="A78" t="s">
        <v>141</v>
      </c>
      <c r="B78" s="1" t="s">
        <v>391</v>
      </c>
      <c r="C78" s="1"/>
      <c r="D78" t="s">
        <v>258</v>
      </c>
      <c r="F78" t="b">
        <v>0</v>
      </c>
      <c r="I78">
        <v>1</v>
      </c>
      <c r="J78">
        <v>45</v>
      </c>
      <c r="K78">
        <v>40</v>
      </c>
      <c r="L78">
        <v>46</v>
      </c>
      <c r="M78" t="s">
        <v>47</v>
      </c>
      <c r="N78" t="s">
        <v>20</v>
      </c>
      <c r="O78" t="b">
        <v>1</v>
      </c>
      <c r="Y7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ASSY_AMZ005000F/ASSY_AMZ005DC0F Connector Holder JB</v>
      </c>
      <c r="Z78" t="str">
        <f>IF(LEN(Table1[[#This Row],[MA_Number]])&gt;0, Table1[[#This Row],[MA_Number]], "")</f>
        <v>10.21.73076A</v>
      </c>
      <c r="AA78" t="str">
        <f>IF(OR(Table1[[#This Row],[type_code]]="GH", Table1[[#This Row],[type_code]]="CH", Table1[[#This Row],[type_code]]="CLIP H" ), "Finished Product", "")</f>
        <v>Finished Product</v>
      </c>
      <c r="AB78" t="str">
        <f>IF(OR(Table1[[#This Row],[type_code]]="GH", Table1[[#This Row],[type_code]]="CH", Table1[[#This Row],[type_code]]="CLIP H" ), "Holder", "")</f>
        <v>Holder</v>
      </c>
      <c r="AC7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8" t="str">
        <f>IF(OR(Table1[[#This Row],[type_code]]="GH", Table1[[#This Row],[type_code]]="CH", Table1[[#This Row],[type_code]]="CLIP H" ), "Mechanic Holder Production", "")</f>
        <v>Mechanic Holder Production</v>
      </c>
      <c r="AE78" t="str">
        <f>IF(OR(Table1[[#This Row],[type_code]]="GH", Table1[[#This Row],[type_code]]="CH", Table1[[#This Row],[type_code]]="CLIP H" ), "Automatic After Production", "")</f>
        <v>Automatic After Production</v>
      </c>
      <c r="AF7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КАФЯВ - BROWN, POM  - ДЕЛРИН, 
РЯЗАНЕ, 45mm x 40mm x 46mm</v>
      </c>
    </row>
    <row r="79" spans="1:32" x14ac:dyDescent="0.3">
      <c r="A79" t="s">
        <v>142</v>
      </c>
      <c r="B79" s="1" t="s">
        <v>226</v>
      </c>
      <c r="C79" s="1"/>
      <c r="D79" t="s">
        <v>258</v>
      </c>
      <c r="F79" t="b">
        <v>0</v>
      </c>
      <c r="I79">
        <v>1</v>
      </c>
      <c r="J79">
        <v>45</v>
      </c>
      <c r="K79">
        <v>40</v>
      </c>
      <c r="L79">
        <v>46</v>
      </c>
      <c r="M79" t="s">
        <v>44</v>
      </c>
      <c r="N79" t="s">
        <v>20</v>
      </c>
      <c r="O79" t="b">
        <v>1</v>
      </c>
      <c r="Y7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ASSY_AMZ005DC0B Connector Holder JB</v>
      </c>
      <c r="Z79" t="str">
        <f>IF(LEN(Table1[[#This Row],[MA_Number]])&gt;0, Table1[[#This Row],[MA_Number]], "")</f>
        <v>10.21.73073A</v>
      </c>
      <c r="AA79" t="str">
        <f>IF(OR(Table1[[#This Row],[type_code]]="GH", Table1[[#This Row],[type_code]]="CH", Table1[[#This Row],[type_code]]="CLIP H" ), "Finished Product", "")</f>
        <v>Finished Product</v>
      </c>
      <c r="AB79" t="str">
        <f>IF(OR(Table1[[#This Row],[type_code]]="GH", Table1[[#This Row],[type_code]]="CH", Table1[[#This Row],[type_code]]="CLIP H" ), "Holder", "")</f>
        <v>Holder</v>
      </c>
      <c r="AC7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79" t="str">
        <f>IF(OR(Table1[[#This Row],[type_code]]="GH", Table1[[#This Row],[type_code]]="CH", Table1[[#This Row],[type_code]]="CLIP H" ), "Mechanic Holder Production", "")</f>
        <v>Mechanic Holder Production</v>
      </c>
      <c r="AE79" t="str">
        <f>IF(OR(Table1[[#This Row],[type_code]]="GH", Table1[[#This Row],[type_code]]="CH", Table1[[#This Row],[type_code]]="CLIP H" ), "Automatic After Production", "")</f>
        <v>Automatic After Production</v>
      </c>
      <c r="AF7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45mm x 40mm x 46mm</v>
      </c>
    </row>
    <row r="80" spans="1:32" x14ac:dyDescent="0.3">
      <c r="A80" t="s">
        <v>143</v>
      </c>
      <c r="B80" s="1" t="s">
        <v>227</v>
      </c>
      <c r="C80" s="1"/>
      <c r="D80" t="s">
        <v>258</v>
      </c>
      <c r="F80" t="b">
        <v>0</v>
      </c>
      <c r="I80">
        <v>1</v>
      </c>
      <c r="J80">
        <v>45</v>
      </c>
      <c r="K80">
        <v>36</v>
      </c>
      <c r="L80">
        <v>50</v>
      </c>
      <c r="M80" t="s">
        <v>44</v>
      </c>
      <c r="N80" t="s">
        <v>20</v>
      </c>
      <c r="O80" t="b">
        <v>1</v>
      </c>
      <c r="Y8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ASSY_AMZ040C00B Connector Holder JB</v>
      </c>
      <c r="Z80" t="str">
        <f>IF(LEN(Table1[[#This Row],[MA_Number]])&gt;0, Table1[[#This Row],[MA_Number]], "")</f>
        <v>10.21.77066A</v>
      </c>
      <c r="AA80" t="str">
        <f>IF(OR(Table1[[#This Row],[type_code]]="GH", Table1[[#This Row],[type_code]]="CH", Table1[[#This Row],[type_code]]="CLIP H" ), "Finished Product", "")</f>
        <v>Finished Product</v>
      </c>
      <c r="AB80" t="str">
        <f>IF(OR(Table1[[#This Row],[type_code]]="GH", Table1[[#This Row],[type_code]]="CH", Table1[[#This Row],[type_code]]="CLIP H" ), "Holder", "")</f>
        <v>Holder</v>
      </c>
      <c r="AC8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0" t="str">
        <f>IF(OR(Table1[[#This Row],[type_code]]="GH", Table1[[#This Row],[type_code]]="CH", Table1[[#This Row],[type_code]]="CLIP H" ), "Mechanic Holder Production", "")</f>
        <v>Mechanic Holder Production</v>
      </c>
      <c r="AE80" t="str">
        <f>IF(OR(Table1[[#This Row],[type_code]]="GH", Table1[[#This Row],[type_code]]="CH", Table1[[#This Row],[type_code]]="CLIP H" ), "Automatic After Production", "")</f>
        <v>Automatic After Production</v>
      </c>
      <c r="AF8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45mm x 36mm x 50mm</v>
      </c>
    </row>
    <row r="81" spans="1:32" x14ac:dyDescent="0.3">
      <c r="A81" t="s">
        <v>144</v>
      </c>
      <c r="B81" s="1" t="s">
        <v>228</v>
      </c>
      <c r="C81" s="1"/>
      <c r="D81" t="s">
        <v>258</v>
      </c>
      <c r="F81" t="b">
        <v>0</v>
      </c>
      <c r="I81">
        <v>1</v>
      </c>
      <c r="J81">
        <v>45</v>
      </c>
      <c r="K81">
        <v>36</v>
      </c>
      <c r="L81">
        <v>50</v>
      </c>
      <c r="M81" t="s">
        <v>46</v>
      </c>
      <c r="N81" t="s">
        <v>20</v>
      </c>
      <c r="O81" t="b">
        <v>1</v>
      </c>
      <c r="Y8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ASSY_AMZ040C00C Connector Holder JB</v>
      </c>
      <c r="Z81" t="str">
        <f>IF(LEN(Table1[[#This Row],[MA_Number]])&gt;0, Table1[[#This Row],[MA_Number]], "")</f>
        <v>10.21.77068A</v>
      </c>
      <c r="AA81" t="str">
        <f>IF(OR(Table1[[#This Row],[type_code]]="GH", Table1[[#This Row],[type_code]]="CH", Table1[[#This Row],[type_code]]="CLIP H" ), "Finished Product", "")</f>
        <v>Finished Product</v>
      </c>
      <c r="AB81" t="str">
        <f>IF(OR(Table1[[#This Row],[type_code]]="GH", Table1[[#This Row],[type_code]]="CH", Table1[[#This Row],[type_code]]="CLIP H" ), "Holder", "")</f>
        <v>Holder</v>
      </c>
      <c r="AC8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1" t="str">
        <f>IF(OR(Table1[[#This Row],[type_code]]="GH", Table1[[#This Row],[type_code]]="CH", Table1[[#This Row],[type_code]]="CLIP H" ), "Mechanic Holder Production", "")</f>
        <v>Mechanic Holder Production</v>
      </c>
      <c r="AE81" t="str">
        <f>IF(OR(Table1[[#This Row],[type_code]]="GH", Table1[[#This Row],[type_code]]="CH", Table1[[#This Row],[type_code]]="CLIP H" ), "Automatic After Production", "")</f>
        <v>Automatic After Production</v>
      </c>
      <c r="AF8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45mm x 36mm x 50mm</v>
      </c>
    </row>
    <row r="82" spans="1:32" x14ac:dyDescent="0.3">
      <c r="A82" t="s">
        <v>145</v>
      </c>
      <c r="B82" s="1" t="s">
        <v>229</v>
      </c>
      <c r="C82" s="1"/>
      <c r="D82" t="s">
        <v>258</v>
      </c>
      <c r="F82" t="b">
        <v>0</v>
      </c>
      <c r="I82">
        <v>1</v>
      </c>
      <c r="J82">
        <v>45</v>
      </c>
      <c r="K82">
        <v>36</v>
      </c>
      <c r="L82">
        <v>50</v>
      </c>
      <c r="M82" t="s">
        <v>49</v>
      </c>
      <c r="N82" t="s">
        <v>20</v>
      </c>
      <c r="O82" t="b">
        <v>1</v>
      </c>
      <c r="Y8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ASSY_AMZ040C00D Connector Holder JB</v>
      </c>
      <c r="Z82" t="str">
        <f>IF(LEN(Table1[[#This Row],[MA_Number]])&gt;0, Table1[[#This Row],[MA_Number]], "")</f>
        <v>10.21.77069A</v>
      </c>
      <c r="AA82" t="str">
        <f>IF(OR(Table1[[#This Row],[type_code]]="GH", Table1[[#This Row],[type_code]]="CH", Table1[[#This Row],[type_code]]="CLIP H" ), "Finished Product", "")</f>
        <v>Finished Product</v>
      </c>
      <c r="AB82" t="str">
        <f>IF(OR(Table1[[#This Row],[type_code]]="GH", Table1[[#This Row],[type_code]]="CH", Table1[[#This Row],[type_code]]="CLIP H" ), "Holder", "")</f>
        <v>Holder</v>
      </c>
      <c r="AC8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2" t="str">
        <f>IF(OR(Table1[[#This Row],[type_code]]="GH", Table1[[#This Row],[type_code]]="CH", Table1[[#This Row],[type_code]]="CLIP H" ), "Mechanic Holder Production", "")</f>
        <v>Mechanic Holder Production</v>
      </c>
      <c r="AE82" t="str">
        <f>IF(OR(Table1[[#This Row],[type_code]]="GH", Table1[[#This Row],[type_code]]="CH", Table1[[#This Row],[type_code]]="CLIP H" ), "Automatic After Production", "")</f>
        <v>Automatic After Production</v>
      </c>
      <c r="AF8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ЧЕРВЕН* - RED, POM  - ДЕЛРИН, 
РЯЗАНЕ, 45mm x 36mm x 50mm</v>
      </c>
    </row>
    <row r="83" spans="1:32" x14ac:dyDescent="0.3">
      <c r="A83" t="s">
        <v>146</v>
      </c>
      <c r="B83" s="1" t="s">
        <v>230</v>
      </c>
      <c r="C83" s="1"/>
      <c r="D83" t="s">
        <v>258</v>
      </c>
      <c r="F83" t="b">
        <v>0</v>
      </c>
      <c r="I83">
        <v>1</v>
      </c>
      <c r="J83">
        <v>45</v>
      </c>
      <c r="K83">
        <v>36</v>
      </c>
      <c r="L83">
        <v>50</v>
      </c>
      <c r="M83" t="s">
        <v>48</v>
      </c>
      <c r="N83" t="s">
        <v>20</v>
      </c>
      <c r="O83" t="b">
        <v>1</v>
      </c>
      <c r="Y8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ASSY_AMZ040C00E Connector Holder JB</v>
      </c>
      <c r="Z83" t="str">
        <f>IF(LEN(Table1[[#This Row],[MA_Number]])&gt;0, Table1[[#This Row],[MA_Number]], "")</f>
        <v>10.21.77070A</v>
      </c>
      <c r="AA83" t="str">
        <f>IF(OR(Table1[[#This Row],[type_code]]="GH", Table1[[#This Row],[type_code]]="CH", Table1[[#This Row],[type_code]]="CLIP H" ), "Finished Product", "")</f>
        <v>Finished Product</v>
      </c>
      <c r="AB83" t="str">
        <f>IF(OR(Table1[[#This Row],[type_code]]="GH", Table1[[#This Row],[type_code]]="CH", Table1[[#This Row],[type_code]]="CLIP H" ), "Holder", "")</f>
        <v>Holder</v>
      </c>
      <c r="AC8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3" t="str">
        <f>IF(OR(Table1[[#This Row],[type_code]]="GH", Table1[[#This Row],[type_code]]="CH", Table1[[#This Row],[type_code]]="CLIP H" ), "Mechanic Holder Production", "")</f>
        <v>Mechanic Holder Production</v>
      </c>
      <c r="AE83" t="str">
        <f>IF(OR(Table1[[#This Row],[type_code]]="GH", Table1[[#This Row],[type_code]]="CH", Table1[[#This Row],[type_code]]="CLIP H" ), "Automatic After Production", "")</f>
        <v>Automatic After Production</v>
      </c>
      <c r="AF8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45mm x 36mm x 50mm</v>
      </c>
    </row>
    <row r="84" spans="1:32" x14ac:dyDescent="0.3">
      <c r="A84" t="s">
        <v>147</v>
      </c>
      <c r="B84" s="1" t="s">
        <v>231</v>
      </c>
      <c r="C84" s="1"/>
      <c r="D84" t="s">
        <v>258</v>
      </c>
      <c r="F84" t="b">
        <v>0</v>
      </c>
      <c r="I84">
        <v>1</v>
      </c>
      <c r="J84">
        <v>42</v>
      </c>
      <c r="K84">
        <v>37</v>
      </c>
      <c r="L84">
        <v>43</v>
      </c>
      <c r="M84" t="s">
        <v>50</v>
      </c>
      <c r="N84" t="s">
        <v>20</v>
      </c>
      <c r="O84" t="b">
        <v>1</v>
      </c>
      <c r="Y8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ASSY_CA288A15199XXX Connector Holder JB</v>
      </c>
      <c r="Z84" t="str">
        <f>IF(LEN(Table1[[#This Row],[MA_Number]])&gt;0, Table1[[#This Row],[MA_Number]], "")</f>
        <v>10.21.77038A</v>
      </c>
      <c r="AA84" t="str">
        <f>IF(OR(Table1[[#This Row],[type_code]]="GH", Table1[[#This Row],[type_code]]="CH", Table1[[#This Row],[type_code]]="CLIP H" ), "Finished Product", "")</f>
        <v>Finished Product</v>
      </c>
      <c r="AB84" t="str">
        <f>IF(OR(Table1[[#This Row],[type_code]]="GH", Table1[[#This Row],[type_code]]="CH", Table1[[#This Row],[type_code]]="CLIP H" ), "Holder", "")</f>
        <v>Holder</v>
      </c>
      <c r="AC8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4" t="str">
        <f>IF(OR(Table1[[#This Row],[type_code]]="GH", Table1[[#This Row],[type_code]]="CH", Table1[[#This Row],[type_code]]="CLIP H" ), "Mechanic Holder Production", "")</f>
        <v>Mechanic Holder Production</v>
      </c>
      <c r="AE84" t="str">
        <f>IF(OR(Table1[[#This Row],[type_code]]="GH", Table1[[#This Row],[type_code]]="CH", Table1[[#This Row],[type_code]]="CLIP H" ), "Automatic After Production", "")</f>
        <v>Automatic After Production</v>
      </c>
      <c r="AF8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42mm x 37mm x 43mm</v>
      </c>
    </row>
    <row r="85" spans="1:32" x14ac:dyDescent="0.3">
      <c r="A85" t="s">
        <v>148</v>
      </c>
      <c r="B85" s="1" t="s">
        <v>232</v>
      </c>
      <c r="C85" s="1"/>
      <c r="D85" t="s">
        <v>258</v>
      </c>
      <c r="F85" t="b">
        <v>0</v>
      </c>
      <c r="I85">
        <v>1</v>
      </c>
      <c r="J85">
        <v>42</v>
      </c>
      <c r="K85">
        <v>37</v>
      </c>
      <c r="L85">
        <v>43</v>
      </c>
      <c r="M85" t="s">
        <v>50</v>
      </c>
      <c r="N85" t="s">
        <v>20</v>
      </c>
      <c r="O85" t="b">
        <v>1</v>
      </c>
      <c r="Y8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ASSY_CA288A25199XXX Connector Holder JB</v>
      </c>
      <c r="Z85" t="str">
        <f>IF(LEN(Table1[[#This Row],[MA_Number]])&gt;0, Table1[[#This Row],[MA_Number]], "")</f>
        <v>10.21.77040A</v>
      </c>
      <c r="AA85" t="str">
        <f>IF(OR(Table1[[#This Row],[type_code]]="GH", Table1[[#This Row],[type_code]]="CH", Table1[[#This Row],[type_code]]="CLIP H" ), "Finished Product", "")</f>
        <v>Finished Product</v>
      </c>
      <c r="AB85" t="str">
        <f>IF(OR(Table1[[#This Row],[type_code]]="GH", Table1[[#This Row],[type_code]]="CH", Table1[[#This Row],[type_code]]="CLIP H" ), "Holder", "")</f>
        <v>Holder</v>
      </c>
      <c r="AC8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5" t="str">
        <f>IF(OR(Table1[[#This Row],[type_code]]="GH", Table1[[#This Row],[type_code]]="CH", Table1[[#This Row],[type_code]]="CLIP H" ), "Mechanic Holder Production", "")</f>
        <v>Mechanic Holder Production</v>
      </c>
      <c r="AE85" t="str">
        <f>IF(OR(Table1[[#This Row],[type_code]]="GH", Table1[[#This Row],[type_code]]="CH", Table1[[#This Row],[type_code]]="CLIP H" ), "Automatic After Production", "")</f>
        <v>Automatic After Production</v>
      </c>
      <c r="AF8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42mm x 37mm x 43mm</v>
      </c>
    </row>
    <row r="86" spans="1:32" x14ac:dyDescent="0.3">
      <c r="A86" t="s">
        <v>149</v>
      </c>
      <c r="B86" s="1" t="s">
        <v>233</v>
      </c>
      <c r="C86" s="1"/>
      <c r="D86" t="s">
        <v>258</v>
      </c>
      <c r="F86" t="b">
        <v>0</v>
      </c>
      <c r="I86">
        <v>1</v>
      </c>
      <c r="J86">
        <v>42</v>
      </c>
      <c r="K86">
        <v>37</v>
      </c>
      <c r="L86">
        <v>43</v>
      </c>
      <c r="M86" t="s">
        <v>50</v>
      </c>
      <c r="N86" t="s">
        <v>20</v>
      </c>
      <c r="O86" t="b">
        <v>1</v>
      </c>
      <c r="Y8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ASSY_CA288A35199XXX Connector Holder JB</v>
      </c>
      <c r="Z86" t="str">
        <f>IF(LEN(Table1[[#This Row],[MA_Number]])&gt;0, Table1[[#This Row],[MA_Number]], "")</f>
        <v>10.21.77039A</v>
      </c>
      <c r="AA86" t="str">
        <f>IF(OR(Table1[[#This Row],[type_code]]="GH", Table1[[#This Row],[type_code]]="CH", Table1[[#This Row],[type_code]]="CLIP H" ), "Finished Product", "")</f>
        <v>Finished Product</v>
      </c>
      <c r="AB86" t="str">
        <f>IF(OR(Table1[[#This Row],[type_code]]="GH", Table1[[#This Row],[type_code]]="CH", Table1[[#This Row],[type_code]]="CLIP H" ), "Holder", "")</f>
        <v>Holder</v>
      </c>
      <c r="AC8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6" t="str">
        <f>IF(OR(Table1[[#This Row],[type_code]]="GH", Table1[[#This Row],[type_code]]="CH", Table1[[#This Row],[type_code]]="CLIP H" ), "Mechanic Holder Production", "")</f>
        <v>Mechanic Holder Production</v>
      </c>
      <c r="AE86" t="str">
        <f>IF(OR(Table1[[#This Row],[type_code]]="GH", Table1[[#This Row],[type_code]]="CH", Table1[[#This Row],[type_code]]="CLIP H" ), "Automatic After Production", "")</f>
        <v>Automatic After Production</v>
      </c>
      <c r="AF8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42mm x 37mm x 43mm</v>
      </c>
    </row>
    <row r="87" spans="1:32" x14ac:dyDescent="0.3">
      <c r="A87" t="s">
        <v>150</v>
      </c>
      <c r="B87" s="1" t="s">
        <v>234</v>
      </c>
      <c r="C87" s="1"/>
      <c r="D87" t="s">
        <v>258</v>
      </c>
      <c r="F87" t="b">
        <v>0</v>
      </c>
      <c r="I87">
        <v>1</v>
      </c>
      <c r="J87">
        <v>44</v>
      </c>
      <c r="K87">
        <v>41</v>
      </c>
      <c r="L87">
        <v>50</v>
      </c>
      <c r="M87" t="s">
        <v>50</v>
      </c>
      <c r="N87" t="s">
        <v>20</v>
      </c>
      <c r="O87" t="b">
        <v>1</v>
      </c>
      <c r="Y8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ASSY_CA288B1519XXXX Connector Holder JB</v>
      </c>
      <c r="Z87" t="str">
        <f>IF(LEN(Table1[[#This Row],[MA_Number]])&gt;0, Table1[[#This Row],[MA_Number]], "")</f>
        <v>10.21.77041A</v>
      </c>
      <c r="AA87" t="str">
        <f>IF(OR(Table1[[#This Row],[type_code]]="GH", Table1[[#This Row],[type_code]]="CH", Table1[[#This Row],[type_code]]="CLIP H" ), "Finished Product", "")</f>
        <v>Finished Product</v>
      </c>
      <c r="AB87" t="str">
        <f>IF(OR(Table1[[#This Row],[type_code]]="GH", Table1[[#This Row],[type_code]]="CH", Table1[[#This Row],[type_code]]="CLIP H" ), "Holder", "")</f>
        <v>Holder</v>
      </c>
      <c r="AC8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7" t="str">
        <f>IF(OR(Table1[[#This Row],[type_code]]="GH", Table1[[#This Row],[type_code]]="CH", Table1[[#This Row],[type_code]]="CLIP H" ), "Mechanic Holder Production", "")</f>
        <v>Mechanic Holder Production</v>
      </c>
      <c r="AE87" t="str">
        <f>IF(OR(Table1[[#This Row],[type_code]]="GH", Table1[[#This Row],[type_code]]="CH", Table1[[#This Row],[type_code]]="CLIP H" ), "Automatic After Production", "")</f>
        <v>Automatic After Production</v>
      </c>
      <c r="AF8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44mm x 41mm x 50mm</v>
      </c>
    </row>
    <row r="88" spans="1:32" x14ac:dyDescent="0.3">
      <c r="A88" t="s">
        <v>151</v>
      </c>
      <c r="B88" s="1" t="s">
        <v>235</v>
      </c>
      <c r="C88" s="1"/>
      <c r="D88" t="s">
        <v>258</v>
      </c>
      <c r="F88" t="b">
        <v>0</v>
      </c>
      <c r="I88">
        <v>1</v>
      </c>
      <c r="J88">
        <v>44</v>
      </c>
      <c r="K88">
        <v>38</v>
      </c>
      <c r="L88">
        <v>47</v>
      </c>
      <c r="M88" t="s">
        <v>46</v>
      </c>
      <c r="N88" t="s">
        <v>20</v>
      </c>
      <c r="O88" t="b">
        <v>1</v>
      </c>
      <c r="Y8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ASSY_D4Z001DC0C Connector Holder JB</v>
      </c>
      <c r="Z88" t="str">
        <f>IF(LEN(Table1[[#This Row],[MA_Number]])&gt;0, Table1[[#This Row],[MA_Number]], "")</f>
        <v>10.21.73066A</v>
      </c>
      <c r="AA88" t="str">
        <f>IF(OR(Table1[[#This Row],[type_code]]="GH", Table1[[#This Row],[type_code]]="CH", Table1[[#This Row],[type_code]]="CLIP H" ), "Finished Product", "")</f>
        <v>Finished Product</v>
      </c>
      <c r="AB88" t="str">
        <f>IF(OR(Table1[[#This Row],[type_code]]="GH", Table1[[#This Row],[type_code]]="CH", Table1[[#This Row],[type_code]]="CLIP H" ), "Holder", "")</f>
        <v>Holder</v>
      </c>
      <c r="AC8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8" t="str">
        <f>IF(OR(Table1[[#This Row],[type_code]]="GH", Table1[[#This Row],[type_code]]="CH", Table1[[#This Row],[type_code]]="CLIP H" ), "Mechanic Holder Production", "")</f>
        <v>Mechanic Holder Production</v>
      </c>
      <c r="AE88" t="str">
        <f>IF(OR(Table1[[#This Row],[type_code]]="GH", Table1[[#This Row],[type_code]]="CH", Table1[[#This Row],[type_code]]="CLIP H" ), "Automatic After Production", "")</f>
        <v>Automatic After Production</v>
      </c>
      <c r="AF8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44mm x 38mm x 47mm</v>
      </c>
    </row>
    <row r="89" spans="1:32" x14ac:dyDescent="0.3">
      <c r="A89" t="s">
        <v>152</v>
      </c>
      <c r="B89" s="1" t="s">
        <v>308</v>
      </c>
      <c r="C89" s="1"/>
      <c r="D89" t="s">
        <v>258</v>
      </c>
      <c r="F89" t="b">
        <v>0</v>
      </c>
      <c r="I89">
        <v>1</v>
      </c>
      <c r="J89">
        <v>39</v>
      </c>
      <c r="K89">
        <v>39</v>
      </c>
      <c r="L89">
        <v>53</v>
      </c>
      <c r="M89" t="s">
        <v>44</v>
      </c>
      <c r="N89" t="s">
        <v>20</v>
      </c>
      <c r="O89" t="b">
        <v>1</v>
      </c>
      <c r="Y8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ASSY_D4K2RE1D5A5BDC/ASSY_D4K2RE1D5A5B Connector Holder JB</v>
      </c>
      <c r="Z89" t="str">
        <f>IF(LEN(Table1[[#This Row],[MA_Number]])&gt;0, Table1[[#This Row],[MA_Number]], "")</f>
        <v>10.21.77089A</v>
      </c>
      <c r="AA89" t="str">
        <f>IF(OR(Table1[[#This Row],[type_code]]="GH", Table1[[#This Row],[type_code]]="CH", Table1[[#This Row],[type_code]]="CLIP H" ), "Finished Product", "")</f>
        <v>Finished Product</v>
      </c>
      <c r="AB89" t="str">
        <f>IF(OR(Table1[[#This Row],[type_code]]="GH", Table1[[#This Row],[type_code]]="CH", Table1[[#This Row],[type_code]]="CLIP H" ), "Holder", "")</f>
        <v>Holder</v>
      </c>
      <c r="AC8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89" t="str">
        <f>IF(OR(Table1[[#This Row],[type_code]]="GH", Table1[[#This Row],[type_code]]="CH", Table1[[#This Row],[type_code]]="CLIP H" ), "Mechanic Holder Production", "")</f>
        <v>Mechanic Holder Production</v>
      </c>
      <c r="AE89" t="str">
        <f>IF(OR(Table1[[#This Row],[type_code]]="GH", Table1[[#This Row],[type_code]]="CH", Table1[[#This Row],[type_code]]="CLIP H" ), "Automatic After Production", "")</f>
        <v>Automatic After Production</v>
      </c>
      <c r="AF8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39mm x 39mm x 53mm</v>
      </c>
    </row>
    <row r="90" spans="1:32" x14ac:dyDescent="0.3">
      <c r="A90" t="s">
        <v>153</v>
      </c>
      <c r="B90" s="1">
        <v>7178270480</v>
      </c>
      <c r="C90" s="1" t="s">
        <v>358</v>
      </c>
      <c r="D90" t="s">
        <v>258</v>
      </c>
      <c r="F90" t="b">
        <v>0</v>
      </c>
      <c r="I90">
        <v>1</v>
      </c>
      <c r="J90">
        <v>83</v>
      </c>
      <c r="K90">
        <v>62</v>
      </c>
      <c r="L90">
        <v>58</v>
      </c>
      <c r="M90" t="s">
        <v>47</v>
      </c>
      <c r="N90" t="s">
        <v>20</v>
      </c>
      <c r="O90" t="b">
        <v>1</v>
      </c>
      <c r="Y9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7178270480 Connector Holder JB</v>
      </c>
      <c r="Z90" t="str">
        <f>IF(LEN(Table1[[#This Row],[MA_Number]])&gt;0, Table1[[#This Row],[MA_Number]], "")</f>
        <v>10.21.83646A</v>
      </c>
      <c r="AA90" t="str">
        <f>IF(OR(Table1[[#This Row],[type_code]]="GH", Table1[[#This Row],[type_code]]="CH", Table1[[#This Row],[type_code]]="CLIP H" ), "Finished Product", "")</f>
        <v>Finished Product</v>
      </c>
      <c r="AB90" t="str">
        <f>IF(OR(Table1[[#This Row],[type_code]]="GH", Table1[[#This Row],[type_code]]="CH", Table1[[#This Row],[type_code]]="CLIP H" ), "Holder", "")</f>
        <v>Holder</v>
      </c>
      <c r="AC9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90" t="str">
        <f>IF(OR(Table1[[#This Row],[type_code]]="GH", Table1[[#This Row],[type_code]]="CH", Table1[[#This Row],[type_code]]="CLIP H" ), "Mechanic Holder Production", "")</f>
        <v>Mechanic Holder Production</v>
      </c>
      <c r="AE90" t="str">
        <f>IF(OR(Table1[[#This Row],[type_code]]="GH", Table1[[#This Row],[type_code]]="CH", Table1[[#This Row],[type_code]]="CLIP H" ), "Automatic After Production", "")</f>
        <v>Automatic After Production</v>
      </c>
      <c r="AF9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КАФЯВ - BROWN, POM  - ДЕЛРИН, 
РЯЗАНЕ, 83mm x 62mm x 58mm</v>
      </c>
    </row>
    <row r="91" spans="1:32" x14ac:dyDescent="0.3">
      <c r="A91" t="s">
        <v>154</v>
      </c>
      <c r="B91" s="1">
        <v>7075226730</v>
      </c>
      <c r="C91" s="1" t="s">
        <v>359</v>
      </c>
      <c r="D91" t="s">
        <v>499</v>
      </c>
      <c r="F91" t="b">
        <v>0</v>
      </c>
      <c r="I91">
        <v>1</v>
      </c>
      <c r="J91">
        <v>75</v>
      </c>
      <c r="K91">
        <v>32</v>
      </c>
      <c r="L91">
        <v>70</v>
      </c>
      <c r="M91" t="s">
        <v>45</v>
      </c>
      <c r="N91" t="s">
        <v>20</v>
      </c>
      <c r="O91" t="b">
        <v>1</v>
      </c>
      <c r="Y9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7075226730 Grommet Holder JB</v>
      </c>
      <c r="Z91" t="str">
        <f>IF(LEN(Table1[[#This Row],[MA_Number]])&gt;0, Table1[[#This Row],[MA_Number]], "")</f>
        <v>10.21.77128A</v>
      </c>
      <c r="AA91" t="str">
        <f>IF(OR(Table1[[#This Row],[type_code]]="GH", Table1[[#This Row],[type_code]]="CH", Table1[[#This Row],[type_code]]="CLIP H" ), "Finished Product", "")</f>
        <v>Finished Product</v>
      </c>
      <c r="AB91" t="str">
        <f>IF(OR(Table1[[#This Row],[type_code]]="GH", Table1[[#This Row],[type_code]]="CH", Table1[[#This Row],[type_code]]="CLIP H" ), "Holder", "")</f>
        <v>Holder</v>
      </c>
      <c r="AC91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91" t="str">
        <f>IF(OR(Table1[[#This Row],[type_code]]="GH", Table1[[#This Row],[type_code]]="CH", Table1[[#This Row],[type_code]]="CLIP H" ), "Mechanic Holder Production", "")</f>
        <v>Mechanic Holder Production</v>
      </c>
      <c r="AE91" t="str">
        <f>IF(OR(Table1[[#This Row],[type_code]]="GH", Table1[[#This Row],[type_code]]="CH", Table1[[#This Row],[type_code]]="CLIP H" ), "Automatic After Production", "")</f>
        <v>Automatic After Production</v>
      </c>
      <c r="AF9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75mm x 32mm x 70mm</v>
      </c>
    </row>
    <row r="92" spans="1:32" x14ac:dyDescent="0.3">
      <c r="A92" t="s">
        <v>155</v>
      </c>
      <c r="B92" s="1" t="s">
        <v>236</v>
      </c>
      <c r="C92" s="1"/>
      <c r="D92" t="s">
        <v>258</v>
      </c>
      <c r="F92" t="b">
        <v>0</v>
      </c>
      <c r="I92">
        <v>1</v>
      </c>
      <c r="J92">
        <v>40</v>
      </c>
      <c r="K92">
        <v>31</v>
      </c>
      <c r="L92">
        <v>58</v>
      </c>
      <c r="M92" t="s">
        <v>44</v>
      </c>
      <c r="N92" t="s">
        <v>20</v>
      </c>
      <c r="O92" t="b">
        <v>1</v>
      </c>
      <c r="Y9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X1PP5M18 Connector Holder JB</v>
      </c>
      <c r="Z92" t="str">
        <f>IF(LEN(Table1[[#This Row],[MA_Number]])&gt;0, Table1[[#This Row],[MA_Number]], "")</f>
        <v>10.21.96496A</v>
      </c>
      <c r="AA92" t="str">
        <f>IF(OR(Table1[[#This Row],[type_code]]="GH", Table1[[#This Row],[type_code]]="CH", Table1[[#This Row],[type_code]]="CLIP H" ), "Finished Product", "")</f>
        <v>Finished Product</v>
      </c>
      <c r="AB92" t="str">
        <f>IF(OR(Table1[[#This Row],[type_code]]="GH", Table1[[#This Row],[type_code]]="CH", Table1[[#This Row],[type_code]]="CLIP H" ), "Holder", "")</f>
        <v>Holder</v>
      </c>
      <c r="AC9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92" t="str">
        <f>IF(OR(Table1[[#This Row],[type_code]]="GH", Table1[[#This Row],[type_code]]="CH", Table1[[#This Row],[type_code]]="CLIP H" ), "Mechanic Holder Production", "")</f>
        <v>Mechanic Holder Production</v>
      </c>
      <c r="AE92" t="str">
        <f>IF(OR(Table1[[#This Row],[type_code]]="GH", Table1[[#This Row],[type_code]]="CH", Table1[[#This Row],[type_code]]="CLIP H" ), "Automatic After Production", "")</f>
        <v>Automatic After Production</v>
      </c>
      <c r="AF9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40mm x 31mm x 58mm</v>
      </c>
    </row>
    <row r="93" spans="1:32" x14ac:dyDescent="0.3">
      <c r="A93" t="s">
        <v>156</v>
      </c>
      <c r="B93" s="1" t="s">
        <v>236</v>
      </c>
      <c r="C93" s="1"/>
      <c r="D93" t="s">
        <v>258</v>
      </c>
      <c r="F93" t="b">
        <v>0</v>
      </c>
      <c r="I93">
        <v>1</v>
      </c>
      <c r="J93">
        <v>52</v>
      </c>
      <c r="K93">
        <v>36</v>
      </c>
      <c r="L93">
        <v>47</v>
      </c>
      <c r="M93" t="s">
        <v>45</v>
      </c>
      <c r="N93" t="s">
        <v>20</v>
      </c>
      <c r="O93" t="b">
        <v>1</v>
      </c>
      <c r="Y9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X1PP5M18 Connector Holder JB</v>
      </c>
      <c r="Z93" t="str">
        <f>IF(LEN(Table1[[#This Row],[MA_Number]])&gt;0, Table1[[#This Row],[MA_Number]], "")</f>
        <v>10.21.96494A</v>
      </c>
      <c r="AA93" t="str">
        <f>IF(OR(Table1[[#This Row],[type_code]]="GH", Table1[[#This Row],[type_code]]="CH", Table1[[#This Row],[type_code]]="CLIP H" ), "Finished Product", "")</f>
        <v>Finished Product</v>
      </c>
      <c r="AB93" t="str">
        <f>IF(OR(Table1[[#This Row],[type_code]]="GH", Table1[[#This Row],[type_code]]="CH", Table1[[#This Row],[type_code]]="CLIP H" ), "Holder", "")</f>
        <v>Holder</v>
      </c>
      <c r="AC9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93" t="str">
        <f>IF(OR(Table1[[#This Row],[type_code]]="GH", Table1[[#This Row],[type_code]]="CH", Table1[[#This Row],[type_code]]="CLIP H" ), "Mechanic Holder Production", "")</f>
        <v>Mechanic Holder Production</v>
      </c>
      <c r="AE93" t="str">
        <f>IF(OR(Table1[[#This Row],[type_code]]="GH", Table1[[#This Row],[type_code]]="CH", Table1[[#This Row],[type_code]]="CLIP H" ), "Automatic After Production", "")</f>
        <v>Automatic After Production</v>
      </c>
      <c r="AF9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52mm x 36mm x 47mm</v>
      </c>
    </row>
    <row r="94" spans="1:32" x14ac:dyDescent="0.3">
      <c r="A94" t="s">
        <v>157</v>
      </c>
      <c r="B94" s="1" t="s">
        <v>237</v>
      </c>
      <c r="C94" s="1"/>
      <c r="D94" t="s">
        <v>258</v>
      </c>
      <c r="F94" t="b">
        <v>0</v>
      </c>
      <c r="I94">
        <v>1</v>
      </c>
      <c r="J94">
        <v>40</v>
      </c>
      <c r="K94">
        <v>33</v>
      </c>
      <c r="L94">
        <v>52</v>
      </c>
      <c r="M94" t="s">
        <v>49</v>
      </c>
      <c r="N94" t="s">
        <v>20</v>
      </c>
      <c r="O94" t="b">
        <v>1</v>
      </c>
      <c r="Y9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ASSY_59Z006-T00D Connector Holder JB</v>
      </c>
      <c r="Z94" t="str">
        <f>IF(LEN(Table1[[#This Row],[MA_Number]])&gt;0, Table1[[#This Row],[MA_Number]], "")</f>
        <v>10.21.83677A</v>
      </c>
      <c r="AA94" t="str">
        <f>IF(OR(Table1[[#This Row],[type_code]]="GH", Table1[[#This Row],[type_code]]="CH", Table1[[#This Row],[type_code]]="CLIP H" ), "Finished Product", "")</f>
        <v>Finished Product</v>
      </c>
      <c r="AB94" t="str">
        <f>IF(OR(Table1[[#This Row],[type_code]]="GH", Table1[[#This Row],[type_code]]="CH", Table1[[#This Row],[type_code]]="CLIP H" ), "Holder", "")</f>
        <v>Holder</v>
      </c>
      <c r="AC9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94" t="str">
        <f>IF(OR(Table1[[#This Row],[type_code]]="GH", Table1[[#This Row],[type_code]]="CH", Table1[[#This Row],[type_code]]="CLIP H" ), "Mechanic Holder Production", "")</f>
        <v>Mechanic Holder Production</v>
      </c>
      <c r="AE94" t="str">
        <f>IF(OR(Table1[[#This Row],[type_code]]="GH", Table1[[#This Row],[type_code]]="CH", Table1[[#This Row],[type_code]]="CLIP H" ), "Automatic After Production", "")</f>
        <v>Automatic After Production</v>
      </c>
      <c r="AF9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ЧЕРВЕН* - RED, POM  - ДЕЛРИН, 
РЯЗАНЕ, 40mm x 33mm x 52mm</v>
      </c>
    </row>
    <row r="95" spans="1:32" x14ac:dyDescent="0.3">
      <c r="A95" t="s">
        <v>158</v>
      </c>
      <c r="B95" s="1" t="s">
        <v>238</v>
      </c>
      <c r="C95" s="1"/>
      <c r="D95" t="s">
        <v>258</v>
      </c>
      <c r="F95" t="b">
        <v>0</v>
      </c>
      <c r="I95">
        <v>1</v>
      </c>
      <c r="J95">
        <v>97</v>
      </c>
      <c r="K95">
        <v>100</v>
      </c>
      <c r="L95">
        <v>65</v>
      </c>
      <c r="M95" t="s">
        <v>50</v>
      </c>
      <c r="N95" t="s">
        <v>20</v>
      </c>
      <c r="O95" t="b">
        <v>1</v>
      </c>
      <c r="Y9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7187903970+7187904070 Connector Holder JB</v>
      </c>
      <c r="Z95" t="str">
        <f>IF(LEN(Table1[[#This Row],[MA_Number]])&gt;0, Table1[[#This Row],[MA_Number]], "")</f>
        <v>10.21.50179G</v>
      </c>
      <c r="AA95" t="str">
        <f>IF(OR(Table1[[#This Row],[type_code]]="GH", Table1[[#This Row],[type_code]]="CH", Table1[[#This Row],[type_code]]="CLIP H" ), "Finished Product", "")</f>
        <v>Finished Product</v>
      </c>
      <c r="AB95" t="str">
        <f>IF(OR(Table1[[#This Row],[type_code]]="GH", Table1[[#This Row],[type_code]]="CH", Table1[[#This Row],[type_code]]="CLIP H" ), "Holder", "")</f>
        <v>Holder</v>
      </c>
      <c r="AC9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95" t="str">
        <f>IF(OR(Table1[[#This Row],[type_code]]="GH", Table1[[#This Row],[type_code]]="CH", Table1[[#This Row],[type_code]]="CLIP H" ), "Mechanic Holder Production", "")</f>
        <v>Mechanic Holder Production</v>
      </c>
      <c r="AE95" t="str">
        <f>IF(OR(Table1[[#This Row],[type_code]]="GH", Table1[[#This Row],[type_code]]="CH", Table1[[#This Row],[type_code]]="CLIP H" ), "Automatic After Production", "")</f>
        <v>Automatic After Production</v>
      </c>
      <c r="AF9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97mm x 100mm x 65mm</v>
      </c>
    </row>
    <row r="96" spans="1:32" x14ac:dyDescent="0.3">
      <c r="A96" t="s">
        <v>159</v>
      </c>
      <c r="B96" s="1" t="s">
        <v>239</v>
      </c>
      <c r="C96" s="1"/>
      <c r="D96" t="s">
        <v>258</v>
      </c>
      <c r="E96" t="s">
        <v>276</v>
      </c>
      <c r="F96" t="b">
        <v>0</v>
      </c>
      <c r="I96">
        <v>1</v>
      </c>
      <c r="J96">
        <v>120</v>
      </c>
      <c r="K96">
        <v>100</v>
      </c>
      <c r="L96">
        <v>70</v>
      </c>
      <c r="M96" t="s">
        <v>44</v>
      </c>
      <c r="N96" t="s">
        <v>20</v>
      </c>
      <c r="O96" t="b">
        <v>1</v>
      </c>
      <c r="Y9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X1PO2539 Connector Holder JB</v>
      </c>
      <c r="Z96" t="str">
        <f>IF(LEN(Table1[[#This Row],[MA_Number]])&gt;0, Table1[[#This Row],[MA_Number]], "")</f>
        <v>10.21.77159A</v>
      </c>
      <c r="AA96" t="str">
        <f>IF(OR(Table1[[#This Row],[type_code]]="GH", Table1[[#This Row],[type_code]]="CH", Table1[[#This Row],[type_code]]="CLIP H" ), "Finished Product", "")</f>
        <v>Finished Product</v>
      </c>
      <c r="AB96" t="str">
        <f>IF(OR(Table1[[#This Row],[type_code]]="GH", Table1[[#This Row],[type_code]]="CH", Table1[[#This Row],[type_code]]="CLIP H" ), "Holder", "")</f>
        <v>Holder</v>
      </c>
      <c r="AC9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96" t="str">
        <f>IF(OR(Table1[[#This Row],[type_code]]="GH", Table1[[#This Row],[type_code]]="CH", Table1[[#This Row],[type_code]]="CLIP H" ), "Mechanic Holder Production", "")</f>
        <v>Mechanic Holder Production</v>
      </c>
      <c r="AE96" t="str">
        <f>IF(OR(Table1[[#This Row],[type_code]]="GH", Table1[[#This Row],[type_code]]="CH", Table1[[#This Row],[type_code]]="CLIP H" ), "Automatic After Production", "")</f>
        <v>Automatic After Production</v>
      </c>
      <c r="AF9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120mm x 100mm x 70mm</v>
      </c>
    </row>
    <row r="97" spans="1:32" x14ac:dyDescent="0.3">
      <c r="A97" t="s">
        <v>160</v>
      </c>
      <c r="B97" s="1">
        <v>7009741102</v>
      </c>
      <c r="C97" s="1"/>
      <c r="D97" t="s">
        <v>258</v>
      </c>
      <c r="F97" t="b">
        <v>0</v>
      </c>
      <c r="I97">
        <v>1</v>
      </c>
      <c r="J97">
        <v>43</v>
      </c>
      <c r="K97">
        <v>40</v>
      </c>
      <c r="L97">
        <v>50</v>
      </c>
      <c r="M97" t="s">
        <v>44</v>
      </c>
      <c r="N97" t="s">
        <v>20</v>
      </c>
      <c r="O97" t="b">
        <v>1</v>
      </c>
      <c r="Y9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7009741102 Connector Holder JB</v>
      </c>
      <c r="Z97" t="str">
        <f>IF(LEN(Table1[[#This Row],[MA_Number]])&gt;0, Table1[[#This Row],[MA_Number]], "")</f>
        <v>10.21.80727A</v>
      </c>
      <c r="AA97" t="str">
        <f>IF(OR(Table1[[#This Row],[type_code]]="GH", Table1[[#This Row],[type_code]]="CH", Table1[[#This Row],[type_code]]="CLIP H" ), "Finished Product", "")</f>
        <v>Finished Product</v>
      </c>
      <c r="AB97" t="str">
        <f>IF(OR(Table1[[#This Row],[type_code]]="GH", Table1[[#This Row],[type_code]]="CH", Table1[[#This Row],[type_code]]="CLIP H" ), "Holder", "")</f>
        <v>Holder</v>
      </c>
      <c r="AC9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97" t="str">
        <f>IF(OR(Table1[[#This Row],[type_code]]="GH", Table1[[#This Row],[type_code]]="CH", Table1[[#This Row],[type_code]]="CLIP H" ), "Mechanic Holder Production", "")</f>
        <v>Mechanic Holder Production</v>
      </c>
      <c r="AE97" t="str">
        <f>IF(OR(Table1[[#This Row],[type_code]]="GH", Table1[[#This Row],[type_code]]="CH", Table1[[#This Row],[type_code]]="CLIP H" ), "Automatic After Production", "")</f>
        <v>Automatic After Production</v>
      </c>
      <c r="AF9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43mm x 40mm x 50mm</v>
      </c>
    </row>
    <row r="98" spans="1:32" x14ac:dyDescent="0.3">
      <c r="A98" t="s">
        <v>271</v>
      </c>
      <c r="B98" s="1" t="s">
        <v>240</v>
      </c>
      <c r="C98" s="1"/>
      <c r="D98" t="s">
        <v>258</v>
      </c>
      <c r="F98" t="b">
        <v>0</v>
      </c>
      <c r="I98">
        <v>1</v>
      </c>
      <c r="J98">
        <v>61</v>
      </c>
      <c r="K98">
        <v>50</v>
      </c>
      <c r="L98">
        <v>87</v>
      </c>
      <c r="M98" t="s">
        <v>44</v>
      </c>
      <c r="N98" t="s">
        <v>20</v>
      </c>
      <c r="O98" t="b">
        <v>1</v>
      </c>
      <c r="Y9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71196683+7173344320+7173807630 Connector Holder JB</v>
      </c>
      <c r="Z98" t="str">
        <f>IF(LEN(Table1[[#This Row],[MA_Number]])&gt;0, Table1[[#This Row],[MA_Number]], "")</f>
        <v>10.21.83671_B</v>
      </c>
      <c r="AA98" t="str">
        <f>IF(OR(Table1[[#This Row],[type_code]]="GH", Table1[[#This Row],[type_code]]="CH", Table1[[#This Row],[type_code]]="CLIP H" ), "Finished Product", "")</f>
        <v>Finished Product</v>
      </c>
      <c r="AB98" t="str">
        <f>IF(OR(Table1[[#This Row],[type_code]]="GH", Table1[[#This Row],[type_code]]="CH", Table1[[#This Row],[type_code]]="CLIP H" ), "Holder", "")</f>
        <v>Holder</v>
      </c>
      <c r="AC9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98" t="str">
        <f>IF(OR(Table1[[#This Row],[type_code]]="GH", Table1[[#This Row],[type_code]]="CH", Table1[[#This Row],[type_code]]="CLIP H" ), "Mechanic Holder Production", "")</f>
        <v>Mechanic Holder Production</v>
      </c>
      <c r="AE98" t="str">
        <f>IF(OR(Table1[[#This Row],[type_code]]="GH", Table1[[#This Row],[type_code]]="CH", Table1[[#This Row],[type_code]]="CLIP H" ), "Automatic After Production", "")</f>
        <v>Automatic After Production</v>
      </c>
      <c r="AF9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61mm x 50mm x 87mm</v>
      </c>
    </row>
    <row r="99" spans="1:32" x14ac:dyDescent="0.3">
      <c r="A99" t="s">
        <v>161</v>
      </c>
      <c r="B99" s="1">
        <v>7289063430</v>
      </c>
      <c r="C99" s="1"/>
      <c r="D99" t="s">
        <v>258</v>
      </c>
      <c r="F99" t="b">
        <v>0</v>
      </c>
      <c r="I99">
        <v>1</v>
      </c>
      <c r="J99">
        <v>54</v>
      </c>
      <c r="K99">
        <v>44</v>
      </c>
      <c r="L99">
        <v>47</v>
      </c>
      <c r="M99" t="s">
        <v>45</v>
      </c>
      <c r="N99" t="s">
        <v>20</v>
      </c>
      <c r="O99" t="b">
        <v>1</v>
      </c>
      <c r="Y9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7289063430 Connector Holder JB</v>
      </c>
      <c r="Z99" t="str">
        <f>IF(LEN(Table1[[#This Row],[MA_Number]])&gt;0, Table1[[#This Row],[MA_Number]], "")</f>
        <v>10.21.35125A</v>
      </c>
      <c r="AA99" t="str">
        <f>IF(OR(Table1[[#This Row],[type_code]]="GH", Table1[[#This Row],[type_code]]="CH", Table1[[#This Row],[type_code]]="CLIP H" ), "Finished Product", "")</f>
        <v>Finished Product</v>
      </c>
      <c r="AB99" t="str">
        <f>IF(OR(Table1[[#This Row],[type_code]]="GH", Table1[[#This Row],[type_code]]="CH", Table1[[#This Row],[type_code]]="CLIP H" ), "Holder", "")</f>
        <v>Holder</v>
      </c>
      <c r="AC9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99" t="str">
        <f>IF(OR(Table1[[#This Row],[type_code]]="GH", Table1[[#This Row],[type_code]]="CH", Table1[[#This Row],[type_code]]="CLIP H" ), "Mechanic Holder Production", "")</f>
        <v>Mechanic Holder Production</v>
      </c>
      <c r="AE99" t="str">
        <f>IF(OR(Table1[[#This Row],[type_code]]="GH", Table1[[#This Row],[type_code]]="CH", Table1[[#This Row],[type_code]]="CLIP H" ), "Automatic After Production", "")</f>
        <v>Automatic After Production</v>
      </c>
      <c r="AF9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54mm x 44mm x 47mm</v>
      </c>
    </row>
    <row r="100" spans="1:32" x14ac:dyDescent="0.3">
      <c r="A100" t="s">
        <v>162</v>
      </c>
      <c r="B100" s="1" t="s">
        <v>241</v>
      </c>
      <c r="C100" s="1"/>
      <c r="D100" t="s">
        <v>258</v>
      </c>
      <c r="F100" t="b">
        <v>0</v>
      </c>
      <c r="I100">
        <v>1</v>
      </c>
      <c r="J100">
        <v>80</v>
      </c>
      <c r="K100">
        <v>60</v>
      </c>
      <c r="L100">
        <v>58</v>
      </c>
      <c r="M100" t="s">
        <v>45</v>
      </c>
      <c r="N100" t="s">
        <v>20</v>
      </c>
      <c r="O100" t="b">
        <v>1</v>
      </c>
      <c r="Y10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7289808930+7274153930 Connector Holder JB</v>
      </c>
      <c r="Z100" t="str">
        <f>IF(LEN(Table1[[#This Row],[MA_Number]])&gt;0, Table1[[#This Row],[MA_Number]], "")</f>
        <v>10.21.83685A</v>
      </c>
      <c r="AA100" t="str">
        <f>IF(OR(Table1[[#This Row],[type_code]]="GH", Table1[[#This Row],[type_code]]="CH", Table1[[#This Row],[type_code]]="CLIP H" ), "Finished Product", "")</f>
        <v>Finished Product</v>
      </c>
      <c r="AB100" t="str">
        <f>IF(OR(Table1[[#This Row],[type_code]]="GH", Table1[[#This Row],[type_code]]="CH", Table1[[#This Row],[type_code]]="CLIP H" ), "Holder", "")</f>
        <v>Holder</v>
      </c>
      <c r="AC10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00" t="str">
        <f>IF(OR(Table1[[#This Row],[type_code]]="GH", Table1[[#This Row],[type_code]]="CH", Table1[[#This Row],[type_code]]="CLIP H" ), "Mechanic Holder Production", "")</f>
        <v>Mechanic Holder Production</v>
      </c>
      <c r="AE100" t="str">
        <f>IF(OR(Table1[[#This Row],[type_code]]="GH", Table1[[#This Row],[type_code]]="CH", Table1[[#This Row],[type_code]]="CLIP H" ), "Automatic After Production", "")</f>
        <v>Automatic After Production</v>
      </c>
      <c r="AF10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80mm x 60mm x 58mm</v>
      </c>
    </row>
    <row r="101" spans="1:32" x14ac:dyDescent="0.3">
      <c r="A101" t="s">
        <v>163</v>
      </c>
      <c r="B101" s="1" t="s">
        <v>297</v>
      </c>
      <c r="C101" s="1"/>
      <c r="D101" t="s">
        <v>258</v>
      </c>
      <c r="F101" t="b">
        <v>0</v>
      </c>
      <c r="I101">
        <v>1</v>
      </c>
      <c r="J101">
        <v>40</v>
      </c>
      <c r="K101">
        <v>33</v>
      </c>
      <c r="L101">
        <v>52</v>
      </c>
      <c r="M101" t="s">
        <v>44</v>
      </c>
      <c r="N101" t="s">
        <v>20</v>
      </c>
      <c r="O101" t="b">
        <v>1</v>
      </c>
      <c r="Y10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ASSY_59Z006T00B Connector Holder JB</v>
      </c>
      <c r="Z101" t="str">
        <f>IF(LEN(Table1[[#This Row],[MA_Number]])&gt;0, Table1[[#This Row],[MA_Number]], "")</f>
        <v>10.21.83672A</v>
      </c>
      <c r="AA101" t="str">
        <f>IF(OR(Table1[[#This Row],[type_code]]="GH", Table1[[#This Row],[type_code]]="CH", Table1[[#This Row],[type_code]]="CLIP H" ), "Finished Product", "")</f>
        <v>Finished Product</v>
      </c>
      <c r="AB101" t="str">
        <f>IF(OR(Table1[[#This Row],[type_code]]="GH", Table1[[#This Row],[type_code]]="CH", Table1[[#This Row],[type_code]]="CLIP H" ), "Holder", "")</f>
        <v>Holder</v>
      </c>
      <c r="AC10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01" t="str">
        <f>IF(OR(Table1[[#This Row],[type_code]]="GH", Table1[[#This Row],[type_code]]="CH", Table1[[#This Row],[type_code]]="CLIP H" ), "Mechanic Holder Production", "")</f>
        <v>Mechanic Holder Production</v>
      </c>
      <c r="AE101" t="str">
        <f>IF(OR(Table1[[#This Row],[type_code]]="GH", Table1[[#This Row],[type_code]]="CH", Table1[[#This Row],[type_code]]="CLIP H" ), "Automatic After Production", "")</f>
        <v>Automatic After Production</v>
      </c>
      <c r="AF10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40mm x 33mm x 52mm</v>
      </c>
    </row>
    <row r="102" spans="1:32" x14ac:dyDescent="0.3">
      <c r="A102" t="s">
        <v>164</v>
      </c>
      <c r="B102" s="1" t="s">
        <v>242</v>
      </c>
      <c r="C102" s="1"/>
      <c r="D102" t="s">
        <v>258</v>
      </c>
      <c r="F102" t="b">
        <v>0</v>
      </c>
      <c r="I102">
        <v>1</v>
      </c>
      <c r="J102">
        <v>40</v>
      </c>
      <c r="K102">
        <v>35</v>
      </c>
      <c r="L102">
        <v>52</v>
      </c>
      <c r="M102" t="s">
        <v>48</v>
      </c>
      <c r="N102" t="s">
        <v>20</v>
      </c>
      <c r="O102" t="b">
        <v>1</v>
      </c>
      <c r="Y10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ASSY_59Z006T00E Connector Holder JB</v>
      </c>
      <c r="Z102" t="str">
        <f>IF(LEN(Table1[[#This Row],[MA_Number]])&gt;0, Table1[[#This Row],[MA_Number]], "")</f>
        <v>10.21.77126A</v>
      </c>
      <c r="AA102" t="str">
        <f>IF(OR(Table1[[#This Row],[type_code]]="GH", Table1[[#This Row],[type_code]]="CH", Table1[[#This Row],[type_code]]="CLIP H" ), "Finished Product", "")</f>
        <v>Finished Product</v>
      </c>
      <c r="AB102" t="str">
        <f>IF(OR(Table1[[#This Row],[type_code]]="GH", Table1[[#This Row],[type_code]]="CH", Table1[[#This Row],[type_code]]="CLIP H" ), "Holder", "")</f>
        <v>Holder</v>
      </c>
      <c r="AC10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02" t="str">
        <f>IF(OR(Table1[[#This Row],[type_code]]="GH", Table1[[#This Row],[type_code]]="CH", Table1[[#This Row],[type_code]]="CLIP H" ), "Mechanic Holder Production", "")</f>
        <v>Mechanic Holder Production</v>
      </c>
      <c r="AE102" t="str">
        <f>IF(OR(Table1[[#This Row],[type_code]]="GH", Table1[[#This Row],[type_code]]="CH", Table1[[#This Row],[type_code]]="CLIP H" ), "Automatic After Production", "")</f>
        <v>Automatic After Production</v>
      </c>
      <c r="AF10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40mm x 35mm x 52mm</v>
      </c>
    </row>
    <row r="103" spans="1:32" x14ac:dyDescent="0.3">
      <c r="A103" t="s">
        <v>165</v>
      </c>
      <c r="B103" s="1" t="s">
        <v>300</v>
      </c>
      <c r="C103" s="1"/>
      <c r="D103" t="s">
        <v>258</v>
      </c>
      <c r="F103" t="b">
        <v>0</v>
      </c>
      <c r="I103">
        <v>1</v>
      </c>
      <c r="J103">
        <v>45</v>
      </c>
      <c r="K103">
        <v>40</v>
      </c>
      <c r="L103">
        <v>46</v>
      </c>
      <c r="M103" t="s">
        <v>49</v>
      </c>
      <c r="N103" t="s">
        <v>20</v>
      </c>
      <c r="O103" t="b">
        <v>1</v>
      </c>
      <c r="Y10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ASSY_D4Z001DC0D Connector Holder JB</v>
      </c>
      <c r="Z103" t="str">
        <f>IF(LEN(Table1[[#This Row],[MA_Number]])&gt;0, Table1[[#This Row],[MA_Number]], "")</f>
        <v>10.21.73070A</v>
      </c>
      <c r="AA103" t="str">
        <f>IF(OR(Table1[[#This Row],[type_code]]="GH", Table1[[#This Row],[type_code]]="CH", Table1[[#This Row],[type_code]]="CLIP H" ), "Finished Product", "")</f>
        <v>Finished Product</v>
      </c>
      <c r="AB103" t="str">
        <f>IF(OR(Table1[[#This Row],[type_code]]="GH", Table1[[#This Row],[type_code]]="CH", Table1[[#This Row],[type_code]]="CLIP H" ), "Holder", "")</f>
        <v>Holder</v>
      </c>
      <c r="AC10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03" t="str">
        <f>IF(OR(Table1[[#This Row],[type_code]]="GH", Table1[[#This Row],[type_code]]="CH", Table1[[#This Row],[type_code]]="CLIP H" ), "Mechanic Holder Production", "")</f>
        <v>Mechanic Holder Production</v>
      </c>
      <c r="AE103" t="str">
        <f>IF(OR(Table1[[#This Row],[type_code]]="GH", Table1[[#This Row],[type_code]]="CH", Table1[[#This Row],[type_code]]="CLIP H" ), "Automatic After Production", "")</f>
        <v>Automatic After Production</v>
      </c>
      <c r="AF10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ЧЕРВЕН* - RED, POM  - ДЕЛРИН, 
РЯЗАНЕ, 45mm x 40mm x 46mm</v>
      </c>
    </row>
    <row r="104" spans="1:32" x14ac:dyDescent="0.3">
      <c r="A104" t="s">
        <v>166</v>
      </c>
      <c r="B104" s="1" t="s">
        <v>243</v>
      </c>
      <c r="C104" s="1"/>
      <c r="D104" t="s">
        <v>258</v>
      </c>
      <c r="F104" t="b">
        <v>0</v>
      </c>
      <c r="I104">
        <v>1</v>
      </c>
      <c r="J104">
        <v>45</v>
      </c>
      <c r="K104">
        <v>35</v>
      </c>
      <c r="L104">
        <v>47</v>
      </c>
      <c r="M104" t="s">
        <v>49</v>
      </c>
      <c r="N104" t="s">
        <v>20</v>
      </c>
      <c r="O104" t="b">
        <v>1</v>
      </c>
      <c r="Y10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ASSY_D4Z002DC0D Connector Holder JB</v>
      </c>
      <c r="Z104" t="str">
        <f>IF(LEN(Table1[[#This Row],[MA_Number]])&gt;0, Table1[[#This Row],[MA_Number]], "")</f>
        <v>10.21.79593A</v>
      </c>
      <c r="AA104" t="str">
        <f>IF(OR(Table1[[#This Row],[type_code]]="GH", Table1[[#This Row],[type_code]]="CH", Table1[[#This Row],[type_code]]="CLIP H" ), "Finished Product", "")</f>
        <v>Finished Product</v>
      </c>
      <c r="AB104" t="str">
        <f>IF(OR(Table1[[#This Row],[type_code]]="GH", Table1[[#This Row],[type_code]]="CH", Table1[[#This Row],[type_code]]="CLIP H" ), "Holder", "")</f>
        <v>Holder</v>
      </c>
      <c r="AC10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04" t="str">
        <f>IF(OR(Table1[[#This Row],[type_code]]="GH", Table1[[#This Row],[type_code]]="CH", Table1[[#This Row],[type_code]]="CLIP H" ), "Mechanic Holder Production", "")</f>
        <v>Mechanic Holder Production</v>
      </c>
      <c r="AE104" t="str">
        <f>IF(OR(Table1[[#This Row],[type_code]]="GH", Table1[[#This Row],[type_code]]="CH", Table1[[#This Row],[type_code]]="CLIP H" ), "Automatic After Production", "")</f>
        <v>Automatic After Production</v>
      </c>
      <c r="AF10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ЧЕРВЕН* - RED, POM  - ДЕЛРИН, 
РЯЗАНЕ, 45mm x 35mm x 47mm</v>
      </c>
    </row>
    <row r="105" spans="1:32" x14ac:dyDescent="0.3">
      <c r="A105" t="s">
        <v>167</v>
      </c>
      <c r="B105" s="1">
        <v>7047135830</v>
      </c>
      <c r="C105" s="1"/>
      <c r="D105" t="s">
        <v>261</v>
      </c>
      <c r="F105" t="b">
        <v>0</v>
      </c>
      <c r="I105">
        <v>1</v>
      </c>
      <c r="J105">
        <v>31</v>
      </c>
      <c r="K105">
        <v>20</v>
      </c>
      <c r="L105">
        <v>55</v>
      </c>
      <c r="M105" t="s">
        <v>45</v>
      </c>
      <c r="N105" t="s">
        <v>20</v>
      </c>
      <c r="O105" t="b">
        <v>1</v>
      </c>
      <c r="Y10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7047135830 Clip Holder JB</v>
      </c>
      <c r="Z105" t="str">
        <f>IF(LEN(Table1[[#This Row],[MA_Number]])&gt;0, Table1[[#This Row],[MA_Number]], "")</f>
        <v>10.21.10820</v>
      </c>
      <c r="AA105" t="str">
        <f>IF(OR(Table1[[#This Row],[type_code]]="GH", Table1[[#This Row],[type_code]]="CH", Table1[[#This Row],[type_code]]="CLIP H" ), "Finished Product", "")</f>
        <v>Finished Product</v>
      </c>
      <c r="AB105" t="str">
        <f>IF(OR(Table1[[#This Row],[type_code]]="GH", Table1[[#This Row],[type_code]]="CH", Table1[[#This Row],[type_code]]="CLIP H" ), "Holder", "")</f>
        <v>Holder</v>
      </c>
      <c r="AC105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05" t="str">
        <f>IF(OR(Table1[[#This Row],[type_code]]="GH", Table1[[#This Row],[type_code]]="CH", Table1[[#This Row],[type_code]]="CLIP H" ), "Mechanic Holder Production", "")</f>
        <v>Mechanic Holder Production</v>
      </c>
      <c r="AE105" t="str">
        <f>IF(OR(Table1[[#This Row],[type_code]]="GH", Table1[[#This Row],[type_code]]="CH", Table1[[#This Row],[type_code]]="CLIP H" ), "Automatic After Production", "")</f>
        <v>Automatic After Production</v>
      </c>
      <c r="AF10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31mm x 20mm x 55mm</v>
      </c>
    </row>
    <row r="106" spans="1:32" x14ac:dyDescent="0.3">
      <c r="A106" t="s">
        <v>490</v>
      </c>
      <c r="B106" s="1">
        <v>7047186030</v>
      </c>
      <c r="C106" s="1"/>
      <c r="D106" t="s">
        <v>261</v>
      </c>
      <c r="E106" t="s">
        <v>251</v>
      </c>
      <c r="F106" t="b">
        <v>0</v>
      </c>
      <c r="I106">
        <v>1</v>
      </c>
      <c r="J106">
        <v>35</v>
      </c>
      <c r="K106">
        <v>20</v>
      </c>
      <c r="L106">
        <v>47</v>
      </c>
      <c r="M106" t="s">
        <v>45</v>
      </c>
      <c r="N106" t="s">
        <v>20</v>
      </c>
      <c r="O106" t="b">
        <v>1</v>
      </c>
      <c r="Q106" t="b">
        <v>1</v>
      </c>
      <c r="R106">
        <v>105</v>
      </c>
      <c r="S106">
        <v>35</v>
      </c>
      <c r="T106">
        <v>47</v>
      </c>
      <c r="U106">
        <v>5</v>
      </c>
      <c r="Y10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7047186030 Clip Holder JB</v>
      </c>
      <c r="Z106" t="str">
        <f>IF(LEN(Table1[[#This Row],[MA_Number]])&gt;0, Table1[[#This Row],[MA_Number]], "")</f>
        <v>10.21.08826A</v>
      </c>
      <c r="AA106" t="str">
        <f>IF(OR(Table1[[#This Row],[type_code]]="GH", Table1[[#This Row],[type_code]]="CH", Table1[[#This Row],[type_code]]="CLIP H" ), "Finished Product", "")</f>
        <v>Finished Product</v>
      </c>
      <c r="AB106" t="str">
        <f>IF(OR(Table1[[#This Row],[type_code]]="GH", Table1[[#This Row],[type_code]]="CH", Table1[[#This Row],[type_code]]="CLIP H" ), "Holder", "")</f>
        <v>Holder</v>
      </c>
      <c r="AC106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06" t="str">
        <f>IF(OR(Table1[[#This Row],[type_code]]="GH", Table1[[#This Row],[type_code]]="CH", Table1[[#This Row],[type_code]]="CLIP H" ), "Mechanic Holder Production", "")</f>
        <v>Mechanic Holder Production</v>
      </c>
      <c r="AE106" t="str">
        <f>IF(OR(Table1[[#This Row],[type_code]]="GH", Table1[[#This Row],[type_code]]="CH", Table1[[#This Row],[type_code]]="CLIP H" ), "Automatic After Production", "")</f>
        <v>Automatic After Production</v>
      </c>
      <c r="AF10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35mm x 20mm x 47mm</v>
      </c>
    </row>
    <row r="107" spans="1:32" x14ac:dyDescent="0.3">
      <c r="A107" t="s">
        <v>168</v>
      </c>
      <c r="B107" s="1">
        <v>7047273930</v>
      </c>
      <c r="C107" s="1"/>
      <c r="D107" t="s">
        <v>261</v>
      </c>
      <c r="F107" t="b">
        <v>0</v>
      </c>
      <c r="I107">
        <v>1</v>
      </c>
      <c r="J107">
        <v>34</v>
      </c>
      <c r="K107">
        <v>20</v>
      </c>
      <c r="L107">
        <v>50</v>
      </c>
      <c r="M107" t="s">
        <v>45</v>
      </c>
      <c r="N107" t="s">
        <v>20</v>
      </c>
      <c r="O107" t="b">
        <v>1</v>
      </c>
      <c r="Y10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7047273930 Clip Holder JB</v>
      </c>
      <c r="Z107" t="str">
        <f>IF(LEN(Table1[[#This Row],[MA_Number]])&gt;0, Table1[[#This Row],[MA_Number]], "")</f>
        <v>10.21.84626</v>
      </c>
      <c r="AA107" t="str">
        <f>IF(OR(Table1[[#This Row],[type_code]]="GH", Table1[[#This Row],[type_code]]="CH", Table1[[#This Row],[type_code]]="CLIP H" ), "Finished Product", "")</f>
        <v>Finished Product</v>
      </c>
      <c r="AB107" t="str">
        <f>IF(OR(Table1[[#This Row],[type_code]]="GH", Table1[[#This Row],[type_code]]="CH", Table1[[#This Row],[type_code]]="CLIP H" ), "Holder", "")</f>
        <v>Holder</v>
      </c>
      <c r="AC107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07" t="str">
        <f>IF(OR(Table1[[#This Row],[type_code]]="GH", Table1[[#This Row],[type_code]]="CH", Table1[[#This Row],[type_code]]="CLIP H" ), "Mechanic Holder Production", "")</f>
        <v>Mechanic Holder Production</v>
      </c>
      <c r="AE107" t="str">
        <f>IF(OR(Table1[[#This Row],[type_code]]="GH", Table1[[#This Row],[type_code]]="CH", Table1[[#This Row],[type_code]]="CLIP H" ), "Automatic After Production", "")</f>
        <v>Automatic After Production</v>
      </c>
      <c r="AF10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34mm x 20mm x 50mm</v>
      </c>
    </row>
    <row r="108" spans="1:32" x14ac:dyDescent="0.3">
      <c r="A108" t="s">
        <v>169</v>
      </c>
      <c r="B108" s="1">
        <v>7047305630</v>
      </c>
      <c r="C108" s="1"/>
      <c r="D108" t="s">
        <v>261</v>
      </c>
      <c r="F108" t="b">
        <v>0</v>
      </c>
      <c r="I108">
        <v>1</v>
      </c>
      <c r="J108">
        <v>37</v>
      </c>
      <c r="K108">
        <v>30</v>
      </c>
      <c r="L108">
        <v>45</v>
      </c>
      <c r="M108" t="s">
        <v>45</v>
      </c>
      <c r="N108" t="s">
        <v>20</v>
      </c>
      <c r="O108" t="b">
        <v>1</v>
      </c>
      <c r="Y10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7047305630 Clip Holder JB</v>
      </c>
      <c r="Z108" t="str">
        <f>IF(LEN(Table1[[#This Row],[MA_Number]])&gt;0, Table1[[#This Row],[MA_Number]], "")</f>
        <v>10.21.39356</v>
      </c>
      <c r="AA108" t="str">
        <f>IF(OR(Table1[[#This Row],[type_code]]="GH", Table1[[#This Row],[type_code]]="CH", Table1[[#This Row],[type_code]]="CLIP H" ), "Finished Product", "")</f>
        <v>Finished Product</v>
      </c>
      <c r="AB108" t="str">
        <f>IF(OR(Table1[[#This Row],[type_code]]="GH", Table1[[#This Row],[type_code]]="CH", Table1[[#This Row],[type_code]]="CLIP H" ), "Holder", "")</f>
        <v>Holder</v>
      </c>
      <c r="AC108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08" t="str">
        <f>IF(OR(Table1[[#This Row],[type_code]]="GH", Table1[[#This Row],[type_code]]="CH", Table1[[#This Row],[type_code]]="CLIP H" ), "Mechanic Holder Production", "")</f>
        <v>Mechanic Holder Production</v>
      </c>
      <c r="AE108" t="str">
        <f>IF(OR(Table1[[#This Row],[type_code]]="GH", Table1[[#This Row],[type_code]]="CH", Table1[[#This Row],[type_code]]="CLIP H" ), "Automatic After Production", "")</f>
        <v>Automatic After Production</v>
      </c>
      <c r="AF10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37mm x 30mm x 45mm</v>
      </c>
    </row>
    <row r="109" spans="1:32" x14ac:dyDescent="0.3">
      <c r="A109" t="s">
        <v>170</v>
      </c>
      <c r="B109" s="1">
        <v>7052161430</v>
      </c>
      <c r="C109" s="1"/>
      <c r="D109" t="s">
        <v>261</v>
      </c>
      <c r="F109" t="b">
        <v>0</v>
      </c>
      <c r="I109">
        <v>1</v>
      </c>
      <c r="J109">
        <v>34</v>
      </c>
      <c r="K109">
        <v>25</v>
      </c>
      <c r="L109">
        <v>50</v>
      </c>
      <c r="M109" t="s">
        <v>45</v>
      </c>
      <c r="N109" t="s">
        <v>20</v>
      </c>
      <c r="O109" t="b">
        <v>1</v>
      </c>
      <c r="Y10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7052161430 Clip Holder JB</v>
      </c>
      <c r="Z109" t="str">
        <f>IF(LEN(Table1[[#This Row],[MA_Number]])&gt;0, Table1[[#This Row],[MA_Number]], "")</f>
        <v>10.21.54460A</v>
      </c>
      <c r="AA109" t="str">
        <f>IF(OR(Table1[[#This Row],[type_code]]="GH", Table1[[#This Row],[type_code]]="CH", Table1[[#This Row],[type_code]]="CLIP H" ), "Finished Product", "")</f>
        <v>Finished Product</v>
      </c>
      <c r="AB109" t="str">
        <f>IF(OR(Table1[[#This Row],[type_code]]="GH", Table1[[#This Row],[type_code]]="CH", Table1[[#This Row],[type_code]]="CLIP H" ), "Holder", "")</f>
        <v>Holder</v>
      </c>
      <c r="AC109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09" t="str">
        <f>IF(OR(Table1[[#This Row],[type_code]]="GH", Table1[[#This Row],[type_code]]="CH", Table1[[#This Row],[type_code]]="CLIP H" ), "Mechanic Holder Production", "")</f>
        <v>Mechanic Holder Production</v>
      </c>
      <c r="AE109" t="str">
        <f>IF(OR(Table1[[#This Row],[type_code]]="GH", Table1[[#This Row],[type_code]]="CH", Table1[[#This Row],[type_code]]="CLIP H" ), "Automatic After Production", "")</f>
        <v>Automatic After Production</v>
      </c>
      <c r="AF10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34mm x 25mm x 50mm</v>
      </c>
    </row>
    <row r="110" spans="1:32" x14ac:dyDescent="0.3">
      <c r="A110" t="s">
        <v>171</v>
      </c>
      <c r="B110" s="1">
        <v>7047178330</v>
      </c>
      <c r="C110" s="1"/>
      <c r="D110" t="s">
        <v>261</v>
      </c>
      <c r="F110" t="b">
        <v>0</v>
      </c>
      <c r="I110">
        <v>1</v>
      </c>
      <c r="J110">
        <v>30</v>
      </c>
      <c r="K110">
        <v>20</v>
      </c>
      <c r="L110">
        <v>48</v>
      </c>
      <c r="M110" t="s">
        <v>45</v>
      </c>
      <c r="N110" t="s">
        <v>20</v>
      </c>
      <c r="O110" t="b">
        <v>1</v>
      </c>
      <c r="Y11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7047178330 Clip Holder JB</v>
      </c>
      <c r="Z110" t="str">
        <f>IF(LEN(Table1[[#This Row],[MA_Number]])&gt;0, Table1[[#This Row],[MA_Number]], "")</f>
        <v>10.21.10182</v>
      </c>
      <c r="AA110" t="str">
        <f>IF(OR(Table1[[#This Row],[type_code]]="GH", Table1[[#This Row],[type_code]]="CH", Table1[[#This Row],[type_code]]="CLIP H" ), "Finished Product", "")</f>
        <v>Finished Product</v>
      </c>
      <c r="AB110" t="str">
        <f>IF(OR(Table1[[#This Row],[type_code]]="GH", Table1[[#This Row],[type_code]]="CH", Table1[[#This Row],[type_code]]="CLIP H" ), "Holder", "")</f>
        <v>Holder</v>
      </c>
      <c r="AC110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10" t="str">
        <f>IF(OR(Table1[[#This Row],[type_code]]="GH", Table1[[#This Row],[type_code]]="CH", Table1[[#This Row],[type_code]]="CLIP H" ), "Mechanic Holder Production", "")</f>
        <v>Mechanic Holder Production</v>
      </c>
      <c r="AE110" t="str">
        <f>IF(OR(Table1[[#This Row],[type_code]]="GH", Table1[[#This Row],[type_code]]="CH", Table1[[#This Row],[type_code]]="CLIP H" ), "Automatic After Production", "")</f>
        <v>Automatic After Production</v>
      </c>
      <c r="AF11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30mm x 20mm x 48mm</v>
      </c>
    </row>
    <row r="111" spans="1:32" x14ac:dyDescent="0.3">
      <c r="A111" t="s">
        <v>172</v>
      </c>
      <c r="B111" s="1">
        <v>7147882430</v>
      </c>
      <c r="C111" s="1"/>
      <c r="D111" t="s">
        <v>261</v>
      </c>
      <c r="E111" t="s">
        <v>252</v>
      </c>
      <c r="F111" t="b">
        <v>0</v>
      </c>
      <c r="I111">
        <v>1</v>
      </c>
      <c r="J111">
        <v>35</v>
      </c>
      <c r="K111">
        <v>26</v>
      </c>
      <c r="L111">
        <v>40</v>
      </c>
      <c r="M111" t="s">
        <v>45</v>
      </c>
      <c r="N111" t="s">
        <v>20</v>
      </c>
      <c r="O111" t="b">
        <v>1</v>
      </c>
      <c r="Q111" t="b">
        <v>1</v>
      </c>
      <c r="R111">
        <v>138</v>
      </c>
      <c r="S111">
        <v>35</v>
      </c>
      <c r="T111">
        <v>40</v>
      </c>
      <c r="U111">
        <v>5</v>
      </c>
      <c r="Y11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7147882430 Clip Holder JB</v>
      </c>
      <c r="Z111" t="str">
        <f>IF(LEN(Table1[[#This Row],[MA_Number]])&gt;0, Table1[[#This Row],[MA_Number]], "")</f>
        <v>10.21.37737</v>
      </c>
      <c r="AA111" t="str">
        <f>IF(OR(Table1[[#This Row],[type_code]]="GH", Table1[[#This Row],[type_code]]="CH", Table1[[#This Row],[type_code]]="CLIP H" ), "Finished Product", "")</f>
        <v>Finished Product</v>
      </c>
      <c r="AB111" t="str">
        <f>IF(OR(Table1[[#This Row],[type_code]]="GH", Table1[[#This Row],[type_code]]="CH", Table1[[#This Row],[type_code]]="CLIP H" ), "Holder", "")</f>
        <v>Holder</v>
      </c>
      <c r="AC111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11" t="str">
        <f>IF(OR(Table1[[#This Row],[type_code]]="GH", Table1[[#This Row],[type_code]]="CH", Table1[[#This Row],[type_code]]="CLIP H" ), "Mechanic Holder Production", "")</f>
        <v>Mechanic Holder Production</v>
      </c>
      <c r="AE111" t="str">
        <f>IF(OR(Table1[[#This Row],[type_code]]="GH", Table1[[#This Row],[type_code]]="CH", Table1[[#This Row],[type_code]]="CLIP H" ), "Automatic After Production", "")</f>
        <v>Automatic After Production</v>
      </c>
      <c r="AF11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35mm x 26mm x 40mm</v>
      </c>
    </row>
    <row r="112" spans="1:32" x14ac:dyDescent="0.3">
      <c r="A112" t="s">
        <v>173</v>
      </c>
      <c r="B112" s="1">
        <v>7247075530</v>
      </c>
      <c r="C112" s="1"/>
      <c r="D112" t="s">
        <v>261</v>
      </c>
      <c r="F112" t="b">
        <v>0</v>
      </c>
      <c r="I112">
        <v>1</v>
      </c>
      <c r="J112">
        <v>34</v>
      </c>
      <c r="K112">
        <v>26</v>
      </c>
      <c r="L112">
        <v>50</v>
      </c>
      <c r="M112" t="s">
        <v>45</v>
      </c>
      <c r="N112" t="s">
        <v>20</v>
      </c>
      <c r="O112" t="b">
        <v>1</v>
      </c>
      <c r="Y11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7247075530 Clip Holder JB</v>
      </c>
      <c r="Z112" t="str">
        <f>IF(LEN(Table1[[#This Row],[MA_Number]])&gt;0, Table1[[#This Row],[MA_Number]], "")</f>
        <v>10.21.35018</v>
      </c>
      <c r="AA112" t="str">
        <f>IF(OR(Table1[[#This Row],[type_code]]="GH", Table1[[#This Row],[type_code]]="CH", Table1[[#This Row],[type_code]]="CLIP H" ), "Finished Product", "")</f>
        <v>Finished Product</v>
      </c>
      <c r="AB112" t="str">
        <f>IF(OR(Table1[[#This Row],[type_code]]="GH", Table1[[#This Row],[type_code]]="CH", Table1[[#This Row],[type_code]]="CLIP H" ), "Holder", "")</f>
        <v>Holder</v>
      </c>
      <c r="AC112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12" t="str">
        <f>IF(OR(Table1[[#This Row],[type_code]]="GH", Table1[[#This Row],[type_code]]="CH", Table1[[#This Row],[type_code]]="CLIP H" ), "Mechanic Holder Production", "")</f>
        <v>Mechanic Holder Production</v>
      </c>
      <c r="AE112" t="str">
        <f>IF(OR(Table1[[#This Row],[type_code]]="GH", Table1[[#This Row],[type_code]]="CH", Table1[[#This Row],[type_code]]="CLIP H" ), "Automatic After Production", "")</f>
        <v>Automatic After Production</v>
      </c>
      <c r="AF11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34mm x 26mm x 50mm</v>
      </c>
    </row>
    <row r="113" spans="1:32" x14ac:dyDescent="0.3">
      <c r="A113" t="s">
        <v>174</v>
      </c>
      <c r="B113" s="1">
        <v>7247374530</v>
      </c>
      <c r="C113" s="1"/>
      <c r="D113" t="s">
        <v>261</v>
      </c>
      <c r="F113" t="b">
        <v>0</v>
      </c>
      <c r="I113">
        <v>1</v>
      </c>
      <c r="J113">
        <v>36</v>
      </c>
      <c r="K113">
        <v>26</v>
      </c>
      <c r="L113">
        <v>49</v>
      </c>
      <c r="M113" t="s">
        <v>45</v>
      </c>
      <c r="N113" t="s">
        <v>20</v>
      </c>
      <c r="O113" t="b">
        <v>1</v>
      </c>
      <c r="Y11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7247374530 Clip Holder JB</v>
      </c>
      <c r="Z113" t="str">
        <f>IF(LEN(Table1[[#This Row],[MA_Number]])&gt;0, Table1[[#This Row],[MA_Number]], "")</f>
        <v>10.21.96730E</v>
      </c>
      <c r="AA113" t="str">
        <f>IF(OR(Table1[[#This Row],[type_code]]="GH", Table1[[#This Row],[type_code]]="CH", Table1[[#This Row],[type_code]]="CLIP H" ), "Finished Product", "")</f>
        <v>Finished Product</v>
      </c>
      <c r="AB113" t="str">
        <f>IF(OR(Table1[[#This Row],[type_code]]="GH", Table1[[#This Row],[type_code]]="CH", Table1[[#This Row],[type_code]]="CLIP H" ), "Holder", "")</f>
        <v>Holder</v>
      </c>
      <c r="AC113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13" t="str">
        <f>IF(OR(Table1[[#This Row],[type_code]]="GH", Table1[[#This Row],[type_code]]="CH", Table1[[#This Row],[type_code]]="CLIP H" ), "Mechanic Holder Production", "")</f>
        <v>Mechanic Holder Production</v>
      </c>
      <c r="AE113" t="str">
        <f>IF(OR(Table1[[#This Row],[type_code]]="GH", Table1[[#This Row],[type_code]]="CH", Table1[[#This Row],[type_code]]="CLIP H" ), "Automatic After Production", "")</f>
        <v>Automatic After Production</v>
      </c>
      <c r="AF11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36mm x 26mm x 49mm</v>
      </c>
    </row>
    <row r="114" spans="1:32" x14ac:dyDescent="0.3">
      <c r="A114" t="s">
        <v>175</v>
      </c>
      <c r="B114" s="1">
        <v>7247374930</v>
      </c>
      <c r="C114" s="1"/>
      <c r="D114" t="s">
        <v>261</v>
      </c>
      <c r="F114" t="b">
        <v>0</v>
      </c>
      <c r="I114">
        <v>1</v>
      </c>
      <c r="J114">
        <v>36</v>
      </c>
      <c r="K114">
        <v>26</v>
      </c>
      <c r="L114">
        <v>48</v>
      </c>
      <c r="M114" t="s">
        <v>45</v>
      </c>
      <c r="N114" t="s">
        <v>20</v>
      </c>
      <c r="O114" t="b">
        <v>1</v>
      </c>
      <c r="Y11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7247374930 Clip Holder JB</v>
      </c>
      <c r="Z114" t="str">
        <f>IF(LEN(Table1[[#This Row],[MA_Number]])&gt;0, Table1[[#This Row],[MA_Number]], "")</f>
        <v>10.21.96716</v>
      </c>
      <c r="AA114" t="str">
        <f>IF(OR(Table1[[#This Row],[type_code]]="GH", Table1[[#This Row],[type_code]]="CH", Table1[[#This Row],[type_code]]="CLIP H" ), "Finished Product", "")</f>
        <v>Finished Product</v>
      </c>
      <c r="AB114" t="str">
        <f>IF(OR(Table1[[#This Row],[type_code]]="GH", Table1[[#This Row],[type_code]]="CH", Table1[[#This Row],[type_code]]="CLIP H" ), "Holder", "")</f>
        <v>Holder</v>
      </c>
      <c r="AC114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14" t="str">
        <f>IF(OR(Table1[[#This Row],[type_code]]="GH", Table1[[#This Row],[type_code]]="CH", Table1[[#This Row],[type_code]]="CLIP H" ), "Mechanic Holder Production", "")</f>
        <v>Mechanic Holder Production</v>
      </c>
      <c r="AE114" t="str">
        <f>IF(OR(Table1[[#This Row],[type_code]]="GH", Table1[[#This Row],[type_code]]="CH", Table1[[#This Row],[type_code]]="CLIP H" ), "Automatic After Production", "")</f>
        <v>Automatic After Production</v>
      </c>
      <c r="AF11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36mm x 26mm x 48mm</v>
      </c>
    </row>
    <row r="115" spans="1:32" x14ac:dyDescent="0.3">
      <c r="A115" t="s">
        <v>176</v>
      </c>
      <c r="B115" s="1">
        <v>7247760830</v>
      </c>
      <c r="C115" s="1"/>
      <c r="D115" t="s">
        <v>261</v>
      </c>
      <c r="F115" t="b">
        <v>0</v>
      </c>
      <c r="I115">
        <v>1</v>
      </c>
      <c r="J115">
        <v>35</v>
      </c>
      <c r="K115">
        <v>35</v>
      </c>
      <c r="L115">
        <v>61</v>
      </c>
      <c r="M115" t="s">
        <v>45</v>
      </c>
      <c r="N115" t="s">
        <v>20</v>
      </c>
      <c r="O115" t="b">
        <v>1</v>
      </c>
      <c r="Y11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7247760830 Clip Holder JB</v>
      </c>
      <c r="Z115" t="str">
        <f>IF(LEN(Table1[[#This Row],[MA_Number]])&gt;0, Table1[[#This Row],[MA_Number]], "")</f>
        <v>10.21.35019</v>
      </c>
      <c r="AA115" t="str">
        <f>IF(OR(Table1[[#This Row],[type_code]]="GH", Table1[[#This Row],[type_code]]="CH", Table1[[#This Row],[type_code]]="CLIP H" ), "Finished Product", "")</f>
        <v>Finished Product</v>
      </c>
      <c r="AB115" t="str">
        <f>IF(OR(Table1[[#This Row],[type_code]]="GH", Table1[[#This Row],[type_code]]="CH", Table1[[#This Row],[type_code]]="CLIP H" ), "Holder", "")</f>
        <v>Holder</v>
      </c>
      <c r="AC115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15" t="str">
        <f>IF(OR(Table1[[#This Row],[type_code]]="GH", Table1[[#This Row],[type_code]]="CH", Table1[[#This Row],[type_code]]="CLIP H" ), "Mechanic Holder Production", "")</f>
        <v>Mechanic Holder Production</v>
      </c>
      <c r="AE115" t="str">
        <f>IF(OR(Table1[[#This Row],[type_code]]="GH", Table1[[#This Row],[type_code]]="CH", Table1[[#This Row],[type_code]]="CLIP H" ), "Automatic After Production", "")</f>
        <v>Automatic After Production</v>
      </c>
      <c r="AF11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35mm x 35mm x 61mm</v>
      </c>
    </row>
    <row r="116" spans="1:32" x14ac:dyDescent="0.3">
      <c r="A116" t="s">
        <v>177</v>
      </c>
      <c r="B116" s="1">
        <v>7247760930</v>
      </c>
      <c r="C116" s="1"/>
      <c r="D116" t="s">
        <v>261</v>
      </c>
      <c r="F116" t="b">
        <v>0</v>
      </c>
      <c r="I116">
        <v>1</v>
      </c>
      <c r="J116">
        <v>36</v>
      </c>
      <c r="K116">
        <v>26</v>
      </c>
      <c r="L116">
        <v>50</v>
      </c>
      <c r="M116" t="s">
        <v>45</v>
      </c>
      <c r="N116" t="s">
        <v>20</v>
      </c>
      <c r="O116" t="b">
        <v>1</v>
      </c>
      <c r="Y11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7247760930 Clip Holder JB</v>
      </c>
      <c r="Z116" t="str">
        <f>IF(LEN(Table1[[#This Row],[MA_Number]])&gt;0, Table1[[#This Row],[MA_Number]], "")</f>
        <v>10.21.96734</v>
      </c>
      <c r="AA116" t="str">
        <f>IF(OR(Table1[[#This Row],[type_code]]="GH", Table1[[#This Row],[type_code]]="CH", Table1[[#This Row],[type_code]]="CLIP H" ), "Finished Product", "")</f>
        <v>Finished Product</v>
      </c>
      <c r="AB116" t="str">
        <f>IF(OR(Table1[[#This Row],[type_code]]="GH", Table1[[#This Row],[type_code]]="CH", Table1[[#This Row],[type_code]]="CLIP H" ), "Holder", "")</f>
        <v>Holder</v>
      </c>
      <c r="AC116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16" t="str">
        <f>IF(OR(Table1[[#This Row],[type_code]]="GH", Table1[[#This Row],[type_code]]="CH", Table1[[#This Row],[type_code]]="CLIP H" ), "Mechanic Holder Production", "")</f>
        <v>Mechanic Holder Production</v>
      </c>
      <c r="AE116" t="str">
        <f>IF(OR(Table1[[#This Row],[type_code]]="GH", Table1[[#This Row],[type_code]]="CH", Table1[[#This Row],[type_code]]="CLIP H" ), "Automatic After Production", "")</f>
        <v>Automatic After Production</v>
      </c>
      <c r="AF11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36mm x 26mm x 50mm</v>
      </c>
    </row>
    <row r="117" spans="1:32" x14ac:dyDescent="0.3">
      <c r="A117" t="s">
        <v>178</v>
      </c>
      <c r="B117" s="1">
        <v>7247761330</v>
      </c>
      <c r="C117" s="1"/>
      <c r="D117" t="s">
        <v>261</v>
      </c>
      <c r="E117" t="s">
        <v>416</v>
      </c>
      <c r="F117" t="b">
        <v>0</v>
      </c>
      <c r="I117">
        <v>1</v>
      </c>
      <c r="J117">
        <v>30</v>
      </c>
      <c r="K117">
        <v>30</v>
      </c>
      <c r="L117">
        <v>48</v>
      </c>
      <c r="M117" t="s">
        <v>45</v>
      </c>
      <c r="N117" t="s">
        <v>20</v>
      </c>
      <c r="O117" t="b">
        <v>1</v>
      </c>
      <c r="Q117" t="b">
        <v>1</v>
      </c>
      <c r="R117">
        <v>123</v>
      </c>
      <c r="S117">
        <v>30</v>
      </c>
      <c r="T117">
        <v>48</v>
      </c>
      <c r="U117">
        <v>4</v>
      </c>
      <c r="Y11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7247761330 Clip Holder JB</v>
      </c>
      <c r="Z117" t="str">
        <f>IF(LEN(Table1[[#This Row],[MA_Number]])&gt;0, Table1[[#This Row],[MA_Number]], "")</f>
        <v>10.21.37442</v>
      </c>
      <c r="AA117" t="str">
        <f>IF(OR(Table1[[#This Row],[type_code]]="GH", Table1[[#This Row],[type_code]]="CH", Table1[[#This Row],[type_code]]="CLIP H" ), "Finished Product", "")</f>
        <v>Finished Product</v>
      </c>
      <c r="AB117" t="str">
        <f>IF(OR(Table1[[#This Row],[type_code]]="GH", Table1[[#This Row],[type_code]]="CH", Table1[[#This Row],[type_code]]="CLIP H" ), "Holder", "")</f>
        <v>Holder</v>
      </c>
      <c r="AC117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17" t="str">
        <f>IF(OR(Table1[[#This Row],[type_code]]="GH", Table1[[#This Row],[type_code]]="CH", Table1[[#This Row],[type_code]]="CLIP H" ), "Mechanic Holder Production", "")</f>
        <v>Mechanic Holder Production</v>
      </c>
      <c r="AE117" t="str">
        <f>IF(OR(Table1[[#This Row],[type_code]]="GH", Table1[[#This Row],[type_code]]="CH", Table1[[#This Row],[type_code]]="CLIP H" ), "Automatic After Production", "")</f>
        <v>Automatic After Production</v>
      </c>
      <c r="AF11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30mm x 30mm x 48mm</v>
      </c>
    </row>
    <row r="118" spans="1:32" x14ac:dyDescent="0.3">
      <c r="A118" t="s">
        <v>179</v>
      </c>
      <c r="B118" s="1">
        <v>7247764130</v>
      </c>
      <c r="C118" s="1"/>
      <c r="D118" t="s">
        <v>261</v>
      </c>
      <c r="F118" t="b">
        <v>0</v>
      </c>
      <c r="I118">
        <v>1</v>
      </c>
      <c r="J118">
        <v>36</v>
      </c>
      <c r="K118">
        <v>26</v>
      </c>
      <c r="L118">
        <v>50</v>
      </c>
      <c r="M118" t="s">
        <v>45</v>
      </c>
      <c r="N118" t="s">
        <v>20</v>
      </c>
      <c r="O118" t="b">
        <v>1</v>
      </c>
      <c r="Y11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7247764130 Clip Holder JB</v>
      </c>
      <c r="Z118" t="str">
        <f>IF(LEN(Table1[[#This Row],[MA_Number]])&gt;0, Table1[[#This Row],[MA_Number]], "")</f>
        <v>10.21.04100</v>
      </c>
      <c r="AA118" t="str">
        <f>IF(OR(Table1[[#This Row],[type_code]]="GH", Table1[[#This Row],[type_code]]="CH", Table1[[#This Row],[type_code]]="CLIP H" ), "Finished Product", "")</f>
        <v>Finished Product</v>
      </c>
      <c r="AB118" t="str">
        <f>IF(OR(Table1[[#This Row],[type_code]]="GH", Table1[[#This Row],[type_code]]="CH", Table1[[#This Row],[type_code]]="CLIP H" ), "Holder", "")</f>
        <v>Holder</v>
      </c>
      <c r="AC118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18" t="str">
        <f>IF(OR(Table1[[#This Row],[type_code]]="GH", Table1[[#This Row],[type_code]]="CH", Table1[[#This Row],[type_code]]="CLIP H" ), "Mechanic Holder Production", "")</f>
        <v>Mechanic Holder Production</v>
      </c>
      <c r="AE118" t="str">
        <f>IF(OR(Table1[[#This Row],[type_code]]="GH", Table1[[#This Row],[type_code]]="CH", Table1[[#This Row],[type_code]]="CLIP H" ), "Automatic After Production", "")</f>
        <v>Automatic After Production</v>
      </c>
      <c r="AF11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36mm x 26mm x 50mm</v>
      </c>
    </row>
    <row r="119" spans="1:32" x14ac:dyDescent="0.3">
      <c r="A119" t="s">
        <v>180</v>
      </c>
      <c r="B119" s="1">
        <v>7247776330</v>
      </c>
      <c r="C119" s="1"/>
      <c r="D119" t="s">
        <v>261</v>
      </c>
      <c r="F119" t="b">
        <v>0</v>
      </c>
      <c r="I119">
        <v>1</v>
      </c>
      <c r="J119">
        <v>36</v>
      </c>
      <c r="K119">
        <v>25</v>
      </c>
      <c r="L119">
        <v>49</v>
      </c>
      <c r="M119" t="s">
        <v>45</v>
      </c>
      <c r="N119" t="s">
        <v>20</v>
      </c>
      <c r="O119" t="b">
        <v>1</v>
      </c>
      <c r="Y11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7247776330 Clip Holder JB</v>
      </c>
      <c r="Z119" t="str">
        <f>IF(LEN(Table1[[#This Row],[MA_Number]])&gt;0, Table1[[#This Row],[MA_Number]], "")</f>
        <v>10.21.96728</v>
      </c>
      <c r="AA119" t="str">
        <f>IF(OR(Table1[[#This Row],[type_code]]="GH", Table1[[#This Row],[type_code]]="CH", Table1[[#This Row],[type_code]]="CLIP H" ), "Finished Product", "")</f>
        <v>Finished Product</v>
      </c>
      <c r="AB119" t="str">
        <f>IF(OR(Table1[[#This Row],[type_code]]="GH", Table1[[#This Row],[type_code]]="CH", Table1[[#This Row],[type_code]]="CLIP H" ), "Holder", "")</f>
        <v>Holder</v>
      </c>
      <c r="AC119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19" t="str">
        <f>IF(OR(Table1[[#This Row],[type_code]]="GH", Table1[[#This Row],[type_code]]="CH", Table1[[#This Row],[type_code]]="CLIP H" ), "Mechanic Holder Production", "")</f>
        <v>Mechanic Holder Production</v>
      </c>
      <c r="AE119" t="str">
        <f>IF(OR(Table1[[#This Row],[type_code]]="GH", Table1[[#This Row],[type_code]]="CH", Table1[[#This Row],[type_code]]="CLIP H" ), "Automatic After Production", "")</f>
        <v>Automatic After Production</v>
      </c>
      <c r="AF11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36mm x 25mm x 49mm</v>
      </c>
    </row>
    <row r="120" spans="1:32" x14ac:dyDescent="0.3">
      <c r="A120" t="s">
        <v>181</v>
      </c>
      <c r="B120" s="1">
        <v>7247781230</v>
      </c>
      <c r="C120" s="1"/>
      <c r="D120" t="s">
        <v>261</v>
      </c>
      <c r="F120" t="b">
        <v>0</v>
      </c>
      <c r="I120">
        <v>1</v>
      </c>
      <c r="J120">
        <v>39</v>
      </c>
      <c r="K120">
        <v>30</v>
      </c>
      <c r="L120">
        <v>45</v>
      </c>
      <c r="M120" t="s">
        <v>45</v>
      </c>
      <c r="N120" t="s">
        <v>20</v>
      </c>
      <c r="O120" t="b">
        <v>1</v>
      </c>
      <c r="Y12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7247781230 Clip Holder JB</v>
      </c>
      <c r="Z120" t="str">
        <f>IF(LEN(Table1[[#This Row],[MA_Number]])&gt;0, Table1[[#This Row],[MA_Number]], "")</f>
        <v>10.21.27932B</v>
      </c>
      <c r="AA120" t="str">
        <f>IF(OR(Table1[[#This Row],[type_code]]="GH", Table1[[#This Row],[type_code]]="CH", Table1[[#This Row],[type_code]]="CLIP H" ), "Finished Product", "")</f>
        <v>Finished Product</v>
      </c>
      <c r="AB120" t="str">
        <f>IF(OR(Table1[[#This Row],[type_code]]="GH", Table1[[#This Row],[type_code]]="CH", Table1[[#This Row],[type_code]]="CLIP H" ), "Holder", "")</f>
        <v>Holder</v>
      </c>
      <c r="AC120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20" t="str">
        <f>IF(OR(Table1[[#This Row],[type_code]]="GH", Table1[[#This Row],[type_code]]="CH", Table1[[#This Row],[type_code]]="CLIP H" ), "Mechanic Holder Production", "")</f>
        <v>Mechanic Holder Production</v>
      </c>
      <c r="AE120" t="str">
        <f>IF(OR(Table1[[#This Row],[type_code]]="GH", Table1[[#This Row],[type_code]]="CH", Table1[[#This Row],[type_code]]="CLIP H" ), "Automatic After Production", "")</f>
        <v>Automatic After Production</v>
      </c>
      <c r="AF12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39mm x 30mm x 45mm</v>
      </c>
    </row>
    <row r="121" spans="1:32" x14ac:dyDescent="0.3">
      <c r="A121" t="s">
        <v>182</v>
      </c>
      <c r="B121" s="1">
        <v>7247781730</v>
      </c>
      <c r="C121" s="1"/>
      <c r="D121" t="s">
        <v>261</v>
      </c>
      <c r="F121" t="b">
        <v>0</v>
      </c>
      <c r="I121">
        <v>1</v>
      </c>
      <c r="J121">
        <v>38</v>
      </c>
      <c r="K121">
        <v>35</v>
      </c>
      <c r="L121">
        <v>40</v>
      </c>
      <c r="M121" t="s">
        <v>45</v>
      </c>
      <c r="N121" t="s">
        <v>20</v>
      </c>
      <c r="O121" t="b">
        <v>1</v>
      </c>
      <c r="Y12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7247781730 Clip Holder JB</v>
      </c>
      <c r="Z121" t="str">
        <f>IF(LEN(Table1[[#This Row],[MA_Number]])&gt;0, Table1[[#This Row],[MA_Number]], "")</f>
        <v>10.21.34352</v>
      </c>
      <c r="AA121" t="str">
        <f>IF(OR(Table1[[#This Row],[type_code]]="GH", Table1[[#This Row],[type_code]]="CH", Table1[[#This Row],[type_code]]="CLIP H" ), "Finished Product", "")</f>
        <v>Finished Product</v>
      </c>
      <c r="AB121" t="str">
        <f>IF(OR(Table1[[#This Row],[type_code]]="GH", Table1[[#This Row],[type_code]]="CH", Table1[[#This Row],[type_code]]="CLIP H" ), "Holder", "")</f>
        <v>Holder</v>
      </c>
      <c r="AC121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21" t="str">
        <f>IF(OR(Table1[[#This Row],[type_code]]="GH", Table1[[#This Row],[type_code]]="CH", Table1[[#This Row],[type_code]]="CLIP H" ), "Mechanic Holder Production", "")</f>
        <v>Mechanic Holder Production</v>
      </c>
      <c r="AE121" t="str">
        <f>IF(OR(Table1[[#This Row],[type_code]]="GH", Table1[[#This Row],[type_code]]="CH", Table1[[#This Row],[type_code]]="CLIP H" ), "Automatic After Production", "")</f>
        <v>Automatic After Production</v>
      </c>
      <c r="AF12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38mm x 35mm x 40mm</v>
      </c>
    </row>
    <row r="122" spans="1:32" x14ac:dyDescent="0.3">
      <c r="A122" t="s">
        <v>183</v>
      </c>
      <c r="B122" s="1">
        <v>7247787730</v>
      </c>
      <c r="C122" s="1"/>
      <c r="D122" t="s">
        <v>261</v>
      </c>
      <c r="F122" t="b">
        <v>0</v>
      </c>
      <c r="I122">
        <v>1</v>
      </c>
      <c r="J122">
        <v>36</v>
      </c>
      <c r="K122">
        <v>28</v>
      </c>
      <c r="L122">
        <v>42</v>
      </c>
      <c r="M122" t="s">
        <v>45</v>
      </c>
      <c r="N122" t="s">
        <v>20</v>
      </c>
      <c r="O122" t="b">
        <v>1</v>
      </c>
      <c r="Y12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7247787730 Clip Holder JB</v>
      </c>
      <c r="Z122" t="str">
        <f>IF(LEN(Table1[[#This Row],[MA_Number]])&gt;0, Table1[[#This Row],[MA_Number]], "")</f>
        <v>10.21.19220</v>
      </c>
      <c r="AA122" t="str">
        <f>IF(OR(Table1[[#This Row],[type_code]]="GH", Table1[[#This Row],[type_code]]="CH", Table1[[#This Row],[type_code]]="CLIP H" ), "Finished Product", "")</f>
        <v>Finished Product</v>
      </c>
      <c r="AB122" t="str">
        <f>IF(OR(Table1[[#This Row],[type_code]]="GH", Table1[[#This Row],[type_code]]="CH", Table1[[#This Row],[type_code]]="CLIP H" ), "Holder", "")</f>
        <v>Holder</v>
      </c>
      <c r="AC122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22" t="str">
        <f>IF(OR(Table1[[#This Row],[type_code]]="GH", Table1[[#This Row],[type_code]]="CH", Table1[[#This Row],[type_code]]="CLIP H" ), "Mechanic Holder Production", "")</f>
        <v>Mechanic Holder Production</v>
      </c>
      <c r="AE122" t="str">
        <f>IF(OR(Table1[[#This Row],[type_code]]="GH", Table1[[#This Row],[type_code]]="CH", Table1[[#This Row],[type_code]]="CLIP H" ), "Automatic After Production", "")</f>
        <v>Automatic After Production</v>
      </c>
      <c r="AF12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36mm x 28mm x 42mm</v>
      </c>
    </row>
    <row r="123" spans="1:32" x14ac:dyDescent="0.3">
      <c r="A123" t="s">
        <v>184</v>
      </c>
      <c r="B123" s="1">
        <v>72478572</v>
      </c>
      <c r="C123" s="1"/>
      <c r="D123" t="s">
        <v>261</v>
      </c>
      <c r="F123" t="b">
        <v>0</v>
      </c>
      <c r="I123">
        <v>1</v>
      </c>
      <c r="J123">
        <v>34</v>
      </c>
      <c r="K123">
        <v>20</v>
      </c>
      <c r="L123">
        <v>55</v>
      </c>
      <c r="M123" t="s">
        <v>45</v>
      </c>
      <c r="N123" t="s">
        <v>20</v>
      </c>
      <c r="O123" t="b">
        <v>1</v>
      </c>
      <c r="Y12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72478572 Clip Holder JB</v>
      </c>
      <c r="Z123" t="str">
        <f>IF(LEN(Table1[[#This Row],[MA_Number]])&gt;0, Table1[[#This Row],[MA_Number]], "")</f>
        <v>10.21.84635</v>
      </c>
      <c r="AA123" t="str">
        <f>IF(OR(Table1[[#This Row],[type_code]]="GH", Table1[[#This Row],[type_code]]="CH", Table1[[#This Row],[type_code]]="CLIP H" ), "Finished Product", "")</f>
        <v>Finished Product</v>
      </c>
      <c r="AB123" t="str">
        <f>IF(OR(Table1[[#This Row],[type_code]]="GH", Table1[[#This Row],[type_code]]="CH", Table1[[#This Row],[type_code]]="CLIP H" ), "Holder", "")</f>
        <v>Holder</v>
      </c>
      <c r="AC123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23" t="str">
        <f>IF(OR(Table1[[#This Row],[type_code]]="GH", Table1[[#This Row],[type_code]]="CH", Table1[[#This Row],[type_code]]="CLIP H" ), "Mechanic Holder Production", "")</f>
        <v>Mechanic Holder Production</v>
      </c>
      <c r="AE123" t="str">
        <f>IF(OR(Table1[[#This Row],[type_code]]="GH", Table1[[#This Row],[type_code]]="CH", Table1[[#This Row],[type_code]]="CLIP H" ), "Automatic After Production", "")</f>
        <v>Automatic After Production</v>
      </c>
      <c r="AF12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34mm x 20mm x 55mm</v>
      </c>
    </row>
    <row r="124" spans="1:32" x14ac:dyDescent="0.3">
      <c r="A124" t="s">
        <v>185</v>
      </c>
      <c r="B124" s="1">
        <v>7252726530</v>
      </c>
      <c r="C124" s="1"/>
      <c r="D124" t="s">
        <v>261</v>
      </c>
      <c r="F124" t="b">
        <v>0</v>
      </c>
      <c r="I124">
        <v>1</v>
      </c>
      <c r="J124">
        <v>37</v>
      </c>
      <c r="K124">
        <v>35</v>
      </c>
      <c r="L124">
        <v>60</v>
      </c>
      <c r="M124" t="s">
        <v>45</v>
      </c>
      <c r="N124" t="s">
        <v>20</v>
      </c>
      <c r="O124" t="b">
        <v>1</v>
      </c>
      <c r="Y12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7252726530 Clip Holder JB</v>
      </c>
      <c r="Z124" t="str">
        <f>IF(LEN(Table1[[#This Row],[MA_Number]])&gt;0, Table1[[#This Row],[MA_Number]], "")</f>
        <v>10.21.96733</v>
      </c>
      <c r="AA124" t="str">
        <f>IF(OR(Table1[[#This Row],[type_code]]="GH", Table1[[#This Row],[type_code]]="CH", Table1[[#This Row],[type_code]]="CLIP H" ), "Finished Product", "")</f>
        <v>Finished Product</v>
      </c>
      <c r="AB124" t="str">
        <f>IF(OR(Table1[[#This Row],[type_code]]="GH", Table1[[#This Row],[type_code]]="CH", Table1[[#This Row],[type_code]]="CLIP H" ), "Holder", "")</f>
        <v>Holder</v>
      </c>
      <c r="AC124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24" t="str">
        <f>IF(OR(Table1[[#This Row],[type_code]]="GH", Table1[[#This Row],[type_code]]="CH", Table1[[#This Row],[type_code]]="CLIP H" ), "Mechanic Holder Production", "")</f>
        <v>Mechanic Holder Production</v>
      </c>
      <c r="AE124" t="str">
        <f>IF(OR(Table1[[#This Row],[type_code]]="GH", Table1[[#This Row],[type_code]]="CH", Table1[[#This Row],[type_code]]="CLIP H" ), "Automatic After Production", "")</f>
        <v>Automatic After Production</v>
      </c>
      <c r="AF12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37mm x 35mm x 60mm</v>
      </c>
    </row>
    <row r="125" spans="1:32" x14ac:dyDescent="0.3">
      <c r="A125" t="s">
        <v>278</v>
      </c>
      <c r="B125" s="1">
        <v>7252735930</v>
      </c>
      <c r="C125" s="1"/>
      <c r="D125" t="s">
        <v>261</v>
      </c>
      <c r="F125" t="b">
        <v>0</v>
      </c>
      <c r="I125">
        <v>1</v>
      </c>
      <c r="J125">
        <v>50</v>
      </c>
      <c r="K125">
        <v>20</v>
      </c>
      <c r="L125">
        <v>50</v>
      </c>
      <c r="M125" t="s">
        <v>45</v>
      </c>
      <c r="N125" t="s">
        <v>20</v>
      </c>
      <c r="O125" t="b">
        <v>1</v>
      </c>
      <c r="Y12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7252735930 Clip Holder JB</v>
      </c>
      <c r="Z125" t="str">
        <f>IF(LEN(Table1[[#This Row],[MA_Number]])&gt;0, Table1[[#This Row],[MA_Number]], "")</f>
        <v>10.21.83610A</v>
      </c>
      <c r="AA125" t="str">
        <f>IF(OR(Table1[[#This Row],[type_code]]="GH", Table1[[#This Row],[type_code]]="CH", Table1[[#This Row],[type_code]]="CLIP H" ), "Finished Product", "")</f>
        <v>Finished Product</v>
      </c>
      <c r="AB125" t="str">
        <f>IF(OR(Table1[[#This Row],[type_code]]="GH", Table1[[#This Row],[type_code]]="CH", Table1[[#This Row],[type_code]]="CLIP H" ), "Holder", "")</f>
        <v>Holder</v>
      </c>
      <c r="AC125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25" t="str">
        <f>IF(OR(Table1[[#This Row],[type_code]]="GH", Table1[[#This Row],[type_code]]="CH", Table1[[#This Row],[type_code]]="CLIP H" ), "Mechanic Holder Production", "")</f>
        <v>Mechanic Holder Production</v>
      </c>
      <c r="AE125" t="str">
        <f>IF(OR(Table1[[#This Row],[type_code]]="GH", Table1[[#This Row],[type_code]]="CH", Table1[[#This Row],[type_code]]="CLIP H" ), "Automatic After Production", "")</f>
        <v>Automatic After Production</v>
      </c>
      <c r="AF12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50mm x 20mm x 50mm</v>
      </c>
    </row>
    <row r="126" spans="1:32" x14ac:dyDescent="0.3">
      <c r="A126" t="s">
        <v>267</v>
      </c>
      <c r="B126" s="1">
        <v>7252779130</v>
      </c>
      <c r="C126" s="1"/>
      <c r="D126" t="s">
        <v>261</v>
      </c>
      <c r="E126" t="s">
        <v>253</v>
      </c>
      <c r="F126" t="b">
        <v>0</v>
      </c>
      <c r="I126">
        <v>1</v>
      </c>
      <c r="J126">
        <v>44</v>
      </c>
      <c r="K126">
        <v>30</v>
      </c>
      <c r="L126">
        <v>40</v>
      </c>
      <c r="M126" t="s">
        <v>45</v>
      </c>
      <c r="N126" t="s">
        <v>20</v>
      </c>
      <c r="O126" t="b">
        <v>1</v>
      </c>
      <c r="Q126" t="b">
        <v>1</v>
      </c>
      <c r="R126">
        <v>126</v>
      </c>
      <c r="S126">
        <v>45</v>
      </c>
      <c r="T126">
        <v>40</v>
      </c>
      <c r="U126">
        <v>4</v>
      </c>
      <c r="Y12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7252779130 Clip Holder JB</v>
      </c>
      <c r="Z126" t="str">
        <f>IF(LEN(Table1[[#This Row],[MA_Number]])&gt;0, Table1[[#This Row],[MA_Number]], "")</f>
        <v>10.21.76983_B</v>
      </c>
      <c r="AA126" t="str">
        <f>IF(OR(Table1[[#This Row],[type_code]]="GH", Table1[[#This Row],[type_code]]="CH", Table1[[#This Row],[type_code]]="CLIP H" ), "Finished Product", "")</f>
        <v>Finished Product</v>
      </c>
      <c r="AB126" t="str">
        <f>IF(OR(Table1[[#This Row],[type_code]]="GH", Table1[[#This Row],[type_code]]="CH", Table1[[#This Row],[type_code]]="CLIP H" ), "Holder", "")</f>
        <v>Holder</v>
      </c>
      <c r="AC126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26" t="str">
        <f>IF(OR(Table1[[#This Row],[type_code]]="GH", Table1[[#This Row],[type_code]]="CH", Table1[[#This Row],[type_code]]="CLIP H" ), "Mechanic Holder Production", "")</f>
        <v>Mechanic Holder Production</v>
      </c>
      <c r="AE126" t="str">
        <f>IF(OR(Table1[[#This Row],[type_code]]="GH", Table1[[#This Row],[type_code]]="CH", Table1[[#This Row],[type_code]]="CLIP H" ), "Automatic After Production", "")</f>
        <v>Automatic After Production</v>
      </c>
      <c r="AF12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44mm x 30mm x 40mm</v>
      </c>
    </row>
    <row r="127" spans="1:32" x14ac:dyDescent="0.3">
      <c r="A127" t="s">
        <v>489</v>
      </c>
      <c r="B127" s="1">
        <v>7252785330</v>
      </c>
      <c r="C127" s="1">
        <v>7247075530</v>
      </c>
      <c r="D127" t="s">
        <v>261</v>
      </c>
      <c r="E127" t="s">
        <v>254</v>
      </c>
      <c r="F127" t="b">
        <v>0</v>
      </c>
      <c r="I127">
        <v>1</v>
      </c>
      <c r="J127">
        <v>36</v>
      </c>
      <c r="K127">
        <v>26</v>
      </c>
      <c r="L127">
        <v>47</v>
      </c>
      <c r="M127" t="s">
        <v>45</v>
      </c>
      <c r="N127" t="s">
        <v>20</v>
      </c>
      <c r="O127" t="b">
        <v>1</v>
      </c>
      <c r="Q127" t="b">
        <v>1</v>
      </c>
      <c r="R127">
        <v>138</v>
      </c>
      <c r="S127">
        <v>36</v>
      </c>
      <c r="T127">
        <v>47</v>
      </c>
      <c r="U127">
        <v>5</v>
      </c>
      <c r="Y12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7252785330 Clip Holder JB</v>
      </c>
      <c r="Z127" t="str">
        <f>IF(LEN(Table1[[#This Row],[MA_Number]])&gt;0, Table1[[#This Row],[MA_Number]], "")</f>
        <v>10.21.96697A</v>
      </c>
      <c r="AA127" t="str">
        <f>IF(OR(Table1[[#This Row],[type_code]]="GH", Table1[[#This Row],[type_code]]="CH", Table1[[#This Row],[type_code]]="CLIP H" ), "Finished Product", "")</f>
        <v>Finished Product</v>
      </c>
      <c r="AB127" t="str">
        <f>IF(OR(Table1[[#This Row],[type_code]]="GH", Table1[[#This Row],[type_code]]="CH", Table1[[#This Row],[type_code]]="CLIP H" ), "Holder", "")</f>
        <v>Holder</v>
      </c>
      <c r="AC127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27" t="str">
        <f>IF(OR(Table1[[#This Row],[type_code]]="GH", Table1[[#This Row],[type_code]]="CH", Table1[[#This Row],[type_code]]="CLIP H" ), "Mechanic Holder Production", "")</f>
        <v>Mechanic Holder Production</v>
      </c>
      <c r="AE127" t="str">
        <f>IF(OR(Table1[[#This Row],[type_code]]="GH", Table1[[#This Row],[type_code]]="CH", Table1[[#This Row],[type_code]]="CLIP H" ), "Automatic After Production", "")</f>
        <v>Automatic After Production</v>
      </c>
      <c r="AF12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36mm x 26mm x 47mm</v>
      </c>
    </row>
    <row r="128" spans="1:32" x14ac:dyDescent="0.3">
      <c r="A128" t="s">
        <v>186</v>
      </c>
      <c r="B128" s="1">
        <v>7252815130</v>
      </c>
      <c r="C128" s="1"/>
      <c r="D128" t="s">
        <v>261</v>
      </c>
      <c r="E128" t="s">
        <v>488</v>
      </c>
      <c r="F128" t="b">
        <v>0</v>
      </c>
      <c r="I128">
        <v>1</v>
      </c>
      <c r="J128">
        <v>44</v>
      </c>
      <c r="K128">
        <v>30</v>
      </c>
      <c r="L128">
        <v>40</v>
      </c>
      <c r="M128" t="s">
        <v>45</v>
      </c>
      <c r="N128" t="s">
        <v>20</v>
      </c>
      <c r="O128" t="b">
        <v>1</v>
      </c>
      <c r="Q128" t="b">
        <v>1</v>
      </c>
      <c r="R128">
        <v>126</v>
      </c>
      <c r="S128">
        <v>45</v>
      </c>
      <c r="T128">
        <v>40</v>
      </c>
      <c r="U128">
        <v>4</v>
      </c>
      <c r="Y12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7252815130 Clip Holder JB</v>
      </c>
      <c r="Z128" t="str">
        <f>IF(LEN(Table1[[#This Row],[MA_Number]])&gt;0, Table1[[#This Row],[MA_Number]], "")</f>
        <v>10.21.76983B</v>
      </c>
      <c r="AA128" t="str">
        <f>IF(OR(Table1[[#This Row],[type_code]]="GH", Table1[[#This Row],[type_code]]="CH", Table1[[#This Row],[type_code]]="CLIP H" ), "Finished Product", "")</f>
        <v>Finished Product</v>
      </c>
      <c r="AB128" t="str">
        <f>IF(OR(Table1[[#This Row],[type_code]]="GH", Table1[[#This Row],[type_code]]="CH", Table1[[#This Row],[type_code]]="CLIP H" ), "Holder", "")</f>
        <v>Holder</v>
      </c>
      <c r="AC128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28" t="str">
        <f>IF(OR(Table1[[#This Row],[type_code]]="GH", Table1[[#This Row],[type_code]]="CH", Table1[[#This Row],[type_code]]="CLIP H" ), "Mechanic Holder Production", "")</f>
        <v>Mechanic Holder Production</v>
      </c>
      <c r="AE128" t="str">
        <f>IF(OR(Table1[[#This Row],[type_code]]="GH", Table1[[#This Row],[type_code]]="CH", Table1[[#This Row],[type_code]]="CLIP H" ), "Automatic After Production", "")</f>
        <v>Automatic After Production</v>
      </c>
      <c r="AF12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44mm x 30mm x 40mm</v>
      </c>
    </row>
    <row r="129" spans="1:32" x14ac:dyDescent="0.3">
      <c r="A129" t="s">
        <v>187</v>
      </c>
      <c r="B129" s="1">
        <v>7252832130</v>
      </c>
      <c r="C129" s="1"/>
      <c r="D129" t="s">
        <v>261</v>
      </c>
      <c r="F129" t="b">
        <v>0</v>
      </c>
      <c r="I129">
        <v>1</v>
      </c>
      <c r="J129">
        <v>39</v>
      </c>
      <c r="K129">
        <v>30</v>
      </c>
      <c r="L129">
        <v>49</v>
      </c>
      <c r="M129" t="s">
        <v>45</v>
      </c>
      <c r="N129" t="s">
        <v>20</v>
      </c>
      <c r="O129" t="b">
        <v>1</v>
      </c>
      <c r="Y12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7252832130 Clip Holder JB</v>
      </c>
      <c r="Z129" t="str">
        <f>IF(LEN(Table1[[#This Row],[MA_Number]])&gt;0, Table1[[#This Row],[MA_Number]], "")</f>
        <v>10.21.96501A</v>
      </c>
      <c r="AA129" t="str">
        <f>IF(OR(Table1[[#This Row],[type_code]]="GH", Table1[[#This Row],[type_code]]="CH", Table1[[#This Row],[type_code]]="CLIP H" ), "Finished Product", "")</f>
        <v>Finished Product</v>
      </c>
      <c r="AB129" t="str">
        <f>IF(OR(Table1[[#This Row],[type_code]]="GH", Table1[[#This Row],[type_code]]="CH", Table1[[#This Row],[type_code]]="CLIP H" ), "Holder", "")</f>
        <v>Holder</v>
      </c>
      <c r="AC129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29" t="str">
        <f>IF(OR(Table1[[#This Row],[type_code]]="GH", Table1[[#This Row],[type_code]]="CH", Table1[[#This Row],[type_code]]="CLIP H" ), "Mechanic Holder Production", "")</f>
        <v>Mechanic Holder Production</v>
      </c>
      <c r="AE129" t="str">
        <f>IF(OR(Table1[[#This Row],[type_code]]="GH", Table1[[#This Row],[type_code]]="CH", Table1[[#This Row],[type_code]]="CLIP H" ), "Automatic After Production", "")</f>
        <v>Automatic After Production</v>
      </c>
      <c r="AF12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39mm x 30mm x 49mm</v>
      </c>
    </row>
    <row r="130" spans="1:32" x14ac:dyDescent="0.3">
      <c r="A130" t="s">
        <v>188</v>
      </c>
      <c r="B130" s="1">
        <v>7298331130</v>
      </c>
      <c r="C130" s="1"/>
      <c r="D130" t="s">
        <v>258</v>
      </c>
      <c r="F130" t="b">
        <v>0</v>
      </c>
      <c r="I130">
        <v>1</v>
      </c>
      <c r="J130">
        <v>74</v>
      </c>
      <c r="K130">
        <v>56</v>
      </c>
      <c r="L130">
        <v>73</v>
      </c>
      <c r="M130" t="s">
        <v>45</v>
      </c>
      <c r="N130" t="s">
        <v>20</v>
      </c>
      <c r="O130" t="b">
        <v>1</v>
      </c>
      <c r="Y13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7298331130 Connector Holder JB</v>
      </c>
      <c r="Z130" t="str">
        <f>IF(LEN(Table1[[#This Row],[MA_Number]])&gt;0, Table1[[#This Row],[MA_Number]], "")</f>
        <v>10.21.83613A</v>
      </c>
      <c r="AA130" t="str">
        <f>IF(OR(Table1[[#This Row],[type_code]]="GH", Table1[[#This Row],[type_code]]="CH", Table1[[#This Row],[type_code]]="CLIP H" ), "Finished Product", "")</f>
        <v>Finished Product</v>
      </c>
      <c r="AB130" t="str">
        <f>IF(OR(Table1[[#This Row],[type_code]]="GH", Table1[[#This Row],[type_code]]="CH", Table1[[#This Row],[type_code]]="CLIP H" ), "Holder", "")</f>
        <v>Holder</v>
      </c>
      <c r="AC13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0" t="str">
        <f>IF(OR(Table1[[#This Row],[type_code]]="GH", Table1[[#This Row],[type_code]]="CH", Table1[[#This Row],[type_code]]="CLIP H" ), "Mechanic Holder Production", "")</f>
        <v>Mechanic Holder Production</v>
      </c>
      <c r="AE130" t="str">
        <f>IF(OR(Table1[[#This Row],[type_code]]="GH", Table1[[#This Row],[type_code]]="CH", Table1[[#This Row],[type_code]]="CLIP H" ), "Automatic After Production", "")</f>
        <v>Automatic After Production</v>
      </c>
      <c r="AF13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74mm x 56mm x 73mm</v>
      </c>
    </row>
    <row r="131" spans="1:32" x14ac:dyDescent="0.3">
      <c r="A131" t="s">
        <v>189</v>
      </c>
      <c r="B131" s="1" t="s">
        <v>244</v>
      </c>
      <c r="C131" s="1"/>
      <c r="D131" t="s">
        <v>258</v>
      </c>
      <c r="F131" t="b">
        <v>0</v>
      </c>
      <c r="I131">
        <v>1</v>
      </c>
      <c r="J131">
        <v>46</v>
      </c>
      <c r="K131">
        <v>45</v>
      </c>
      <c r="L131">
        <v>62</v>
      </c>
      <c r="M131" t="s">
        <v>45</v>
      </c>
      <c r="N131" t="s">
        <v>20</v>
      </c>
      <c r="O131" t="b">
        <v>1</v>
      </c>
      <c r="Y13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7278246930/7298196130 Connector Holder JB</v>
      </c>
      <c r="Z131" t="str">
        <f>IF(LEN(Table1[[#This Row],[MA_Number]])&gt;0, Table1[[#This Row],[MA_Number]], "")</f>
        <v>10.21.63361A</v>
      </c>
      <c r="AA131" t="str">
        <f>IF(OR(Table1[[#This Row],[type_code]]="GH", Table1[[#This Row],[type_code]]="CH", Table1[[#This Row],[type_code]]="CLIP H" ), "Finished Product", "")</f>
        <v>Finished Product</v>
      </c>
      <c r="AB131" t="str">
        <f>IF(OR(Table1[[#This Row],[type_code]]="GH", Table1[[#This Row],[type_code]]="CH", Table1[[#This Row],[type_code]]="CLIP H" ), "Holder", "")</f>
        <v>Holder</v>
      </c>
      <c r="AC13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1" t="str">
        <f>IF(OR(Table1[[#This Row],[type_code]]="GH", Table1[[#This Row],[type_code]]="CH", Table1[[#This Row],[type_code]]="CLIP H" ), "Mechanic Holder Production", "")</f>
        <v>Mechanic Holder Production</v>
      </c>
      <c r="AE131" t="str">
        <f>IF(OR(Table1[[#This Row],[type_code]]="GH", Table1[[#This Row],[type_code]]="CH", Table1[[#This Row],[type_code]]="CLIP H" ), "Automatic After Production", "")</f>
        <v>Automatic After Production</v>
      </c>
      <c r="AF13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46mm x 45mm x 62mm</v>
      </c>
    </row>
    <row r="132" spans="1:32" x14ac:dyDescent="0.3">
      <c r="A132" t="s">
        <v>190</v>
      </c>
      <c r="B132" s="1">
        <v>71196350</v>
      </c>
      <c r="C132" s="1"/>
      <c r="D132" t="s">
        <v>258</v>
      </c>
      <c r="F132" t="b">
        <v>0</v>
      </c>
      <c r="I132">
        <v>1</v>
      </c>
      <c r="J132">
        <v>40</v>
      </c>
      <c r="K132">
        <v>35</v>
      </c>
      <c r="L132">
        <v>50</v>
      </c>
      <c r="M132" t="s">
        <v>44</v>
      </c>
      <c r="N132" t="s">
        <v>20</v>
      </c>
      <c r="O132" t="b">
        <v>1</v>
      </c>
      <c r="Y13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71196350 Connector Holder JB</v>
      </c>
      <c r="Z132" t="str">
        <f>IF(LEN(Table1[[#This Row],[MA_Number]])&gt;0, Table1[[#This Row],[MA_Number]], "")</f>
        <v>10.21.77127C</v>
      </c>
      <c r="AA132" t="str">
        <f>IF(OR(Table1[[#This Row],[type_code]]="GH", Table1[[#This Row],[type_code]]="CH", Table1[[#This Row],[type_code]]="CLIP H" ), "Finished Product", "")</f>
        <v>Finished Product</v>
      </c>
      <c r="AB132" t="str">
        <f>IF(OR(Table1[[#This Row],[type_code]]="GH", Table1[[#This Row],[type_code]]="CH", Table1[[#This Row],[type_code]]="CLIP H" ), "Holder", "")</f>
        <v>Holder</v>
      </c>
      <c r="AC13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2" t="str">
        <f>IF(OR(Table1[[#This Row],[type_code]]="GH", Table1[[#This Row],[type_code]]="CH", Table1[[#This Row],[type_code]]="CLIP H" ), "Mechanic Holder Production", "")</f>
        <v>Mechanic Holder Production</v>
      </c>
      <c r="AE132" t="str">
        <f>IF(OR(Table1[[#This Row],[type_code]]="GH", Table1[[#This Row],[type_code]]="CH", Table1[[#This Row],[type_code]]="CLIP H" ), "Automatic After Production", "")</f>
        <v>Automatic After Production</v>
      </c>
      <c r="AF13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40mm x 35mm x 50mm</v>
      </c>
    </row>
    <row r="133" spans="1:32" x14ac:dyDescent="0.3">
      <c r="A133" t="s">
        <v>268</v>
      </c>
      <c r="B133" s="1" t="s">
        <v>246</v>
      </c>
      <c r="C133" s="1"/>
      <c r="D133" t="s">
        <v>258</v>
      </c>
      <c r="F133" t="b">
        <v>0</v>
      </c>
      <c r="I133">
        <v>1</v>
      </c>
      <c r="J133">
        <v>66</v>
      </c>
      <c r="K133">
        <v>66</v>
      </c>
      <c r="L133">
        <v>66</v>
      </c>
      <c r="M133" t="s">
        <v>45</v>
      </c>
      <c r="N133" t="s">
        <v>20</v>
      </c>
      <c r="O133" t="b">
        <v>1</v>
      </c>
      <c r="Y13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7219678730+7134811530A Connector Holder JB</v>
      </c>
      <c r="Z133" t="str">
        <f>IF(LEN(Table1[[#This Row],[MA_Number]])&gt;0, Table1[[#This Row],[MA_Number]], "")</f>
        <v>10.21.77132_A</v>
      </c>
      <c r="AA133" t="str">
        <f>IF(OR(Table1[[#This Row],[type_code]]="GH", Table1[[#This Row],[type_code]]="CH", Table1[[#This Row],[type_code]]="CLIP H" ), "Finished Product", "")</f>
        <v>Finished Product</v>
      </c>
      <c r="AB133" t="str">
        <f>IF(OR(Table1[[#This Row],[type_code]]="GH", Table1[[#This Row],[type_code]]="CH", Table1[[#This Row],[type_code]]="CLIP H" ), "Holder", "")</f>
        <v>Holder</v>
      </c>
      <c r="AC13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3" t="str">
        <f>IF(OR(Table1[[#This Row],[type_code]]="GH", Table1[[#This Row],[type_code]]="CH", Table1[[#This Row],[type_code]]="CLIP H" ), "Mechanic Holder Production", "")</f>
        <v>Mechanic Holder Production</v>
      </c>
      <c r="AE133" t="str">
        <f>IF(OR(Table1[[#This Row],[type_code]]="GH", Table1[[#This Row],[type_code]]="CH", Table1[[#This Row],[type_code]]="CLIP H" ), "Automatic After Production", "")</f>
        <v>Automatic After Production</v>
      </c>
      <c r="AF13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66mm x 66mm x 66mm</v>
      </c>
    </row>
    <row r="134" spans="1:32" x14ac:dyDescent="0.3">
      <c r="A134" t="s">
        <v>193</v>
      </c>
      <c r="B134" s="1">
        <v>72191763</v>
      </c>
      <c r="C134" s="1"/>
      <c r="D134" t="s">
        <v>258</v>
      </c>
      <c r="F134" t="b">
        <v>0</v>
      </c>
      <c r="I134">
        <v>1</v>
      </c>
      <c r="J134">
        <v>42</v>
      </c>
      <c r="K134">
        <v>40</v>
      </c>
      <c r="L134">
        <v>65</v>
      </c>
      <c r="M134" t="s">
        <v>45</v>
      </c>
      <c r="N134" t="s">
        <v>20</v>
      </c>
      <c r="O134" t="b">
        <v>1</v>
      </c>
      <c r="Y13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72191763 Connector Holder JB</v>
      </c>
      <c r="Z134" t="str">
        <f>IF(LEN(Table1[[#This Row],[MA_Number]])&gt;0, Table1[[#This Row],[MA_Number]], "")</f>
        <v>10.21.77083A</v>
      </c>
      <c r="AA134" t="str">
        <f>IF(OR(Table1[[#This Row],[type_code]]="GH", Table1[[#This Row],[type_code]]="CH", Table1[[#This Row],[type_code]]="CLIP H" ), "Finished Product", "")</f>
        <v>Finished Product</v>
      </c>
      <c r="AB134" t="str">
        <f>IF(OR(Table1[[#This Row],[type_code]]="GH", Table1[[#This Row],[type_code]]="CH", Table1[[#This Row],[type_code]]="CLIP H" ), "Holder", "")</f>
        <v>Holder</v>
      </c>
      <c r="AC13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4" t="str">
        <f>IF(OR(Table1[[#This Row],[type_code]]="GH", Table1[[#This Row],[type_code]]="CH", Table1[[#This Row],[type_code]]="CLIP H" ), "Mechanic Holder Production", "")</f>
        <v>Mechanic Holder Production</v>
      </c>
      <c r="AE134" t="str">
        <f>IF(OR(Table1[[#This Row],[type_code]]="GH", Table1[[#This Row],[type_code]]="CH", Table1[[#This Row],[type_code]]="CLIP H" ), "Automatic After Production", "")</f>
        <v>Automatic After Production</v>
      </c>
      <c r="AF13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42mm x 40mm x 65mm</v>
      </c>
    </row>
    <row r="135" spans="1:32" x14ac:dyDescent="0.3">
      <c r="A135" t="s">
        <v>194</v>
      </c>
      <c r="B135" s="1" t="s">
        <v>247</v>
      </c>
      <c r="C135" s="1"/>
      <c r="D135" t="s">
        <v>258</v>
      </c>
      <c r="F135" t="b">
        <v>0</v>
      </c>
      <c r="I135">
        <v>1</v>
      </c>
      <c r="J135">
        <v>105</v>
      </c>
      <c r="K135">
        <v>53</v>
      </c>
      <c r="L135">
        <v>53</v>
      </c>
      <c r="M135" t="s">
        <v>44</v>
      </c>
      <c r="N135" t="s">
        <v>20</v>
      </c>
      <c r="O135" t="b">
        <v>1</v>
      </c>
      <c r="Y13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7178412830+7198277430+72743637 Connector Holder JB</v>
      </c>
      <c r="Z135" t="str">
        <f>IF(LEN(Table1[[#This Row],[MA_Number]])&gt;0, Table1[[#This Row],[MA_Number]], "")</f>
        <v>10.21.83795A</v>
      </c>
      <c r="AA135" t="str">
        <f>IF(OR(Table1[[#This Row],[type_code]]="GH", Table1[[#This Row],[type_code]]="CH", Table1[[#This Row],[type_code]]="CLIP H" ), "Finished Product", "")</f>
        <v>Finished Product</v>
      </c>
      <c r="AB135" t="str">
        <f>IF(OR(Table1[[#This Row],[type_code]]="GH", Table1[[#This Row],[type_code]]="CH", Table1[[#This Row],[type_code]]="CLIP H" ), "Holder", "")</f>
        <v>Holder</v>
      </c>
      <c r="AC13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5" t="str">
        <f>IF(OR(Table1[[#This Row],[type_code]]="GH", Table1[[#This Row],[type_code]]="CH", Table1[[#This Row],[type_code]]="CLIP H" ), "Mechanic Holder Production", "")</f>
        <v>Mechanic Holder Production</v>
      </c>
      <c r="AE135" t="str">
        <f>IF(OR(Table1[[#This Row],[type_code]]="GH", Table1[[#This Row],[type_code]]="CH", Table1[[#This Row],[type_code]]="CLIP H" ), "Automatic After Production", "")</f>
        <v>Automatic After Production</v>
      </c>
      <c r="AF13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105mm x 53mm x 53mm</v>
      </c>
    </row>
    <row r="136" spans="1:32" x14ac:dyDescent="0.3">
      <c r="A136" t="s">
        <v>191</v>
      </c>
      <c r="B136" s="1" t="s">
        <v>245</v>
      </c>
      <c r="C136" s="1"/>
      <c r="D136" t="s">
        <v>258</v>
      </c>
      <c r="F136" t="b">
        <v>0</v>
      </c>
      <c r="I136">
        <v>1</v>
      </c>
      <c r="J136">
        <v>64</v>
      </c>
      <c r="K136">
        <v>53</v>
      </c>
      <c r="L136">
        <v>87</v>
      </c>
      <c r="M136" t="s">
        <v>46</v>
      </c>
      <c r="N136" t="s">
        <v>20</v>
      </c>
      <c r="O136" t="b">
        <v>1</v>
      </c>
      <c r="Y13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7118673890+7173344320 Connector Holder JB</v>
      </c>
      <c r="Z136" t="str">
        <f>IF(LEN(Table1[[#This Row],[MA_Number]])&gt;0, Table1[[#This Row],[MA_Number]], "")</f>
        <v>10.21.77190A</v>
      </c>
      <c r="AA136" t="str">
        <f>IF(OR(Table1[[#This Row],[type_code]]="GH", Table1[[#This Row],[type_code]]="CH", Table1[[#This Row],[type_code]]="CLIP H" ), "Finished Product", "")</f>
        <v>Finished Product</v>
      </c>
      <c r="AB136" t="str">
        <f>IF(OR(Table1[[#This Row],[type_code]]="GH", Table1[[#This Row],[type_code]]="CH", Table1[[#This Row],[type_code]]="CLIP H" ), "Holder", "")</f>
        <v>Holder</v>
      </c>
      <c r="AC13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6" t="str">
        <f>IF(OR(Table1[[#This Row],[type_code]]="GH", Table1[[#This Row],[type_code]]="CH", Table1[[#This Row],[type_code]]="CLIP H" ), "Mechanic Holder Production", "")</f>
        <v>Mechanic Holder Production</v>
      </c>
      <c r="AE136" t="str">
        <f>IF(OR(Table1[[#This Row],[type_code]]="GH", Table1[[#This Row],[type_code]]="CH", Table1[[#This Row],[type_code]]="CLIP H" ), "Automatic After Production", "")</f>
        <v>Automatic After Production</v>
      </c>
      <c r="AF13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64mm x 53mm x 87mm</v>
      </c>
    </row>
    <row r="137" spans="1:32" x14ac:dyDescent="0.3">
      <c r="A137" t="s">
        <v>270</v>
      </c>
      <c r="B137" s="1" t="s">
        <v>248</v>
      </c>
      <c r="C137" s="1"/>
      <c r="D137" t="s">
        <v>258</v>
      </c>
      <c r="F137" t="b">
        <v>0</v>
      </c>
      <c r="I137">
        <v>1</v>
      </c>
      <c r="J137">
        <v>64</v>
      </c>
      <c r="K137">
        <v>53</v>
      </c>
      <c r="L137">
        <v>87</v>
      </c>
      <c r="M137" t="s">
        <v>46</v>
      </c>
      <c r="N137" t="s">
        <v>20</v>
      </c>
      <c r="O137" t="b">
        <v>1</v>
      </c>
      <c r="Y13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7177363290+7173344320 Connector Holder JB</v>
      </c>
      <c r="Z137" t="str">
        <f>IF(LEN(Table1[[#This Row],[MA_Number]])&gt;0, Table1[[#This Row],[MA_Number]], "")</f>
        <v>10.21.77190_A</v>
      </c>
      <c r="AA137" t="str">
        <f>IF(OR(Table1[[#This Row],[type_code]]="GH", Table1[[#This Row],[type_code]]="CH", Table1[[#This Row],[type_code]]="CLIP H" ), "Finished Product", "")</f>
        <v>Finished Product</v>
      </c>
      <c r="AB137" t="str">
        <f>IF(OR(Table1[[#This Row],[type_code]]="GH", Table1[[#This Row],[type_code]]="CH", Table1[[#This Row],[type_code]]="CLIP H" ), "Holder", "")</f>
        <v>Holder</v>
      </c>
      <c r="AC13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7" t="str">
        <f>IF(OR(Table1[[#This Row],[type_code]]="GH", Table1[[#This Row],[type_code]]="CH", Table1[[#This Row],[type_code]]="CLIP H" ), "Mechanic Holder Production", "")</f>
        <v>Mechanic Holder Production</v>
      </c>
      <c r="AE137" t="str">
        <f>IF(OR(Table1[[#This Row],[type_code]]="GH", Table1[[#This Row],[type_code]]="CH", Table1[[#This Row],[type_code]]="CLIP H" ), "Automatic After Production", "")</f>
        <v>Automatic After Production</v>
      </c>
      <c r="AF13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64mm x 53mm x 87mm</v>
      </c>
    </row>
    <row r="138" spans="1:32" x14ac:dyDescent="0.3">
      <c r="A138" t="s">
        <v>195</v>
      </c>
      <c r="B138" s="1">
        <v>71781227</v>
      </c>
      <c r="C138" s="1"/>
      <c r="D138" t="s">
        <v>258</v>
      </c>
      <c r="F138" t="b">
        <v>0</v>
      </c>
      <c r="I138">
        <v>1</v>
      </c>
      <c r="J138">
        <v>40</v>
      </c>
      <c r="K138">
        <v>40</v>
      </c>
      <c r="L138">
        <v>49</v>
      </c>
      <c r="M138" t="s">
        <v>44</v>
      </c>
      <c r="N138" t="s">
        <v>20</v>
      </c>
      <c r="O138" t="b">
        <v>1</v>
      </c>
      <c r="Y13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71781227 Connector Holder JB</v>
      </c>
      <c r="Z138" t="str">
        <f>IF(LEN(Table1[[#This Row],[MA_Number]])&gt;0, Table1[[#This Row],[MA_Number]], "")</f>
        <v>10.21.96498A</v>
      </c>
      <c r="AA138" t="str">
        <f>IF(OR(Table1[[#This Row],[type_code]]="GH", Table1[[#This Row],[type_code]]="CH", Table1[[#This Row],[type_code]]="CLIP H" ), "Finished Product", "")</f>
        <v>Finished Product</v>
      </c>
      <c r="AB138" t="str">
        <f>IF(OR(Table1[[#This Row],[type_code]]="GH", Table1[[#This Row],[type_code]]="CH", Table1[[#This Row],[type_code]]="CLIP H" ), "Holder", "")</f>
        <v>Holder</v>
      </c>
      <c r="AC13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8" t="str">
        <f>IF(OR(Table1[[#This Row],[type_code]]="GH", Table1[[#This Row],[type_code]]="CH", Table1[[#This Row],[type_code]]="CLIP H" ), "Mechanic Holder Production", "")</f>
        <v>Mechanic Holder Production</v>
      </c>
      <c r="AE138" t="str">
        <f>IF(OR(Table1[[#This Row],[type_code]]="GH", Table1[[#This Row],[type_code]]="CH", Table1[[#This Row],[type_code]]="CLIP H" ), "Automatic After Production", "")</f>
        <v>Automatic After Production</v>
      </c>
      <c r="AF13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40mm x 40mm x 49mm</v>
      </c>
    </row>
    <row r="139" spans="1:32" x14ac:dyDescent="0.3">
      <c r="A139" t="s">
        <v>196</v>
      </c>
      <c r="B139" s="1">
        <v>71979512</v>
      </c>
      <c r="C139" s="1"/>
      <c r="D139" t="s">
        <v>258</v>
      </c>
      <c r="F139" t="b">
        <v>0</v>
      </c>
      <c r="I139">
        <v>1</v>
      </c>
      <c r="J139">
        <v>80</v>
      </c>
      <c r="K139">
        <v>45</v>
      </c>
      <c r="L139">
        <v>66</v>
      </c>
      <c r="M139" t="s">
        <v>44</v>
      </c>
      <c r="N139" t="s">
        <v>20</v>
      </c>
      <c r="O139" t="b">
        <v>1</v>
      </c>
      <c r="Y13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71979512 Connector Holder JB</v>
      </c>
      <c r="Z139" t="str">
        <f>IF(LEN(Table1[[#This Row],[MA_Number]])&gt;0, Table1[[#This Row],[MA_Number]], "")</f>
        <v>10.21.80734A</v>
      </c>
      <c r="AA139" t="str">
        <f>IF(OR(Table1[[#This Row],[type_code]]="GH", Table1[[#This Row],[type_code]]="CH", Table1[[#This Row],[type_code]]="CLIP H" ), "Finished Product", "")</f>
        <v>Finished Product</v>
      </c>
      <c r="AB139" t="str">
        <f>IF(OR(Table1[[#This Row],[type_code]]="GH", Table1[[#This Row],[type_code]]="CH", Table1[[#This Row],[type_code]]="CLIP H" ), "Holder", "")</f>
        <v>Holder</v>
      </c>
      <c r="AC13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39" t="str">
        <f>IF(OR(Table1[[#This Row],[type_code]]="GH", Table1[[#This Row],[type_code]]="CH", Table1[[#This Row],[type_code]]="CLIP H" ), "Mechanic Holder Production", "")</f>
        <v>Mechanic Holder Production</v>
      </c>
      <c r="AE139" t="str">
        <f>IF(OR(Table1[[#This Row],[type_code]]="GH", Table1[[#This Row],[type_code]]="CH", Table1[[#This Row],[type_code]]="CLIP H" ), "Automatic After Production", "")</f>
        <v>Automatic After Production</v>
      </c>
      <c r="AF13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80mm x 45mm x 66mm</v>
      </c>
    </row>
    <row r="140" spans="1:32" x14ac:dyDescent="0.3">
      <c r="A140" t="s">
        <v>197</v>
      </c>
      <c r="B140" s="1">
        <v>7183753630</v>
      </c>
      <c r="C140" s="1"/>
      <c r="D140" t="s">
        <v>258</v>
      </c>
      <c r="F140" t="b">
        <v>0</v>
      </c>
      <c r="I140">
        <v>1</v>
      </c>
      <c r="J140">
        <v>41</v>
      </c>
      <c r="K140">
        <v>38</v>
      </c>
      <c r="L140">
        <v>48</v>
      </c>
      <c r="M140" t="s">
        <v>45</v>
      </c>
      <c r="N140" t="s">
        <v>20</v>
      </c>
      <c r="O140" t="b">
        <v>1</v>
      </c>
      <c r="Y14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7183753630 Connector Holder JB</v>
      </c>
      <c r="Z140" t="str">
        <f>IF(LEN(Table1[[#This Row],[MA_Number]])&gt;0, Table1[[#This Row],[MA_Number]], "")</f>
        <v>10.21.77149A</v>
      </c>
      <c r="AA140" t="str">
        <f>IF(OR(Table1[[#This Row],[type_code]]="GH", Table1[[#This Row],[type_code]]="CH", Table1[[#This Row],[type_code]]="CLIP H" ), "Finished Product", "")</f>
        <v>Finished Product</v>
      </c>
      <c r="AB140" t="str">
        <f>IF(OR(Table1[[#This Row],[type_code]]="GH", Table1[[#This Row],[type_code]]="CH", Table1[[#This Row],[type_code]]="CLIP H" ), "Holder", "")</f>
        <v>Holder</v>
      </c>
      <c r="AC14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40" t="str">
        <f>IF(OR(Table1[[#This Row],[type_code]]="GH", Table1[[#This Row],[type_code]]="CH", Table1[[#This Row],[type_code]]="CLIP H" ), "Mechanic Holder Production", "")</f>
        <v>Mechanic Holder Production</v>
      </c>
      <c r="AE140" t="str">
        <f>IF(OR(Table1[[#This Row],[type_code]]="GH", Table1[[#This Row],[type_code]]="CH", Table1[[#This Row],[type_code]]="CLIP H" ), "Automatic After Production", "")</f>
        <v>Automatic After Production</v>
      </c>
      <c r="AF14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41mm x 38mm x 48mm</v>
      </c>
    </row>
    <row r="141" spans="1:32" x14ac:dyDescent="0.3">
      <c r="A141" t="s">
        <v>198</v>
      </c>
      <c r="B141" s="1">
        <v>72186417</v>
      </c>
      <c r="C141" s="1"/>
      <c r="D141" t="s">
        <v>258</v>
      </c>
      <c r="F141" t="b">
        <v>0</v>
      </c>
      <c r="I141">
        <v>1</v>
      </c>
      <c r="J141">
        <v>60</v>
      </c>
      <c r="K141">
        <v>38</v>
      </c>
      <c r="L141">
        <v>49</v>
      </c>
      <c r="M141" t="s">
        <v>44</v>
      </c>
      <c r="N141" t="s">
        <v>20</v>
      </c>
      <c r="O141" t="b">
        <v>1</v>
      </c>
      <c r="Y14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72186417 Connector Holder JB</v>
      </c>
      <c r="Z141" t="str">
        <f>IF(LEN(Table1[[#This Row],[MA_Number]])&gt;0, Table1[[#This Row],[MA_Number]], "")</f>
        <v>10.21.79594A</v>
      </c>
      <c r="AA141" t="str">
        <f>IF(OR(Table1[[#This Row],[type_code]]="GH", Table1[[#This Row],[type_code]]="CH", Table1[[#This Row],[type_code]]="CLIP H" ), "Finished Product", "")</f>
        <v>Finished Product</v>
      </c>
      <c r="AB141" t="str">
        <f>IF(OR(Table1[[#This Row],[type_code]]="GH", Table1[[#This Row],[type_code]]="CH", Table1[[#This Row],[type_code]]="CLIP H" ), "Holder", "")</f>
        <v>Holder</v>
      </c>
      <c r="AC14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41" t="str">
        <f>IF(OR(Table1[[#This Row],[type_code]]="GH", Table1[[#This Row],[type_code]]="CH", Table1[[#This Row],[type_code]]="CLIP H" ), "Mechanic Holder Production", "")</f>
        <v>Mechanic Holder Production</v>
      </c>
      <c r="AE141" t="str">
        <f>IF(OR(Table1[[#This Row],[type_code]]="GH", Table1[[#This Row],[type_code]]="CH", Table1[[#This Row],[type_code]]="CLIP H" ), "Automatic After Production", "")</f>
        <v>Automatic After Production</v>
      </c>
      <c r="AF14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60mm x 38mm x 49mm</v>
      </c>
    </row>
    <row r="142" spans="1:32" x14ac:dyDescent="0.3">
      <c r="A142" t="s">
        <v>199</v>
      </c>
      <c r="B142" s="1" t="s">
        <v>477</v>
      </c>
      <c r="C142" s="1"/>
      <c r="D142" t="s">
        <v>258</v>
      </c>
      <c r="F142" t="b">
        <v>0</v>
      </c>
      <c r="I142">
        <v>1</v>
      </c>
      <c r="J142">
        <v>65</v>
      </c>
      <c r="K142">
        <v>58</v>
      </c>
      <c r="L142">
        <v>52</v>
      </c>
      <c r="M142" t="s">
        <v>44</v>
      </c>
      <c r="N142" t="s">
        <v>20</v>
      </c>
      <c r="O142" t="b">
        <v>1</v>
      </c>
      <c r="Y14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7189482930+72741357 Connector Holder JB</v>
      </c>
      <c r="Z142" t="str">
        <f>IF(LEN(Table1[[#This Row],[MA_Number]])&gt;0, Table1[[#This Row],[MA_Number]], "")</f>
        <v>10.21.79595A</v>
      </c>
      <c r="AA142" t="str">
        <f>IF(OR(Table1[[#This Row],[type_code]]="GH", Table1[[#This Row],[type_code]]="CH", Table1[[#This Row],[type_code]]="CLIP H" ), "Finished Product", "")</f>
        <v>Finished Product</v>
      </c>
      <c r="AB142" t="str">
        <f>IF(OR(Table1[[#This Row],[type_code]]="GH", Table1[[#This Row],[type_code]]="CH", Table1[[#This Row],[type_code]]="CLIP H" ), "Holder", "")</f>
        <v>Holder</v>
      </c>
      <c r="AC14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42" t="str">
        <f>IF(OR(Table1[[#This Row],[type_code]]="GH", Table1[[#This Row],[type_code]]="CH", Table1[[#This Row],[type_code]]="CLIP H" ), "Mechanic Holder Production", "")</f>
        <v>Mechanic Holder Production</v>
      </c>
      <c r="AE142" t="str">
        <f>IF(OR(Table1[[#This Row],[type_code]]="GH", Table1[[#This Row],[type_code]]="CH", Table1[[#This Row],[type_code]]="CLIP H" ), "Automatic After Production", "")</f>
        <v>Automatic After Production</v>
      </c>
      <c r="AF14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65mm x 58mm x 52mm</v>
      </c>
    </row>
    <row r="143" spans="1:32" x14ac:dyDescent="0.3">
      <c r="A143" t="s">
        <v>200</v>
      </c>
      <c r="B143" s="1">
        <v>7271262590</v>
      </c>
      <c r="C143" s="1"/>
      <c r="D143" t="s">
        <v>258</v>
      </c>
      <c r="F143" t="b">
        <v>0</v>
      </c>
      <c r="I143">
        <v>1</v>
      </c>
      <c r="J143">
        <v>85</v>
      </c>
      <c r="K143">
        <v>62</v>
      </c>
      <c r="L143">
        <v>57</v>
      </c>
      <c r="M143" t="s">
        <v>46</v>
      </c>
      <c r="N143" t="s">
        <v>20</v>
      </c>
      <c r="O143" t="b">
        <v>1</v>
      </c>
      <c r="Y14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7271262590 Connector Holder JB</v>
      </c>
      <c r="Z143" t="str">
        <f>IF(LEN(Table1[[#This Row],[MA_Number]])&gt;0, Table1[[#This Row],[MA_Number]], "")</f>
        <v>10.21.77179A</v>
      </c>
      <c r="AA143" t="str">
        <f>IF(OR(Table1[[#This Row],[type_code]]="GH", Table1[[#This Row],[type_code]]="CH", Table1[[#This Row],[type_code]]="CLIP H" ), "Finished Product", "")</f>
        <v>Finished Product</v>
      </c>
      <c r="AB143" t="str">
        <f>IF(OR(Table1[[#This Row],[type_code]]="GH", Table1[[#This Row],[type_code]]="CH", Table1[[#This Row],[type_code]]="CLIP H" ), "Holder", "")</f>
        <v>Holder</v>
      </c>
      <c r="AC14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43" t="str">
        <f>IF(OR(Table1[[#This Row],[type_code]]="GH", Table1[[#This Row],[type_code]]="CH", Table1[[#This Row],[type_code]]="CLIP H" ), "Mechanic Holder Production", "")</f>
        <v>Mechanic Holder Production</v>
      </c>
      <c r="AE143" t="str">
        <f>IF(OR(Table1[[#This Row],[type_code]]="GH", Table1[[#This Row],[type_code]]="CH", Table1[[#This Row],[type_code]]="CLIP H" ), "Automatic After Production", "")</f>
        <v>Automatic After Production</v>
      </c>
      <c r="AF14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85mm x 62mm x 57mm</v>
      </c>
    </row>
    <row r="144" spans="1:32" x14ac:dyDescent="0.3">
      <c r="A144" t="s">
        <v>272</v>
      </c>
      <c r="B144" s="1" t="s">
        <v>298</v>
      </c>
      <c r="C144" s="1"/>
      <c r="D144" t="s">
        <v>258</v>
      </c>
      <c r="F144" t="b">
        <v>0</v>
      </c>
      <c r="I144">
        <v>1</v>
      </c>
      <c r="J144">
        <v>49</v>
      </c>
      <c r="K144">
        <v>32</v>
      </c>
      <c r="L144">
        <v>44</v>
      </c>
      <c r="M144" t="s">
        <v>45</v>
      </c>
      <c r="N144" t="s">
        <v>20</v>
      </c>
      <c r="O144" t="b">
        <v>1</v>
      </c>
      <c r="Y14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ASSY_59Z063DC0A Connector Holder JB</v>
      </c>
      <c r="Z144" t="str">
        <f>IF(LEN(Table1[[#This Row],[MA_Number]])&gt;0, Table1[[#This Row],[MA_Number]], "")</f>
        <v>10.21.36176A</v>
      </c>
      <c r="AA144" t="str">
        <f>IF(OR(Table1[[#This Row],[type_code]]="GH", Table1[[#This Row],[type_code]]="CH", Table1[[#This Row],[type_code]]="CLIP H" ), "Finished Product", "")</f>
        <v>Finished Product</v>
      </c>
      <c r="AB144" t="str">
        <f>IF(OR(Table1[[#This Row],[type_code]]="GH", Table1[[#This Row],[type_code]]="CH", Table1[[#This Row],[type_code]]="CLIP H" ), "Holder", "")</f>
        <v>Holder</v>
      </c>
      <c r="AC14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44" t="str">
        <f>IF(OR(Table1[[#This Row],[type_code]]="GH", Table1[[#This Row],[type_code]]="CH", Table1[[#This Row],[type_code]]="CLIP H" ), "Mechanic Holder Production", "")</f>
        <v>Mechanic Holder Production</v>
      </c>
      <c r="AE144" t="str">
        <f>IF(OR(Table1[[#This Row],[type_code]]="GH", Table1[[#This Row],[type_code]]="CH", Table1[[#This Row],[type_code]]="CLIP H" ), "Automatic After Production", "")</f>
        <v>Automatic After Production</v>
      </c>
      <c r="AF14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49mm x 32mm x 44mm</v>
      </c>
    </row>
    <row r="145" spans="1:32" x14ac:dyDescent="0.3">
      <c r="A145" t="s">
        <v>201</v>
      </c>
      <c r="B145" s="1" t="s">
        <v>249</v>
      </c>
      <c r="C145" s="1"/>
      <c r="D145" t="s">
        <v>258</v>
      </c>
      <c r="F145" t="b">
        <v>0</v>
      </c>
      <c r="I145">
        <v>1</v>
      </c>
      <c r="J145">
        <v>47</v>
      </c>
      <c r="K145">
        <v>41</v>
      </c>
      <c r="L145">
        <v>54</v>
      </c>
      <c r="M145" t="s">
        <v>46</v>
      </c>
      <c r="N145" t="s">
        <v>20</v>
      </c>
      <c r="O145" t="b">
        <v>1</v>
      </c>
      <c r="Y14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ASSY_E6Z017DC1C Connector Holder JB</v>
      </c>
      <c r="Z145" t="str">
        <f>IF(LEN(Table1[[#This Row],[MA_Number]])&gt;0, Table1[[#This Row],[MA_Number]], "")</f>
        <v>10.21.77151A</v>
      </c>
      <c r="AA145" t="str">
        <f>IF(OR(Table1[[#This Row],[type_code]]="GH", Table1[[#This Row],[type_code]]="CH", Table1[[#This Row],[type_code]]="CLIP H" ), "Finished Product", "")</f>
        <v>Finished Product</v>
      </c>
      <c r="AB145" t="str">
        <f>IF(OR(Table1[[#This Row],[type_code]]="GH", Table1[[#This Row],[type_code]]="CH", Table1[[#This Row],[type_code]]="CLIP H" ), "Holder", "")</f>
        <v>Holder</v>
      </c>
      <c r="AC14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45" t="str">
        <f>IF(OR(Table1[[#This Row],[type_code]]="GH", Table1[[#This Row],[type_code]]="CH", Table1[[#This Row],[type_code]]="CLIP H" ), "Mechanic Holder Production", "")</f>
        <v>Mechanic Holder Production</v>
      </c>
      <c r="AE145" t="str">
        <f>IF(OR(Table1[[#This Row],[type_code]]="GH", Table1[[#This Row],[type_code]]="CH", Table1[[#This Row],[type_code]]="CLIP H" ), "Automatic After Production", "")</f>
        <v>Automatic After Production</v>
      </c>
      <c r="AF14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47mm x 41mm x 54mm</v>
      </c>
    </row>
    <row r="146" spans="1:32" x14ac:dyDescent="0.3">
      <c r="A146" t="s">
        <v>202</v>
      </c>
      <c r="B146" s="1">
        <v>7119141030</v>
      </c>
      <c r="C146" s="1"/>
      <c r="D146" t="s">
        <v>258</v>
      </c>
      <c r="F146" t="b">
        <v>0</v>
      </c>
      <c r="I146">
        <v>1</v>
      </c>
      <c r="J146">
        <v>42</v>
      </c>
      <c r="K146">
        <v>35</v>
      </c>
      <c r="L146">
        <v>44</v>
      </c>
      <c r="M146" t="s">
        <v>45</v>
      </c>
      <c r="N146" t="s">
        <v>20</v>
      </c>
      <c r="O146" t="b">
        <v>1</v>
      </c>
      <c r="Y14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7119141030 Connector Holder JB</v>
      </c>
      <c r="Z146" t="str">
        <f>IF(LEN(Table1[[#This Row],[MA_Number]])&gt;0, Table1[[#This Row],[MA_Number]], "")</f>
        <v>10.21.35000A</v>
      </c>
      <c r="AA146" t="str">
        <f>IF(OR(Table1[[#This Row],[type_code]]="GH", Table1[[#This Row],[type_code]]="CH", Table1[[#This Row],[type_code]]="CLIP H" ), "Finished Product", "")</f>
        <v>Finished Product</v>
      </c>
      <c r="AB146" t="str">
        <f>IF(OR(Table1[[#This Row],[type_code]]="GH", Table1[[#This Row],[type_code]]="CH", Table1[[#This Row],[type_code]]="CLIP H" ), "Holder", "")</f>
        <v>Holder</v>
      </c>
      <c r="AC14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46" t="str">
        <f>IF(OR(Table1[[#This Row],[type_code]]="GH", Table1[[#This Row],[type_code]]="CH", Table1[[#This Row],[type_code]]="CLIP H" ), "Mechanic Holder Production", "")</f>
        <v>Mechanic Holder Production</v>
      </c>
      <c r="AE146" t="str">
        <f>IF(OR(Table1[[#This Row],[type_code]]="GH", Table1[[#This Row],[type_code]]="CH", Table1[[#This Row],[type_code]]="CLIP H" ), "Automatic After Production", "")</f>
        <v>Automatic After Production</v>
      </c>
      <c r="AF14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42mm x 35mm x 44mm</v>
      </c>
    </row>
    <row r="147" spans="1:32" x14ac:dyDescent="0.3">
      <c r="A147" t="s">
        <v>203</v>
      </c>
      <c r="B147" s="1" t="s">
        <v>250</v>
      </c>
      <c r="C147" s="1"/>
      <c r="D147" t="s">
        <v>258</v>
      </c>
      <c r="F147" t="b">
        <v>0</v>
      </c>
      <c r="I147">
        <v>1</v>
      </c>
      <c r="J147">
        <v>70</v>
      </c>
      <c r="K147">
        <v>45</v>
      </c>
      <c r="L147">
        <v>52</v>
      </c>
      <c r="M147" t="s">
        <v>44</v>
      </c>
      <c r="N147" t="s">
        <v>20</v>
      </c>
      <c r="O147" t="b">
        <v>1</v>
      </c>
      <c r="V147" t="b">
        <v>1</v>
      </c>
      <c r="Y14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7198810230+72742686A Connector Holder JB</v>
      </c>
      <c r="Z147" t="str">
        <f>IF(LEN(Table1[[#This Row],[MA_Number]])&gt;0, Table1[[#This Row],[MA_Number]], "")</f>
        <v>10.21.80774C</v>
      </c>
      <c r="AA147" t="str">
        <f>IF(OR(Table1[[#This Row],[type_code]]="GH", Table1[[#This Row],[type_code]]="CH", Table1[[#This Row],[type_code]]="CLIP H" ), "Finished Product", "")</f>
        <v>Finished Product</v>
      </c>
      <c r="AB147" t="str">
        <f>IF(OR(Table1[[#This Row],[type_code]]="GH", Table1[[#This Row],[type_code]]="CH", Table1[[#This Row],[type_code]]="CLIP H" ), "Holder", "")</f>
        <v>Holder</v>
      </c>
      <c r="AC14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47" t="str">
        <f>IF(OR(Table1[[#This Row],[type_code]]="GH", Table1[[#This Row],[type_code]]="CH", Table1[[#This Row],[type_code]]="CLIP H" ), "Mechanic Holder Production", "")</f>
        <v>Mechanic Holder Production</v>
      </c>
      <c r="AE147" t="str">
        <f>IF(OR(Table1[[#This Row],[type_code]]="GH", Table1[[#This Row],[type_code]]="CH", Table1[[#This Row],[type_code]]="CLIP H" ), "Automatic After Production", "")</f>
        <v>Automatic After Production</v>
      </c>
      <c r="AF14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70mm x 45mm x 52mm</v>
      </c>
    </row>
    <row r="148" spans="1:32" x14ac:dyDescent="0.3">
      <c r="A148" t="s">
        <v>204</v>
      </c>
      <c r="B148" s="1" t="s">
        <v>379</v>
      </c>
      <c r="C148" s="1"/>
      <c r="D148" t="s">
        <v>258</v>
      </c>
      <c r="F148" t="b">
        <v>0</v>
      </c>
      <c r="I148">
        <v>1</v>
      </c>
      <c r="J148">
        <v>55</v>
      </c>
      <c r="K148">
        <v>40</v>
      </c>
      <c r="L148">
        <v>50</v>
      </c>
      <c r="M148" t="s">
        <v>44</v>
      </c>
      <c r="N148" t="s">
        <v>20</v>
      </c>
      <c r="O148" t="b">
        <v>1</v>
      </c>
      <c r="Y14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A1729821302_EYELET V1 Connector Holder JB</v>
      </c>
      <c r="Z148" t="str">
        <f>IF(LEN(Table1[[#This Row],[MA_Number]])&gt;0, Table1[[#This Row],[MA_Number]], "")</f>
        <v>10.21.83782A</v>
      </c>
      <c r="AA148" t="str">
        <f>IF(OR(Table1[[#This Row],[type_code]]="GH", Table1[[#This Row],[type_code]]="CH", Table1[[#This Row],[type_code]]="CLIP H" ), "Finished Product", "")</f>
        <v>Finished Product</v>
      </c>
      <c r="AB148" t="str">
        <f>IF(OR(Table1[[#This Row],[type_code]]="GH", Table1[[#This Row],[type_code]]="CH", Table1[[#This Row],[type_code]]="CLIP H" ), "Holder", "")</f>
        <v>Holder</v>
      </c>
      <c r="AC14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48" t="str">
        <f>IF(OR(Table1[[#This Row],[type_code]]="GH", Table1[[#This Row],[type_code]]="CH", Table1[[#This Row],[type_code]]="CLIP H" ), "Mechanic Holder Production", "")</f>
        <v>Mechanic Holder Production</v>
      </c>
      <c r="AE148" t="str">
        <f>IF(OR(Table1[[#This Row],[type_code]]="GH", Table1[[#This Row],[type_code]]="CH", Table1[[#This Row],[type_code]]="CLIP H" ), "Automatic After Production", "")</f>
        <v>Automatic After Production</v>
      </c>
      <c r="AF14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55mm x 40mm x 50mm</v>
      </c>
    </row>
    <row r="149" spans="1:32" x14ac:dyDescent="0.3">
      <c r="A149" t="s">
        <v>255</v>
      </c>
      <c r="B149" s="2">
        <v>7075226830</v>
      </c>
      <c r="C149" s="2" t="s">
        <v>357</v>
      </c>
      <c r="D149" t="s">
        <v>499</v>
      </c>
      <c r="F149" t="b">
        <v>0</v>
      </c>
      <c r="I149">
        <v>1</v>
      </c>
      <c r="J149">
        <v>60</v>
      </c>
      <c r="K149">
        <v>43</v>
      </c>
      <c r="L149">
        <v>65</v>
      </c>
      <c r="M149" t="s">
        <v>45</v>
      </c>
      <c r="N149" t="s">
        <v>20</v>
      </c>
      <c r="O149" t="b">
        <v>1</v>
      </c>
      <c r="Y14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7075226830 Grommet Holder JB</v>
      </c>
      <c r="Z149" t="str">
        <f>IF(LEN(Table1[[#This Row],[MA_Number]])&gt;0, Table1[[#This Row],[MA_Number]], "")</f>
        <v>10.21.72967B</v>
      </c>
      <c r="AA149" t="str">
        <f>IF(OR(Table1[[#This Row],[type_code]]="GH", Table1[[#This Row],[type_code]]="CH", Table1[[#This Row],[type_code]]="CLIP H" ), "Finished Product", "")</f>
        <v>Finished Product</v>
      </c>
      <c r="AB149" t="str">
        <f>IF(OR(Table1[[#This Row],[type_code]]="GH", Table1[[#This Row],[type_code]]="CH", Table1[[#This Row],[type_code]]="CLIP H" ), "Holder", "")</f>
        <v>Holder</v>
      </c>
      <c r="AC149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149" t="str">
        <f>IF(OR(Table1[[#This Row],[type_code]]="GH", Table1[[#This Row],[type_code]]="CH", Table1[[#This Row],[type_code]]="CLIP H" ), "Mechanic Holder Production", "")</f>
        <v>Mechanic Holder Production</v>
      </c>
      <c r="AE149" t="str">
        <f>IF(OR(Table1[[#This Row],[type_code]]="GH", Table1[[#This Row],[type_code]]="CH", Table1[[#This Row],[type_code]]="CLIP H" ), "Automatic After Production", "")</f>
        <v>Automatic After Production</v>
      </c>
      <c r="AF14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60mm x 43mm x 65mm</v>
      </c>
    </row>
    <row r="150" spans="1:32" x14ac:dyDescent="0.3">
      <c r="A150" t="s">
        <v>192</v>
      </c>
      <c r="B150" s="2" t="s">
        <v>263</v>
      </c>
      <c r="C150" s="2"/>
      <c r="D150" t="s">
        <v>258</v>
      </c>
      <c r="F150" t="b">
        <v>0</v>
      </c>
      <c r="I150">
        <v>1</v>
      </c>
      <c r="J150">
        <v>66</v>
      </c>
      <c r="K150">
        <v>66</v>
      </c>
      <c r="L150">
        <v>66</v>
      </c>
      <c r="M150" t="s">
        <v>45</v>
      </c>
      <c r="N150" t="s">
        <v>20</v>
      </c>
      <c r="O150" t="b">
        <v>1</v>
      </c>
      <c r="Y15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X1PO2003A Connector Holder JB</v>
      </c>
      <c r="Z150" t="str">
        <f>IF(LEN(Table1[[#This Row],[MA_Number]])&gt;0, Table1[[#This Row],[MA_Number]], "")</f>
        <v>10.21.77132A</v>
      </c>
      <c r="AA150" t="str">
        <f>IF(OR(Table1[[#This Row],[type_code]]="GH", Table1[[#This Row],[type_code]]="CH", Table1[[#This Row],[type_code]]="CLIP H" ), "Finished Product", "")</f>
        <v>Finished Product</v>
      </c>
      <c r="AB150" t="str">
        <f>IF(OR(Table1[[#This Row],[type_code]]="GH", Table1[[#This Row],[type_code]]="CH", Table1[[#This Row],[type_code]]="CLIP H" ), "Holder", "")</f>
        <v>Holder</v>
      </c>
      <c r="AC15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50" t="str">
        <f>IF(OR(Table1[[#This Row],[type_code]]="GH", Table1[[#This Row],[type_code]]="CH", Table1[[#This Row],[type_code]]="CLIP H" ), "Mechanic Holder Production", "")</f>
        <v>Mechanic Holder Production</v>
      </c>
      <c r="AE150" t="str">
        <f>IF(OR(Table1[[#This Row],[type_code]]="GH", Table1[[#This Row],[type_code]]="CH", Table1[[#This Row],[type_code]]="CLIP H" ), "Automatic After Production", "")</f>
        <v>Automatic After Production</v>
      </c>
      <c r="AF15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66mm x 66mm x 66mm</v>
      </c>
    </row>
    <row r="151" spans="1:32" x14ac:dyDescent="0.3">
      <c r="A151" t="s">
        <v>279</v>
      </c>
      <c r="B151" s="1" t="s">
        <v>274</v>
      </c>
      <c r="C151" s="1"/>
      <c r="D151" t="s">
        <v>258</v>
      </c>
      <c r="F151" t="b">
        <v>0</v>
      </c>
      <c r="I151">
        <v>1</v>
      </c>
      <c r="J151">
        <v>40</v>
      </c>
      <c r="K151">
        <v>35</v>
      </c>
      <c r="L151">
        <v>52</v>
      </c>
      <c r="M151" t="s">
        <v>46</v>
      </c>
      <c r="N151" t="s">
        <v>20</v>
      </c>
      <c r="O151" t="b">
        <v>1</v>
      </c>
      <c r="Y15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ASSY_59Z006T00C Connector Holder JB</v>
      </c>
      <c r="Z151" t="str">
        <f>IF(LEN(Table1[[#This Row],[MA_Number]])&gt;0, Table1[[#This Row],[MA_Number]], "")</f>
        <v>10.21.77067A</v>
      </c>
      <c r="AA151" t="str">
        <f>IF(OR(Table1[[#This Row],[type_code]]="GH", Table1[[#This Row],[type_code]]="CH", Table1[[#This Row],[type_code]]="CLIP H" ), "Finished Product", "")</f>
        <v>Finished Product</v>
      </c>
      <c r="AB151" t="str">
        <f>IF(OR(Table1[[#This Row],[type_code]]="GH", Table1[[#This Row],[type_code]]="CH", Table1[[#This Row],[type_code]]="CLIP H" ), "Holder", "")</f>
        <v>Holder</v>
      </c>
      <c r="AC15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51" t="str">
        <f>IF(OR(Table1[[#This Row],[type_code]]="GH", Table1[[#This Row],[type_code]]="CH", Table1[[#This Row],[type_code]]="CLIP H" ), "Mechanic Holder Production", "")</f>
        <v>Mechanic Holder Production</v>
      </c>
      <c r="AE151" t="str">
        <f>IF(OR(Table1[[#This Row],[type_code]]="GH", Table1[[#This Row],[type_code]]="CH", Table1[[#This Row],[type_code]]="CLIP H" ), "Automatic After Production", "")</f>
        <v>Automatic After Production</v>
      </c>
      <c r="AF15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40mm x 35mm x 52mm</v>
      </c>
    </row>
    <row r="152" spans="1:32" x14ac:dyDescent="0.3">
      <c r="A152" t="s">
        <v>282</v>
      </c>
      <c r="B152" s="1" t="s">
        <v>281</v>
      </c>
      <c r="C152" s="1" t="s">
        <v>411</v>
      </c>
      <c r="D152" t="s">
        <v>258</v>
      </c>
      <c r="F152" t="b">
        <v>0</v>
      </c>
      <c r="I152">
        <v>1</v>
      </c>
      <c r="J152">
        <v>45</v>
      </c>
      <c r="K152">
        <v>35</v>
      </c>
      <c r="L152">
        <v>42</v>
      </c>
      <c r="M152" t="s">
        <v>48</v>
      </c>
      <c r="N152" t="s">
        <v>20</v>
      </c>
      <c r="O152" t="b">
        <v>1</v>
      </c>
      <c r="Y15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ASSY_PPI0001107 Connector Holder JB</v>
      </c>
      <c r="Z152" t="str">
        <f>IF(LEN(Table1[[#This Row],[MA_Number]])&gt;0, Table1[[#This Row],[MA_Number]], "")</f>
        <v>10.21.36071A</v>
      </c>
      <c r="AA152" t="str">
        <f>IF(OR(Table1[[#This Row],[type_code]]="GH", Table1[[#This Row],[type_code]]="CH", Table1[[#This Row],[type_code]]="CLIP H" ), "Finished Product", "")</f>
        <v>Finished Product</v>
      </c>
      <c r="AB152" t="str">
        <f>IF(OR(Table1[[#This Row],[type_code]]="GH", Table1[[#This Row],[type_code]]="CH", Table1[[#This Row],[type_code]]="CLIP H" ), "Holder", "")</f>
        <v>Holder</v>
      </c>
      <c r="AC15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52" t="str">
        <f>IF(OR(Table1[[#This Row],[type_code]]="GH", Table1[[#This Row],[type_code]]="CH", Table1[[#This Row],[type_code]]="CLIP H" ), "Mechanic Holder Production", "")</f>
        <v>Mechanic Holder Production</v>
      </c>
      <c r="AE152" t="str">
        <f>IF(OR(Table1[[#This Row],[type_code]]="GH", Table1[[#This Row],[type_code]]="CH", Table1[[#This Row],[type_code]]="CLIP H" ), "Automatic After Production", "")</f>
        <v>Automatic After Production</v>
      </c>
      <c r="AF15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45mm x 35mm x 42mm</v>
      </c>
    </row>
    <row r="153" spans="1:32" x14ac:dyDescent="0.3">
      <c r="A153" t="s">
        <v>256</v>
      </c>
      <c r="B153" s="2" t="s">
        <v>264</v>
      </c>
      <c r="C153" s="2"/>
      <c r="D153" t="s">
        <v>258</v>
      </c>
      <c r="F153" t="b">
        <v>0</v>
      </c>
      <c r="I153">
        <v>1</v>
      </c>
      <c r="J153">
        <v>60</v>
      </c>
      <c r="K153">
        <v>40</v>
      </c>
      <c r="L153">
        <v>50</v>
      </c>
      <c r="M153" t="s">
        <v>46</v>
      </c>
      <c r="N153" t="s">
        <v>20</v>
      </c>
      <c r="O153" t="b">
        <v>1</v>
      </c>
      <c r="Y15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7198913290+7189662430 Connector Holder JB</v>
      </c>
      <c r="Z153" t="str">
        <f>IF(LEN(Table1[[#This Row],[MA_Number]])&gt;0, Table1[[#This Row],[MA_Number]], "")</f>
        <v>10.21.73052A</v>
      </c>
      <c r="AA153" t="str">
        <f>IF(OR(Table1[[#This Row],[type_code]]="GH", Table1[[#This Row],[type_code]]="CH", Table1[[#This Row],[type_code]]="CLIP H" ), "Finished Product", "")</f>
        <v>Finished Product</v>
      </c>
      <c r="AB153" t="str">
        <f>IF(OR(Table1[[#This Row],[type_code]]="GH", Table1[[#This Row],[type_code]]="CH", Table1[[#This Row],[type_code]]="CLIP H" ), "Holder", "")</f>
        <v>Holder</v>
      </c>
      <c r="AC15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53" t="str">
        <f>IF(OR(Table1[[#This Row],[type_code]]="GH", Table1[[#This Row],[type_code]]="CH", Table1[[#This Row],[type_code]]="CLIP H" ), "Mechanic Holder Production", "")</f>
        <v>Mechanic Holder Production</v>
      </c>
      <c r="AE153" t="str">
        <f>IF(OR(Table1[[#This Row],[type_code]]="GH", Table1[[#This Row],[type_code]]="CH", Table1[[#This Row],[type_code]]="CLIP H" ), "Automatic After Production", "")</f>
        <v>Automatic After Production</v>
      </c>
      <c r="AF15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60mm x 40mm x 50mm</v>
      </c>
    </row>
    <row r="154" spans="1:32" x14ac:dyDescent="0.3">
      <c r="A154" t="s">
        <v>275</v>
      </c>
      <c r="B154" s="1" t="s">
        <v>265</v>
      </c>
      <c r="C154" s="1"/>
      <c r="D154" t="s">
        <v>258</v>
      </c>
      <c r="F154" t="b">
        <v>0</v>
      </c>
      <c r="I154">
        <v>1</v>
      </c>
      <c r="J154">
        <v>81</v>
      </c>
      <c r="K154">
        <v>60</v>
      </c>
      <c r="L154">
        <v>54</v>
      </c>
      <c r="M154" t="s">
        <v>45</v>
      </c>
      <c r="N154" t="s">
        <v>20</v>
      </c>
      <c r="O154" t="b">
        <v>1</v>
      </c>
      <c r="Y15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7198279630+7274154030 Connector Holder JB</v>
      </c>
      <c r="Z154" t="str">
        <f>IF(LEN(Table1[[#This Row],[MA_Number]])&gt;0, Table1[[#This Row],[MA_Number]], "")</f>
        <v>10.21.83587A</v>
      </c>
      <c r="AA154" t="str">
        <f>IF(OR(Table1[[#This Row],[type_code]]="GH", Table1[[#This Row],[type_code]]="CH", Table1[[#This Row],[type_code]]="CLIP H" ), "Finished Product", "")</f>
        <v>Finished Product</v>
      </c>
      <c r="AB154" t="str">
        <f>IF(OR(Table1[[#This Row],[type_code]]="GH", Table1[[#This Row],[type_code]]="CH", Table1[[#This Row],[type_code]]="CLIP H" ), "Holder", "")</f>
        <v>Holder</v>
      </c>
      <c r="AC15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54" t="str">
        <f>IF(OR(Table1[[#This Row],[type_code]]="GH", Table1[[#This Row],[type_code]]="CH", Table1[[#This Row],[type_code]]="CLIP H" ), "Mechanic Holder Production", "")</f>
        <v>Mechanic Holder Production</v>
      </c>
      <c r="AE154" t="str">
        <f>IF(OR(Table1[[#This Row],[type_code]]="GH", Table1[[#This Row],[type_code]]="CH", Table1[[#This Row],[type_code]]="CLIP H" ), "Automatic After Production", "")</f>
        <v>Automatic After Production</v>
      </c>
      <c r="AF15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81mm x 60mm x 54mm</v>
      </c>
    </row>
    <row r="155" spans="1:32" x14ac:dyDescent="0.3">
      <c r="A155" t="s">
        <v>280</v>
      </c>
      <c r="B155" s="1">
        <v>7047275330</v>
      </c>
      <c r="C155" s="1"/>
      <c r="D155" t="s">
        <v>261</v>
      </c>
      <c r="F155" t="b">
        <v>0</v>
      </c>
      <c r="I155">
        <v>1</v>
      </c>
      <c r="J155">
        <v>41</v>
      </c>
      <c r="K155">
        <v>30</v>
      </c>
      <c r="L155">
        <v>40</v>
      </c>
      <c r="M155" t="s">
        <v>45</v>
      </c>
      <c r="N155" t="s">
        <v>20</v>
      </c>
      <c r="O155" t="b">
        <v>1</v>
      </c>
      <c r="Y15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7047275330 Clip Holder JB</v>
      </c>
      <c r="Z155" t="str">
        <f>IF(LEN(Table1[[#This Row],[MA_Number]])&gt;0, Table1[[#This Row],[MA_Number]], "")</f>
        <v>10.21.83700A</v>
      </c>
      <c r="AA155" t="str">
        <f>IF(OR(Table1[[#This Row],[type_code]]="GH", Table1[[#This Row],[type_code]]="CH", Table1[[#This Row],[type_code]]="CLIP H" ), "Finished Product", "")</f>
        <v>Finished Product</v>
      </c>
      <c r="AB155" t="str">
        <f>IF(OR(Table1[[#This Row],[type_code]]="GH", Table1[[#This Row],[type_code]]="CH", Table1[[#This Row],[type_code]]="CLIP H" ), "Holder", "")</f>
        <v>Holder</v>
      </c>
      <c r="AC155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155" t="str">
        <f>IF(OR(Table1[[#This Row],[type_code]]="GH", Table1[[#This Row],[type_code]]="CH", Table1[[#This Row],[type_code]]="CLIP H" ), "Mechanic Holder Production", "")</f>
        <v>Mechanic Holder Production</v>
      </c>
      <c r="AE155" t="str">
        <f>IF(OR(Table1[[#This Row],[type_code]]="GH", Table1[[#This Row],[type_code]]="CH", Table1[[#This Row],[type_code]]="CLIP H" ), "Automatic After Production", "")</f>
        <v>Automatic After Production</v>
      </c>
      <c r="AF15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41mm x 30mm x 40mm</v>
      </c>
    </row>
    <row r="156" spans="1:32" x14ac:dyDescent="0.3">
      <c r="A156" t="s">
        <v>257</v>
      </c>
      <c r="B156" s="1" t="s">
        <v>266</v>
      </c>
      <c r="C156" s="1"/>
      <c r="D156" t="s">
        <v>258</v>
      </c>
      <c r="F156" t="b">
        <v>0</v>
      </c>
      <c r="I156">
        <v>1</v>
      </c>
      <c r="J156">
        <v>65</v>
      </c>
      <c r="K156">
        <v>58</v>
      </c>
      <c r="L156">
        <v>50</v>
      </c>
      <c r="M156" t="s">
        <v>46</v>
      </c>
      <c r="N156" t="s">
        <v>20</v>
      </c>
      <c r="O156" t="b">
        <v>1</v>
      </c>
      <c r="Y15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7119162130+7274025390 Connector Holder JB</v>
      </c>
      <c r="Z156" t="str">
        <f>IF(LEN(Table1[[#This Row],[MA_Number]])&gt;0, Table1[[#This Row],[MA_Number]], "")</f>
        <v>10.21.73082A</v>
      </c>
      <c r="AA156" t="str">
        <f>IF(OR(Table1[[#This Row],[type_code]]="GH", Table1[[#This Row],[type_code]]="CH", Table1[[#This Row],[type_code]]="CLIP H" ), "Finished Product", "")</f>
        <v>Finished Product</v>
      </c>
      <c r="AB156" t="str">
        <f>IF(OR(Table1[[#This Row],[type_code]]="GH", Table1[[#This Row],[type_code]]="CH", Table1[[#This Row],[type_code]]="CLIP H" ), "Holder", "")</f>
        <v>Holder</v>
      </c>
      <c r="AC15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56" t="str">
        <f>IF(OR(Table1[[#This Row],[type_code]]="GH", Table1[[#This Row],[type_code]]="CH", Table1[[#This Row],[type_code]]="CLIP H" ), "Mechanic Holder Production", "")</f>
        <v>Mechanic Holder Production</v>
      </c>
      <c r="AE156" t="str">
        <f>IF(OR(Table1[[#This Row],[type_code]]="GH", Table1[[#This Row],[type_code]]="CH", Table1[[#This Row],[type_code]]="CLIP H" ), "Automatic After Production", "")</f>
        <v>Automatic After Production</v>
      </c>
      <c r="AF15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65mm x 58mm x 50mm</v>
      </c>
    </row>
    <row r="157" spans="1:32" x14ac:dyDescent="0.3">
      <c r="A157" t="s">
        <v>122</v>
      </c>
      <c r="B157" s="1">
        <v>7271007230</v>
      </c>
      <c r="C157" s="1" t="s">
        <v>302</v>
      </c>
      <c r="D157" t="s">
        <v>258</v>
      </c>
      <c r="F157" t="b">
        <v>1</v>
      </c>
      <c r="I157">
        <v>1</v>
      </c>
      <c r="Y15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7271007230 Connector Holder JB</v>
      </c>
      <c r="Z157" t="str">
        <f>IF(LEN(Table1[[#This Row],[MA_Number]])&gt;0, Table1[[#This Row],[MA_Number]], "")</f>
        <v>10.21.77162A</v>
      </c>
      <c r="AA157" t="str">
        <f>IF(OR(Table1[[#This Row],[type_code]]="GH", Table1[[#This Row],[type_code]]="CH", Table1[[#This Row],[type_code]]="CLIP H" ), "Finished Product", "")</f>
        <v>Finished Product</v>
      </c>
      <c r="AB157" t="str">
        <f>IF(OR(Table1[[#This Row],[type_code]]="GH", Table1[[#This Row],[type_code]]="CH", Table1[[#This Row],[type_code]]="CLIP H" ), "Holder", "")</f>
        <v>Holder</v>
      </c>
      <c r="AC15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57" t="str">
        <f>IF(OR(Table1[[#This Row],[type_code]]="GH", Table1[[#This Row],[type_code]]="CH", Table1[[#This Row],[type_code]]="CLIP H" ), "Mechanic Holder Production", "")</f>
        <v>Mechanic Holder Production</v>
      </c>
      <c r="AE157" t="str">
        <f>IF(OR(Table1[[#This Row],[type_code]]="GH", Table1[[#This Row],[type_code]]="CH", Table1[[#This Row],[type_code]]="CLIP H" ), "Automatic After Production", "")</f>
        <v>Automatic After Production</v>
      </c>
      <c r="AF15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158" spans="1:32" x14ac:dyDescent="0.3">
      <c r="B158" s="1">
        <v>7271007230</v>
      </c>
      <c r="C158" s="1"/>
      <c r="G158" t="s">
        <v>122</v>
      </c>
      <c r="H158" t="s">
        <v>285</v>
      </c>
      <c r="I158">
        <v>1</v>
      </c>
      <c r="J158">
        <v>185</v>
      </c>
      <c r="K158">
        <v>136</v>
      </c>
      <c r="L158">
        <v>60</v>
      </c>
      <c r="M158" t="s">
        <v>44</v>
      </c>
      <c r="N158" t="s">
        <v>20</v>
      </c>
      <c r="O158" t="b">
        <v>1</v>
      </c>
      <c r="Y15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158" t="str">
        <f>IF(LEN(Table1[[#This Row],[MA_Number]])&gt;0, Table1[[#This Row],[MA_Number]], "")</f>
        <v/>
      </c>
      <c r="AA158" t="str">
        <f>IF(OR(Table1[[#This Row],[type_code]]="GH", Table1[[#This Row],[type_code]]="CH", Table1[[#This Row],[type_code]]="CLIP H" ), "Finished Product", "")</f>
        <v/>
      </c>
      <c r="AB158" t="str">
        <f>IF(OR(Table1[[#This Row],[type_code]]="GH", Table1[[#This Row],[type_code]]="CH", Table1[[#This Row],[type_code]]="CLIP H" ), "Holder", "")</f>
        <v/>
      </c>
      <c r="AC158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158" t="str">
        <f>IF(OR(Table1[[#This Row],[type_code]]="GH", Table1[[#This Row],[type_code]]="CH", Table1[[#This Row],[type_code]]="CLIP H" ), "Mechanic Holder Production", "")</f>
        <v/>
      </c>
      <c r="AE158" t="str">
        <f>IF(OR(Table1[[#This Row],[type_code]]="GH", Table1[[#This Row],[type_code]]="CH", Table1[[#This Row],[type_code]]="CLIP H" ), "Automatic After Production", "")</f>
        <v/>
      </c>
      <c r="AF15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185mm x 136mm x 60mm</v>
      </c>
    </row>
    <row r="159" spans="1:32" x14ac:dyDescent="0.3">
      <c r="B159" s="1">
        <v>7271007230</v>
      </c>
      <c r="C159" s="1"/>
      <c r="G159" t="s">
        <v>122</v>
      </c>
      <c r="H159" t="s">
        <v>286</v>
      </c>
      <c r="I159">
        <v>1</v>
      </c>
      <c r="J159">
        <v>131</v>
      </c>
      <c r="K159">
        <v>20</v>
      </c>
      <c r="L159">
        <v>25</v>
      </c>
      <c r="M159" t="s">
        <v>44</v>
      </c>
      <c r="N159" t="s">
        <v>20</v>
      </c>
      <c r="O159" t="b">
        <v>1</v>
      </c>
      <c r="Y15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159" t="str">
        <f>IF(LEN(Table1[[#This Row],[MA_Number]])&gt;0, Table1[[#This Row],[MA_Number]], "")</f>
        <v/>
      </c>
      <c r="AA159" t="str">
        <f>IF(OR(Table1[[#This Row],[type_code]]="GH", Table1[[#This Row],[type_code]]="CH", Table1[[#This Row],[type_code]]="CLIP H" ), "Finished Product", "")</f>
        <v/>
      </c>
      <c r="AB159" t="str">
        <f>IF(OR(Table1[[#This Row],[type_code]]="GH", Table1[[#This Row],[type_code]]="CH", Table1[[#This Row],[type_code]]="CLIP H" ), "Holder", "")</f>
        <v/>
      </c>
      <c r="AC159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159" t="str">
        <f>IF(OR(Table1[[#This Row],[type_code]]="GH", Table1[[#This Row],[type_code]]="CH", Table1[[#This Row],[type_code]]="CLIP H" ), "Mechanic Holder Production", "")</f>
        <v/>
      </c>
      <c r="AE159" t="str">
        <f>IF(OR(Table1[[#This Row],[type_code]]="GH", Table1[[#This Row],[type_code]]="CH", Table1[[#This Row],[type_code]]="CLIP H" ), "Automatic After Production", "")</f>
        <v/>
      </c>
      <c r="AF15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131mm x 20mm x 25mm</v>
      </c>
    </row>
    <row r="160" spans="1:32" x14ac:dyDescent="0.3">
      <c r="B160" s="1">
        <v>7271007230</v>
      </c>
      <c r="C160" s="1"/>
      <c r="G160" t="s">
        <v>122</v>
      </c>
      <c r="H160" t="s">
        <v>287</v>
      </c>
      <c r="I160">
        <v>1</v>
      </c>
      <c r="J160">
        <v>174</v>
      </c>
      <c r="K160">
        <v>20</v>
      </c>
      <c r="L160">
        <v>25</v>
      </c>
      <c r="M160" t="s">
        <v>44</v>
      </c>
      <c r="N160" t="s">
        <v>20</v>
      </c>
      <c r="O160" t="b">
        <v>1</v>
      </c>
      <c r="Y16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160" t="str">
        <f>IF(LEN(Table1[[#This Row],[MA_Number]])&gt;0, Table1[[#This Row],[MA_Number]], "")</f>
        <v/>
      </c>
      <c r="AA160" t="str">
        <f>IF(OR(Table1[[#This Row],[type_code]]="GH", Table1[[#This Row],[type_code]]="CH", Table1[[#This Row],[type_code]]="CLIP H" ), "Finished Product", "")</f>
        <v/>
      </c>
      <c r="AB160" t="str">
        <f>IF(OR(Table1[[#This Row],[type_code]]="GH", Table1[[#This Row],[type_code]]="CH", Table1[[#This Row],[type_code]]="CLIP H" ), "Holder", "")</f>
        <v/>
      </c>
      <c r="AC160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160" t="str">
        <f>IF(OR(Table1[[#This Row],[type_code]]="GH", Table1[[#This Row],[type_code]]="CH", Table1[[#This Row],[type_code]]="CLIP H" ), "Mechanic Holder Production", "")</f>
        <v/>
      </c>
      <c r="AE160" t="str">
        <f>IF(OR(Table1[[#This Row],[type_code]]="GH", Table1[[#This Row],[type_code]]="CH", Table1[[#This Row],[type_code]]="CLIP H" ), "Automatic After Production", "")</f>
        <v/>
      </c>
      <c r="AF16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174mm x 20mm x 25mm</v>
      </c>
    </row>
    <row r="161" spans="1:32" x14ac:dyDescent="0.3">
      <c r="B161" s="1">
        <v>7271007230</v>
      </c>
      <c r="C161" s="1"/>
      <c r="G161" t="s">
        <v>122</v>
      </c>
      <c r="H161" t="s">
        <v>288</v>
      </c>
      <c r="I161">
        <v>1</v>
      </c>
      <c r="J161">
        <v>131</v>
      </c>
      <c r="K161">
        <v>20</v>
      </c>
      <c r="L161">
        <v>25</v>
      </c>
      <c r="M161" t="s">
        <v>44</v>
      </c>
      <c r="N161" t="s">
        <v>20</v>
      </c>
      <c r="O161" t="b">
        <v>1</v>
      </c>
      <c r="Y16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161" t="str">
        <f>IF(LEN(Table1[[#This Row],[MA_Number]])&gt;0, Table1[[#This Row],[MA_Number]], "")</f>
        <v/>
      </c>
      <c r="AA161" t="str">
        <f>IF(OR(Table1[[#This Row],[type_code]]="GH", Table1[[#This Row],[type_code]]="CH", Table1[[#This Row],[type_code]]="CLIP H" ), "Finished Product", "")</f>
        <v/>
      </c>
      <c r="AB161" t="str">
        <f>IF(OR(Table1[[#This Row],[type_code]]="GH", Table1[[#This Row],[type_code]]="CH", Table1[[#This Row],[type_code]]="CLIP H" ), "Holder", "")</f>
        <v/>
      </c>
      <c r="AC161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161" t="str">
        <f>IF(OR(Table1[[#This Row],[type_code]]="GH", Table1[[#This Row],[type_code]]="CH", Table1[[#This Row],[type_code]]="CLIP H" ), "Mechanic Holder Production", "")</f>
        <v/>
      </c>
      <c r="AE161" t="str">
        <f>IF(OR(Table1[[#This Row],[type_code]]="GH", Table1[[#This Row],[type_code]]="CH", Table1[[#This Row],[type_code]]="CLIP H" ), "Automatic After Production", "")</f>
        <v/>
      </c>
      <c r="AF16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131mm x 20mm x 25mm</v>
      </c>
    </row>
    <row r="162" spans="1:32" x14ac:dyDescent="0.3">
      <c r="B162" s="1">
        <v>7271007230</v>
      </c>
      <c r="C162" s="1"/>
      <c r="G162" t="s">
        <v>122</v>
      </c>
      <c r="H162" t="s">
        <v>289</v>
      </c>
      <c r="I162">
        <v>1</v>
      </c>
      <c r="J162">
        <v>51</v>
      </c>
      <c r="K162">
        <v>32</v>
      </c>
      <c r="L162">
        <v>80</v>
      </c>
      <c r="M162" t="s">
        <v>44</v>
      </c>
      <c r="N162" t="s">
        <v>20</v>
      </c>
      <c r="O162" t="b">
        <v>1</v>
      </c>
      <c r="Y16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162" t="str">
        <f>IF(LEN(Table1[[#This Row],[MA_Number]])&gt;0, Table1[[#This Row],[MA_Number]], "")</f>
        <v/>
      </c>
      <c r="AA162" t="str">
        <f>IF(OR(Table1[[#This Row],[type_code]]="GH", Table1[[#This Row],[type_code]]="CH", Table1[[#This Row],[type_code]]="CLIP H" ), "Finished Product", "")</f>
        <v/>
      </c>
      <c r="AB162" t="str">
        <f>IF(OR(Table1[[#This Row],[type_code]]="GH", Table1[[#This Row],[type_code]]="CH", Table1[[#This Row],[type_code]]="CLIP H" ), "Holder", "")</f>
        <v/>
      </c>
      <c r="AC162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162" t="str">
        <f>IF(OR(Table1[[#This Row],[type_code]]="GH", Table1[[#This Row],[type_code]]="CH", Table1[[#This Row],[type_code]]="CLIP H" ), "Mechanic Holder Production", "")</f>
        <v/>
      </c>
      <c r="AE162" t="str">
        <f>IF(OR(Table1[[#This Row],[type_code]]="GH", Table1[[#This Row],[type_code]]="CH", Table1[[#This Row],[type_code]]="CLIP H" ), "Automatic After Production", "")</f>
        <v/>
      </c>
      <c r="AF16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51mm x 32mm x 80mm</v>
      </c>
    </row>
    <row r="163" spans="1:32" x14ac:dyDescent="0.3">
      <c r="A163" t="s">
        <v>277</v>
      </c>
      <c r="B163" s="1" t="s">
        <v>293</v>
      </c>
      <c r="C163" s="1"/>
      <c r="D163" t="s">
        <v>258</v>
      </c>
      <c r="F163" t="b">
        <v>1</v>
      </c>
      <c r="I163">
        <v>1</v>
      </c>
      <c r="Y16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7198762530+7198600430+72743034 Connector Holder JB</v>
      </c>
      <c r="Z163" t="str">
        <f>IF(LEN(Table1[[#This Row],[MA_Number]])&gt;0, Table1[[#This Row],[MA_Number]], "")</f>
        <v>10.21.76946A</v>
      </c>
      <c r="AA163" t="str">
        <f>IF(OR(Table1[[#This Row],[type_code]]="GH", Table1[[#This Row],[type_code]]="CH", Table1[[#This Row],[type_code]]="CLIP H" ), "Finished Product", "")</f>
        <v>Finished Product</v>
      </c>
      <c r="AB163" t="str">
        <f>IF(OR(Table1[[#This Row],[type_code]]="GH", Table1[[#This Row],[type_code]]="CH", Table1[[#This Row],[type_code]]="CLIP H" ), "Holder", "")</f>
        <v>Holder</v>
      </c>
      <c r="AC16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63" t="str">
        <f>IF(OR(Table1[[#This Row],[type_code]]="GH", Table1[[#This Row],[type_code]]="CH", Table1[[#This Row],[type_code]]="CLIP H" ), "Mechanic Holder Production", "")</f>
        <v>Mechanic Holder Production</v>
      </c>
      <c r="AE163" t="str">
        <f>IF(OR(Table1[[#This Row],[type_code]]="GH", Table1[[#This Row],[type_code]]="CH", Table1[[#This Row],[type_code]]="CLIP H" ), "Automatic After Production", "")</f>
        <v>Automatic After Production</v>
      </c>
      <c r="AF16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164" spans="1:32" x14ac:dyDescent="0.3">
      <c r="B164" s="1" t="s">
        <v>293</v>
      </c>
      <c r="C164" s="1"/>
      <c r="G164" t="s">
        <v>277</v>
      </c>
      <c r="H164" t="s">
        <v>309</v>
      </c>
      <c r="I164">
        <v>1</v>
      </c>
      <c r="J164">
        <v>111</v>
      </c>
      <c r="K164">
        <v>39</v>
      </c>
      <c r="L164">
        <v>56</v>
      </c>
      <c r="M164" t="s">
        <v>45</v>
      </c>
      <c r="N164" t="s">
        <v>20</v>
      </c>
      <c r="P164" t="b">
        <v>1</v>
      </c>
      <c r="Y16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164" t="str">
        <f>IF(LEN(Table1[[#This Row],[MA_Number]])&gt;0, Table1[[#This Row],[MA_Number]], "")</f>
        <v/>
      </c>
      <c r="AA164" t="str">
        <f>IF(OR(Table1[[#This Row],[type_code]]="GH", Table1[[#This Row],[type_code]]="CH", Table1[[#This Row],[type_code]]="CLIP H" ), "Finished Product", "")</f>
        <v/>
      </c>
      <c r="AB164" t="str">
        <f>IF(OR(Table1[[#This Row],[type_code]]="GH", Table1[[#This Row],[type_code]]="CH", Table1[[#This Row],[type_code]]="CLIP H" ), "Holder", "")</f>
        <v/>
      </c>
      <c r="AC164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164" t="str">
        <f>IF(OR(Table1[[#This Row],[type_code]]="GH", Table1[[#This Row],[type_code]]="CH", Table1[[#This Row],[type_code]]="CLIP H" ), "Mechanic Holder Production", "")</f>
        <v/>
      </c>
      <c r="AE164" t="str">
        <f>IF(OR(Table1[[#This Row],[type_code]]="GH", Table1[[#This Row],[type_code]]="CH", Table1[[#This Row],[type_code]]="CLIP H" ), "Automatic After Production", "")</f>
        <v/>
      </c>
      <c r="AF16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, ФРЕЗОВАНЕ, 111mm x 39mm x 56mm</v>
      </c>
    </row>
    <row r="165" spans="1:32" x14ac:dyDescent="0.3">
      <c r="B165" s="1" t="s">
        <v>293</v>
      </c>
      <c r="C165" s="1"/>
      <c r="G165" t="s">
        <v>277</v>
      </c>
      <c r="H165" t="s">
        <v>310</v>
      </c>
      <c r="I165">
        <v>1</v>
      </c>
      <c r="J165">
        <v>111</v>
      </c>
      <c r="K165">
        <v>37</v>
      </c>
      <c r="L165">
        <v>56</v>
      </c>
      <c r="M165" t="s">
        <v>45</v>
      </c>
      <c r="N165" t="s">
        <v>20</v>
      </c>
      <c r="P165" t="b">
        <v>1</v>
      </c>
      <c r="Y16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165" t="str">
        <f>IF(LEN(Table1[[#This Row],[MA_Number]])&gt;0, Table1[[#This Row],[MA_Number]], "")</f>
        <v/>
      </c>
      <c r="AA165" t="str">
        <f>IF(OR(Table1[[#This Row],[type_code]]="GH", Table1[[#This Row],[type_code]]="CH", Table1[[#This Row],[type_code]]="CLIP H" ), "Finished Product", "")</f>
        <v/>
      </c>
      <c r="AB165" t="str">
        <f>IF(OR(Table1[[#This Row],[type_code]]="GH", Table1[[#This Row],[type_code]]="CH", Table1[[#This Row],[type_code]]="CLIP H" ), "Holder", "")</f>
        <v/>
      </c>
      <c r="AC165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165" t="str">
        <f>IF(OR(Table1[[#This Row],[type_code]]="GH", Table1[[#This Row],[type_code]]="CH", Table1[[#This Row],[type_code]]="CLIP H" ), "Mechanic Holder Production", "")</f>
        <v/>
      </c>
      <c r="AE165" t="str">
        <f>IF(OR(Table1[[#This Row],[type_code]]="GH", Table1[[#This Row],[type_code]]="CH", Table1[[#This Row],[type_code]]="CLIP H" ), "Automatic After Production", "")</f>
        <v/>
      </c>
      <c r="AF16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, ФРЕЗОВАНЕ, 111mm x 37mm x 56mm</v>
      </c>
    </row>
    <row r="166" spans="1:32" x14ac:dyDescent="0.3">
      <c r="B166" s="1" t="s">
        <v>293</v>
      </c>
      <c r="C166" s="1"/>
      <c r="G166" t="s">
        <v>277</v>
      </c>
      <c r="H166" t="s">
        <v>311</v>
      </c>
      <c r="I166">
        <v>1</v>
      </c>
      <c r="J166">
        <v>111</v>
      </c>
      <c r="K166">
        <v>47</v>
      </c>
      <c r="L166">
        <v>56</v>
      </c>
      <c r="M166" t="s">
        <v>44</v>
      </c>
      <c r="N166" t="s">
        <v>20</v>
      </c>
      <c r="P166" t="b">
        <v>1</v>
      </c>
      <c r="Y16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166" t="str">
        <f>IF(LEN(Table1[[#This Row],[MA_Number]])&gt;0, Table1[[#This Row],[MA_Number]], "")</f>
        <v/>
      </c>
      <c r="AA166" t="str">
        <f>IF(OR(Table1[[#This Row],[type_code]]="GH", Table1[[#This Row],[type_code]]="CH", Table1[[#This Row],[type_code]]="CLIP H" ), "Finished Product", "")</f>
        <v/>
      </c>
      <c r="AB166" t="str">
        <f>IF(OR(Table1[[#This Row],[type_code]]="GH", Table1[[#This Row],[type_code]]="CH", Table1[[#This Row],[type_code]]="CLIP H" ), "Holder", "")</f>
        <v/>
      </c>
      <c r="AC166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166" t="str">
        <f>IF(OR(Table1[[#This Row],[type_code]]="GH", Table1[[#This Row],[type_code]]="CH", Table1[[#This Row],[type_code]]="CLIP H" ), "Mechanic Holder Production", "")</f>
        <v/>
      </c>
      <c r="AE166" t="str">
        <f>IF(OR(Table1[[#This Row],[type_code]]="GH", Table1[[#This Row],[type_code]]="CH", Table1[[#This Row],[type_code]]="CLIP H" ), "Automatic After Production", "")</f>
        <v/>
      </c>
      <c r="AF16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, ФРЕЗОВАНЕ, 111mm x 47mm x 56mm</v>
      </c>
    </row>
    <row r="167" spans="1:32" x14ac:dyDescent="0.3">
      <c r="A167" t="s">
        <v>320</v>
      </c>
      <c r="B167" s="1">
        <v>7003293002</v>
      </c>
      <c r="C167" s="1"/>
      <c r="D167" t="s">
        <v>258</v>
      </c>
      <c r="F167" t="b">
        <v>0</v>
      </c>
      <c r="I167">
        <v>1</v>
      </c>
      <c r="J167">
        <v>60</v>
      </c>
      <c r="K167">
        <v>39</v>
      </c>
      <c r="L167">
        <v>45</v>
      </c>
      <c r="M167" t="s">
        <v>44</v>
      </c>
      <c r="N167" t="s">
        <v>20</v>
      </c>
      <c r="O167" t="b">
        <v>1</v>
      </c>
      <c r="Y16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7003293002 Connector Holder JB</v>
      </c>
      <c r="Z167" t="str">
        <f>IF(LEN(Table1[[#This Row],[MA_Number]])&gt;0, Table1[[#This Row],[MA_Number]], "")</f>
        <v>10.21.28341A</v>
      </c>
      <c r="AA167" t="str">
        <f>IF(OR(Table1[[#This Row],[type_code]]="GH", Table1[[#This Row],[type_code]]="CH", Table1[[#This Row],[type_code]]="CLIP H" ), "Finished Product", "")</f>
        <v>Finished Product</v>
      </c>
      <c r="AB167" t="str">
        <f>IF(OR(Table1[[#This Row],[type_code]]="GH", Table1[[#This Row],[type_code]]="CH", Table1[[#This Row],[type_code]]="CLIP H" ), "Holder", "")</f>
        <v>Holder</v>
      </c>
      <c r="AC16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67" t="str">
        <f>IF(OR(Table1[[#This Row],[type_code]]="GH", Table1[[#This Row],[type_code]]="CH", Table1[[#This Row],[type_code]]="CLIP H" ), "Mechanic Holder Production", "")</f>
        <v>Mechanic Holder Production</v>
      </c>
      <c r="AE167" t="str">
        <f>IF(OR(Table1[[#This Row],[type_code]]="GH", Table1[[#This Row],[type_code]]="CH", Table1[[#This Row],[type_code]]="CLIP H" ), "Automatic After Production", "")</f>
        <v>Automatic After Production</v>
      </c>
      <c r="AF16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60mm x 39mm x 45mm</v>
      </c>
    </row>
    <row r="168" spans="1:32" x14ac:dyDescent="0.3">
      <c r="A168" t="s">
        <v>321</v>
      </c>
      <c r="B168" s="1">
        <v>7003789102</v>
      </c>
      <c r="C168" s="1"/>
      <c r="D168" t="s">
        <v>258</v>
      </c>
      <c r="F168" t="b">
        <v>0</v>
      </c>
      <c r="I168">
        <v>1</v>
      </c>
      <c r="J168">
        <v>53</v>
      </c>
      <c r="K168">
        <v>46</v>
      </c>
      <c r="L168">
        <v>49</v>
      </c>
      <c r="M168" t="s">
        <v>44</v>
      </c>
      <c r="N168" t="s">
        <v>20</v>
      </c>
      <c r="O168" t="b">
        <v>1</v>
      </c>
      <c r="Y16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7003789102 Connector Holder JB</v>
      </c>
      <c r="Z168" t="str">
        <f>IF(LEN(Table1[[#This Row],[MA_Number]])&gt;0, Table1[[#This Row],[MA_Number]], "")</f>
        <v>10.21.83799A</v>
      </c>
      <c r="AA168" t="str">
        <f>IF(OR(Table1[[#This Row],[type_code]]="GH", Table1[[#This Row],[type_code]]="CH", Table1[[#This Row],[type_code]]="CLIP H" ), "Finished Product", "")</f>
        <v>Finished Product</v>
      </c>
      <c r="AB168" t="str">
        <f>IF(OR(Table1[[#This Row],[type_code]]="GH", Table1[[#This Row],[type_code]]="CH", Table1[[#This Row],[type_code]]="CLIP H" ), "Holder", "")</f>
        <v>Holder</v>
      </c>
      <c r="AC16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68" t="str">
        <f>IF(OR(Table1[[#This Row],[type_code]]="GH", Table1[[#This Row],[type_code]]="CH", Table1[[#This Row],[type_code]]="CLIP H" ), "Mechanic Holder Production", "")</f>
        <v>Mechanic Holder Production</v>
      </c>
      <c r="AE168" t="str">
        <f>IF(OR(Table1[[#This Row],[type_code]]="GH", Table1[[#This Row],[type_code]]="CH", Table1[[#This Row],[type_code]]="CLIP H" ), "Automatic After Production", "")</f>
        <v>Automatic After Production</v>
      </c>
      <c r="AF16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53mm x 46mm x 49mm</v>
      </c>
    </row>
    <row r="169" spans="1:32" x14ac:dyDescent="0.3">
      <c r="A169" t="s">
        <v>322</v>
      </c>
      <c r="B169" s="1">
        <v>7003803702</v>
      </c>
      <c r="C169" s="1"/>
      <c r="D169" t="s">
        <v>258</v>
      </c>
      <c r="F169" t="b">
        <v>0</v>
      </c>
      <c r="I169">
        <v>1</v>
      </c>
      <c r="J169">
        <v>45</v>
      </c>
      <c r="K169">
        <v>42</v>
      </c>
      <c r="L169">
        <v>45</v>
      </c>
      <c r="M169" t="s">
        <v>44</v>
      </c>
      <c r="N169" t="s">
        <v>20</v>
      </c>
      <c r="O169" t="b">
        <v>1</v>
      </c>
      <c r="Y16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7003803702 Connector Holder JB</v>
      </c>
      <c r="Z169" t="str">
        <f>IF(LEN(Table1[[#This Row],[MA_Number]])&gt;0, Table1[[#This Row],[MA_Number]], "")</f>
        <v>10.21.83616A</v>
      </c>
      <c r="AA169" t="str">
        <f>IF(OR(Table1[[#This Row],[type_code]]="GH", Table1[[#This Row],[type_code]]="CH", Table1[[#This Row],[type_code]]="CLIP H" ), "Finished Product", "")</f>
        <v>Finished Product</v>
      </c>
      <c r="AB169" t="str">
        <f>IF(OR(Table1[[#This Row],[type_code]]="GH", Table1[[#This Row],[type_code]]="CH", Table1[[#This Row],[type_code]]="CLIP H" ), "Holder", "")</f>
        <v>Holder</v>
      </c>
      <c r="AC16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69" t="str">
        <f>IF(OR(Table1[[#This Row],[type_code]]="GH", Table1[[#This Row],[type_code]]="CH", Table1[[#This Row],[type_code]]="CLIP H" ), "Mechanic Holder Production", "")</f>
        <v>Mechanic Holder Production</v>
      </c>
      <c r="AE169" t="str">
        <f>IF(OR(Table1[[#This Row],[type_code]]="GH", Table1[[#This Row],[type_code]]="CH", Table1[[#This Row],[type_code]]="CLIP H" ), "Automatic After Production", "")</f>
        <v>Automatic After Production</v>
      </c>
      <c r="AF16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45mm x 42mm x 45mm</v>
      </c>
    </row>
    <row r="170" spans="1:32" x14ac:dyDescent="0.3">
      <c r="A170" t="s">
        <v>323</v>
      </c>
      <c r="B170" s="1">
        <v>7003827402</v>
      </c>
      <c r="C170" s="1"/>
      <c r="D170" t="s">
        <v>258</v>
      </c>
      <c r="F170" t="b">
        <v>0</v>
      </c>
      <c r="I170">
        <v>1</v>
      </c>
      <c r="J170">
        <v>70</v>
      </c>
      <c r="K170">
        <v>46</v>
      </c>
      <c r="L170">
        <v>45</v>
      </c>
      <c r="M170" t="s">
        <v>44</v>
      </c>
      <c r="N170" t="s">
        <v>20</v>
      </c>
      <c r="O170" t="b">
        <v>1</v>
      </c>
      <c r="Y17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7003827402 Connector Holder JB</v>
      </c>
      <c r="Z170" t="str">
        <f>IF(LEN(Table1[[#This Row],[MA_Number]])&gt;0, Table1[[#This Row],[MA_Number]], "")</f>
        <v>10.21.83584A</v>
      </c>
      <c r="AA170" t="str">
        <f>IF(OR(Table1[[#This Row],[type_code]]="GH", Table1[[#This Row],[type_code]]="CH", Table1[[#This Row],[type_code]]="CLIP H" ), "Finished Product", "")</f>
        <v>Finished Product</v>
      </c>
      <c r="AB170" t="str">
        <f>IF(OR(Table1[[#This Row],[type_code]]="GH", Table1[[#This Row],[type_code]]="CH", Table1[[#This Row],[type_code]]="CLIP H" ), "Holder", "")</f>
        <v>Holder</v>
      </c>
      <c r="AC17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0" t="str">
        <f>IF(OR(Table1[[#This Row],[type_code]]="GH", Table1[[#This Row],[type_code]]="CH", Table1[[#This Row],[type_code]]="CLIP H" ), "Mechanic Holder Production", "")</f>
        <v>Mechanic Holder Production</v>
      </c>
      <c r="AE170" t="str">
        <f>IF(OR(Table1[[#This Row],[type_code]]="GH", Table1[[#This Row],[type_code]]="CH", Table1[[#This Row],[type_code]]="CLIP H" ), "Automatic After Production", "")</f>
        <v>Automatic After Production</v>
      </c>
      <c r="AF17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70mm x 46mm x 45mm</v>
      </c>
    </row>
    <row r="171" spans="1:32" x14ac:dyDescent="0.3">
      <c r="A171" t="s">
        <v>324</v>
      </c>
      <c r="B171" s="1">
        <v>7009630402</v>
      </c>
      <c r="C171" s="1"/>
      <c r="D171" t="s">
        <v>258</v>
      </c>
      <c r="F171" t="b">
        <v>0</v>
      </c>
      <c r="I171">
        <v>1</v>
      </c>
      <c r="J171">
        <v>55</v>
      </c>
      <c r="K171">
        <v>41</v>
      </c>
      <c r="L171">
        <v>45</v>
      </c>
      <c r="M171" t="s">
        <v>44</v>
      </c>
      <c r="N171" t="s">
        <v>20</v>
      </c>
      <c r="O171" t="b">
        <v>1</v>
      </c>
      <c r="Y17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7009630402 Connector Holder JB</v>
      </c>
      <c r="Z171" t="str">
        <f>IF(LEN(Table1[[#This Row],[MA_Number]])&gt;0, Table1[[#This Row],[MA_Number]], "")</f>
        <v>10.21.76999A</v>
      </c>
      <c r="AA171" t="str">
        <f>IF(OR(Table1[[#This Row],[type_code]]="GH", Table1[[#This Row],[type_code]]="CH", Table1[[#This Row],[type_code]]="CLIP H" ), "Finished Product", "")</f>
        <v>Finished Product</v>
      </c>
      <c r="AB171" t="str">
        <f>IF(OR(Table1[[#This Row],[type_code]]="GH", Table1[[#This Row],[type_code]]="CH", Table1[[#This Row],[type_code]]="CLIP H" ), "Holder", "")</f>
        <v>Holder</v>
      </c>
      <c r="AC17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1" t="str">
        <f>IF(OR(Table1[[#This Row],[type_code]]="GH", Table1[[#This Row],[type_code]]="CH", Table1[[#This Row],[type_code]]="CLIP H" ), "Mechanic Holder Production", "")</f>
        <v>Mechanic Holder Production</v>
      </c>
      <c r="AE171" t="str">
        <f>IF(OR(Table1[[#This Row],[type_code]]="GH", Table1[[#This Row],[type_code]]="CH", Table1[[#This Row],[type_code]]="CLIP H" ), "Automatic After Production", "")</f>
        <v>Automatic After Production</v>
      </c>
      <c r="AF17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55mm x 41mm x 45mm</v>
      </c>
    </row>
    <row r="172" spans="1:32" x14ac:dyDescent="0.3">
      <c r="A172" t="s">
        <v>325</v>
      </c>
      <c r="B172" s="1">
        <v>7009639402</v>
      </c>
      <c r="C172" s="1"/>
      <c r="D172" t="s">
        <v>258</v>
      </c>
      <c r="F172" t="b">
        <v>0</v>
      </c>
      <c r="I172">
        <v>1</v>
      </c>
      <c r="J172">
        <v>46</v>
      </c>
      <c r="K172">
        <v>36</v>
      </c>
      <c r="L172">
        <v>42</v>
      </c>
      <c r="M172" t="s">
        <v>44</v>
      </c>
      <c r="N172" t="s">
        <v>20</v>
      </c>
      <c r="O172" t="b">
        <v>1</v>
      </c>
      <c r="Y17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7009639402 Connector Holder JB</v>
      </c>
      <c r="Z172" t="str">
        <f>IF(LEN(Table1[[#This Row],[MA_Number]])&gt;0, Table1[[#This Row],[MA_Number]], "")</f>
        <v>10.21.42697A</v>
      </c>
      <c r="AA172" t="str">
        <f>IF(OR(Table1[[#This Row],[type_code]]="GH", Table1[[#This Row],[type_code]]="CH", Table1[[#This Row],[type_code]]="CLIP H" ), "Finished Product", "")</f>
        <v>Finished Product</v>
      </c>
      <c r="AB172" t="str">
        <f>IF(OR(Table1[[#This Row],[type_code]]="GH", Table1[[#This Row],[type_code]]="CH", Table1[[#This Row],[type_code]]="CLIP H" ), "Holder", "")</f>
        <v>Holder</v>
      </c>
      <c r="AC17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2" t="str">
        <f>IF(OR(Table1[[#This Row],[type_code]]="GH", Table1[[#This Row],[type_code]]="CH", Table1[[#This Row],[type_code]]="CLIP H" ), "Mechanic Holder Production", "")</f>
        <v>Mechanic Holder Production</v>
      </c>
      <c r="AE172" t="str">
        <f>IF(OR(Table1[[#This Row],[type_code]]="GH", Table1[[#This Row],[type_code]]="CH", Table1[[#This Row],[type_code]]="CLIP H" ), "Automatic After Production", "")</f>
        <v>Automatic After Production</v>
      </c>
      <c r="AF17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46mm x 36mm x 42mm</v>
      </c>
    </row>
    <row r="173" spans="1:32" x14ac:dyDescent="0.3">
      <c r="A173" t="s">
        <v>326</v>
      </c>
      <c r="B173" s="1">
        <v>7009741202</v>
      </c>
      <c r="C173" s="1"/>
      <c r="D173" t="s">
        <v>258</v>
      </c>
      <c r="F173" t="b">
        <v>0</v>
      </c>
      <c r="I173">
        <v>1</v>
      </c>
      <c r="J173">
        <v>41</v>
      </c>
      <c r="K173">
        <v>42</v>
      </c>
      <c r="L173">
        <v>45</v>
      </c>
      <c r="M173" t="s">
        <v>44</v>
      </c>
      <c r="N173" t="s">
        <v>20</v>
      </c>
      <c r="O173" t="b">
        <v>1</v>
      </c>
      <c r="Y17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7009741202 Connector Holder JB</v>
      </c>
      <c r="Z173" t="str">
        <f>IF(LEN(Table1[[#This Row],[MA_Number]])&gt;0, Table1[[#This Row],[MA_Number]], "")</f>
        <v>10.21.83618A</v>
      </c>
      <c r="AA173" t="str">
        <f>IF(OR(Table1[[#This Row],[type_code]]="GH", Table1[[#This Row],[type_code]]="CH", Table1[[#This Row],[type_code]]="CLIP H" ), "Finished Product", "")</f>
        <v>Finished Product</v>
      </c>
      <c r="AB173" t="str">
        <f>IF(OR(Table1[[#This Row],[type_code]]="GH", Table1[[#This Row],[type_code]]="CH", Table1[[#This Row],[type_code]]="CLIP H" ), "Holder", "")</f>
        <v>Holder</v>
      </c>
      <c r="AC17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3" t="str">
        <f>IF(OR(Table1[[#This Row],[type_code]]="GH", Table1[[#This Row],[type_code]]="CH", Table1[[#This Row],[type_code]]="CLIP H" ), "Mechanic Holder Production", "")</f>
        <v>Mechanic Holder Production</v>
      </c>
      <c r="AE173" t="str">
        <f>IF(OR(Table1[[#This Row],[type_code]]="GH", Table1[[#This Row],[type_code]]="CH", Table1[[#This Row],[type_code]]="CLIP H" ), "Automatic After Production", "")</f>
        <v>Automatic After Production</v>
      </c>
      <c r="AF17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41mm x 42mm x 45mm</v>
      </c>
    </row>
    <row r="174" spans="1:32" x14ac:dyDescent="0.3">
      <c r="A174" t="s">
        <v>327</v>
      </c>
      <c r="B174" s="1">
        <v>7009741502</v>
      </c>
      <c r="C174" s="1"/>
      <c r="D174" t="s">
        <v>258</v>
      </c>
      <c r="F174" t="b">
        <v>0</v>
      </c>
      <c r="I174">
        <v>1</v>
      </c>
      <c r="J174">
        <v>41</v>
      </c>
      <c r="K174">
        <v>42</v>
      </c>
      <c r="L174">
        <v>45</v>
      </c>
      <c r="M174" t="s">
        <v>44</v>
      </c>
      <c r="N174" t="s">
        <v>20</v>
      </c>
      <c r="O174" t="b">
        <v>1</v>
      </c>
      <c r="Y17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7009741502 Connector Holder JB</v>
      </c>
      <c r="Z174" t="str">
        <f>IF(LEN(Table1[[#This Row],[MA_Number]])&gt;0, Table1[[#This Row],[MA_Number]], "")</f>
        <v>10.21.83617A</v>
      </c>
      <c r="AA174" t="str">
        <f>IF(OR(Table1[[#This Row],[type_code]]="GH", Table1[[#This Row],[type_code]]="CH", Table1[[#This Row],[type_code]]="CLIP H" ), "Finished Product", "")</f>
        <v>Finished Product</v>
      </c>
      <c r="AB174" t="str">
        <f>IF(OR(Table1[[#This Row],[type_code]]="GH", Table1[[#This Row],[type_code]]="CH", Table1[[#This Row],[type_code]]="CLIP H" ), "Holder", "")</f>
        <v>Holder</v>
      </c>
      <c r="AC17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4" t="str">
        <f>IF(OR(Table1[[#This Row],[type_code]]="GH", Table1[[#This Row],[type_code]]="CH", Table1[[#This Row],[type_code]]="CLIP H" ), "Mechanic Holder Production", "")</f>
        <v>Mechanic Holder Production</v>
      </c>
      <c r="AE174" t="str">
        <f>IF(OR(Table1[[#This Row],[type_code]]="GH", Table1[[#This Row],[type_code]]="CH", Table1[[#This Row],[type_code]]="CLIP H" ), "Automatic After Production", "")</f>
        <v>Automatic After Production</v>
      </c>
      <c r="AF17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41mm x 42mm x 45mm</v>
      </c>
    </row>
    <row r="175" spans="1:32" x14ac:dyDescent="0.3">
      <c r="A175" t="s">
        <v>328</v>
      </c>
      <c r="B175" s="1">
        <v>7009741602</v>
      </c>
      <c r="C175" s="1"/>
      <c r="D175" t="s">
        <v>258</v>
      </c>
      <c r="F175" t="b">
        <v>0</v>
      </c>
      <c r="I175">
        <v>1</v>
      </c>
      <c r="J175">
        <v>41</v>
      </c>
      <c r="K175">
        <v>42</v>
      </c>
      <c r="L175">
        <v>45</v>
      </c>
      <c r="M175" t="s">
        <v>44</v>
      </c>
      <c r="N175" t="s">
        <v>20</v>
      </c>
      <c r="O175" t="b">
        <v>1</v>
      </c>
      <c r="Y17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7009741602 Connector Holder JB</v>
      </c>
      <c r="Z175" t="str">
        <f>IF(LEN(Table1[[#This Row],[MA_Number]])&gt;0, Table1[[#This Row],[MA_Number]], "")</f>
        <v>10.21.83619A</v>
      </c>
      <c r="AA175" t="str">
        <f>IF(OR(Table1[[#This Row],[type_code]]="GH", Table1[[#This Row],[type_code]]="CH", Table1[[#This Row],[type_code]]="CLIP H" ), "Finished Product", "")</f>
        <v>Finished Product</v>
      </c>
      <c r="AB175" t="str">
        <f>IF(OR(Table1[[#This Row],[type_code]]="GH", Table1[[#This Row],[type_code]]="CH", Table1[[#This Row],[type_code]]="CLIP H" ), "Holder", "")</f>
        <v>Holder</v>
      </c>
      <c r="AC17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5" t="str">
        <f>IF(OR(Table1[[#This Row],[type_code]]="GH", Table1[[#This Row],[type_code]]="CH", Table1[[#This Row],[type_code]]="CLIP H" ), "Mechanic Holder Production", "")</f>
        <v>Mechanic Holder Production</v>
      </c>
      <c r="AE175" t="str">
        <f>IF(OR(Table1[[#This Row],[type_code]]="GH", Table1[[#This Row],[type_code]]="CH", Table1[[#This Row],[type_code]]="CLIP H" ), "Automatic After Production", "")</f>
        <v>Automatic After Production</v>
      </c>
      <c r="AF17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41mm x 42mm x 45mm</v>
      </c>
    </row>
    <row r="176" spans="1:32" x14ac:dyDescent="0.3">
      <c r="A176" t="s">
        <v>329</v>
      </c>
      <c r="B176" s="1">
        <v>7003803502</v>
      </c>
      <c r="C176" s="1"/>
      <c r="D176" t="s">
        <v>258</v>
      </c>
      <c r="F176" t="b">
        <v>0</v>
      </c>
      <c r="I176">
        <v>1</v>
      </c>
      <c r="J176">
        <v>45</v>
      </c>
      <c r="K176">
        <v>46</v>
      </c>
      <c r="L176">
        <v>46</v>
      </c>
      <c r="M176" t="s">
        <v>44</v>
      </c>
      <c r="N176" t="s">
        <v>20</v>
      </c>
      <c r="O176" t="b">
        <v>1</v>
      </c>
      <c r="Y17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7003803502 Connector Holder JB</v>
      </c>
      <c r="Z176" t="str">
        <f>IF(LEN(Table1[[#This Row],[MA_Number]])&gt;0, Table1[[#This Row],[MA_Number]], "")</f>
        <v>10.21.80728A</v>
      </c>
      <c r="AA176" t="str">
        <f>IF(OR(Table1[[#This Row],[type_code]]="GH", Table1[[#This Row],[type_code]]="CH", Table1[[#This Row],[type_code]]="CLIP H" ), "Finished Product", "")</f>
        <v>Finished Product</v>
      </c>
      <c r="AB176" t="str">
        <f>IF(OR(Table1[[#This Row],[type_code]]="GH", Table1[[#This Row],[type_code]]="CH", Table1[[#This Row],[type_code]]="CLIP H" ), "Holder", "")</f>
        <v>Holder</v>
      </c>
      <c r="AC17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6" t="str">
        <f>IF(OR(Table1[[#This Row],[type_code]]="GH", Table1[[#This Row],[type_code]]="CH", Table1[[#This Row],[type_code]]="CLIP H" ), "Mechanic Holder Production", "")</f>
        <v>Mechanic Holder Production</v>
      </c>
      <c r="AE176" t="str">
        <f>IF(OR(Table1[[#This Row],[type_code]]="GH", Table1[[#This Row],[type_code]]="CH", Table1[[#This Row],[type_code]]="CLIP H" ), "Automatic After Production", "")</f>
        <v>Automatic After Production</v>
      </c>
      <c r="AF17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45mm x 46mm x 46mm</v>
      </c>
    </row>
    <row r="177" spans="1:32" x14ac:dyDescent="0.3">
      <c r="A177" t="s">
        <v>330</v>
      </c>
      <c r="B177" s="1">
        <v>7219182630</v>
      </c>
      <c r="C177" s="1"/>
      <c r="D177" t="s">
        <v>258</v>
      </c>
      <c r="F177" t="b">
        <v>0</v>
      </c>
      <c r="I177">
        <v>1</v>
      </c>
      <c r="J177">
        <v>52</v>
      </c>
      <c r="K177">
        <v>46</v>
      </c>
      <c r="L177">
        <v>60</v>
      </c>
      <c r="M177" t="s">
        <v>45</v>
      </c>
      <c r="N177" t="s">
        <v>20</v>
      </c>
      <c r="O177" t="b">
        <v>1</v>
      </c>
      <c r="Y17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7219182630 Connector Holder JB</v>
      </c>
      <c r="Z177" t="str">
        <f>IF(LEN(Table1[[#This Row],[MA_Number]])&gt;0, Table1[[#This Row],[MA_Number]], "")</f>
        <v>10.21.76992A</v>
      </c>
      <c r="AA177" t="str">
        <f>IF(OR(Table1[[#This Row],[type_code]]="GH", Table1[[#This Row],[type_code]]="CH", Table1[[#This Row],[type_code]]="CLIP H" ), "Finished Product", "")</f>
        <v>Finished Product</v>
      </c>
      <c r="AB177" t="str">
        <f>IF(OR(Table1[[#This Row],[type_code]]="GH", Table1[[#This Row],[type_code]]="CH", Table1[[#This Row],[type_code]]="CLIP H" ), "Holder", "")</f>
        <v>Holder</v>
      </c>
      <c r="AC17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7" t="str">
        <f>IF(OR(Table1[[#This Row],[type_code]]="GH", Table1[[#This Row],[type_code]]="CH", Table1[[#This Row],[type_code]]="CLIP H" ), "Mechanic Holder Production", "")</f>
        <v>Mechanic Holder Production</v>
      </c>
      <c r="AE177" t="str">
        <f>IF(OR(Table1[[#This Row],[type_code]]="GH", Table1[[#This Row],[type_code]]="CH", Table1[[#This Row],[type_code]]="CLIP H" ), "Automatic After Production", "")</f>
        <v>Automatic After Production</v>
      </c>
      <c r="AF17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52mm x 46mm x 60mm</v>
      </c>
    </row>
    <row r="178" spans="1:32" x14ac:dyDescent="0.3">
      <c r="A178" t="s">
        <v>331</v>
      </c>
      <c r="B178" s="1">
        <v>7219622130</v>
      </c>
      <c r="C178" s="1"/>
      <c r="D178" t="s">
        <v>258</v>
      </c>
      <c r="F178" t="b">
        <v>0</v>
      </c>
      <c r="I178">
        <v>1</v>
      </c>
      <c r="J178">
        <v>47</v>
      </c>
      <c r="K178">
        <v>39</v>
      </c>
      <c r="L178">
        <v>50</v>
      </c>
      <c r="M178" t="s">
        <v>45</v>
      </c>
      <c r="N178" t="s">
        <v>20</v>
      </c>
      <c r="O178" t="b">
        <v>1</v>
      </c>
      <c r="Y17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7219622130 Connector Holder JB</v>
      </c>
      <c r="Z178" t="str">
        <f>IF(LEN(Table1[[#This Row],[MA_Number]])&gt;0, Table1[[#This Row],[MA_Number]], "")</f>
        <v>10.21.35897A</v>
      </c>
      <c r="AA178" t="str">
        <f>IF(OR(Table1[[#This Row],[type_code]]="GH", Table1[[#This Row],[type_code]]="CH", Table1[[#This Row],[type_code]]="CLIP H" ), "Finished Product", "")</f>
        <v>Finished Product</v>
      </c>
      <c r="AB178" t="str">
        <f>IF(OR(Table1[[#This Row],[type_code]]="GH", Table1[[#This Row],[type_code]]="CH", Table1[[#This Row],[type_code]]="CLIP H" ), "Holder", "")</f>
        <v>Holder</v>
      </c>
      <c r="AC17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8" t="str">
        <f>IF(OR(Table1[[#This Row],[type_code]]="GH", Table1[[#This Row],[type_code]]="CH", Table1[[#This Row],[type_code]]="CLIP H" ), "Mechanic Holder Production", "")</f>
        <v>Mechanic Holder Production</v>
      </c>
      <c r="AE178" t="str">
        <f>IF(OR(Table1[[#This Row],[type_code]]="GH", Table1[[#This Row],[type_code]]="CH", Table1[[#This Row],[type_code]]="CLIP H" ), "Automatic After Production", "")</f>
        <v>Automatic After Production</v>
      </c>
      <c r="AF17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47mm x 39mm x 50mm</v>
      </c>
    </row>
    <row r="179" spans="1:32" x14ac:dyDescent="0.3">
      <c r="A179" t="s">
        <v>332</v>
      </c>
      <c r="B179" s="1">
        <v>7219632030</v>
      </c>
      <c r="C179" s="1"/>
      <c r="D179" t="s">
        <v>258</v>
      </c>
      <c r="F179" t="b">
        <v>0</v>
      </c>
      <c r="I179">
        <v>1</v>
      </c>
      <c r="J179">
        <v>43</v>
      </c>
      <c r="K179">
        <v>41</v>
      </c>
      <c r="L179">
        <v>54</v>
      </c>
      <c r="M179" t="s">
        <v>45</v>
      </c>
      <c r="N179" t="s">
        <v>20</v>
      </c>
      <c r="O179" t="b">
        <v>1</v>
      </c>
      <c r="Y17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7219632030 Connector Holder JB</v>
      </c>
      <c r="Z179" t="str">
        <f>IF(LEN(Table1[[#This Row],[MA_Number]])&gt;0, Table1[[#This Row],[MA_Number]], "")</f>
        <v>10.21.76989A</v>
      </c>
      <c r="AA179" t="str">
        <f>IF(OR(Table1[[#This Row],[type_code]]="GH", Table1[[#This Row],[type_code]]="CH", Table1[[#This Row],[type_code]]="CLIP H" ), "Finished Product", "")</f>
        <v>Finished Product</v>
      </c>
      <c r="AB179" t="str">
        <f>IF(OR(Table1[[#This Row],[type_code]]="GH", Table1[[#This Row],[type_code]]="CH", Table1[[#This Row],[type_code]]="CLIP H" ), "Holder", "")</f>
        <v>Holder</v>
      </c>
      <c r="AC17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79" t="str">
        <f>IF(OR(Table1[[#This Row],[type_code]]="GH", Table1[[#This Row],[type_code]]="CH", Table1[[#This Row],[type_code]]="CLIP H" ), "Mechanic Holder Production", "")</f>
        <v>Mechanic Holder Production</v>
      </c>
      <c r="AE179" t="str">
        <f>IF(OR(Table1[[#This Row],[type_code]]="GH", Table1[[#This Row],[type_code]]="CH", Table1[[#This Row],[type_code]]="CLIP H" ), "Automatic After Production", "")</f>
        <v>Automatic After Production</v>
      </c>
      <c r="AF17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43mm x 41mm x 54mm</v>
      </c>
    </row>
    <row r="180" spans="1:32" x14ac:dyDescent="0.3">
      <c r="A180" t="s">
        <v>354</v>
      </c>
      <c r="B180" s="1">
        <v>7219632230</v>
      </c>
      <c r="C180" s="1"/>
      <c r="D180" t="s">
        <v>258</v>
      </c>
      <c r="F180" t="b">
        <v>0</v>
      </c>
      <c r="I180">
        <v>1</v>
      </c>
      <c r="J180">
        <v>47</v>
      </c>
      <c r="K180">
        <v>46</v>
      </c>
      <c r="L180">
        <v>50</v>
      </c>
      <c r="M180" t="s">
        <v>45</v>
      </c>
      <c r="N180" t="s">
        <v>20</v>
      </c>
      <c r="O180" t="b">
        <v>1</v>
      </c>
      <c r="Y18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7219632230 Connector Holder JB</v>
      </c>
      <c r="Z180" t="str">
        <f>IF(LEN(Table1[[#This Row],[MA_Number]])&gt;0, Table1[[#This Row],[MA_Number]], "")</f>
        <v>10.21.83667A</v>
      </c>
      <c r="AA180" t="str">
        <f>IF(OR(Table1[[#This Row],[type_code]]="GH", Table1[[#This Row],[type_code]]="CH", Table1[[#This Row],[type_code]]="CLIP H" ), "Finished Product", "")</f>
        <v>Finished Product</v>
      </c>
      <c r="AB180" t="str">
        <f>IF(OR(Table1[[#This Row],[type_code]]="GH", Table1[[#This Row],[type_code]]="CH", Table1[[#This Row],[type_code]]="CLIP H" ), "Holder", "")</f>
        <v>Holder</v>
      </c>
      <c r="AC18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0" t="str">
        <f>IF(OR(Table1[[#This Row],[type_code]]="GH", Table1[[#This Row],[type_code]]="CH", Table1[[#This Row],[type_code]]="CLIP H" ), "Mechanic Holder Production", "")</f>
        <v>Mechanic Holder Production</v>
      </c>
      <c r="AE180" t="str">
        <f>IF(OR(Table1[[#This Row],[type_code]]="GH", Table1[[#This Row],[type_code]]="CH", Table1[[#This Row],[type_code]]="CLIP H" ), "Automatic After Production", "")</f>
        <v>Automatic After Production</v>
      </c>
      <c r="AF18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47mm x 46mm x 50mm</v>
      </c>
    </row>
    <row r="181" spans="1:32" x14ac:dyDescent="0.3">
      <c r="A181" t="s">
        <v>333</v>
      </c>
      <c r="B181" s="1">
        <v>7219648530</v>
      </c>
      <c r="C181" s="1"/>
      <c r="D181" t="s">
        <v>258</v>
      </c>
      <c r="F181" t="b">
        <v>0</v>
      </c>
      <c r="I181">
        <v>1</v>
      </c>
      <c r="J181">
        <v>47</v>
      </c>
      <c r="K181">
        <v>39</v>
      </c>
      <c r="L181">
        <v>50</v>
      </c>
      <c r="M181" t="s">
        <v>45</v>
      </c>
      <c r="N181" t="s">
        <v>20</v>
      </c>
      <c r="O181" t="b">
        <v>1</v>
      </c>
      <c r="Y18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7219648530 Connector Holder JB</v>
      </c>
      <c r="Z181" t="str">
        <f>IF(LEN(Table1[[#This Row],[MA_Number]])&gt;0, Table1[[#This Row],[MA_Number]], "")</f>
        <v>10.21.54167A</v>
      </c>
      <c r="AA181" t="str">
        <f>IF(OR(Table1[[#This Row],[type_code]]="GH", Table1[[#This Row],[type_code]]="CH", Table1[[#This Row],[type_code]]="CLIP H" ), "Finished Product", "")</f>
        <v>Finished Product</v>
      </c>
      <c r="AB181" t="str">
        <f>IF(OR(Table1[[#This Row],[type_code]]="GH", Table1[[#This Row],[type_code]]="CH", Table1[[#This Row],[type_code]]="CLIP H" ), "Holder", "")</f>
        <v>Holder</v>
      </c>
      <c r="AC18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1" t="str">
        <f>IF(OR(Table1[[#This Row],[type_code]]="GH", Table1[[#This Row],[type_code]]="CH", Table1[[#This Row],[type_code]]="CLIP H" ), "Mechanic Holder Production", "")</f>
        <v>Mechanic Holder Production</v>
      </c>
      <c r="AE181" t="str">
        <f>IF(OR(Table1[[#This Row],[type_code]]="GH", Table1[[#This Row],[type_code]]="CH", Table1[[#This Row],[type_code]]="CLIP H" ), "Automatic After Production", "")</f>
        <v>Automatic After Production</v>
      </c>
      <c r="AF18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47mm x 39mm x 50mm</v>
      </c>
    </row>
    <row r="182" spans="1:32" x14ac:dyDescent="0.3">
      <c r="A182" t="s">
        <v>334</v>
      </c>
      <c r="B182" s="1">
        <v>7219652330</v>
      </c>
      <c r="C182" s="1"/>
      <c r="D182" t="s">
        <v>258</v>
      </c>
      <c r="F182" t="b">
        <v>0</v>
      </c>
      <c r="I182">
        <v>1</v>
      </c>
      <c r="J182">
        <v>48</v>
      </c>
      <c r="K182">
        <v>37</v>
      </c>
      <c r="L182">
        <v>60</v>
      </c>
      <c r="M182" t="s">
        <v>45</v>
      </c>
      <c r="N182" t="s">
        <v>20</v>
      </c>
      <c r="O182" t="b">
        <v>1</v>
      </c>
      <c r="Y18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7219652330 Connector Holder JB</v>
      </c>
      <c r="Z182" t="str">
        <f>IF(LEN(Table1[[#This Row],[MA_Number]])&gt;0, Table1[[#This Row],[MA_Number]], "")</f>
        <v>10.21.47366B</v>
      </c>
      <c r="AA182" t="str">
        <f>IF(OR(Table1[[#This Row],[type_code]]="GH", Table1[[#This Row],[type_code]]="CH", Table1[[#This Row],[type_code]]="CLIP H" ), "Finished Product", "")</f>
        <v>Finished Product</v>
      </c>
      <c r="AB182" t="str">
        <f>IF(OR(Table1[[#This Row],[type_code]]="GH", Table1[[#This Row],[type_code]]="CH", Table1[[#This Row],[type_code]]="CLIP H" ), "Holder", "")</f>
        <v>Holder</v>
      </c>
      <c r="AC18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2" t="str">
        <f>IF(OR(Table1[[#This Row],[type_code]]="GH", Table1[[#This Row],[type_code]]="CH", Table1[[#This Row],[type_code]]="CLIP H" ), "Mechanic Holder Production", "")</f>
        <v>Mechanic Holder Production</v>
      </c>
      <c r="AE182" t="str">
        <f>IF(OR(Table1[[#This Row],[type_code]]="GH", Table1[[#This Row],[type_code]]="CH", Table1[[#This Row],[type_code]]="CLIP H" ), "Automatic After Production", "")</f>
        <v>Automatic After Production</v>
      </c>
      <c r="AF18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48mm x 37mm x 60mm</v>
      </c>
    </row>
    <row r="183" spans="1:32" x14ac:dyDescent="0.3">
      <c r="A183" t="s">
        <v>355</v>
      </c>
      <c r="B183" s="1" t="s">
        <v>352</v>
      </c>
      <c r="C183" s="1"/>
      <c r="D183" t="s">
        <v>258</v>
      </c>
      <c r="F183" t="b">
        <v>0</v>
      </c>
      <c r="I183">
        <v>1</v>
      </c>
      <c r="J183">
        <v>115</v>
      </c>
      <c r="K183">
        <v>81</v>
      </c>
      <c r="L183">
        <v>66</v>
      </c>
      <c r="M183" t="s">
        <v>45</v>
      </c>
      <c r="N183" t="s">
        <v>20</v>
      </c>
      <c r="O183" t="b">
        <v>1</v>
      </c>
      <c r="Y18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7274114630+7289488430A Connector Holder JB</v>
      </c>
      <c r="Z183" t="str">
        <f>IF(LEN(Table1[[#This Row],[MA_Number]])&gt;0, Table1[[#This Row],[MA_Number]], "")</f>
        <v>10.21.42628C</v>
      </c>
      <c r="AA183" t="str">
        <f>IF(OR(Table1[[#This Row],[type_code]]="GH", Table1[[#This Row],[type_code]]="CH", Table1[[#This Row],[type_code]]="CLIP H" ), "Finished Product", "")</f>
        <v>Finished Product</v>
      </c>
      <c r="AB183" t="str">
        <f>IF(OR(Table1[[#This Row],[type_code]]="GH", Table1[[#This Row],[type_code]]="CH", Table1[[#This Row],[type_code]]="CLIP H" ), "Holder", "")</f>
        <v>Holder</v>
      </c>
      <c r="AC18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3" t="str">
        <f>IF(OR(Table1[[#This Row],[type_code]]="GH", Table1[[#This Row],[type_code]]="CH", Table1[[#This Row],[type_code]]="CLIP H" ), "Mechanic Holder Production", "")</f>
        <v>Mechanic Holder Production</v>
      </c>
      <c r="AE183" t="str">
        <f>IF(OR(Table1[[#This Row],[type_code]]="GH", Table1[[#This Row],[type_code]]="CH", Table1[[#This Row],[type_code]]="CLIP H" ), "Automatic After Production", "")</f>
        <v>Automatic After Production</v>
      </c>
      <c r="AF18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115mm x 81mm x 66mm</v>
      </c>
    </row>
    <row r="184" spans="1:32" x14ac:dyDescent="0.3">
      <c r="A184" t="s">
        <v>363</v>
      </c>
      <c r="B184" s="1">
        <v>7278099530</v>
      </c>
      <c r="C184" s="1"/>
      <c r="D184" t="s">
        <v>258</v>
      </c>
      <c r="F184" t="b">
        <v>0</v>
      </c>
      <c r="I184">
        <v>1</v>
      </c>
      <c r="J184">
        <v>45</v>
      </c>
      <c r="K184">
        <v>40</v>
      </c>
      <c r="L184">
        <v>50</v>
      </c>
      <c r="M184" t="s">
        <v>45</v>
      </c>
      <c r="N184" t="s">
        <v>20</v>
      </c>
      <c r="O184" t="b">
        <v>1</v>
      </c>
      <c r="Y18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7278099530 Connector Holder JB</v>
      </c>
      <c r="Z184" t="str">
        <f>IF(LEN(Table1[[#This Row],[MA_Number]])&gt;0, Table1[[#This Row],[MA_Number]], "")</f>
        <v>10.21.80868A</v>
      </c>
      <c r="AA184" t="str">
        <f>IF(OR(Table1[[#This Row],[type_code]]="GH", Table1[[#This Row],[type_code]]="CH", Table1[[#This Row],[type_code]]="CLIP H" ), "Finished Product", "")</f>
        <v>Finished Product</v>
      </c>
      <c r="AB184" t="str">
        <f>IF(OR(Table1[[#This Row],[type_code]]="GH", Table1[[#This Row],[type_code]]="CH", Table1[[#This Row],[type_code]]="CLIP H" ), "Holder", "")</f>
        <v>Holder</v>
      </c>
      <c r="AC18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4" t="str">
        <f>IF(OR(Table1[[#This Row],[type_code]]="GH", Table1[[#This Row],[type_code]]="CH", Table1[[#This Row],[type_code]]="CLIP H" ), "Mechanic Holder Production", "")</f>
        <v>Mechanic Holder Production</v>
      </c>
      <c r="AE184" t="str">
        <f>IF(OR(Table1[[#This Row],[type_code]]="GH", Table1[[#This Row],[type_code]]="CH", Table1[[#This Row],[type_code]]="CLIP H" ), "Automatic After Production", "")</f>
        <v>Automatic After Production</v>
      </c>
      <c r="AF18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45mm x 40mm x 50mm</v>
      </c>
    </row>
    <row r="185" spans="1:32" x14ac:dyDescent="0.3">
      <c r="A185" t="s">
        <v>335</v>
      </c>
      <c r="B185" s="1">
        <v>7278258330</v>
      </c>
      <c r="C185" s="1"/>
      <c r="D185" t="s">
        <v>258</v>
      </c>
      <c r="F185" t="b">
        <v>0</v>
      </c>
      <c r="I185">
        <v>1</v>
      </c>
      <c r="J185">
        <v>47</v>
      </c>
      <c r="K185">
        <v>47</v>
      </c>
      <c r="L185">
        <v>70</v>
      </c>
      <c r="M185" t="s">
        <v>45</v>
      </c>
      <c r="N185" t="s">
        <v>20</v>
      </c>
      <c r="O185" t="b">
        <v>1</v>
      </c>
      <c r="Y18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7278258330 Connector Holder JB</v>
      </c>
      <c r="Z185" t="str">
        <f>IF(LEN(Table1[[#This Row],[MA_Number]])&gt;0, Table1[[#This Row],[MA_Number]], "")</f>
        <v>10.21.76985A</v>
      </c>
      <c r="AA185" t="str">
        <f>IF(OR(Table1[[#This Row],[type_code]]="GH", Table1[[#This Row],[type_code]]="CH", Table1[[#This Row],[type_code]]="CLIP H" ), "Finished Product", "")</f>
        <v>Finished Product</v>
      </c>
      <c r="AB185" t="str">
        <f>IF(OR(Table1[[#This Row],[type_code]]="GH", Table1[[#This Row],[type_code]]="CH", Table1[[#This Row],[type_code]]="CLIP H" ), "Holder", "")</f>
        <v>Holder</v>
      </c>
      <c r="AC18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5" t="str">
        <f>IF(OR(Table1[[#This Row],[type_code]]="GH", Table1[[#This Row],[type_code]]="CH", Table1[[#This Row],[type_code]]="CLIP H" ), "Mechanic Holder Production", "")</f>
        <v>Mechanic Holder Production</v>
      </c>
      <c r="AE185" t="str">
        <f>IF(OR(Table1[[#This Row],[type_code]]="GH", Table1[[#This Row],[type_code]]="CH", Table1[[#This Row],[type_code]]="CLIP H" ), "Automatic After Production", "")</f>
        <v>Automatic After Production</v>
      </c>
      <c r="AF18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47mm x 47mm x 70mm</v>
      </c>
    </row>
    <row r="186" spans="1:32" x14ac:dyDescent="0.3">
      <c r="A186" t="s">
        <v>361</v>
      </c>
      <c r="B186" s="1">
        <v>7289059730</v>
      </c>
      <c r="C186" s="1"/>
      <c r="D186" t="s">
        <v>258</v>
      </c>
      <c r="F186" t="b">
        <v>0</v>
      </c>
      <c r="I186">
        <v>1</v>
      </c>
      <c r="J186">
        <v>46</v>
      </c>
      <c r="K186">
        <v>44</v>
      </c>
      <c r="L186">
        <v>75</v>
      </c>
      <c r="M186" t="s">
        <v>45</v>
      </c>
      <c r="N186" t="s">
        <v>20</v>
      </c>
      <c r="O186" t="b">
        <v>1</v>
      </c>
      <c r="Y18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7289059730 Connector Holder JB</v>
      </c>
      <c r="Z186" t="str">
        <f>IF(LEN(Table1[[#This Row],[MA_Number]])&gt;0, Table1[[#This Row],[MA_Number]], "")</f>
        <v>10.21.49811L</v>
      </c>
      <c r="AA186" t="str">
        <f>IF(OR(Table1[[#This Row],[type_code]]="GH", Table1[[#This Row],[type_code]]="CH", Table1[[#This Row],[type_code]]="CLIP H" ), "Finished Product", "")</f>
        <v>Finished Product</v>
      </c>
      <c r="AB186" t="str">
        <f>IF(OR(Table1[[#This Row],[type_code]]="GH", Table1[[#This Row],[type_code]]="CH", Table1[[#This Row],[type_code]]="CLIP H" ), "Holder", "")</f>
        <v>Holder</v>
      </c>
      <c r="AC18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6" t="str">
        <f>IF(OR(Table1[[#This Row],[type_code]]="GH", Table1[[#This Row],[type_code]]="CH", Table1[[#This Row],[type_code]]="CLIP H" ), "Mechanic Holder Production", "")</f>
        <v>Mechanic Holder Production</v>
      </c>
      <c r="AE186" t="str">
        <f>IF(OR(Table1[[#This Row],[type_code]]="GH", Table1[[#This Row],[type_code]]="CH", Table1[[#This Row],[type_code]]="CLIP H" ), "Automatic After Production", "")</f>
        <v>Automatic After Production</v>
      </c>
      <c r="AF18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46mm x 44mm x 75mm</v>
      </c>
    </row>
    <row r="187" spans="1:32" x14ac:dyDescent="0.3">
      <c r="A187" t="s">
        <v>336</v>
      </c>
      <c r="B187" s="1">
        <v>7289063730</v>
      </c>
      <c r="C187" s="1"/>
      <c r="D187" t="s">
        <v>258</v>
      </c>
      <c r="F187" t="b">
        <v>0</v>
      </c>
      <c r="I187">
        <v>1</v>
      </c>
      <c r="J187">
        <v>44</v>
      </c>
      <c r="K187">
        <v>43</v>
      </c>
      <c r="L187">
        <v>47</v>
      </c>
      <c r="M187" t="s">
        <v>45</v>
      </c>
      <c r="N187" t="s">
        <v>20</v>
      </c>
      <c r="O187" t="b">
        <v>1</v>
      </c>
      <c r="Y18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7289063730 Connector Holder JB</v>
      </c>
      <c r="Z187" t="str">
        <f>IF(LEN(Table1[[#This Row],[MA_Number]])&gt;0, Table1[[#This Row],[MA_Number]], "")</f>
        <v>10.21.35126A</v>
      </c>
      <c r="AA187" t="str">
        <f>IF(OR(Table1[[#This Row],[type_code]]="GH", Table1[[#This Row],[type_code]]="CH", Table1[[#This Row],[type_code]]="CLIP H" ), "Finished Product", "")</f>
        <v>Finished Product</v>
      </c>
      <c r="AB187" t="str">
        <f>IF(OR(Table1[[#This Row],[type_code]]="GH", Table1[[#This Row],[type_code]]="CH", Table1[[#This Row],[type_code]]="CLIP H" ), "Holder", "")</f>
        <v>Holder</v>
      </c>
      <c r="AC18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7" t="str">
        <f>IF(OR(Table1[[#This Row],[type_code]]="GH", Table1[[#This Row],[type_code]]="CH", Table1[[#This Row],[type_code]]="CLIP H" ), "Mechanic Holder Production", "")</f>
        <v>Mechanic Holder Production</v>
      </c>
      <c r="AE187" t="str">
        <f>IF(OR(Table1[[#This Row],[type_code]]="GH", Table1[[#This Row],[type_code]]="CH", Table1[[#This Row],[type_code]]="CLIP H" ), "Automatic After Production", "")</f>
        <v>Automatic After Production</v>
      </c>
      <c r="AF18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44mm x 43mm x 47mm</v>
      </c>
    </row>
    <row r="188" spans="1:32" x14ac:dyDescent="0.3">
      <c r="A188" t="s">
        <v>337</v>
      </c>
      <c r="B188" s="1">
        <v>72893837</v>
      </c>
      <c r="C188" s="1"/>
      <c r="D188" t="s">
        <v>258</v>
      </c>
      <c r="F188" t="b">
        <v>0</v>
      </c>
      <c r="I188">
        <v>1</v>
      </c>
      <c r="J188">
        <v>48</v>
      </c>
      <c r="K188">
        <v>40</v>
      </c>
      <c r="L188">
        <v>52</v>
      </c>
      <c r="M188" t="s">
        <v>45</v>
      </c>
      <c r="N188" t="s">
        <v>20</v>
      </c>
      <c r="O188" t="b">
        <v>1</v>
      </c>
      <c r="Y18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72893837 Connector Holder JB</v>
      </c>
      <c r="Z188" t="str">
        <f>IF(LEN(Table1[[#This Row],[MA_Number]])&gt;0, Table1[[#This Row],[MA_Number]], "")</f>
        <v>10.21.47158B</v>
      </c>
      <c r="AA188" t="str">
        <f>IF(OR(Table1[[#This Row],[type_code]]="GH", Table1[[#This Row],[type_code]]="CH", Table1[[#This Row],[type_code]]="CLIP H" ), "Finished Product", "")</f>
        <v>Finished Product</v>
      </c>
      <c r="AB188" t="str">
        <f>IF(OR(Table1[[#This Row],[type_code]]="GH", Table1[[#This Row],[type_code]]="CH", Table1[[#This Row],[type_code]]="CLIP H" ), "Holder", "")</f>
        <v>Holder</v>
      </c>
      <c r="AC18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8" t="str">
        <f>IF(OR(Table1[[#This Row],[type_code]]="GH", Table1[[#This Row],[type_code]]="CH", Table1[[#This Row],[type_code]]="CLIP H" ), "Mechanic Holder Production", "")</f>
        <v>Mechanic Holder Production</v>
      </c>
      <c r="AE188" t="str">
        <f>IF(OR(Table1[[#This Row],[type_code]]="GH", Table1[[#This Row],[type_code]]="CH", Table1[[#This Row],[type_code]]="CLIP H" ), "Automatic After Production", "")</f>
        <v>Automatic After Production</v>
      </c>
      <c r="AF18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48mm x 40mm x 52mm</v>
      </c>
    </row>
    <row r="189" spans="1:32" x14ac:dyDescent="0.3">
      <c r="A189" t="s">
        <v>338</v>
      </c>
      <c r="B189" s="1">
        <v>7289405130</v>
      </c>
      <c r="C189" s="1"/>
      <c r="D189" t="s">
        <v>258</v>
      </c>
      <c r="F189" t="b">
        <v>0</v>
      </c>
      <c r="I189">
        <v>1</v>
      </c>
      <c r="J189">
        <v>45</v>
      </c>
      <c r="K189">
        <v>44</v>
      </c>
      <c r="L189">
        <v>47</v>
      </c>
      <c r="M189" t="s">
        <v>45</v>
      </c>
      <c r="N189" t="s">
        <v>20</v>
      </c>
      <c r="O189" t="b">
        <v>1</v>
      </c>
      <c r="Y18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7289405130 Connector Holder JB</v>
      </c>
      <c r="Z189" t="str">
        <f>IF(LEN(Table1[[#This Row],[MA_Number]])&gt;0, Table1[[#This Row],[MA_Number]], "")</f>
        <v>10.21.36272A</v>
      </c>
      <c r="AA189" t="str">
        <f>IF(OR(Table1[[#This Row],[type_code]]="GH", Table1[[#This Row],[type_code]]="CH", Table1[[#This Row],[type_code]]="CLIP H" ), "Finished Product", "")</f>
        <v>Finished Product</v>
      </c>
      <c r="AB189" t="str">
        <f>IF(OR(Table1[[#This Row],[type_code]]="GH", Table1[[#This Row],[type_code]]="CH", Table1[[#This Row],[type_code]]="CLIP H" ), "Holder", "")</f>
        <v>Holder</v>
      </c>
      <c r="AC18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89" t="str">
        <f>IF(OR(Table1[[#This Row],[type_code]]="GH", Table1[[#This Row],[type_code]]="CH", Table1[[#This Row],[type_code]]="CLIP H" ), "Mechanic Holder Production", "")</f>
        <v>Mechanic Holder Production</v>
      </c>
      <c r="AE189" t="str">
        <f>IF(OR(Table1[[#This Row],[type_code]]="GH", Table1[[#This Row],[type_code]]="CH", Table1[[#This Row],[type_code]]="CLIP H" ), "Automatic After Production", "")</f>
        <v>Automatic After Production</v>
      </c>
      <c r="AF18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45mm x 44mm x 47mm</v>
      </c>
    </row>
    <row r="190" spans="1:32" x14ac:dyDescent="0.3">
      <c r="A190" t="s">
        <v>339</v>
      </c>
      <c r="B190" s="1">
        <v>7289405830</v>
      </c>
      <c r="C190" s="1"/>
      <c r="D190" t="s">
        <v>258</v>
      </c>
      <c r="F190" t="b">
        <v>0</v>
      </c>
      <c r="I190">
        <v>1</v>
      </c>
      <c r="J190">
        <v>45</v>
      </c>
      <c r="K190">
        <v>40</v>
      </c>
      <c r="L190">
        <v>47</v>
      </c>
      <c r="M190" t="s">
        <v>45</v>
      </c>
      <c r="N190" t="s">
        <v>20</v>
      </c>
      <c r="O190" t="b">
        <v>1</v>
      </c>
      <c r="Y19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7289405830 Connector Holder JB</v>
      </c>
      <c r="Z190" t="str">
        <f>IF(LEN(Table1[[#This Row],[MA_Number]])&gt;0, Table1[[#This Row],[MA_Number]], "")</f>
        <v>10.21.73046A</v>
      </c>
      <c r="AA190" t="str">
        <f>IF(OR(Table1[[#This Row],[type_code]]="GH", Table1[[#This Row],[type_code]]="CH", Table1[[#This Row],[type_code]]="CLIP H" ), "Finished Product", "")</f>
        <v>Finished Product</v>
      </c>
      <c r="AB190" t="str">
        <f>IF(OR(Table1[[#This Row],[type_code]]="GH", Table1[[#This Row],[type_code]]="CH", Table1[[#This Row],[type_code]]="CLIP H" ), "Holder", "")</f>
        <v>Holder</v>
      </c>
      <c r="AC19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0" t="str">
        <f>IF(OR(Table1[[#This Row],[type_code]]="GH", Table1[[#This Row],[type_code]]="CH", Table1[[#This Row],[type_code]]="CLIP H" ), "Mechanic Holder Production", "")</f>
        <v>Mechanic Holder Production</v>
      </c>
      <c r="AE190" t="str">
        <f>IF(OR(Table1[[#This Row],[type_code]]="GH", Table1[[#This Row],[type_code]]="CH", Table1[[#This Row],[type_code]]="CLIP H" ), "Automatic After Production", "")</f>
        <v>Automatic After Production</v>
      </c>
      <c r="AF19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45mm x 40mm x 47mm</v>
      </c>
    </row>
    <row r="191" spans="1:32" x14ac:dyDescent="0.3">
      <c r="A191" t="s">
        <v>340</v>
      </c>
      <c r="B191" s="1">
        <v>7289464330</v>
      </c>
      <c r="C191" s="1"/>
      <c r="D191" t="s">
        <v>258</v>
      </c>
      <c r="F191" t="b">
        <v>0</v>
      </c>
      <c r="I191">
        <v>1</v>
      </c>
      <c r="J191">
        <v>50</v>
      </c>
      <c r="K191">
        <v>38</v>
      </c>
      <c r="L191">
        <v>52</v>
      </c>
      <c r="M191" t="s">
        <v>46</v>
      </c>
      <c r="N191" t="s">
        <v>20</v>
      </c>
      <c r="O191" t="b">
        <v>1</v>
      </c>
      <c r="Y19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7289464330 Connector Holder JB</v>
      </c>
      <c r="Z191" t="str">
        <f>IF(LEN(Table1[[#This Row],[MA_Number]])&gt;0, Table1[[#This Row],[MA_Number]], "")</f>
        <v>10.21.47450E</v>
      </c>
      <c r="AA191" t="str">
        <f>IF(OR(Table1[[#This Row],[type_code]]="GH", Table1[[#This Row],[type_code]]="CH", Table1[[#This Row],[type_code]]="CLIP H" ), "Finished Product", "")</f>
        <v>Finished Product</v>
      </c>
      <c r="AB191" t="str">
        <f>IF(OR(Table1[[#This Row],[type_code]]="GH", Table1[[#This Row],[type_code]]="CH", Table1[[#This Row],[type_code]]="CLIP H" ), "Holder", "")</f>
        <v>Holder</v>
      </c>
      <c r="AC19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1" t="str">
        <f>IF(OR(Table1[[#This Row],[type_code]]="GH", Table1[[#This Row],[type_code]]="CH", Table1[[#This Row],[type_code]]="CLIP H" ), "Mechanic Holder Production", "")</f>
        <v>Mechanic Holder Production</v>
      </c>
      <c r="AE191" t="str">
        <f>IF(OR(Table1[[#This Row],[type_code]]="GH", Table1[[#This Row],[type_code]]="CH", Table1[[#This Row],[type_code]]="CLIP H" ), "Automatic After Production", "")</f>
        <v>Automatic After Production</v>
      </c>
      <c r="AF19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50mm x 38mm x 52mm</v>
      </c>
    </row>
    <row r="192" spans="1:32" x14ac:dyDescent="0.3">
      <c r="A192" t="s">
        <v>341</v>
      </c>
      <c r="B192" s="1">
        <v>72895381</v>
      </c>
      <c r="C192" s="1"/>
      <c r="D192" t="s">
        <v>258</v>
      </c>
      <c r="F192" t="b">
        <v>0</v>
      </c>
      <c r="I192">
        <v>1</v>
      </c>
      <c r="J192">
        <v>44</v>
      </c>
      <c r="K192">
        <v>45</v>
      </c>
      <c r="L192">
        <v>78</v>
      </c>
      <c r="M192" t="s">
        <v>44</v>
      </c>
      <c r="N192" t="s">
        <v>20</v>
      </c>
      <c r="O192" t="b">
        <v>1</v>
      </c>
      <c r="Y19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72895381 Connector Holder JB</v>
      </c>
      <c r="Z192" t="str">
        <f>IF(LEN(Table1[[#This Row],[MA_Number]])&gt;0, Table1[[#This Row],[MA_Number]], "")</f>
        <v>10.21.54157A</v>
      </c>
      <c r="AA192" t="str">
        <f>IF(OR(Table1[[#This Row],[type_code]]="GH", Table1[[#This Row],[type_code]]="CH", Table1[[#This Row],[type_code]]="CLIP H" ), "Finished Product", "")</f>
        <v>Finished Product</v>
      </c>
      <c r="AB192" t="str">
        <f>IF(OR(Table1[[#This Row],[type_code]]="GH", Table1[[#This Row],[type_code]]="CH", Table1[[#This Row],[type_code]]="CLIP H" ), "Holder", "")</f>
        <v>Holder</v>
      </c>
      <c r="AC19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2" t="str">
        <f>IF(OR(Table1[[#This Row],[type_code]]="GH", Table1[[#This Row],[type_code]]="CH", Table1[[#This Row],[type_code]]="CLIP H" ), "Mechanic Holder Production", "")</f>
        <v>Mechanic Holder Production</v>
      </c>
      <c r="AE192" t="str">
        <f>IF(OR(Table1[[#This Row],[type_code]]="GH", Table1[[#This Row],[type_code]]="CH", Table1[[#This Row],[type_code]]="CLIP H" ), "Automatic After Production", "")</f>
        <v>Automatic After Production</v>
      </c>
      <c r="AF19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44mm x 45mm x 78mm</v>
      </c>
    </row>
    <row r="193" spans="1:32" x14ac:dyDescent="0.3">
      <c r="A193" t="s">
        <v>342</v>
      </c>
      <c r="B193" s="1">
        <v>7289734390</v>
      </c>
      <c r="C193" s="1"/>
      <c r="D193" t="s">
        <v>258</v>
      </c>
      <c r="F193" t="b">
        <v>0</v>
      </c>
      <c r="I193">
        <v>1</v>
      </c>
      <c r="J193">
        <v>45</v>
      </c>
      <c r="K193">
        <v>40</v>
      </c>
      <c r="L193">
        <v>50</v>
      </c>
      <c r="M193" t="s">
        <v>46</v>
      </c>
      <c r="N193" t="s">
        <v>20</v>
      </c>
      <c r="O193" t="b">
        <v>1</v>
      </c>
      <c r="Y19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7289734390 Connector Holder JB</v>
      </c>
      <c r="Z193" t="str">
        <f>IF(LEN(Table1[[#This Row],[MA_Number]])&gt;0, Table1[[#This Row],[MA_Number]], "")</f>
        <v>10.21.80759A</v>
      </c>
      <c r="AA193" t="str">
        <f>IF(OR(Table1[[#This Row],[type_code]]="GH", Table1[[#This Row],[type_code]]="CH", Table1[[#This Row],[type_code]]="CLIP H" ), "Finished Product", "")</f>
        <v>Finished Product</v>
      </c>
      <c r="AB193" t="str">
        <f>IF(OR(Table1[[#This Row],[type_code]]="GH", Table1[[#This Row],[type_code]]="CH", Table1[[#This Row],[type_code]]="CLIP H" ), "Holder", "")</f>
        <v>Holder</v>
      </c>
      <c r="AC19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3" t="str">
        <f>IF(OR(Table1[[#This Row],[type_code]]="GH", Table1[[#This Row],[type_code]]="CH", Table1[[#This Row],[type_code]]="CLIP H" ), "Mechanic Holder Production", "")</f>
        <v>Mechanic Holder Production</v>
      </c>
      <c r="AE193" t="str">
        <f>IF(OR(Table1[[#This Row],[type_code]]="GH", Table1[[#This Row],[type_code]]="CH", Table1[[#This Row],[type_code]]="CLIP H" ), "Automatic After Production", "")</f>
        <v>Automatic After Production</v>
      </c>
      <c r="AF19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45mm x 40mm x 50mm</v>
      </c>
    </row>
    <row r="194" spans="1:32" x14ac:dyDescent="0.3">
      <c r="A194" t="s">
        <v>343</v>
      </c>
      <c r="B194" s="1">
        <v>7289921730</v>
      </c>
      <c r="C194" s="1"/>
      <c r="D194" t="s">
        <v>258</v>
      </c>
      <c r="F194" t="b">
        <v>0</v>
      </c>
      <c r="I194">
        <v>1</v>
      </c>
      <c r="J194">
        <v>47</v>
      </c>
      <c r="K194">
        <v>51</v>
      </c>
      <c r="L194">
        <v>80</v>
      </c>
      <c r="M194" t="s">
        <v>45</v>
      </c>
      <c r="N194" t="s">
        <v>20</v>
      </c>
      <c r="O194" t="b">
        <v>1</v>
      </c>
      <c r="Y19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7289921730 Connector Holder JB</v>
      </c>
      <c r="Z194" t="str">
        <f>IF(LEN(Table1[[#This Row],[MA_Number]])&gt;0, Table1[[#This Row],[MA_Number]], "")</f>
        <v>10.21.72973</v>
      </c>
      <c r="AA194" t="str">
        <f>IF(OR(Table1[[#This Row],[type_code]]="GH", Table1[[#This Row],[type_code]]="CH", Table1[[#This Row],[type_code]]="CLIP H" ), "Finished Product", "")</f>
        <v>Finished Product</v>
      </c>
      <c r="AB194" t="str">
        <f>IF(OR(Table1[[#This Row],[type_code]]="GH", Table1[[#This Row],[type_code]]="CH", Table1[[#This Row],[type_code]]="CLIP H" ), "Holder", "")</f>
        <v>Holder</v>
      </c>
      <c r="AC19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4" t="str">
        <f>IF(OR(Table1[[#This Row],[type_code]]="GH", Table1[[#This Row],[type_code]]="CH", Table1[[#This Row],[type_code]]="CLIP H" ), "Mechanic Holder Production", "")</f>
        <v>Mechanic Holder Production</v>
      </c>
      <c r="AE194" t="str">
        <f>IF(OR(Table1[[#This Row],[type_code]]="GH", Table1[[#This Row],[type_code]]="CH", Table1[[#This Row],[type_code]]="CLIP H" ), "Automatic After Production", "")</f>
        <v>Automatic After Production</v>
      </c>
      <c r="AF19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47mm x 51mm x 80mm</v>
      </c>
    </row>
    <row r="195" spans="1:32" x14ac:dyDescent="0.3">
      <c r="A195" t="s">
        <v>344</v>
      </c>
      <c r="B195" s="1">
        <v>72980475</v>
      </c>
      <c r="C195" s="1"/>
      <c r="D195" t="s">
        <v>258</v>
      </c>
      <c r="F195" t="b">
        <v>0</v>
      </c>
      <c r="I195">
        <v>1</v>
      </c>
      <c r="J195">
        <v>40</v>
      </c>
      <c r="K195">
        <v>34</v>
      </c>
      <c r="L195">
        <v>48</v>
      </c>
      <c r="M195" t="s">
        <v>44</v>
      </c>
      <c r="N195" t="s">
        <v>20</v>
      </c>
      <c r="O195" t="b">
        <v>1</v>
      </c>
      <c r="Y19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72980475 Connector Holder JB</v>
      </c>
      <c r="Z195" t="str">
        <f>IF(LEN(Table1[[#This Row],[MA_Number]])&gt;0, Table1[[#This Row],[MA_Number]], "")</f>
        <v>10.21.80722A</v>
      </c>
      <c r="AA195" t="str">
        <f>IF(OR(Table1[[#This Row],[type_code]]="GH", Table1[[#This Row],[type_code]]="CH", Table1[[#This Row],[type_code]]="CLIP H" ), "Finished Product", "")</f>
        <v>Finished Product</v>
      </c>
      <c r="AB195" t="str">
        <f>IF(OR(Table1[[#This Row],[type_code]]="GH", Table1[[#This Row],[type_code]]="CH", Table1[[#This Row],[type_code]]="CLIP H" ), "Holder", "")</f>
        <v>Holder</v>
      </c>
      <c r="AC19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5" t="str">
        <f>IF(OR(Table1[[#This Row],[type_code]]="GH", Table1[[#This Row],[type_code]]="CH", Table1[[#This Row],[type_code]]="CLIP H" ), "Mechanic Holder Production", "")</f>
        <v>Mechanic Holder Production</v>
      </c>
      <c r="AE195" t="str">
        <f>IF(OR(Table1[[#This Row],[type_code]]="GH", Table1[[#This Row],[type_code]]="CH", Table1[[#This Row],[type_code]]="CLIP H" ), "Automatic After Production", "")</f>
        <v>Automatic After Production</v>
      </c>
      <c r="AF19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40mm x 34mm x 48mm</v>
      </c>
    </row>
    <row r="196" spans="1:32" x14ac:dyDescent="0.3">
      <c r="A196" t="s">
        <v>345</v>
      </c>
      <c r="B196" s="1" t="s">
        <v>305</v>
      </c>
      <c r="C196" s="1"/>
      <c r="D196" t="s">
        <v>258</v>
      </c>
      <c r="F196" t="b">
        <v>0</v>
      </c>
      <c r="I196">
        <v>1</v>
      </c>
      <c r="J196">
        <v>52</v>
      </c>
      <c r="K196">
        <v>60</v>
      </c>
      <c r="L196">
        <v>56</v>
      </c>
      <c r="M196" t="s">
        <v>48</v>
      </c>
      <c r="N196" t="s">
        <v>20</v>
      </c>
      <c r="O196" t="b">
        <v>1</v>
      </c>
      <c r="Y19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7298341860+7297341730 Connector Holder JB</v>
      </c>
      <c r="Z196" t="str">
        <f>IF(LEN(Table1[[#This Row],[MA_Number]])&gt;0, Table1[[#This Row],[MA_Number]], "")</f>
        <v>10.21.59093D</v>
      </c>
      <c r="AA196" t="str">
        <f>IF(OR(Table1[[#This Row],[type_code]]="GH", Table1[[#This Row],[type_code]]="CH", Table1[[#This Row],[type_code]]="CLIP H" ), "Finished Product", "")</f>
        <v>Finished Product</v>
      </c>
      <c r="AB196" t="str">
        <f>IF(OR(Table1[[#This Row],[type_code]]="GH", Table1[[#This Row],[type_code]]="CH", Table1[[#This Row],[type_code]]="CLIP H" ), "Holder", "")</f>
        <v>Holder</v>
      </c>
      <c r="AC19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6" t="str">
        <f>IF(OR(Table1[[#This Row],[type_code]]="GH", Table1[[#This Row],[type_code]]="CH", Table1[[#This Row],[type_code]]="CLIP H" ), "Mechanic Holder Production", "")</f>
        <v>Mechanic Holder Production</v>
      </c>
      <c r="AE196" t="str">
        <f>IF(OR(Table1[[#This Row],[type_code]]="GH", Table1[[#This Row],[type_code]]="CH", Table1[[#This Row],[type_code]]="CLIP H" ), "Automatic After Production", "")</f>
        <v>Automatic After Production</v>
      </c>
      <c r="AF19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52mm x 60mm x 56mm</v>
      </c>
    </row>
    <row r="197" spans="1:32" x14ac:dyDescent="0.3">
      <c r="A197" t="s">
        <v>346</v>
      </c>
      <c r="B197" s="1">
        <v>7298677930</v>
      </c>
      <c r="C197" s="1"/>
      <c r="D197" t="s">
        <v>258</v>
      </c>
      <c r="F197" t="b">
        <v>0</v>
      </c>
      <c r="I197">
        <v>1</v>
      </c>
      <c r="J197">
        <v>44</v>
      </c>
      <c r="K197">
        <v>42</v>
      </c>
      <c r="L197">
        <v>50</v>
      </c>
      <c r="M197" t="s">
        <v>45</v>
      </c>
      <c r="N197" t="s">
        <v>20</v>
      </c>
      <c r="O197" t="b">
        <v>1</v>
      </c>
      <c r="Y19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7298677930 Connector Holder JB</v>
      </c>
      <c r="Z197" t="str">
        <f>IF(LEN(Table1[[#This Row],[MA_Number]])&gt;0, Table1[[#This Row],[MA_Number]], "")</f>
        <v>10.21.76980B</v>
      </c>
      <c r="AA197" t="str">
        <f>IF(OR(Table1[[#This Row],[type_code]]="GH", Table1[[#This Row],[type_code]]="CH", Table1[[#This Row],[type_code]]="CLIP H" ), "Finished Product", "")</f>
        <v>Finished Product</v>
      </c>
      <c r="AB197" t="str">
        <f>IF(OR(Table1[[#This Row],[type_code]]="GH", Table1[[#This Row],[type_code]]="CH", Table1[[#This Row],[type_code]]="CLIP H" ), "Holder", "")</f>
        <v>Holder</v>
      </c>
      <c r="AC19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7" t="str">
        <f>IF(OR(Table1[[#This Row],[type_code]]="GH", Table1[[#This Row],[type_code]]="CH", Table1[[#This Row],[type_code]]="CLIP H" ), "Mechanic Holder Production", "")</f>
        <v>Mechanic Holder Production</v>
      </c>
      <c r="AE197" t="str">
        <f>IF(OR(Table1[[#This Row],[type_code]]="GH", Table1[[#This Row],[type_code]]="CH", Table1[[#This Row],[type_code]]="CLIP H" ), "Automatic After Production", "")</f>
        <v>Automatic After Production</v>
      </c>
      <c r="AF19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44mm x 42mm x 50mm</v>
      </c>
    </row>
    <row r="198" spans="1:32" x14ac:dyDescent="0.3">
      <c r="A198" t="s">
        <v>347</v>
      </c>
      <c r="B198" s="1">
        <v>7298761730</v>
      </c>
      <c r="C198" s="1"/>
      <c r="D198" t="s">
        <v>258</v>
      </c>
      <c r="F198" t="b">
        <v>0</v>
      </c>
      <c r="I198">
        <v>1</v>
      </c>
      <c r="J198">
        <v>44</v>
      </c>
      <c r="K198">
        <v>42</v>
      </c>
      <c r="L198">
        <v>50</v>
      </c>
      <c r="M198" t="s">
        <v>45</v>
      </c>
      <c r="N198" t="s">
        <v>20</v>
      </c>
      <c r="O198" t="b">
        <v>1</v>
      </c>
      <c r="Y19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7298761730 Connector Holder JB</v>
      </c>
      <c r="Z198" t="str">
        <f>IF(LEN(Table1[[#This Row],[MA_Number]])&gt;0, Table1[[#This Row],[MA_Number]], "")</f>
        <v>10.21.76978C</v>
      </c>
      <c r="AA198" t="str">
        <f>IF(OR(Table1[[#This Row],[type_code]]="GH", Table1[[#This Row],[type_code]]="CH", Table1[[#This Row],[type_code]]="CLIP H" ), "Finished Product", "")</f>
        <v>Finished Product</v>
      </c>
      <c r="AB198" t="str">
        <f>IF(OR(Table1[[#This Row],[type_code]]="GH", Table1[[#This Row],[type_code]]="CH", Table1[[#This Row],[type_code]]="CLIP H" ), "Holder", "")</f>
        <v>Holder</v>
      </c>
      <c r="AC19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8" t="str">
        <f>IF(OR(Table1[[#This Row],[type_code]]="GH", Table1[[#This Row],[type_code]]="CH", Table1[[#This Row],[type_code]]="CLIP H" ), "Mechanic Holder Production", "")</f>
        <v>Mechanic Holder Production</v>
      </c>
      <c r="AE198" t="str">
        <f>IF(OR(Table1[[#This Row],[type_code]]="GH", Table1[[#This Row],[type_code]]="CH", Table1[[#This Row],[type_code]]="CLIP H" ), "Automatic After Production", "")</f>
        <v>Automatic After Production</v>
      </c>
      <c r="AF19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44mm x 42mm x 50mm</v>
      </c>
    </row>
    <row r="199" spans="1:32" x14ac:dyDescent="0.3">
      <c r="A199" t="s">
        <v>348</v>
      </c>
      <c r="B199" s="1">
        <v>7298912930</v>
      </c>
      <c r="C199" s="1"/>
      <c r="D199" t="s">
        <v>258</v>
      </c>
      <c r="F199" t="b">
        <v>0</v>
      </c>
      <c r="I199">
        <v>1</v>
      </c>
      <c r="J199">
        <v>48</v>
      </c>
      <c r="K199">
        <v>45</v>
      </c>
      <c r="L199">
        <v>58</v>
      </c>
      <c r="M199" t="s">
        <v>45</v>
      </c>
      <c r="N199" t="s">
        <v>20</v>
      </c>
      <c r="O199" t="b">
        <v>1</v>
      </c>
      <c r="Y19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7298912930 Connector Holder JB</v>
      </c>
      <c r="Z199" t="str">
        <f>IF(LEN(Table1[[#This Row],[MA_Number]])&gt;0, Table1[[#This Row],[MA_Number]], "")</f>
        <v>10.21.76961A</v>
      </c>
      <c r="AA199" t="str">
        <f>IF(OR(Table1[[#This Row],[type_code]]="GH", Table1[[#This Row],[type_code]]="CH", Table1[[#This Row],[type_code]]="CLIP H" ), "Finished Product", "")</f>
        <v>Finished Product</v>
      </c>
      <c r="AB199" t="str">
        <f>IF(OR(Table1[[#This Row],[type_code]]="GH", Table1[[#This Row],[type_code]]="CH", Table1[[#This Row],[type_code]]="CLIP H" ), "Holder", "")</f>
        <v>Holder</v>
      </c>
      <c r="AC19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199" t="str">
        <f>IF(OR(Table1[[#This Row],[type_code]]="GH", Table1[[#This Row],[type_code]]="CH", Table1[[#This Row],[type_code]]="CLIP H" ), "Mechanic Holder Production", "")</f>
        <v>Mechanic Holder Production</v>
      </c>
      <c r="AE199" t="str">
        <f>IF(OR(Table1[[#This Row],[type_code]]="GH", Table1[[#This Row],[type_code]]="CH", Table1[[#This Row],[type_code]]="CLIP H" ), "Automatic After Production", "")</f>
        <v>Automatic After Production</v>
      </c>
      <c r="AF19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48mm x 45mm x 58mm</v>
      </c>
    </row>
    <row r="200" spans="1:32" x14ac:dyDescent="0.3">
      <c r="A200" t="s">
        <v>378</v>
      </c>
      <c r="B200" s="1">
        <v>7298913330</v>
      </c>
      <c r="C200" s="1"/>
      <c r="D200" t="s">
        <v>258</v>
      </c>
      <c r="F200" t="b">
        <v>0</v>
      </c>
      <c r="I200">
        <v>1</v>
      </c>
      <c r="J200">
        <v>44</v>
      </c>
      <c r="K200">
        <v>42</v>
      </c>
      <c r="L200">
        <v>51</v>
      </c>
      <c r="M200" t="s">
        <v>45</v>
      </c>
      <c r="N200" t="s">
        <v>20</v>
      </c>
      <c r="O200" t="b">
        <v>1</v>
      </c>
      <c r="Y20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7298913330 Connector Holder JB</v>
      </c>
      <c r="Z200" t="str">
        <f>IF(LEN(Table1[[#This Row],[MA_Number]])&gt;0, Table1[[#This Row],[MA_Number]], "")</f>
        <v>10.21.76963A</v>
      </c>
      <c r="AA200" t="str">
        <f>IF(OR(Table1[[#This Row],[type_code]]="GH", Table1[[#This Row],[type_code]]="CH", Table1[[#This Row],[type_code]]="CLIP H" ), "Finished Product", "")</f>
        <v>Finished Product</v>
      </c>
      <c r="AB200" t="str">
        <f>IF(OR(Table1[[#This Row],[type_code]]="GH", Table1[[#This Row],[type_code]]="CH", Table1[[#This Row],[type_code]]="CLIP H" ), "Holder", "")</f>
        <v>Holder</v>
      </c>
      <c r="AC20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0" t="str">
        <f>IF(OR(Table1[[#This Row],[type_code]]="GH", Table1[[#This Row],[type_code]]="CH", Table1[[#This Row],[type_code]]="CLIP H" ), "Mechanic Holder Production", "")</f>
        <v>Mechanic Holder Production</v>
      </c>
      <c r="AE200" t="str">
        <f>IF(OR(Table1[[#This Row],[type_code]]="GH", Table1[[#This Row],[type_code]]="CH", Table1[[#This Row],[type_code]]="CLIP H" ), "Automatic After Production", "")</f>
        <v>Automatic After Production</v>
      </c>
      <c r="AF20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44mm x 42mm x 51mm</v>
      </c>
    </row>
    <row r="201" spans="1:32" x14ac:dyDescent="0.3">
      <c r="A201" t="s">
        <v>349</v>
      </c>
      <c r="B201" s="1">
        <v>7298948930</v>
      </c>
      <c r="C201" s="1" t="s">
        <v>365</v>
      </c>
      <c r="D201" t="s">
        <v>258</v>
      </c>
      <c r="F201" t="b">
        <v>0</v>
      </c>
      <c r="I201">
        <v>1</v>
      </c>
      <c r="J201">
        <v>44</v>
      </c>
      <c r="K201">
        <v>41</v>
      </c>
      <c r="L201">
        <v>50</v>
      </c>
      <c r="M201" t="s">
        <v>45</v>
      </c>
      <c r="N201" t="s">
        <v>20</v>
      </c>
      <c r="O201" t="b">
        <v>1</v>
      </c>
      <c r="Y20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7298948930 Connector Holder JB</v>
      </c>
      <c r="Z201" t="str">
        <f>IF(LEN(Table1[[#This Row],[MA_Number]])&gt;0, Table1[[#This Row],[MA_Number]], "")</f>
        <v>10.21.72976A</v>
      </c>
      <c r="AA201" t="str">
        <f>IF(OR(Table1[[#This Row],[type_code]]="GH", Table1[[#This Row],[type_code]]="CH", Table1[[#This Row],[type_code]]="CLIP H" ), "Finished Product", "")</f>
        <v>Finished Product</v>
      </c>
      <c r="AB201" t="str">
        <f>IF(OR(Table1[[#This Row],[type_code]]="GH", Table1[[#This Row],[type_code]]="CH", Table1[[#This Row],[type_code]]="CLIP H" ), "Holder", "")</f>
        <v>Holder</v>
      </c>
      <c r="AC20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1" t="str">
        <f>IF(OR(Table1[[#This Row],[type_code]]="GH", Table1[[#This Row],[type_code]]="CH", Table1[[#This Row],[type_code]]="CLIP H" ), "Mechanic Holder Production", "")</f>
        <v>Mechanic Holder Production</v>
      </c>
      <c r="AE201" t="str">
        <f>IF(OR(Table1[[#This Row],[type_code]]="GH", Table1[[#This Row],[type_code]]="CH", Table1[[#This Row],[type_code]]="CLIP H" ), "Automatic After Production", "")</f>
        <v>Automatic After Production</v>
      </c>
      <c r="AF20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44mm x 41mm x 50mm</v>
      </c>
    </row>
    <row r="202" spans="1:32" x14ac:dyDescent="0.3">
      <c r="A202" t="s">
        <v>366</v>
      </c>
      <c r="B202" s="1">
        <v>7298949030</v>
      </c>
      <c r="C202" s="1"/>
      <c r="D202" t="s">
        <v>258</v>
      </c>
      <c r="F202" t="b">
        <v>0</v>
      </c>
      <c r="I202">
        <v>1</v>
      </c>
      <c r="J202">
        <v>44</v>
      </c>
      <c r="K202">
        <v>42</v>
      </c>
      <c r="L202">
        <v>50</v>
      </c>
      <c r="M202" t="s">
        <v>45</v>
      </c>
      <c r="N202" t="s">
        <v>20</v>
      </c>
      <c r="O202" t="b">
        <v>1</v>
      </c>
      <c r="Y20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7298949030 Connector Holder JB</v>
      </c>
      <c r="Z202" t="str">
        <f>IF(LEN(Table1[[#This Row],[MA_Number]])&gt;0, Table1[[#This Row],[MA_Number]], "")</f>
        <v>10.21.76979B</v>
      </c>
      <c r="AA202" t="str">
        <f>IF(OR(Table1[[#This Row],[type_code]]="GH", Table1[[#This Row],[type_code]]="CH", Table1[[#This Row],[type_code]]="CLIP H" ), "Finished Product", "")</f>
        <v>Finished Product</v>
      </c>
      <c r="AB202" t="str">
        <f>IF(OR(Table1[[#This Row],[type_code]]="GH", Table1[[#This Row],[type_code]]="CH", Table1[[#This Row],[type_code]]="CLIP H" ), "Holder", "")</f>
        <v>Holder</v>
      </c>
      <c r="AC20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2" t="str">
        <f>IF(OR(Table1[[#This Row],[type_code]]="GH", Table1[[#This Row],[type_code]]="CH", Table1[[#This Row],[type_code]]="CLIP H" ), "Mechanic Holder Production", "")</f>
        <v>Mechanic Holder Production</v>
      </c>
      <c r="AE202" t="str">
        <f>IF(OR(Table1[[#This Row],[type_code]]="GH", Table1[[#This Row],[type_code]]="CH", Table1[[#This Row],[type_code]]="CLIP H" ), "Automatic After Production", "")</f>
        <v>Automatic After Production</v>
      </c>
      <c r="AF20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44mm x 42mm x 50mm</v>
      </c>
    </row>
    <row r="203" spans="1:32" x14ac:dyDescent="0.3">
      <c r="A203" t="s">
        <v>350</v>
      </c>
      <c r="B203" s="1" t="s">
        <v>295</v>
      </c>
      <c r="C203" s="1"/>
      <c r="D203" t="s">
        <v>258</v>
      </c>
      <c r="F203" t="b">
        <v>0</v>
      </c>
      <c r="I203">
        <v>1</v>
      </c>
      <c r="J203">
        <v>52</v>
      </c>
      <c r="K203">
        <v>41</v>
      </c>
      <c r="L203">
        <v>50</v>
      </c>
      <c r="M203" t="s">
        <v>45</v>
      </c>
      <c r="N203" t="s">
        <v>20</v>
      </c>
      <c r="O203" t="b">
        <v>1</v>
      </c>
      <c r="Y20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ASSY_118021051 Connector Holder JB</v>
      </c>
      <c r="Z203" t="str">
        <f>IF(LEN(Table1[[#This Row],[MA_Number]])&gt;0, Table1[[#This Row],[MA_Number]], "")</f>
        <v>10.21.76965A</v>
      </c>
      <c r="AA203" t="str">
        <f>IF(OR(Table1[[#This Row],[type_code]]="GH", Table1[[#This Row],[type_code]]="CH", Table1[[#This Row],[type_code]]="CLIP H" ), "Finished Product", "")</f>
        <v>Finished Product</v>
      </c>
      <c r="AB203" t="str">
        <f>IF(OR(Table1[[#This Row],[type_code]]="GH", Table1[[#This Row],[type_code]]="CH", Table1[[#This Row],[type_code]]="CLIP H" ), "Holder", "")</f>
        <v>Holder</v>
      </c>
      <c r="AC20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3" t="str">
        <f>IF(OR(Table1[[#This Row],[type_code]]="GH", Table1[[#This Row],[type_code]]="CH", Table1[[#This Row],[type_code]]="CLIP H" ), "Mechanic Holder Production", "")</f>
        <v>Mechanic Holder Production</v>
      </c>
      <c r="AE203" t="str">
        <f>IF(OR(Table1[[#This Row],[type_code]]="GH", Table1[[#This Row],[type_code]]="CH", Table1[[#This Row],[type_code]]="CLIP H" ), "Automatic After Production", "")</f>
        <v>Automatic After Production</v>
      </c>
      <c r="AF20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52mm x 41mm x 50mm</v>
      </c>
    </row>
    <row r="204" spans="1:32" x14ac:dyDescent="0.3">
      <c r="A204" t="s">
        <v>351</v>
      </c>
      <c r="B204" s="1" t="s">
        <v>307</v>
      </c>
      <c r="C204" s="1"/>
      <c r="D204" t="s">
        <v>258</v>
      </c>
      <c r="F204" t="b">
        <v>0</v>
      </c>
      <c r="I204">
        <v>1</v>
      </c>
      <c r="J204">
        <v>53</v>
      </c>
      <c r="K204">
        <v>36</v>
      </c>
      <c r="L204">
        <v>45</v>
      </c>
      <c r="M204" t="s">
        <v>47</v>
      </c>
      <c r="N204" t="s">
        <v>20</v>
      </c>
      <c r="O204" t="b">
        <v>1</v>
      </c>
      <c r="Y20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ASSY_59Z163003F/ASSY_59Z163DC0F Connector Holder JB</v>
      </c>
      <c r="Z204" t="str">
        <f>IF(LEN(Table1[[#This Row],[MA_Number]])&gt;0, Table1[[#This Row],[MA_Number]], "")</f>
        <v>10.21.77186A</v>
      </c>
      <c r="AA204" t="str">
        <f>IF(OR(Table1[[#This Row],[type_code]]="GH", Table1[[#This Row],[type_code]]="CH", Table1[[#This Row],[type_code]]="CLIP H" ), "Finished Product", "")</f>
        <v>Finished Product</v>
      </c>
      <c r="AB204" t="str">
        <f>IF(OR(Table1[[#This Row],[type_code]]="GH", Table1[[#This Row],[type_code]]="CH", Table1[[#This Row],[type_code]]="CLIP H" ), "Holder", "")</f>
        <v>Holder</v>
      </c>
      <c r="AC20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4" t="str">
        <f>IF(OR(Table1[[#This Row],[type_code]]="GH", Table1[[#This Row],[type_code]]="CH", Table1[[#This Row],[type_code]]="CLIP H" ), "Mechanic Holder Production", "")</f>
        <v>Mechanic Holder Production</v>
      </c>
      <c r="AE204" t="str">
        <f>IF(OR(Table1[[#This Row],[type_code]]="GH", Table1[[#This Row],[type_code]]="CH", Table1[[#This Row],[type_code]]="CLIP H" ), "Automatic After Production", "")</f>
        <v>Automatic After Production</v>
      </c>
      <c r="AF20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КАФЯВ - BROWN, POM  - ДЕЛРИН, 
РЯЗАНЕ, 53mm x 36mm x 45mm</v>
      </c>
    </row>
    <row r="205" spans="1:32" x14ac:dyDescent="0.3">
      <c r="A205" t="s">
        <v>353</v>
      </c>
      <c r="B205" s="1">
        <v>7003292202</v>
      </c>
      <c r="C205" s="1"/>
      <c r="D205" t="s">
        <v>258</v>
      </c>
      <c r="F205" t="b">
        <v>0</v>
      </c>
      <c r="I205">
        <v>1</v>
      </c>
      <c r="J205">
        <v>60</v>
      </c>
      <c r="K205">
        <v>39</v>
      </c>
      <c r="L205">
        <v>45</v>
      </c>
      <c r="M205" t="s">
        <v>44</v>
      </c>
      <c r="N205" t="s">
        <v>20</v>
      </c>
      <c r="O205" t="b">
        <v>1</v>
      </c>
      <c r="Y20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7003292202 Connector Holder JB</v>
      </c>
      <c r="Z205" t="str">
        <f>IF(LEN(Table1[[#This Row],[MA_Number]])&gt;0, Table1[[#This Row],[MA_Number]], "")</f>
        <v>10.21.42430A</v>
      </c>
      <c r="AA205" t="str">
        <f>IF(OR(Table1[[#This Row],[type_code]]="GH", Table1[[#This Row],[type_code]]="CH", Table1[[#This Row],[type_code]]="CLIP H" ), "Finished Product", "")</f>
        <v>Finished Product</v>
      </c>
      <c r="AB205" t="str">
        <f>IF(OR(Table1[[#This Row],[type_code]]="GH", Table1[[#This Row],[type_code]]="CH", Table1[[#This Row],[type_code]]="CLIP H" ), "Holder", "")</f>
        <v>Holder</v>
      </c>
      <c r="AC20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5" t="str">
        <f>IF(OR(Table1[[#This Row],[type_code]]="GH", Table1[[#This Row],[type_code]]="CH", Table1[[#This Row],[type_code]]="CLIP H" ), "Mechanic Holder Production", "")</f>
        <v>Mechanic Holder Production</v>
      </c>
      <c r="AE205" t="str">
        <f>IF(OR(Table1[[#This Row],[type_code]]="GH", Table1[[#This Row],[type_code]]="CH", Table1[[#This Row],[type_code]]="CLIP H" ), "Automatic After Production", "")</f>
        <v>Automatic After Production</v>
      </c>
      <c r="AF20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60mm x 39mm x 45mm</v>
      </c>
    </row>
    <row r="206" spans="1:32" x14ac:dyDescent="0.3">
      <c r="A206" t="s">
        <v>362</v>
      </c>
      <c r="B206" s="1">
        <v>7118605030</v>
      </c>
      <c r="C206" s="1"/>
      <c r="D206" t="s">
        <v>258</v>
      </c>
      <c r="F206" t="b">
        <v>0</v>
      </c>
      <c r="I206">
        <v>1</v>
      </c>
      <c r="J206">
        <v>46</v>
      </c>
      <c r="K206">
        <v>40</v>
      </c>
      <c r="L206">
        <v>48</v>
      </c>
      <c r="M206" t="s">
        <v>45</v>
      </c>
      <c r="N206" t="s">
        <v>20</v>
      </c>
      <c r="O206" t="b">
        <v>1</v>
      </c>
      <c r="Y20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7118605030 Connector Holder JB</v>
      </c>
      <c r="Z206" t="str">
        <f>IF(LEN(Table1[[#This Row],[MA_Number]])&gt;0, Table1[[#This Row],[MA_Number]], "")</f>
        <v>10.21.77006A</v>
      </c>
      <c r="AA206" t="str">
        <f>IF(OR(Table1[[#This Row],[type_code]]="GH", Table1[[#This Row],[type_code]]="CH", Table1[[#This Row],[type_code]]="CLIP H" ), "Finished Product", "")</f>
        <v>Finished Product</v>
      </c>
      <c r="AB206" t="str">
        <f>IF(OR(Table1[[#This Row],[type_code]]="GH", Table1[[#This Row],[type_code]]="CH", Table1[[#This Row],[type_code]]="CLIP H" ), "Holder", "")</f>
        <v>Holder</v>
      </c>
      <c r="AC20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6" t="str">
        <f>IF(OR(Table1[[#This Row],[type_code]]="GH", Table1[[#This Row],[type_code]]="CH", Table1[[#This Row],[type_code]]="CLIP H" ), "Mechanic Holder Production", "")</f>
        <v>Mechanic Holder Production</v>
      </c>
      <c r="AE206" t="str">
        <f>IF(OR(Table1[[#This Row],[type_code]]="GH", Table1[[#This Row],[type_code]]="CH", Table1[[#This Row],[type_code]]="CLIP H" ), "Automatic After Production", "")</f>
        <v>Automatic After Production</v>
      </c>
      <c r="AF20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46mm x 40mm x 48mm</v>
      </c>
    </row>
    <row r="207" spans="1:32" x14ac:dyDescent="0.3">
      <c r="A207" t="s">
        <v>364</v>
      </c>
      <c r="B207" s="1">
        <v>7289042870</v>
      </c>
      <c r="C207" s="1"/>
      <c r="D207" t="s">
        <v>258</v>
      </c>
      <c r="F207" t="b">
        <v>0</v>
      </c>
      <c r="I207">
        <v>1</v>
      </c>
      <c r="J207">
        <v>45</v>
      </c>
      <c r="K207">
        <v>45</v>
      </c>
      <c r="L207">
        <v>52</v>
      </c>
      <c r="M207" t="s">
        <v>50</v>
      </c>
      <c r="N207" t="s">
        <v>20</v>
      </c>
      <c r="O207" t="b">
        <v>1</v>
      </c>
      <c r="Y20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7289042870 Connector Holder JB</v>
      </c>
      <c r="Z207" t="str">
        <f>IF(LEN(Table1[[#This Row],[MA_Number]])&gt;0, Table1[[#This Row],[MA_Number]], "")</f>
        <v>10.21.77113A</v>
      </c>
      <c r="AA207" t="str">
        <f>IF(OR(Table1[[#This Row],[type_code]]="GH", Table1[[#This Row],[type_code]]="CH", Table1[[#This Row],[type_code]]="CLIP H" ), "Finished Product", "")</f>
        <v>Finished Product</v>
      </c>
      <c r="AB207" t="str">
        <f>IF(OR(Table1[[#This Row],[type_code]]="GH", Table1[[#This Row],[type_code]]="CH", Table1[[#This Row],[type_code]]="CLIP H" ), "Holder", "")</f>
        <v>Holder</v>
      </c>
      <c r="AC20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7" t="str">
        <f>IF(OR(Table1[[#This Row],[type_code]]="GH", Table1[[#This Row],[type_code]]="CH", Table1[[#This Row],[type_code]]="CLIP H" ), "Mechanic Holder Production", "")</f>
        <v>Mechanic Holder Production</v>
      </c>
      <c r="AE207" t="str">
        <f>IF(OR(Table1[[#This Row],[type_code]]="GH", Table1[[#This Row],[type_code]]="CH", Table1[[#This Row],[type_code]]="CLIP H" ), "Automatic After Production", "")</f>
        <v>Automatic After Production</v>
      </c>
      <c r="AF20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45mm x 45mm x 52mm</v>
      </c>
    </row>
    <row r="208" spans="1:32" x14ac:dyDescent="0.3">
      <c r="A208" t="s">
        <v>367</v>
      </c>
      <c r="B208" s="1" t="s">
        <v>294</v>
      </c>
      <c r="C208" s="1"/>
      <c r="D208" t="s">
        <v>258</v>
      </c>
      <c r="F208" t="b">
        <v>0</v>
      </c>
      <c r="I208">
        <v>1</v>
      </c>
      <c r="J208">
        <v>38</v>
      </c>
      <c r="K208">
        <v>37</v>
      </c>
      <c r="L208">
        <v>69</v>
      </c>
      <c r="M208" t="s">
        <v>45</v>
      </c>
      <c r="N208" t="s">
        <v>20</v>
      </c>
      <c r="O208" t="b">
        <v>1</v>
      </c>
      <c r="Y20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7289256230+7174167930A Connector Holder JB</v>
      </c>
      <c r="Z208" t="str">
        <f>IF(LEN(Table1[[#This Row],[MA_Number]])&gt;0, Table1[[#This Row],[MA_Number]], "")</f>
        <v>10.21.54176B</v>
      </c>
      <c r="AA208" t="str">
        <f>IF(OR(Table1[[#This Row],[type_code]]="GH", Table1[[#This Row],[type_code]]="CH", Table1[[#This Row],[type_code]]="CLIP H" ), "Finished Product", "")</f>
        <v>Finished Product</v>
      </c>
      <c r="AB208" t="str">
        <f>IF(OR(Table1[[#This Row],[type_code]]="GH", Table1[[#This Row],[type_code]]="CH", Table1[[#This Row],[type_code]]="CLIP H" ), "Holder", "")</f>
        <v>Holder</v>
      </c>
      <c r="AC20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8" t="str">
        <f>IF(OR(Table1[[#This Row],[type_code]]="GH", Table1[[#This Row],[type_code]]="CH", Table1[[#This Row],[type_code]]="CLIP H" ), "Mechanic Holder Production", "")</f>
        <v>Mechanic Holder Production</v>
      </c>
      <c r="AE208" t="str">
        <f>IF(OR(Table1[[#This Row],[type_code]]="GH", Table1[[#This Row],[type_code]]="CH", Table1[[#This Row],[type_code]]="CLIP H" ), "Automatic After Production", "")</f>
        <v>Automatic After Production</v>
      </c>
      <c r="AF20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38mm x 37mm x 69mm</v>
      </c>
    </row>
    <row r="209" spans="1:32" x14ac:dyDescent="0.3">
      <c r="A209" t="s">
        <v>368</v>
      </c>
      <c r="B209" s="1" t="s">
        <v>306</v>
      </c>
      <c r="C209" s="1"/>
      <c r="D209" t="s">
        <v>258</v>
      </c>
      <c r="F209" t="b">
        <v>0</v>
      </c>
      <c r="I209">
        <v>1</v>
      </c>
      <c r="J209">
        <v>39</v>
      </c>
      <c r="K209">
        <v>34</v>
      </c>
      <c r="L209">
        <v>52</v>
      </c>
      <c r="M209" t="s">
        <v>46</v>
      </c>
      <c r="N209" t="s">
        <v>20</v>
      </c>
      <c r="O209" t="b">
        <v>1</v>
      </c>
      <c r="Y20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ASSY_59K24K1XX92A4C Connector Holder JB</v>
      </c>
      <c r="Z209" t="str">
        <f>IF(LEN(Table1[[#This Row],[MA_Number]])&gt;0, Table1[[#This Row],[MA_Number]], "")</f>
        <v>10.21.83644A</v>
      </c>
      <c r="AA209" t="str">
        <f>IF(OR(Table1[[#This Row],[type_code]]="GH", Table1[[#This Row],[type_code]]="CH", Table1[[#This Row],[type_code]]="CLIP H" ), "Finished Product", "")</f>
        <v>Finished Product</v>
      </c>
      <c r="AB209" t="str">
        <f>IF(OR(Table1[[#This Row],[type_code]]="GH", Table1[[#This Row],[type_code]]="CH", Table1[[#This Row],[type_code]]="CLIP H" ), "Holder", "")</f>
        <v>Holder</v>
      </c>
      <c r="AC20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09" t="str">
        <f>IF(OR(Table1[[#This Row],[type_code]]="GH", Table1[[#This Row],[type_code]]="CH", Table1[[#This Row],[type_code]]="CLIP H" ), "Mechanic Holder Production", "")</f>
        <v>Mechanic Holder Production</v>
      </c>
      <c r="AE209" t="str">
        <f>IF(OR(Table1[[#This Row],[type_code]]="GH", Table1[[#This Row],[type_code]]="CH", Table1[[#This Row],[type_code]]="CLIP H" ), "Automatic After Production", "")</f>
        <v>Automatic After Production</v>
      </c>
      <c r="AF20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СИН - BLUE, POM  - ДЕЛРИН, 
РЯЗАНЕ, 39mm x 34mm x 52mm</v>
      </c>
    </row>
    <row r="210" spans="1:32" x14ac:dyDescent="0.3">
      <c r="A210" t="s">
        <v>369</v>
      </c>
      <c r="B210" s="1">
        <v>7289689230</v>
      </c>
      <c r="C210" s="1"/>
      <c r="D210" t="s">
        <v>258</v>
      </c>
      <c r="F210" t="b">
        <v>0</v>
      </c>
      <c r="I210">
        <v>1</v>
      </c>
      <c r="J210">
        <v>47</v>
      </c>
      <c r="K210">
        <v>40</v>
      </c>
      <c r="L210">
        <v>50</v>
      </c>
      <c r="M210" t="s">
        <v>45</v>
      </c>
      <c r="N210" t="s">
        <v>20</v>
      </c>
      <c r="O210" t="b">
        <v>1</v>
      </c>
      <c r="Y21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7289689230 Connector Holder JB</v>
      </c>
      <c r="Z210" t="str">
        <f>IF(LEN(Table1[[#This Row],[MA_Number]])&gt;0, Table1[[#This Row],[MA_Number]], "")</f>
        <v>10.21.83668A</v>
      </c>
      <c r="AA210" t="str">
        <f>IF(OR(Table1[[#This Row],[type_code]]="GH", Table1[[#This Row],[type_code]]="CH", Table1[[#This Row],[type_code]]="CLIP H" ), "Finished Product", "")</f>
        <v>Finished Product</v>
      </c>
      <c r="AB210" t="str">
        <f>IF(OR(Table1[[#This Row],[type_code]]="GH", Table1[[#This Row],[type_code]]="CH", Table1[[#This Row],[type_code]]="CLIP H" ), "Holder", "")</f>
        <v>Holder</v>
      </c>
      <c r="AC21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10" t="str">
        <f>IF(OR(Table1[[#This Row],[type_code]]="GH", Table1[[#This Row],[type_code]]="CH", Table1[[#This Row],[type_code]]="CLIP H" ), "Mechanic Holder Production", "")</f>
        <v>Mechanic Holder Production</v>
      </c>
      <c r="AE210" t="str">
        <f>IF(OR(Table1[[#This Row],[type_code]]="GH", Table1[[#This Row],[type_code]]="CH", Table1[[#This Row],[type_code]]="CLIP H" ), "Automatic After Production", "")</f>
        <v>Automatic After Production</v>
      </c>
      <c r="AF21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47mm x 40mm x 50mm</v>
      </c>
    </row>
    <row r="211" spans="1:32" x14ac:dyDescent="0.3">
      <c r="A211" t="s">
        <v>370</v>
      </c>
      <c r="B211" s="1">
        <v>7009748202</v>
      </c>
      <c r="C211" s="1"/>
      <c r="D211" t="s">
        <v>258</v>
      </c>
      <c r="F211" t="b">
        <v>0</v>
      </c>
      <c r="I211">
        <v>1</v>
      </c>
      <c r="J211">
        <v>50</v>
      </c>
      <c r="K211">
        <v>42</v>
      </c>
      <c r="L211">
        <v>45</v>
      </c>
      <c r="M211" t="s">
        <v>44</v>
      </c>
      <c r="N211" t="s">
        <v>20</v>
      </c>
      <c r="O211" t="b">
        <v>1</v>
      </c>
      <c r="Y21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7009748202 Connector Holder JB</v>
      </c>
      <c r="Z211" t="str">
        <f>IF(LEN(Table1[[#This Row],[MA_Number]])&gt;0, Table1[[#This Row],[MA_Number]], "")</f>
        <v>10.21.83614A</v>
      </c>
      <c r="AA211" t="str">
        <f>IF(OR(Table1[[#This Row],[type_code]]="GH", Table1[[#This Row],[type_code]]="CH", Table1[[#This Row],[type_code]]="CLIP H" ), "Finished Product", "")</f>
        <v>Finished Product</v>
      </c>
      <c r="AB211" t="str">
        <f>IF(OR(Table1[[#This Row],[type_code]]="GH", Table1[[#This Row],[type_code]]="CH", Table1[[#This Row],[type_code]]="CLIP H" ), "Holder", "")</f>
        <v>Holder</v>
      </c>
      <c r="AC21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11" t="str">
        <f>IF(OR(Table1[[#This Row],[type_code]]="GH", Table1[[#This Row],[type_code]]="CH", Table1[[#This Row],[type_code]]="CLIP H" ), "Mechanic Holder Production", "")</f>
        <v>Mechanic Holder Production</v>
      </c>
      <c r="AE211" t="str">
        <f>IF(OR(Table1[[#This Row],[type_code]]="GH", Table1[[#This Row],[type_code]]="CH", Table1[[#This Row],[type_code]]="CLIP H" ), "Automatic After Production", "")</f>
        <v>Automatic After Production</v>
      </c>
      <c r="AF21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50mm x 42mm x 45mm</v>
      </c>
    </row>
    <row r="212" spans="1:32" x14ac:dyDescent="0.3">
      <c r="A212" t="s">
        <v>371</v>
      </c>
      <c r="B212" s="1">
        <v>7298913530</v>
      </c>
      <c r="C212" s="1"/>
      <c r="D212" t="s">
        <v>258</v>
      </c>
      <c r="F212" t="b">
        <v>0</v>
      </c>
      <c r="I212">
        <v>1</v>
      </c>
      <c r="J212">
        <v>48</v>
      </c>
      <c r="K212">
        <v>45</v>
      </c>
      <c r="L212">
        <v>63</v>
      </c>
      <c r="M212" t="s">
        <v>45</v>
      </c>
      <c r="N212" t="s">
        <v>20</v>
      </c>
      <c r="O212" t="b">
        <v>1</v>
      </c>
      <c r="Y21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7298913530 Connector Holder JB</v>
      </c>
      <c r="Z212" t="str">
        <f>IF(LEN(Table1[[#This Row],[MA_Number]])&gt;0, Table1[[#This Row],[MA_Number]], "")</f>
        <v>10.21.77004A</v>
      </c>
      <c r="AA212" t="str">
        <f>IF(OR(Table1[[#This Row],[type_code]]="GH", Table1[[#This Row],[type_code]]="CH", Table1[[#This Row],[type_code]]="CLIP H" ), "Finished Product", "")</f>
        <v>Finished Product</v>
      </c>
      <c r="AB212" t="str">
        <f>IF(OR(Table1[[#This Row],[type_code]]="GH", Table1[[#This Row],[type_code]]="CH", Table1[[#This Row],[type_code]]="CLIP H" ), "Holder", "")</f>
        <v>Holder</v>
      </c>
      <c r="AC21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12" t="str">
        <f>IF(OR(Table1[[#This Row],[type_code]]="GH", Table1[[#This Row],[type_code]]="CH", Table1[[#This Row],[type_code]]="CLIP H" ), "Mechanic Holder Production", "")</f>
        <v>Mechanic Holder Production</v>
      </c>
      <c r="AE212" t="str">
        <f>IF(OR(Table1[[#This Row],[type_code]]="GH", Table1[[#This Row],[type_code]]="CH", Table1[[#This Row],[type_code]]="CLIP H" ), "Automatic After Production", "")</f>
        <v>Automatic After Production</v>
      </c>
      <c r="AF21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48mm x 45mm x 63mm</v>
      </c>
    </row>
    <row r="213" spans="1:32" x14ac:dyDescent="0.3">
      <c r="A213" t="s">
        <v>372</v>
      </c>
      <c r="B213" s="1">
        <v>7119665630</v>
      </c>
      <c r="C213" s="1"/>
      <c r="D213" t="s">
        <v>258</v>
      </c>
      <c r="F213" t="b">
        <v>0</v>
      </c>
      <c r="I213">
        <v>1</v>
      </c>
      <c r="J213">
        <v>46</v>
      </c>
      <c r="K213">
        <v>32</v>
      </c>
      <c r="L213">
        <v>49</v>
      </c>
      <c r="M213" t="s">
        <v>45</v>
      </c>
      <c r="N213" t="s">
        <v>20</v>
      </c>
      <c r="O213" t="b">
        <v>1</v>
      </c>
      <c r="Y21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7119665630 Connector Holder JB</v>
      </c>
      <c r="Z213" t="str">
        <f>IF(LEN(Table1[[#This Row],[MA_Number]])&gt;0, Table1[[#This Row],[MA_Number]], "")</f>
        <v>10.21.63360A</v>
      </c>
      <c r="AA213" t="str">
        <f>IF(OR(Table1[[#This Row],[type_code]]="GH", Table1[[#This Row],[type_code]]="CH", Table1[[#This Row],[type_code]]="CLIP H" ), "Finished Product", "")</f>
        <v>Finished Product</v>
      </c>
      <c r="AB213" t="str">
        <f>IF(OR(Table1[[#This Row],[type_code]]="GH", Table1[[#This Row],[type_code]]="CH", Table1[[#This Row],[type_code]]="CLIP H" ), "Holder", "")</f>
        <v>Holder</v>
      </c>
      <c r="AC21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13" t="str">
        <f>IF(OR(Table1[[#This Row],[type_code]]="GH", Table1[[#This Row],[type_code]]="CH", Table1[[#This Row],[type_code]]="CLIP H" ), "Mechanic Holder Production", "")</f>
        <v>Mechanic Holder Production</v>
      </c>
      <c r="AE213" t="str">
        <f>IF(OR(Table1[[#This Row],[type_code]]="GH", Table1[[#This Row],[type_code]]="CH", Table1[[#This Row],[type_code]]="CLIP H" ), "Automatic After Production", "")</f>
        <v>Automatic After Production</v>
      </c>
      <c r="AF21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46mm x 32mm x 49mm</v>
      </c>
    </row>
    <row r="214" spans="1:32" x14ac:dyDescent="0.3">
      <c r="A214" t="s">
        <v>373</v>
      </c>
      <c r="B214" s="1">
        <v>7119637880</v>
      </c>
      <c r="C214" s="1"/>
      <c r="D214" t="s">
        <v>258</v>
      </c>
      <c r="F214" t="b">
        <v>0</v>
      </c>
      <c r="I214">
        <v>1</v>
      </c>
      <c r="J214">
        <v>42</v>
      </c>
      <c r="K214">
        <v>41</v>
      </c>
      <c r="L214">
        <v>47</v>
      </c>
      <c r="M214" t="s">
        <v>47</v>
      </c>
      <c r="N214" t="s">
        <v>20</v>
      </c>
      <c r="O214" t="b">
        <v>1</v>
      </c>
      <c r="Y21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7119637880 Connector Holder JB</v>
      </c>
      <c r="Z214" t="str">
        <f>IF(LEN(Table1[[#This Row],[MA_Number]])&gt;0, Table1[[#This Row],[MA_Number]], "")</f>
        <v>10.21.35008A</v>
      </c>
      <c r="AA214" t="str">
        <f>IF(OR(Table1[[#This Row],[type_code]]="GH", Table1[[#This Row],[type_code]]="CH", Table1[[#This Row],[type_code]]="CLIP H" ), "Finished Product", "")</f>
        <v>Finished Product</v>
      </c>
      <c r="AB214" t="str">
        <f>IF(OR(Table1[[#This Row],[type_code]]="GH", Table1[[#This Row],[type_code]]="CH", Table1[[#This Row],[type_code]]="CLIP H" ), "Holder", "")</f>
        <v>Holder</v>
      </c>
      <c r="AC21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14" t="str">
        <f>IF(OR(Table1[[#This Row],[type_code]]="GH", Table1[[#This Row],[type_code]]="CH", Table1[[#This Row],[type_code]]="CLIP H" ), "Mechanic Holder Production", "")</f>
        <v>Mechanic Holder Production</v>
      </c>
      <c r="AE214" t="str">
        <f>IF(OR(Table1[[#This Row],[type_code]]="GH", Table1[[#This Row],[type_code]]="CH", Table1[[#This Row],[type_code]]="CLIP H" ), "Automatic After Production", "")</f>
        <v>Automatic After Production</v>
      </c>
      <c r="AF21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КАФЯВ - BROWN, POM  - ДЕЛРИН, 
РЯЗАНЕ, 42mm x 41mm x 47mm</v>
      </c>
    </row>
    <row r="215" spans="1:32" x14ac:dyDescent="0.3">
      <c r="A215" t="s">
        <v>374</v>
      </c>
      <c r="B215" s="1">
        <v>7198600430</v>
      </c>
      <c r="C215" s="1"/>
      <c r="D215" t="s">
        <v>258</v>
      </c>
      <c r="F215" t="b">
        <v>0</v>
      </c>
      <c r="I215">
        <v>1</v>
      </c>
      <c r="J215">
        <v>91</v>
      </c>
      <c r="K215">
        <v>41</v>
      </c>
      <c r="L215">
        <v>54</v>
      </c>
      <c r="M215" t="s">
        <v>45</v>
      </c>
      <c r="N215" t="s">
        <v>20</v>
      </c>
      <c r="O215" t="b">
        <v>1</v>
      </c>
      <c r="Y21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7198600430 Connector Holder JB</v>
      </c>
      <c r="Z215" t="str">
        <f>IF(LEN(Table1[[#This Row],[MA_Number]])&gt;0, Table1[[#This Row],[MA_Number]], "")</f>
        <v>10.21.83692A</v>
      </c>
      <c r="AA215" t="str">
        <f>IF(OR(Table1[[#This Row],[type_code]]="GH", Table1[[#This Row],[type_code]]="CH", Table1[[#This Row],[type_code]]="CLIP H" ), "Finished Product", "")</f>
        <v>Finished Product</v>
      </c>
      <c r="AB215" t="str">
        <f>IF(OR(Table1[[#This Row],[type_code]]="GH", Table1[[#This Row],[type_code]]="CH", Table1[[#This Row],[type_code]]="CLIP H" ), "Holder", "")</f>
        <v>Holder</v>
      </c>
      <c r="AC21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15" t="str">
        <f>IF(OR(Table1[[#This Row],[type_code]]="GH", Table1[[#This Row],[type_code]]="CH", Table1[[#This Row],[type_code]]="CLIP H" ), "Mechanic Holder Production", "")</f>
        <v>Mechanic Holder Production</v>
      </c>
      <c r="AE215" t="str">
        <f>IF(OR(Table1[[#This Row],[type_code]]="GH", Table1[[#This Row],[type_code]]="CH", Table1[[#This Row],[type_code]]="CLIP H" ), "Automatic After Production", "")</f>
        <v>Automatic After Production</v>
      </c>
      <c r="AF21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91mm x 41mm x 54mm</v>
      </c>
    </row>
    <row r="216" spans="1:32" x14ac:dyDescent="0.3">
      <c r="A216" t="s">
        <v>375</v>
      </c>
      <c r="B216" s="1">
        <v>7287065830</v>
      </c>
      <c r="C216" s="1"/>
      <c r="D216" t="s">
        <v>258</v>
      </c>
      <c r="F216" t="b">
        <v>0</v>
      </c>
      <c r="I216">
        <v>1</v>
      </c>
      <c r="J216">
        <v>42</v>
      </c>
      <c r="K216">
        <v>46</v>
      </c>
      <c r="L216">
        <v>56</v>
      </c>
      <c r="M216" t="s">
        <v>45</v>
      </c>
      <c r="N216" t="s">
        <v>20</v>
      </c>
      <c r="O216" t="b">
        <v>1</v>
      </c>
      <c r="Y21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7287065830 Connector Holder JB</v>
      </c>
      <c r="Z216" t="str">
        <f>IF(LEN(Table1[[#This Row],[MA_Number]])&gt;0, Table1[[#This Row],[MA_Number]], "")</f>
        <v>10.21.83669A</v>
      </c>
      <c r="AA216" t="str">
        <f>IF(OR(Table1[[#This Row],[type_code]]="GH", Table1[[#This Row],[type_code]]="CH", Table1[[#This Row],[type_code]]="CLIP H" ), "Finished Product", "")</f>
        <v>Finished Product</v>
      </c>
      <c r="AB216" t="str">
        <f>IF(OR(Table1[[#This Row],[type_code]]="GH", Table1[[#This Row],[type_code]]="CH", Table1[[#This Row],[type_code]]="CLIP H" ), "Holder", "")</f>
        <v>Holder</v>
      </c>
      <c r="AC21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16" t="str">
        <f>IF(OR(Table1[[#This Row],[type_code]]="GH", Table1[[#This Row],[type_code]]="CH", Table1[[#This Row],[type_code]]="CLIP H" ), "Mechanic Holder Production", "")</f>
        <v>Mechanic Holder Production</v>
      </c>
      <c r="AE216" t="str">
        <f>IF(OR(Table1[[#This Row],[type_code]]="GH", Table1[[#This Row],[type_code]]="CH", Table1[[#This Row],[type_code]]="CLIP H" ), "Automatic After Production", "")</f>
        <v>Automatic After Production</v>
      </c>
      <c r="AF21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42mm x 46mm x 56mm</v>
      </c>
    </row>
    <row r="217" spans="1:32" x14ac:dyDescent="0.3">
      <c r="A217" t="s">
        <v>376</v>
      </c>
      <c r="B217" s="1" t="s">
        <v>377</v>
      </c>
      <c r="C217" s="1"/>
      <c r="D217" t="s">
        <v>258</v>
      </c>
      <c r="F217" t="b">
        <v>0</v>
      </c>
      <c r="I217">
        <v>1</v>
      </c>
      <c r="J217">
        <v>92</v>
      </c>
      <c r="K217">
        <v>75</v>
      </c>
      <c r="L217">
        <v>52</v>
      </c>
      <c r="M217" t="s">
        <v>44</v>
      </c>
      <c r="N217" t="s">
        <v>20</v>
      </c>
      <c r="O217" t="b">
        <v>1</v>
      </c>
      <c r="Y21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7198940330+7198940430+72742881A Connector Holder JB</v>
      </c>
      <c r="Z217" t="str">
        <f>IF(LEN(Table1[[#This Row],[MA_Number]])&gt;0, Table1[[#This Row],[MA_Number]], "")</f>
        <v>10.21.72971A</v>
      </c>
      <c r="AA217" t="str">
        <f>IF(OR(Table1[[#This Row],[type_code]]="GH", Table1[[#This Row],[type_code]]="CH", Table1[[#This Row],[type_code]]="CLIP H" ), "Finished Product", "")</f>
        <v>Finished Product</v>
      </c>
      <c r="AB217" t="str">
        <f>IF(OR(Table1[[#This Row],[type_code]]="GH", Table1[[#This Row],[type_code]]="CH", Table1[[#This Row],[type_code]]="CLIP H" ), "Holder", "")</f>
        <v>Holder</v>
      </c>
      <c r="AC217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17" t="str">
        <f>IF(OR(Table1[[#This Row],[type_code]]="GH", Table1[[#This Row],[type_code]]="CH", Table1[[#This Row],[type_code]]="CLIP H" ), "Mechanic Holder Production", "")</f>
        <v>Mechanic Holder Production</v>
      </c>
      <c r="AE217" t="str">
        <f>IF(OR(Table1[[#This Row],[type_code]]="GH", Table1[[#This Row],[type_code]]="CH", Table1[[#This Row],[type_code]]="CLIP H" ), "Automatic After Production", "")</f>
        <v>Automatic After Production</v>
      </c>
      <c r="AF21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92mm x 75mm x 52mm</v>
      </c>
    </row>
    <row r="218" spans="1:32" x14ac:dyDescent="0.3">
      <c r="A218" t="s">
        <v>381</v>
      </c>
      <c r="B218" s="1">
        <v>7035990830</v>
      </c>
      <c r="C218" s="1"/>
      <c r="D218" t="s">
        <v>499</v>
      </c>
      <c r="F218" t="b">
        <v>0</v>
      </c>
      <c r="I218">
        <v>1</v>
      </c>
      <c r="J218">
        <v>85</v>
      </c>
      <c r="K218">
        <v>48</v>
      </c>
      <c r="L218">
        <v>63</v>
      </c>
      <c r="M218" t="s">
        <v>45</v>
      </c>
      <c r="N218" t="s">
        <v>20</v>
      </c>
      <c r="O218" t="b">
        <v>1</v>
      </c>
      <c r="Y21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7035990830 Grommet Holder JB</v>
      </c>
      <c r="Z218" t="str">
        <f>IF(LEN(Table1[[#This Row],[MA_Number]])&gt;0, Table1[[#This Row],[MA_Number]], "")</f>
        <v>10.21.89507А</v>
      </c>
      <c r="AA218" t="str">
        <f>IF(OR(Table1[[#This Row],[type_code]]="GH", Table1[[#This Row],[type_code]]="CH", Table1[[#This Row],[type_code]]="CLIP H" ), "Finished Product", "")</f>
        <v>Finished Product</v>
      </c>
      <c r="AB218" t="str">
        <f>IF(OR(Table1[[#This Row],[type_code]]="GH", Table1[[#This Row],[type_code]]="CH", Table1[[#This Row],[type_code]]="CLIP H" ), "Holder", "")</f>
        <v>Holder</v>
      </c>
      <c r="AC218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18" t="str">
        <f>IF(OR(Table1[[#This Row],[type_code]]="GH", Table1[[#This Row],[type_code]]="CH", Table1[[#This Row],[type_code]]="CLIP H" ), "Mechanic Holder Production", "")</f>
        <v>Mechanic Holder Production</v>
      </c>
      <c r="AE218" t="str">
        <f>IF(OR(Table1[[#This Row],[type_code]]="GH", Table1[[#This Row],[type_code]]="CH", Table1[[#This Row],[type_code]]="CLIP H" ), "Automatic After Production", "")</f>
        <v>Automatic After Production</v>
      </c>
      <c r="AF21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85mm x 48mm x 63mm</v>
      </c>
    </row>
    <row r="219" spans="1:32" x14ac:dyDescent="0.3">
      <c r="A219" t="s">
        <v>382</v>
      </c>
      <c r="B219" s="1" t="s">
        <v>304</v>
      </c>
      <c r="C219" s="1"/>
      <c r="D219" t="s">
        <v>258</v>
      </c>
      <c r="F219" t="b">
        <v>0</v>
      </c>
      <c r="I219">
        <v>1</v>
      </c>
      <c r="J219">
        <v>105</v>
      </c>
      <c r="K219">
        <v>65</v>
      </c>
      <c r="L219">
        <v>68</v>
      </c>
      <c r="M219" t="s">
        <v>45</v>
      </c>
      <c r="N219" t="s">
        <v>20</v>
      </c>
      <c r="O219" t="b">
        <v>1</v>
      </c>
      <c r="Y21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7289488430+7274297830A Connector Holder JB</v>
      </c>
      <c r="Z219" t="str">
        <f>IF(LEN(Table1[[#This Row],[MA_Number]])&gt;0, Table1[[#This Row],[MA_Number]], "")</f>
        <v>10.21.83703А</v>
      </c>
      <c r="AA219" t="str">
        <f>IF(OR(Table1[[#This Row],[type_code]]="GH", Table1[[#This Row],[type_code]]="CH", Table1[[#This Row],[type_code]]="CLIP H" ), "Finished Product", "")</f>
        <v>Finished Product</v>
      </c>
      <c r="AB219" t="str">
        <f>IF(OR(Table1[[#This Row],[type_code]]="GH", Table1[[#This Row],[type_code]]="CH", Table1[[#This Row],[type_code]]="CLIP H" ), "Holder", "")</f>
        <v>Holder</v>
      </c>
      <c r="AC21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19" t="str">
        <f>IF(OR(Table1[[#This Row],[type_code]]="GH", Table1[[#This Row],[type_code]]="CH", Table1[[#This Row],[type_code]]="CLIP H" ), "Mechanic Holder Production", "")</f>
        <v>Mechanic Holder Production</v>
      </c>
      <c r="AE219" t="str">
        <f>IF(OR(Table1[[#This Row],[type_code]]="GH", Table1[[#This Row],[type_code]]="CH", Table1[[#This Row],[type_code]]="CLIP H" ), "Automatic After Production", "")</f>
        <v>Automatic After Production</v>
      </c>
      <c r="AF21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105mm x 65mm x 68mm</v>
      </c>
    </row>
    <row r="220" spans="1:32" x14ac:dyDescent="0.3">
      <c r="A220" t="s">
        <v>383</v>
      </c>
      <c r="B220" s="1">
        <v>7247781630</v>
      </c>
      <c r="C220" s="1"/>
      <c r="D220" t="s">
        <v>261</v>
      </c>
      <c r="E220" t="s">
        <v>384</v>
      </c>
      <c r="F220" t="b">
        <v>0</v>
      </c>
      <c r="I220">
        <v>1</v>
      </c>
      <c r="J220">
        <v>39</v>
      </c>
      <c r="K220">
        <v>34</v>
      </c>
      <c r="L220">
        <v>48</v>
      </c>
      <c r="M220" t="s">
        <v>45</v>
      </c>
      <c r="N220" t="s">
        <v>20</v>
      </c>
      <c r="O220" t="b">
        <v>1</v>
      </c>
      <c r="Y22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7247781630 Clip Holder JB</v>
      </c>
      <c r="Z220" t="str">
        <f>IF(LEN(Table1[[#This Row],[MA_Number]])&gt;0, Table1[[#This Row],[MA_Number]], "")</f>
        <v>10.21.02366А</v>
      </c>
      <c r="AA220" t="str">
        <f>IF(OR(Table1[[#This Row],[type_code]]="GH", Table1[[#This Row],[type_code]]="CH", Table1[[#This Row],[type_code]]="CLIP H" ), "Finished Product", "")</f>
        <v>Finished Product</v>
      </c>
      <c r="AB220" t="str">
        <f>IF(OR(Table1[[#This Row],[type_code]]="GH", Table1[[#This Row],[type_code]]="CH", Table1[[#This Row],[type_code]]="CLIP H" ), "Holder", "")</f>
        <v>Holder</v>
      </c>
      <c r="AC220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20" t="str">
        <f>IF(OR(Table1[[#This Row],[type_code]]="GH", Table1[[#This Row],[type_code]]="CH", Table1[[#This Row],[type_code]]="CLIP H" ), "Mechanic Holder Production", "")</f>
        <v>Mechanic Holder Production</v>
      </c>
      <c r="AE220" t="str">
        <f>IF(OR(Table1[[#This Row],[type_code]]="GH", Table1[[#This Row],[type_code]]="CH", Table1[[#This Row],[type_code]]="CLIP H" ), "Automatic After Production", "")</f>
        <v>Automatic After Production</v>
      </c>
      <c r="AF22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39mm x 34mm x 48mm</v>
      </c>
    </row>
    <row r="221" spans="1:32" x14ac:dyDescent="0.3">
      <c r="A221" t="s">
        <v>430</v>
      </c>
      <c r="B221" s="1">
        <v>7035964930</v>
      </c>
      <c r="C221" s="1"/>
      <c r="D221" t="s">
        <v>499</v>
      </c>
      <c r="F221" t="b">
        <v>0</v>
      </c>
      <c r="I221">
        <v>1</v>
      </c>
      <c r="J221">
        <v>83</v>
      </c>
      <c r="K221">
        <v>60</v>
      </c>
      <c r="L221">
        <v>80</v>
      </c>
      <c r="M221" t="s">
        <v>45</v>
      </c>
      <c r="N221" t="s">
        <v>20</v>
      </c>
      <c r="O221" t="b">
        <v>1</v>
      </c>
      <c r="Y22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7035964930 Grommet Holder JB</v>
      </c>
      <c r="Z221" t="str">
        <f>IF(LEN(Table1[[#This Row],[MA_Number]])&gt;0, Table1[[#This Row],[MA_Number]], "")</f>
        <v>10.21.96563A</v>
      </c>
      <c r="AA221" t="str">
        <f>IF(OR(Table1[[#This Row],[type_code]]="GH", Table1[[#This Row],[type_code]]="CH", Table1[[#This Row],[type_code]]="CLIP H" ), "Finished Product", "")</f>
        <v>Finished Product</v>
      </c>
      <c r="AB221" t="str">
        <f>IF(OR(Table1[[#This Row],[type_code]]="GH", Table1[[#This Row],[type_code]]="CH", Table1[[#This Row],[type_code]]="CLIP H" ), "Holder", "")</f>
        <v>Holder</v>
      </c>
      <c r="AC221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21" t="str">
        <f>IF(OR(Table1[[#This Row],[type_code]]="GH", Table1[[#This Row],[type_code]]="CH", Table1[[#This Row],[type_code]]="CLIP H" ), "Mechanic Holder Production", "")</f>
        <v>Mechanic Holder Production</v>
      </c>
      <c r="AE221" t="str">
        <f>IF(OR(Table1[[#This Row],[type_code]]="GH", Table1[[#This Row],[type_code]]="CH", Table1[[#This Row],[type_code]]="CLIP H" ), "Automatic After Production", "")</f>
        <v>Automatic After Production</v>
      </c>
      <c r="AF22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83mm x 60mm x 80mm</v>
      </c>
    </row>
    <row r="222" spans="1:32" x14ac:dyDescent="0.3">
      <c r="A222" t="s">
        <v>386</v>
      </c>
      <c r="B222" s="1">
        <v>7035990430</v>
      </c>
      <c r="C222" s="1" t="s">
        <v>385</v>
      </c>
      <c r="D222" t="s">
        <v>499</v>
      </c>
      <c r="F222" t="b">
        <v>0</v>
      </c>
      <c r="I222">
        <v>1</v>
      </c>
      <c r="J222">
        <v>65</v>
      </c>
      <c r="K222">
        <v>50</v>
      </c>
      <c r="L222">
        <v>70</v>
      </c>
      <c r="M222" t="s">
        <v>45</v>
      </c>
      <c r="N222" t="s">
        <v>20</v>
      </c>
      <c r="O222" t="b">
        <v>1</v>
      </c>
      <c r="Y22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7035990430 Grommet Holder JB</v>
      </c>
      <c r="Z222" t="str">
        <f>IF(LEN(Table1[[#This Row],[MA_Number]])&gt;0, Table1[[#This Row],[MA_Number]], "")</f>
        <v>10.21.77174A</v>
      </c>
      <c r="AA222" t="str">
        <f>IF(OR(Table1[[#This Row],[type_code]]="GH", Table1[[#This Row],[type_code]]="CH", Table1[[#This Row],[type_code]]="CLIP H" ), "Finished Product", "")</f>
        <v>Finished Product</v>
      </c>
      <c r="AB222" t="str">
        <f>IF(OR(Table1[[#This Row],[type_code]]="GH", Table1[[#This Row],[type_code]]="CH", Table1[[#This Row],[type_code]]="CLIP H" ), "Holder", "")</f>
        <v>Holder</v>
      </c>
      <c r="AC222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22" t="str">
        <f>IF(OR(Table1[[#This Row],[type_code]]="GH", Table1[[#This Row],[type_code]]="CH", Table1[[#This Row],[type_code]]="CLIP H" ), "Mechanic Holder Production", "")</f>
        <v>Mechanic Holder Production</v>
      </c>
      <c r="AE222" t="str">
        <f>IF(OR(Table1[[#This Row],[type_code]]="GH", Table1[[#This Row],[type_code]]="CH", Table1[[#This Row],[type_code]]="CLIP H" ), "Automatic After Production", "")</f>
        <v>Automatic After Production</v>
      </c>
      <c r="AF22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65mm x 50mm x 70mm</v>
      </c>
    </row>
    <row r="223" spans="1:32" x14ac:dyDescent="0.3">
      <c r="A223" t="s">
        <v>387</v>
      </c>
      <c r="B223" s="1" t="s">
        <v>380</v>
      </c>
      <c r="C223" s="1"/>
      <c r="D223" t="s">
        <v>258</v>
      </c>
      <c r="F223" t="b">
        <v>0</v>
      </c>
      <c r="I223">
        <v>1</v>
      </c>
      <c r="J223">
        <v>102</v>
      </c>
      <c r="K223">
        <v>47</v>
      </c>
      <c r="L223">
        <v>57</v>
      </c>
      <c r="M223" t="s">
        <v>45</v>
      </c>
      <c r="N223" t="s">
        <v>20</v>
      </c>
      <c r="O223" t="b">
        <v>1</v>
      </c>
      <c r="Y22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7298947030+7172174830 Connector Holder JB</v>
      </c>
      <c r="Z223" t="str">
        <f>IF(LEN(Table1[[#This Row],[MA_Number]])&gt;0, Table1[[#This Row],[MA_Number]], "")</f>
        <v>10.21.83697A</v>
      </c>
      <c r="AA223" t="str">
        <f>IF(OR(Table1[[#This Row],[type_code]]="GH", Table1[[#This Row],[type_code]]="CH", Table1[[#This Row],[type_code]]="CLIP H" ), "Finished Product", "")</f>
        <v>Finished Product</v>
      </c>
      <c r="AB223" t="str">
        <f>IF(OR(Table1[[#This Row],[type_code]]="GH", Table1[[#This Row],[type_code]]="CH", Table1[[#This Row],[type_code]]="CLIP H" ), "Holder", "")</f>
        <v>Holder</v>
      </c>
      <c r="AC223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23" t="str">
        <f>IF(OR(Table1[[#This Row],[type_code]]="GH", Table1[[#This Row],[type_code]]="CH", Table1[[#This Row],[type_code]]="CLIP H" ), "Mechanic Holder Production", "")</f>
        <v>Mechanic Holder Production</v>
      </c>
      <c r="AE223" t="str">
        <f>IF(OR(Table1[[#This Row],[type_code]]="GH", Table1[[#This Row],[type_code]]="CH", Table1[[#This Row],[type_code]]="CLIP H" ), "Automatic After Production", "")</f>
        <v>Automatic After Production</v>
      </c>
      <c r="AF22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102mm x 47mm x 57mm</v>
      </c>
    </row>
    <row r="224" spans="1:32" x14ac:dyDescent="0.3">
      <c r="A224" t="s">
        <v>393</v>
      </c>
      <c r="B224" s="1" t="s">
        <v>392</v>
      </c>
      <c r="C224" s="1"/>
      <c r="D224" t="s">
        <v>258</v>
      </c>
      <c r="F224" t="b">
        <v>0</v>
      </c>
      <c r="I224">
        <v>1</v>
      </c>
      <c r="J224">
        <v>45</v>
      </c>
      <c r="K224">
        <v>40</v>
      </c>
      <c r="L224">
        <v>46</v>
      </c>
      <c r="M224" t="s">
        <v>44</v>
      </c>
      <c r="N224" t="s">
        <v>20</v>
      </c>
      <c r="O224" t="b">
        <v>1</v>
      </c>
      <c r="Y22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ASSY_AMZ005000B/ASSY_AMZ005DC0B Connector Holder JB</v>
      </c>
      <c r="Z224" t="str">
        <f>IF(LEN(Table1[[#This Row],[MA_Number]])&gt;0, Table1[[#This Row],[MA_Number]], "")</f>
        <v>10.21.73073_A</v>
      </c>
      <c r="AA224" t="str">
        <f>IF(OR(Table1[[#This Row],[type_code]]="GH", Table1[[#This Row],[type_code]]="CH", Table1[[#This Row],[type_code]]="CLIP H" ), "Finished Product", "")</f>
        <v>Finished Product</v>
      </c>
      <c r="AB224" t="str">
        <f>IF(OR(Table1[[#This Row],[type_code]]="GH", Table1[[#This Row],[type_code]]="CH", Table1[[#This Row],[type_code]]="CLIP H" ), "Holder", "")</f>
        <v>Holder</v>
      </c>
      <c r="AC22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24" t="str">
        <f>IF(OR(Table1[[#This Row],[type_code]]="GH", Table1[[#This Row],[type_code]]="CH", Table1[[#This Row],[type_code]]="CLIP H" ), "Mechanic Holder Production", "")</f>
        <v>Mechanic Holder Production</v>
      </c>
      <c r="AE224" t="str">
        <f>IF(OR(Table1[[#This Row],[type_code]]="GH", Table1[[#This Row],[type_code]]="CH", Table1[[#This Row],[type_code]]="CLIP H" ), "Automatic After Production", "")</f>
        <v>Automatic After Production</v>
      </c>
      <c r="AF22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45mm x 40mm x 46mm</v>
      </c>
    </row>
    <row r="225" spans="1:32" x14ac:dyDescent="0.3">
      <c r="A225" t="s">
        <v>394</v>
      </c>
      <c r="B225" s="1">
        <v>7235053630</v>
      </c>
      <c r="C225" s="1"/>
      <c r="D225" t="s">
        <v>499</v>
      </c>
      <c r="E225" t="s">
        <v>437</v>
      </c>
      <c r="F225" t="b">
        <v>0</v>
      </c>
      <c r="I225">
        <v>1</v>
      </c>
      <c r="J225">
        <v>105</v>
      </c>
      <c r="K225">
        <v>63</v>
      </c>
      <c r="L225">
        <v>85</v>
      </c>
      <c r="M225" t="s">
        <v>45</v>
      </c>
      <c r="N225" t="s">
        <v>20</v>
      </c>
      <c r="O225" t="b">
        <v>1</v>
      </c>
      <c r="Y22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7235053630 Grommet Holder JB</v>
      </c>
      <c r="Z225" t="str">
        <f>IF(LEN(Table1[[#This Row],[MA_Number]])&gt;0, Table1[[#This Row],[MA_Number]], "")</f>
        <v>10.21.83604A</v>
      </c>
      <c r="AA225" t="str">
        <f>IF(OR(Table1[[#This Row],[type_code]]="GH", Table1[[#This Row],[type_code]]="CH", Table1[[#This Row],[type_code]]="CLIP H" ), "Finished Product", "")</f>
        <v>Finished Product</v>
      </c>
      <c r="AB225" t="str">
        <f>IF(OR(Table1[[#This Row],[type_code]]="GH", Table1[[#This Row],[type_code]]="CH", Table1[[#This Row],[type_code]]="CLIP H" ), "Holder", "")</f>
        <v>Holder</v>
      </c>
      <c r="AC225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25" t="str">
        <f>IF(OR(Table1[[#This Row],[type_code]]="GH", Table1[[#This Row],[type_code]]="CH", Table1[[#This Row],[type_code]]="CLIP H" ), "Mechanic Holder Production", "")</f>
        <v>Mechanic Holder Production</v>
      </c>
      <c r="AE225" t="str">
        <f>IF(OR(Table1[[#This Row],[type_code]]="GH", Table1[[#This Row],[type_code]]="CH", Table1[[#This Row],[type_code]]="CLIP H" ), "Automatic After Production", "")</f>
        <v>Automatic After Production</v>
      </c>
      <c r="AF22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105mm x 63mm x 85mm</v>
      </c>
    </row>
    <row r="226" spans="1:32" x14ac:dyDescent="0.3">
      <c r="A226" t="s">
        <v>395</v>
      </c>
      <c r="B226" s="1">
        <v>7235053630</v>
      </c>
      <c r="C226" s="1"/>
      <c r="D226" t="s">
        <v>499</v>
      </c>
      <c r="F226" t="b">
        <v>0</v>
      </c>
      <c r="I226">
        <v>1</v>
      </c>
      <c r="J226">
        <v>105</v>
      </c>
      <c r="K226">
        <v>63</v>
      </c>
      <c r="L226">
        <v>85</v>
      </c>
      <c r="M226" t="s">
        <v>45</v>
      </c>
      <c r="N226" t="s">
        <v>20</v>
      </c>
      <c r="O226" t="b">
        <v>1</v>
      </c>
      <c r="Y22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7235053630 Grommet Holder JB</v>
      </c>
      <c r="Z226" t="str">
        <f>IF(LEN(Table1[[#This Row],[MA_Number]])&gt;0, Table1[[#This Row],[MA_Number]], "")</f>
        <v>10.21.83605A</v>
      </c>
      <c r="AA226" t="str">
        <f>IF(OR(Table1[[#This Row],[type_code]]="GH", Table1[[#This Row],[type_code]]="CH", Table1[[#This Row],[type_code]]="CLIP H" ), "Finished Product", "")</f>
        <v>Finished Product</v>
      </c>
      <c r="AB226" t="str">
        <f>IF(OR(Table1[[#This Row],[type_code]]="GH", Table1[[#This Row],[type_code]]="CH", Table1[[#This Row],[type_code]]="CLIP H" ), "Holder", "")</f>
        <v>Holder</v>
      </c>
      <c r="AC226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26" t="str">
        <f>IF(OR(Table1[[#This Row],[type_code]]="GH", Table1[[#This Row],[type_code]]="CH", Table1[[#This Row],[type_code]]="CLIP H" ), "Mechanic Holder Production", "")</f>
        <v>Mechanic Holder Production</v>
      </c>
      <c r="AE226" t="str">
        <f>IF(OR(Table1[[#This Row],[type_code]]="GH", Table1[[#This Row],[type_code]]="CH", Table1[[#This Row],[type_code]]="CLIP H" ), "Automatic After Production", "")</f>
        <v>Automatic After Production</v>
      </c>
      <c r="AF22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105mm x 63mm x 85mm</v>
      </c>
    </row>
    <row r="227" spans="1:32" x14ac:dyDescent="0.3">
      <c r="A227" t="s">
        <v>396</v>
      </c>
      <c r="B227" s="1">
        <v>7235053630</v>
      </c>
      <c r="C227" s="1"/>
      <c r="D227" t="s">
        <v>499</v>
      </c>
      <c r="E227" t="s">
        <v>437</v>
      </c>
      <c r="F227" t="b">
        <v>0</v>
      </c>
      <c r="I227">
        <v>1</v>
      </c>
      <c r="J227">
        <v>105</v>
      </c>
      <c r="K227">
        <v>71</v>
      </c>
      <c r="L227">
        <v>85</v>
      </c>
      <c r="M227" t="s">
        <v>45</v>
      </c>
      <c r="N227" t="s">
        <v>20</v>
      </c>
      <c r="O227" t="b">
        <v>1</v>
      </c>
      <c r="Y22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7235053630 Grommet Holder JB</v>
      </c>
      <c r="Z227" t="str">
        <f>IF(LEN(Table1[[#This Row],[MA_Number]])&gt;0, Table1[[#This Row],[MA_Number]], "")</f>
        <v>10.21.83601A</v>
      </c>
      <c r="AA227" t="str">
        <f>IF(OR(Table1[[#This Row],[type_code]]="GH", Table1[[#This Row],[type_code]]="CH", Table1[[#This Row],[type_code]]="CLIP H" ), "Finished Product", "")</f>
        <v>Finished Product</v>
      </c>
      <c r="AB227" t="str">
        <f>IF(OR(Table1[[#This Row],[type_code]]="GH", Table1[[#This Row],[type_code]]="CH", Table1[[#This Row],[type_code]]="CLIP H" ), "Holder", "")</f>
        <v>Holder</v>
      </c>
      <c r="AC227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27" t="str">
        <f>IF(OR(Table1[[#This Row],[type_code]]="GH", Table1[[#This Row],[type_code]]="CH", Table1[[#This Row],[type_code]]="CLIP H" ), "Mechanic Holder Production", "")</f>
        <v>Mechanic Holder Production</v>
      </c>
      <c r="AE227" t="str">
        <f>IF(OR(Table1[[#This Row],[type_code]]="GH", Table1[[#This Row],[type_code]]="CH", Table1[[#This Row],[type_code]]="CLIP H" ), "Automatic After Production", "")</f>
        <v>Automatic After Production</v>
      </c>
      <c r="AF22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105mm x 71mm x 85mm</v>
      </c>
    </row>
    <row r="228" spans="1:32" x14ac:dyDescent="0.3">
      <c r="A228" t="s">
        <v>397</v>
      </c>
      <c r="B228" s="1">
        <v>7235053630</v>
      </c>
      <c r="C228" s="1"/>
      <c r="D228" t="s">
        <v>499</v>
      </c>
      <c r="F228" t="b">
        <v>0</v>
      </c>
      <c r="I228">
        <v>1</v>
      </c>
      <c r="J228">
        <v>105</v>
      </c>
      <c r="K228">
        <v>71</v>
      </c>
      <c r="L228">
        <v>85</v>
      </c>
      <c r="M228" t="s">
        <v>45</v>
      </c>
      <c r="N228" t="s">
        <v>20</v>
      </c>
      <c r="O228" t="b">
        <v>1</v>
      </c>
      <c r="Y22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7235053630 Grommet Holder JB</v>
      </c>
      <c r="Z228" t="str">
        <f>IF(LEN(Table1[[#This Row],[MA_Number]])&gt;0, Table1[[#This Row],[MA_Number]], "")</f>
        <v>10.21.83602A</v>
      </c>
      <c r="AA228" t="str">
        <f>IF(OR(Table1[[#This Row],[type_code]]="GH", Table1[[#This Row],[type_code]]="CH", Table1[[#This Row],[type_code]]="CLIP H" ), "Finished Product", "")</f>
        <v>Finished Product</v>
      </c>
      <c r="AB228" t="str">
        <f>IF(OR(Table1[[#This Row],[type_code]]="GH", Table1[[#This Row],[type_code]]="CH", Table1[[#This Row],[type_code]]="CLIP H" ), "Holder", "")</f>
        <v>Holder</v>
      </c>
      <c r="AC228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28" t="str">
        <f>IF(OR(Table1[[#This Row],[type_code]]="GH", Table1[[#This Row],[type_code]]="CH", Table1[[#This Row],[type_code]]="CLIP H" ), "Mechanic Holder Production", "")</f>
        <v>Mechanic Holder Production</v>
      </c>
      <c r="AE228" t="str">
        <f>IF(OR(Table1[[#This Row],[type_code]]="GH", Table1[[#This Row],[type_code]]="CH", Table1[[#This Row],[type_code]]="CLIP H" ), "Automatic After Production", "")</f>
        <v>Automatic After Production</v>
      </c>
      <c r="AF22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105mm x 71mm x 85mm</v>
      </c>
    </row>
    <row r="229" spans="1:32" x14ac:dyDescent="0.3">
      <c r="A229" t="s">
        <v>398</v>
      </c>
      <c r="B229" s="1" t="s">
        <v>299</v>
      </c>
      <c r="C229" s="1"/>
      <c r="D229" t="s">
        <v>258</v>
      </c>
      <c r="F229" t="b">
        <v>0</v>
      </c>
      <c r="I229">
        <v>1</v>
      </c>
      <c r="J229">
        <v>49</v>
      </c>
      <c r="K229">
        <v>34</v>
      </c>
      <c r="L229">
        <v>44</v>
      </c>
      <c r="M229" t="s">
        <v>47</v>
      </c>
      <c r="N229" t="s">
        <v>20</v>
      </c>
      <c r="O229" t="b">
        <v>1</v>
      </c>
      <c r="Y22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ASSY_59Z063DC0F Connector Holder JB</v>
      </c>
      <c r="Z229" t="str">
        <f>IF(LEN(Table1[[#This Row],[MA_Number]])&gt;0, Table1[[#This Row],[MA_Number]], "")</f>
        <v>10.21.77046A</v>
      </c>
      <c r="AA229" t="str">
        <f>IF(OR(Table1[[#This Row],[type_code]]="GH", Table1[[#This Row],[type_code]]="CH", Table1[[#This Row],[type_code]]="CLIP H" ), "Finished Product", "")</f>
        <v>Finished Product</v>
      </c>
      <c r="AB229" t="str">
        <f>IF(OR(Table1[[#This Row],[type_code]]="GH", Table1[[#This Row],[type_code]]="CH", Table1[[#This Row],[type_code]]="CLIP H" ), "Holder", "")</f>
        <v>Holder</v>
      </c>
      <c r="AC22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29" t="str">
        <f>IF(OR(Table1[[#This Row],[type_code]]="GH", Table1[[#This Row],[type_code]]="CH", Table1[[#This Row],[type_code]]="CLIP H" ), "Mechanic Holder Production", "")</f>
        <v>Mechanic Holder Production</v>
      </c>
      <c r="AE229" t="str">
        <f>IF(OR(Table1[[#This Row],[type_code]]="GH", Table1[[#This Row],[type_code]]="CH", Table1[[#This Row],[type_code]]="CLIP H" ), "Automatic After Production", "")</f>
        <v>Automatic After Production</v>
      </c>
      <c r="AF22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КАФЯВ - BROWN, POM  - ДЕЛРИН, 
РЯЗАНЕ, 49mm x 34mm x 44mm</v>
      </c>
    </row>
    <row r="230" spans="1:32" x14ac:dyDescent="0.3">
      <c r="A230" t="s">
        <v>399</v>
      </c>
      <c r="B230" s="1">
        <v>7003756102</v>
      </c>
      <c r="C230" s="1"/>
      <c r="D230" t="s">
        <v>258</v>
      </c>
      <c r="F230" t="b">
        <v>0</v>
      </c>
      <c r="I230">
        <v>1</v>
      </c>
      <c r="J230">
        <v>60</v>
      </c>
      <c r="K230">
        <v>42</v>
      </c>
      <c r="L230">
        <v>45</v>
      </c>
      <c r="M230" t="s">
        <v>44</v>
      </c>
      <c r="N230" t="s">
        <v>20</v>
      </c>
      <c r="O230" t="b">
        <v>1</v>
      </c>
      <c r="Y23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7003756102 Connector Holder JB</v>
      </c>
      <c r="Z230" t="str">
        <f>IF(LEN(Table1[[#This Row],[MA_Number]])&gt;0, Table1[[#This Row],[MA_Number]], "")</f>
        <v>10.21.77091A</v>
      </c>
      <c r="AA230" t="str">
        <f>IF(OR(Table1[[#This Row],[type_code]]="GH", Table1[[#This Row],[type_code]]="CH", Table1[[#This Row],[type_code]]="CLIP H" ), "Finished Product", "")</f>
        <v>Finished Product</v>
      </c>
      <c r="AB230" t="str">
        <f>IF(OR(Table1[[#This Row],[type_code]]="GH", Table1[[#This Row],[type_code]]="CH", Table1[[#This Row],[type_code]]="CLIP H" ), "Holder", "")</f>
        <v>Holder</v>
      </c>
      <c r="AC23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30" t="str">
        <f>IF(OR(Table1[[#This Row],[type_code]]="GH", Table1[[#This Row],[type_code]]="CH", Table1[[#This Row],[type_code]]="CLIP H" ), "Mechanic Holder Production", "")</f>
        <v>Mechanic Holder Production</v>
      </c>
      <c r="AE230" t="str">
        <f>IF(OR(Table1[[#This Row],[type_code]]="GH", Table1[[#This Row],[type_code]]="CH", Table1[[#This Row],[type_code]]="CLIP H" ), "Automatic After Production", "")</f>
        <v>Automatic After Production</v>
      </c>
      <c r="AF23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60mm x 42mm x 45mm</v>
      </c>
    </row>
    <row r="231" spans="1:32" x14ac:dyDescent="0.3">
      <c r="A231" t="s">
        <v>400</v>
      </c>
      <c r="B231" s="1">
        <v>7119163630</v>
      </c>
      <c r="C231" s="1"/>
      <c r="D231" t="s">
        <v>258</v>
      </c>
      <c r="F231" t="b">
        <v>0</v>
      </c>
      <c r="I231">
        <v>1</v>
      </c>
      <c r="J231">
        <v>42</v>
      </c>
      <c r="K231">
        <v>35</v>
      </c>
      <c r="L231">
        <v>42</v>
      </c>
      <c r="M231" t="s">
        <v>45</v>
      </c>
      <c r="N231" t="s">
        <v>20</v>
      </c>
      <c r="O231" t="b">
        <v>1</v>
      </c>
      <c r="Y23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7119163630 Connector Holder JB</v>
      </c>
      <c r="Z231" t="str">
        <f>IF(LEN(Table1[[#This Row],[MA_Number]])&gt;0, Table1[[#This Row],[MA_Number]], "")</f>
        <v>10.21.42632B</v>
      </c>
      <c r="AA231" t="str">
        <f>IF(OR(Table1[[#This Row],[type_code]]="GH", Table1[[#This Row],[type_code]]="CH", Table1[[#This Row],[type_code]]="CLIP H" ), "Finished Product", "")</f>
        <v>Finished Product</v>
      </c>
      <c r="AB231" t="str">
        <f>IF(OR(Table1[[#This Row],[type_code]]="GH", Table1[[#This Row],[type_code]]="CH", Table1[[#This Row],[type_code]]="CLIP H" ), "Holder", "")</f>
        <v>Holder</v>
      </c>
      <c r="AC23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31" t="str">
        <f>IF(OR(Table1[[#This Row],[type_code]]="GH", Table1[[#This Row],[type_code]]="CH", Table1[[#This Row],[type_code]]="CLIP H" ), "Mechanic Holder Production", "")</f>
        <v>Mechanic Holder Production</v>
      </c>
      <c r="AE231" t="str">
        <f>IF(OR(Table1[[#This Row],[type_code]]="GH", Table1[[#This Row],[type_code]]="CH", Table1[[#This Row],[type_code]]="CLIP H" ), "Automatic After Production", "")</f>
        <v>Automatic After Production</v>
      </c>
      <c r="AF23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42mm x 35mm x 42mm</v>
      </c>
    </row>
    <row r="232" spans="1:32" x14ac:dyDescent="0.3">
      <c r="A232" t="s">
        <v>403</v>
      </c>
      <c r="B232" s="1">
        <v>7047135830</v>
      </c>
      <c r="C232" s="1" t="s">
        <v>401</v>
      </c>
      <c r="D232" t="s">
        <v>261</v>
      </c>
      <c r="E232" t="s">
        <v>402</v>
      </c>
      <c r="F232" t="b">
        <v>1</v>
      </c>
      <c r="I232">
        <v>1</v>
      </c>
      <c r="Y23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7047135830 Clip Holder JB</v>
      </c>
      <c r="Z232" t="str">
        <f>IF(LEN(Table1[[#This Row],[MA_Number]])&gt;0, Table1[[#This Row],[MA_Number]], "")</f>
        <v>10.21.72847A</v>
      </c>
      <c r="AA232" t="str">
        <f>IF(OR(Table1[[#This Row],[type_code]]="GH", Table1[[#This Row],[type_code]]="CH", Table1[[#This Row],[type_code]]="CLIP H" ), "Finished Product", "")</f>
        <v>Finished Product</v>
      </c>
      <c r="AB232" t="str">
        <f>IF(OR(Table1[[#This Row],[type_code]]="GH", Table1[[#This Row],[type_code]]="CH", Table1[[#This Row],[type_code]]="CLIP H" ), "Holder", "")</f>
        <v>Holder</v>
      </c>
      <c r="AC232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32" t="str">
        <f>IF(OR(Table1[[#This Row],[type_code]]="GH", Table1[[#This Row],[type_code]]="CH", Table1[[#This Row],[type_code]]="CLIP H" ), "Mechanic Holder Production", "")</f>
        <v>Mechanic Holder Production</v>
      </c>
      <c r="AE232" t="str">
        <f>IF(OR(Table1[[#This Row],[type_code]]="GH", Table1[[#This Row],[type_code]]="CH", Table1[[#This Row],[type_code]]="CLIP H" ), "Automatic After Production", "")</f>
        <v>Automatic After Production</v>
      </c>
      <c r="AF23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33" spans="1:32" x14ac:dyDescent="0.3">
      <c r="B233" s="1">
        <v>7047135830</v>
      </c>
      <c r="C233" s="1"/>
      <c r="G233" t="s">
        <v>403</v>
      </c>
      <c r="H233" t="s">
        <v>404</v>
      </c>
      <c r="I233">
        <v>1</v>
      </c>
      <c r="J233">
        <v>30</v>
      </c>
      <c r="K233">
        <v>30</v>
      </c>
      <c r="L233">
        <v>60</v>
      </c>
      <c r="M233" t="s">
        <v>48</v>
      </c>
      <c r="N233" t="s">
        <v>20</v>
      </c>
      <c r="O233" t="b">
        <v>1</v>
      </c>
      <c r="Y23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33" t="str">
        <f>IF(LEN(Table1[[#This Row],[MA_Number]])&gt;0, Table1[[#This Row],[MA_Number]], "")</f>
        <v/>
      </c>
      <c r="AA233" t="str">
        <f>IF(OR(Table1[[#This Row],[type_code]]="GH", Table1[[#This Row],[type_code]]="CH", Table1[[#This Row],[type_code]]="CLIP H" ), "Finished Product", "")</f>
        <v/>
      </c>
      <c r="AB233" t="str">
        <f>IF(OR(Table1[[#This Row],[type_code]]="GH", Table1[[#This Row],[type_code]]="CH", Table1[[#This Row],[type_code]]="CLIP H" ), "Holder", "")</f>
        <v/>
      </c>
      <c r="AC233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33" t="str">
        <f>IF(OR(Table1[[#This Row],[type_code]]="GH", Table1[[#This Row],[type_code]]="CH", Table1[[#This Row],[type_code]]="CLIP H" ), "Mechanic Holder Production", "")</f>
        <v/>
      </c>
      <c r="AE233" t="str">
        <f>IF(OR(Table1[[#This Row],[type_code]]="GH", Table1[[#This Row],[type_code]]="CH", Table1[[#This Row],[type_code]]="CLIP H" ), "Automatic After Production", "")</f>
        <v/>
      </c>
      <c r="AF23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30mm x 30mm x 60mm</v>
      </c>
    </row>
    <row r="234" spans="1:32" x14ac:dyDescent="0.3">
      <c r="B234" s="1">
        <v>7047135830</v>
      </c>
      <c r="C234" s="1"/>
      <c r="G234" t="s">
        <v>403</v>
      </c>
      <c r="H234" t="s">
        <v>405</v>
      </c>
      <c r="I234">
        <v>1</v>
      </c>
      <c r="J234">
        <v>44</v>
      </c>
      <c r="K234">
        <v>21</v>
      </c>
      <c r="L234">
        <v>24</v>
      </c>
      <c r="M234" t="s">
        <v>50</v>
      </c>
      <c r="N234" t="s">
        <v>20</v>
      </c>
      <c r="O234" t="b">
        <v>1</v>
      </c>
      <c r="Y23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34" t="str">
        <f>IF(LEN(Table1[[#This Row],[MA_Number]])&gt;0, Table1[[#This Row],[MA_Number]], "")</f>
        <v/>
      </c>
      <c r="AA234" t="str">
        <f>IF(OR(Table1[[#This Row],[type_code]]="GH", Table1[[#This Row],[type_code]]="CH", Table1[[#This Row],[type_code]]="CLIP H" ), "Finished Product", "")</f>
        <v/>
      </c>
      <c r="AB234" t="str">
        <f>IF(OR(Table1[[#This Row],[type_code]]="GH", Table1[[#This Row],[type_code]]="CH", Table1[[#This Row],[type_code]]="CLIP H" ), "Holder", "")</f>
        <v/>
      </c>
      <c r="AC234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34" t="str">
        <f>IF(OR(Table1[[#This Row],[type_code]]="GH", Table1[[#This Row],[type_code]]="CH", Table1[[#This Row],[type_code]]="CLIP H" ), "Mechanic Holder Production", "")</f>
        <v/>
      </c>
      <c r="AE234" t="str">
        <f>IF(OR(Table1[[#This Row],[type_code]]="GH", Table1[[#This Row],[type_code]]="CH", Table1[[#This Row],[type_code]]="CLIP H" ), "Automatic After Production", "")</f>
        <v/>
      </c>
      <c r="AF23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44mm x 21mm x 24mm</v>
      </c>
    </row>
    <row r="235" spans="1:32" x14ac:dyDescent="0.3">
      <c r="A235" t="s">
        <v>407</v>
      </c>
      <c r="B235" s="1">
        <v>7047186030</v>
      </c>
      <c r="C235" s="1" t="s">
        <v>406</v>
      </c>
      <c r="D235" t="s">
        <v>261</v>
      </c>
      <c r="E235" t="s">
        <v>402</v>
      </c>
      <c r="F235" t="b">
        <v>1</v>
      </c>
      <c r="I235">
        <v>1</v>
      </c>
      <c r="Y23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7047186030 Clip Holder JB</v>
      </c>
      <c r="Z235" t="str">
        <f>IF(LEN(Table1[[#This Row],[MA_Number]])&gt;0, Table1[[#This Row],[MA_Number]], "")</f>
        <v>10.21.54326E</v>
      </c>
      <c r="AA235" t="str">
        <f>IF(OR(Table1[[#This Row],[type_code]]="GH", Table1[[#This Row],[type_code]]="CH", Table1[[#This Row],[type_code]]="CLIP H" ), "Finished Product", "")</f>
        <v>Finished Product</v>
      </c>
      <c r="AB235" t="str">
        <f>IF(OR(Table1[[#This Row],[type_code]]="GH", Table1[[#This Row],[type_code]]="CH", Table1[[#This Row],[type_code]]="CLIP H" ), "Holder", "")</f>
        <v>Holder</v>
      </c>
      <c r="AC235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35" t="str">
        <f>IF(OR(Table1[[#This Row],[type_code]]="GH", Table1[[#This Row],[type_code]]="CH", Table1[[#This Row],[type_code]]="CLIP H" ), "Mechanic Holder Production", "")</f>
        <v>Mechanic Holder Production</v>
      </c>
      <c r="AE235" t="str">
        <f>IF(OR(Table1[[#This Row],[type_code]]="GH", Table1[[#This Row],[type_code]]="CH", Table1[[#This Row],[type_code]]="CLIP H" ), "Automatic After Production", "")</f>
        <v>Automatic After Production</v>
      </c>
      <c r="AF23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36" spans="1:32" x14ac:dyDescent="0.3">
      <c r="B236" s="1">
        <v>7047186030</v>
      </c>
      <c r="C236" s="1"/>
      <c r="G236" t="s">
        <v>407</v>
      </c>
      <c r="H236" t="s">
        <v>408</v>
      </c>
      <c r="I236">
        <v>1</v>
      </c>
      <c r="J236">
        <v>42</v>
      </c>
      <c r="K236">
        <v>20</v>
      </c>
      <c r="L236">
        <v>59</v>
      </c>
      <c r="M236" t="s">
        <v>48</v>
      </c>
      <c r="N236" t="s">
        <v>20</v>
      </c>
      <c r="O236" t="b">
        <v>1</v>
      </c>
      <c r="Y23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36" t="str">
        <f>IF(LEN(Table1[[#This Row],[MA_Number]])&gt;0, Table1[[#This Row],[MA_Number]], "")</f>
        <v/>
      </c>
      <c r="AA236" t="str">
        <f>IF(OR(Table1[[#This Row],[type_code]]="GH", Table1[[#This Row],[type_code]]="CH", Table1[[#This Row],[type_code]]="CLIP H" ), "Finished Product", "")</f>
        <v/>
      </c>
      <c r="AB236" t="str">
        <f>IF(OR(Table1[[#This Row],[type_code]]="GH", Table1[[#This Row],[type_code]]="CH", Table1[[#This Row],[type_code]]="CLIP H" ), "Holder", "")</f>
        <v/>
      </c>
      <c r="AC236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36" t="str">
        <f>IF(OR(Table1[[#This Row],[type_code]]="GH", Table1[[#This Row],[type_code]]="CH", Table1[[#This Row],[type_code]]="CLIP H" ), "Mechanic Holder Production", "")</f>
        <v/>
      </c>
      <c r="AE236" t="str">
        <f>IF(OR(Table1[[#This Row],[type_code]]="GH", Table1[[#This Row],[type_code]]="CH", Table1[[#This Row],[type_code]]="CLIP H" ), "Automatic After Production", "")</f>
        <v/>
      </c>
      <c r="AF23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42mm x 20mm x 59mm</v>
      </c>
    </row>
    <row r="237" spans="1:32" x14ac:dyDescent="0.3">
      <c r="B237" s="1">
        <v>7047186030</v>
      </c>
      <c r="C237" s="1"/>
      <c r="G237" t="s">
        <v>407</v>
      </c>
      <c r="H237" t="s">
        <v>409</v>
      </c>
      <c r="I237">
        <v>1</v>
      </c>
      <c r="J237">
        <v>64</v>
      </c>
      <c r="K237">
        <v>32</v>
      </c>
      <c r="L237">
        <v>20</v>
      </c>
      <c r="M237" t="s">
        <v>50</v>
      </c>
      <c r="N237" t="s">
        <v>20</v>
      </c>
      <c r="O237" t="b">
        <v>1</v>
      </c>
      <c r="Y23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37" t="str">
        <f>IF(LEN(Table1[[#This Row],[MA_Number]])&gt;0, Table1[[#This Row],[MA_Number]], "")</f>
        <v/>
      </c>
      <c r="AA237" t="str">
        <f>IF(OR(Table1[[#This Row],[type_code]]="GH", Table1[[#This Row],[type_code]]="CH", Table1[[#This Row],[type_code]]="CLIP H" ), "Finished Product", "")</f>
        <v/>
      </c>
      <c r="AB237" t="str">
        <f>IF(OR(Table1[[#This Row],[type_code]]="GH", Table1[[#This Row],[type_code]]="CH", Table1[[#This Row],[type_code]]="CLIP H" ), "Holder", "")</f>
        <v/>
      </c>
      <c r="AC237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37" t="str">
        <f>IF(OR(Table1[[#This Row],[type_code]]="GH", Table1[[#This Row],[type_code]]="CH", Table1[[#This Row],[type_code]]="CLIP H" ), "Mechanic Holder Production", "")</f>
        <v/>
      </c>
      <c r="AE237" t="str">
        <f>IF(OR(Table1[[#This Row],[type_code]]="GH", Table1[[#This Row],[type_code]]="CH", Table1[[#This Row],[type_code]]="CLIP H" ), "Automatic After Production", "")</f>
        <v/>
      </c>
      <c r="AF23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64mm x 32mm x 20mm</v>
      </c>
    </row>
    <row r="238" spans="1:32" x14ac:dyDescent="0.3">
      <c r="A238" t="s">
        <v>440</v>
      </c>
      <c r="B238" s="1">
        <v>7119172930</v>
      </c>
      <c r="C238" s="1"/>
      <c r="D238" t="s">
        <v>258</v>
      </c>
      <c r="F238" t="b">
        <v>0</v>
      </c>
      <c r="I238">
        <v>1</v>
      </c>
      <c r="J238">
        <v>40</v>
      </c>
      <c r="K238">
        <v>32</v>
      </c>
      <c r="L238">
        <v>47</v>
      </c>
      <c r="M238" t="s">
        <v>45</v>
      </c>
      <c r="N238" t="s">
        <v>20</v>
      </c>
      <c r="O238" t="b">
        <v>1</v>
      </c>
      <c r="Y23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7119172930 Connector Holder JB</v>
      </c>
      <c r="Z238" t="str">
        <f>IF(LEN(Table1[[#This Row],[MA_Number]])&gt;0, Table1[[#This Row],[MA_Number]], "")</f>
        <v>10.21.83679A</v>
      </c>
      <c r="AA238" t="str">
        <f>IF(OR(Table1[[#This Row],[type_code]]="GH", Table1[[#This Row],[type_code]]="CH", Table1[[#This Row],[type_code]]="CLIP H" ), "Finished Product", "")</f>
        <v>Finished Product</v>
      </c>
      <c r="AB238" t="str">
        <f>IF(OR(Table1[[#This Row],[type_code]]="GH", Table1[[#This Row],[type_code]]="CH", Table1[[#This Row],[type_code]]="CLIP H" ), "Holder", "")</f>
        <v>Holder</v>
      </c>
      <c r="AC23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38" t="str">
        <f>IF(OR(Table1[[#This Row],[type_code]]="GH", Table1[[#This Row],[type_code]]="CH", Table1[[#This Row],[type_code]]="CLIP H" ), "Mechanic Holder Production", "")</f>
        <v>Mechanic Holder Production</v>
      </c>
      <c r="AE238" t="str">
        <f>IF(OR(Table1[[#This Row],[type_code]]="GH", Table1[[#This Row],[type_code]]="CH", Table1[[#This Row],[type_code]]="CLIP H" ), "Automatic After Production", "")</f>
        <v>Automatic After Production</v>
      </c>
      <c r="AF23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40mm x 32mm x 47mm</v>
      </c>
    </row>
    <row r="239" spans="1:32" x14ac:dyDescent="0.3">
      <c r="A239" t="s">
        <v>462</v>
      </c>
      <c r="B239" s="1">
        <v>71782472</v>
      </c>
      <c r="C239" s="1"/>
      <c r="D239" t="s">
        <v>258</v>
      </c>
      <c r="F239" t="b">
        <v>0</v>
      </c>
      <c r="I239">
        <v>1</v>
      </c>
      <c r="J239">
        <v>45</v>
      </c>
      <c r="K239">
        <v>36</v>
      </c>
      <c r="L239">
        <v>48</v>
      </c>
      <c r="M239" t="s">
        <v>44</v>
      </c>
      <c r="N239" t="s">
        <v>20</v>
      </c>
      <c r="O239" t="b">
        <v>1</v>
      </c>
      <c r="Y23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71782472 Connector Holder JB</v>
      </c>
      <c r="Z239" t="str">
        <f>IF(LEN(Table1[[#This Row],[MA_Number]])&gt;0, Table1[[#This Row],[MA_Number]], "")</f>
        <v>10.21.96574A</v>
      </c>
      <c r="AA239" t="str">
        <f>IF(OR(Table1[[#This Row],[type_code]]="GH", Table1[[#This Row],[type_code]]="CH", Table1[[#This Row],[type_code]]="CLIP H" ), "Finished Product", "")</f>
        <v>Finished Product</v>
      </c>
      <c r="AB239" t="str">
        <f>IF(OR(Table1[[#This Row],[type_code]]="GH", Table1[[#This Row],[type_code]]="CH", Table1[[#This Row],[type_code]]="CLIP H" ), "Holder", "")</f>
        <v>Holder</v>
      </c>
      <c r="AC23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39" t="str">
        <f>IF(OR(Table1[[#This Row],[type_code]]="GH", Table1[[#This Row],[type_code]]="CH", Table1[[#This Row],[type_code]]="CLIP H" ), "Mechanic Holder Production", "")</f>
        <v>Mechanic Holder Production</v>
      </c>
      <c r="AE239" t="str">
        <f>IF(OR(Table1[[#This Row],[type_code]]="GH", Table1[[#This Row],[type_code]]="CH", Table1[[#This Row],[type_code]]="CLIP H" ), "Automatic After Production", "")</f>
        <v>Automatic After Production</v>
      </c>
      <c r="AF23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45mm x 36mm x 48mm</v>
      </c>
    </row>
    <row r="240" spans="1:32" x14ac:dyDescent="0.3">
      <c r="A240" t="s">
        <v>443</v>
      </c>
      <c r="B240" s="1">
        <v>71897277</v>
      </c>
      <c r="C240" s="1"/>
      <c r="D240" t="s">
        <v>258</v>
      </c>
      <c r="F240" t="b">
        <v>0</v>
      </c>
      <c r="I240">
        <v>1</v>
      </c>
      <c r="J240">
        <v>42</v>
      </c>
      <c r="K240">
        <v>35</v>
      </c>
      <c r="L240">
        <v>49</v>
      </c>
      <c r="M240" t="s">
        <v>44</v>
      </c>
      <c r="N240" t="s">
        <v>20</v>
      </c>
      <c r="O240" t="b">
        <v>1</v>
      </c>
      <c r="Y24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71897277 Connector Holder JB</v>
      </c>
      <c r="Z240" t="str">
        <f>IF(LEN(Table1[[#This Row],[MA_Number]])&gt;0, Table1[[#This Row],[MA_Number]], "")</f>
        <v>10.21.54489A</v>
      </c>
      <c r="AA240" t="str">
        <f>IF(OR(Table1[[#This Row],[type_code]]="GH", Table1[[#This Row],[type_code]]="CH", Table1[[#This Row],[type_code]]="CLIP H" ), "Finished Product", "")</f>
        <v>Finished Product</v>
      </c>
      <c r="AB240" t="str">
        <f>IF(OR(Table1[[#This Row],[type_code]]="GH", Table1[[#This Row],[type_code]]="CH", Table1[[#This Row],[type_code]]="CLIP H" ), "Holder", "")</f>
        <v>Holder</v>
      </c>
      <c r="AC24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40" t="str">
        <f>IF(OR(Table1[[#This Row],[type_code]]="GH", Table1[[#This Row],[type_code]]="CH", Table1[[#This Row],[type_code]]="CLIP H" ), "Mechanic Holder Production", "")</f>
        <v>Mechanic Holder Production</v>
      </c>
      <c r="AE240" t="str">
        <f>IF(OR(Table1[[#This Row],[type_code]]="GH", Table1[[#This Row],[type_code]]="CH", Table1[[#This Row],[type_code]]="CLIP H" ), "Automatic After Production", "")</f>
        <v>Automatic After Production</v>
      </c>
      <c r="AF24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42mm x 35mm x 49mm</v>
      </c>
    </row>
    <row r="241" spans="1:32" x14ac:dyDescent="0.3">
      <c r="A241" t="s">
        <v>448</v>
      </c>
      <c r="B241" s="1">
        <v>7289982670</v>
      </c>
      <c r="C241" s="1"/>
      <c r="D241" t="s">
        <v>258</v>
      </c>
      <c r="I241">
        <v>1</v>
      </c>
      <c r="J241">
        <v>44</v>
      </c>
      <c r="K241">
        <v>40</v>
      </c>
      <c r="L241">
        <v>47</v>
      </c>
      <c r="M241" t="s">
        <v>50</v>
      </c>
      <c r="N241" t="s">
        <v>20</v>
      </c>
      <c r="O241" t="b">
        <v>1</v>
      </c>
      <c r="Y24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7289982670 Connector Holder JB</v>
      </c>
      <c r="Z241" t="str">
        <f>IF(LEN(Table1[[#This Row],[MA_Number]])&gt;0, Table1[[#This Row],[MA_Number]], "")</f>
        <v>10.21.96568A</v>
      </c>
      <c r="AA241" t="str">
        <f>IF(OR(Table1[[#This Row],[type_code]]="GH", Table1[[#This Row],[type_code]]="CH", Table1[[#This Row],[type_code]]="CLIP H" ), "Finished Product", "")</f>
        <v>Finished Product</v>
      </c>
      <c r="AB241" t="str">
        <f>IF(OR(Table1[[#This Row],[type_code]]="GH", Table1[[#This Row],[type_code]]="CH", Table1[[#This Row],[type_code]]="CLIP H" ), "Holder", "")</f>
        <v>Holder</v>
      </c>
      <c r="AC24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41" t="str">
        <f>IF(OR(Table1[[#This Row],[type_code]]="GH", Table1[[#This Row],[type_code]]="CH", Table1[[#This Row],[type_code]]="CLIP H" ), "Mechanic Holder Production", "")</f>
        <v>Mechanic Holder Production</v>
      </c>
      <c r="AE241" t="str">
        <f>IF(OR(Table1[[#This Row],[type_code]]="GH", Table1[[#This Row],[type_code]]="CH", Table1[[#This Row],[type_code]]="CLIP H" ), "Automatic After Production", "")</f>
        <v>Automatic After Production</v>
      </c>
      <c r="AF24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44mm x 40mm x 47mm</v>
      </c>
    </row>
    <row r="242" spans="1:32" x14ac:dyDescent="0.3">
      <c r="A242" t="s">
        <v>447</v>
      </c>
      <c r="B242" s="1">
        <v>7035990930</v>
      </c>
      <c r="C242" s="1"/>
      <c r="D242" t="s">
        <v>499</v>
      </c>
      <c r="E242" t="s">
        <v>445</v>
      </c>
      <c r="F242" t="b">
        <v>0</v>
      </c>
      <c r="I242">
        <v>1</v>
      </c>
      <c r="J242">
        <v>95</v>
      </c>
      <c r="K242">
        <v>50</v>
      </c>
      <c r="L242">
        <v>80</v>
      </c>
      <c r="M242" t="s">
        <v>45</v>
      </c>
      <c r="N242" t="s">
        <v>20</v>
      </c>
      <c r="O242" t="b">
        <v>1</v>
      </c>
      <c r="Y24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7035990930 Grommet Holder JB</v>
      </c>
      <c r="Z242" t="str">
        <f>IF(LEN(Table1[[#This Row],[MA_Number]])&gt;0, Table1[[#This Row],[MA_Number]], "")</f>
        <v>10.21.82666A</v>
      </c>
      <c r="AA242" t="str">
        <f>IF(OR(Table1[[#This Row],[type_code]]="GH", Table1[[#This Row],[type_code]]="CH", Table1[[#This Row],[type_code]]="CLIP H" ), "Finished Product", "")</f>
        <v>Finished Product</v>
      </c>
      <c r="AB242" t="str">
        <f>IF(OR(Table1[[#This Row],[type_code]]="GH", Table1[[#This Row],[type_code]]="CH", Table1[[#This Row],[type_code]]="CLIP H" ), "Holder", "")</f>
        <v>Holder</v>
      </c>
      <c r="AC242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42" t="str">
        <f>IF(OR(Table1[[#This Row],[type_code]]="GH", Table1[[#This Row],[type_code]]="CH", Table1[[#This Row],[type_code]]="CLIP H" ), "Mechanic Holder Production", "")</f>
        <v>Mechanic Holder Production</v>
      </c>
      <c r="AE242" t="str">
        <f>IF(OR(Table1[[#This Row],[type_code]]="GH", Table1[[#This Row],[type_code]]="CH", Table1[[#This Row],[type_code]]="CLIP H" ), "Automatic After Production", "")</f>
        <v>Automatic After Production</v>
      </c>
      <c r="AF24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95mm x 50mm x 80mm</v>
      </c>
    </row>
    <row r="243" spans="1:32" x14ac:dyDescent="0.3">
      <c r="A243" t="s">
        <v>446</v>
      </c>
      <c r="B243" s="1">
        <v>7035990930</v>
      </c>
      <c r="C243" s="1"/>
      <c r="D243" t="s">
        <v>499</v>
      </c>
      <c r="E243" t="s">
        <v>444</v>
      </c>
      <c r="F243" t="b">
        <v>0</v>
      </c>
      <c r="I243">
        <v>1</v>
      </c>
      <c r="J243">
        <v>95</v>
      </c>
      <c r="K243">
        <v>50</v>
      </c>
      <c r="L243">
        <v>80</v>
      </c>
      <c r="M243" t="s">
        <v>45</v>
      </c>
      <c r="N243" t="s">
        <v>20</v>
      </c>
      <c r="O243" t="b">
        <v>1</v>
      </c>
      <c r="Y24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7035990930 Grommet Holder JB</v>
      </c>
      <c r="Z243" t="str">
        <f>IF(LEN(Table1[[#This Row],[MA_Number]])&gt;0, Table1[[#This Row],[MA_Number]], "")</f>
        <v>10.21.96570A</v>
      </c>
      <c r="AA243" t="str">
        <f>IF(OR(Table1[[#This Row],[type_code]]="GH", Table1[[#This Row],[type_code]]="CH", Table1[[#This Row],[type_code]]="CLIP H" ), "Finished Product", "")</f>
        <v>Finished Product</v>
      </c>
      <c r="AB243" t="str">
        <f>IF(OR(Table1[[#This Row],[type_code]]="GH", Table1[[#This Row],[type_code]]="CH", Table1[[#This Row],[type_code]]="CLIP H" ), "Holder", "")</f>
        <v>Holder</v>
      </c>
      <c r="AC243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43" t="str">
        <f>IF(OR(Table1[[#This Row],[type_code]]="GH", Table1[[#This Row],[type_code]]="CH", Table1[[#This Row],[type_code]]="CLIP H" ), "Mechanic Holder Production", "")</f>
        <v>Mechanic Holder Production</v>
      </c>
      <c r="AE243" t="str">
        <f>IF(OR(Table1[[#This Row],[type_code]]="GH", Table1[[#This Row],[type_code]]="CH", Table1[[#This Row],[type_code]]="CLIP H" ), "Automatic After Production", "")</f>
        <v>Automatic After Production</v>
      </c>
      <c r="AF24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95mm x 50mm x 80mm</v>
      </c>
    </row>
    <row r="244" spans="1:32" x14ac:dyDescent="0.3">
      <c r="A244" t="s">
        <v>442</v>
      </c>
      <c r="B244" s="1">
        <v>7075181330</v>
      </c>
      <c r="C244" s="1"/>
      <c r="D244" t="s">
        <v>499</v>
      </c>
      <c r="F244" t="b">
        <v>0</v>
      </c>
      <c r="I244">
        <v>1</v>
      </c>
      <c r="M244" t="s">
        <v>45</v>
      </c>
      <c r="N244" t="s">
        <v>20</v>
      </c>
      <c r="O244" t="b">
        <v>1</v>
      </c>
      <c r="Q244" t="b">
        <v>1</v>
      </c>
      <c r="R244">
        <v>100</v>
      </c>
      <c r="S244">
        <v>20</v>
      </c>
      <c r="T244">
        <v>50</v>
      </c>
      <c r="U244">
        <v>2</v>
      </c>
      <c r="Y24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7075181330 Grommet Holder JB</v>
      </c>
      <c r="Z244" t="str">
        <f>IF(LEN(Table1[[#This Row],[MA_Number]])&gt;0, Table1[[#This Row],[MA_Number]], "")</f>
        <v>10.21.27972B</v>
      </c>
      <c r="AA244" t="str">
        <f>IF(OR(Table1[[#This Row],[type_code]]="GH", Table1[[#This Row],[type_code]]="CH", Table1[[#This Row],[type_code]]="CLIP H" ), "Finished Product", "")</f>
        <v>Finished Product</v>
      </c>
      <c r="AB244" t="str">
        <f>IF(OR(Table1[[#This Row],[type_code]]="GH", Table1[[#This Row],[type_code]]="CH", Table1[[#This Row],[type_code]]="CLIP H" ), "Holder", "")</f>
        <v>Holder</v>
      </c>
      <c r="AC244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44" t="str">
        <f>IF(OR(Table1[[#This Row],[type_code]]="GH", Table1[[#This Row],[type_code]]="CH", Table1[[#This Row],[type_code]]="CLIP H" ), "Mechanic Holder Production", "")</f>
        <v>Mechanic Holder Production</v>
      </c>
      <c r="AE244" t="str">
        <f>IF(OR(Table1[[#This Row],[type_code]]="GH", Table1[[#This Row],[type_code]]="CH", Table1[[#This Row],[type_code]]="CLIP H" ), "Automatic After Production", "")</f>
        <v>Automatic After Production</v>
      </c>
      <c r="AF24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mm x mm x mm</v>
      </c>
    </row>
    <row r="245" spans="1:32" x14ac:dyDescent="0.3">
      <c r="A245" t="s">
        <v>470</v>
      </c>
      <c r="B245" s="1">
        <v>7198599230</v>
      </c>
      <c r="C245" s="1"/>
      <c r="D245" t="s">
        <v>258</v>
      </c>
      <c r="E245" t="s">
        <v>471</v>
      </c>
      <c r="I245">
        <v>1</v>
      </c>
      <c r="J245">
        <v>40</v>
      </c>
      <c r="K245">
        <v>38</v>
      </c>
      <c r="L245">
        <v>43</v>
      </c>
      <c r="M245" t="s">
        <v>45</v>
      </c>
      <c r="N245" t="s">
        <v>20</v>
      </c>
      <c r="O245" t="b">
        <v>1</v>
      </c>
      <c r="Y24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7198599230 Connector Holder JB</v>
      </c>
      <c r="Z245" t="str">
        <f>IF(LEN(Table1[[#This Row],[MA_Number]])&gt;0, Table1[[#This Row],[MA_Number]], "")</f>
        <v>10.21.77065A</v>
      </c>
      <c r="AA245" t="str">
        <f>IF(OR(Table1[[#This Row],[type_code]]="GH", Table1[[#This Row],[type_code]]="CH", Table1[[#This Row],[type_code]]="CLIP H" ), "Finished Product", "")</f>
        <v>Finished Product</v>
      </c>
      <c r="AB245" t="str">
        <f>IF(OR(Table1[[#This Row],[type_code]]="GH", Table1[[#This Row],[type_code]]="CH", Table1[[#This Row],[type_code]]="CLIP H" ), "Holder", "")</f>
        <v>Holder</v>
      </c>
      <c r="AC24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45" t="str">
        <f>IF(OR(Table1[[#This Row],[type_code]]="GH", Table1[[#This Row],[type_code]]="CH", Table1[[#This Row],[type_code]]="CLIP H" ), "Mechanic Holder Production", "")</f>
        <v>Mechanic Holder Production</v>
      </c>
      <c r="AE245" t="str">
        <f>IF(OR(Table1[[#This Row],[type_code]]="GH", Table1[[#This Row],[type_code]]="CH", Table1[[#This Row],[type_code]]="CLIP H" ), "Automatic After Production", "")</f>
        <v>Automatic After Production</v>
      </c>
      <c r="AF24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40mm x 38mm x 43mm</v>
      </c>
    </row>
    <row r="246" spans="1:32" x14ac:dyDescent="0.3">
      <c r="A246" t="s">
        <v>461</v>
      </c>
      <c r="B246" s="1">
        <v>7287547130</v>
      </c>
      <c r="C246" s="1"/>
      <c r="D246" t="s">
        <v>258</v>
      </c>
      <c r="F246" t="b">
        <v>0</v>
      </c>
      <c r="I246">
        <v>1</v>
      </c>
      <c r="J246">
        <v>49</v>
      </c>
      <c r="K246">
        <v>49</v>
      </c>
      <c r="L246">
        <v>64</v>
      </c>
      <c r="M246" t="s">
        <v>45</v>
      </c>
      <c r="N246" t="s">
        <v>20</v>
      </c>
      <c r="O246" t="b">
        <v>1</v>
      </c>
      <c r="Y24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7287547130 Connector Holder JB</v>
      </c>
      <c r="Z246" t="str">
        <f>IF(LEN(Table1[[#This Row],[MA_Number]])&gt;0, Table1[[#This Row],[MA_Number]], "")</f>
        <v>10.21.96573A</v>
      </c>
      <c r="AA246" t="str">
        <f>IF(OR(Table1[[#This Row],[type_code]]="GH", Table1[[#This Row],[type_code]]="CH", Table1[[#This Row],[type_code]]="CLIP H" ), "Finished Product", "")</f>
        <v>Finished Product</v>
      </c>
      <c r="AB246" t="str">
        <f>IF(OR(Table1[[#This Row],[type_code]]="GH", Table1[[#This Row],[type_code]]="CH", Table1[[#This Row],[type_code]]="CLIP H" ), "Holder", "")</f>
        <v>Holder</v>
      </c>
      <c r="AC246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46" t="str">
        <f>IF(OR(Table1[[#This Row],[type_code]]="GH", Table1[[#This Row],[type_code]]="CH", Table1[[#This Row],[type_code]]="CLIP H" ), "Mechanic Holder Production", "")</f>
        <v>Mechanic Holder Production</v>
      </c>
      <c r="AE246" t="str">
        <f>IF(OR(Table1[[#This Row],[type_code]]="GH", Table1[[#This Row],[type_code]]="CH", Table1[[#This Row],[type_code]]="CLIP H" ), "Automatic After Production", "")</f>
        <v>Automatic After Production</v>
      </c>
      <c r="AF24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49mm x 49mm x 64mm</v>
      </c>
    </row>
    <row r="247" spans="1:32" x14ac:dyDescent="0.3">
      <c r="A247" t="s">
        <v>455</v>
      </c>
      <c r="B247" s="1">
        <v>7252809330</v>
      </c>
      <c r="C247" s="1"/>
      <c r="D247" t="s">
        <v>261</v>
      </c>
      <c r="E247" t="s">
        <v>402</v>
      </c>
      <c r="F247" t="b">
        <v>1</v>
      </c>
      <c r="I247">
        <v>1</v>
      </c>
      <c r="O247" t="b">
        <v>1</v>
      </c>
      <c r="Y24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7252809330 Clip Holder JB</v>
      </c>
      <c r="Z247" t="str">
        <f>IF(LEN(Table1[[#This Row],[MA_Number]])&gt;0, Table1[[#This Row],[MA_Number]], "")</f>
        <v>10.21.96575A</v>
      </c>
      <c r="AA247" t="str">
        <f>IF(OR(Table1[[#This Row],[type_code]]="GH", Table1[[#This Row],[type_code]]="CH", Table1[[#This Row],[type_code]]="CLIP H" ), "Finished Product", "")</f>
        <v>Finished Product</v>
      </c>
      <c r="AB247" t="str">
        <f>IF(OR(Table1[[#This Row],[type_code]]="GH", Table1[[#This Row],[type_code]]="CH", Table1[[#This Row],[type_code]]="CLIP H" ), "Holder", "")</f>
        <v>Holder</v>
      </c>
      <c r="AC247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47" t="str">
        <f>IF(OR(Table1[[#This Row],[type_code]]="GH", Table1[[#This Row],[type_code]]="CH", Table1[[#This Row],[type_code]]="CLIP H" ), "Mechanic Holder Production", "")</f>
        <v>Mechanic Holder Production</v>
      </c>
      <c r="AE247" t="str">
        <f>IF(OR(Table1[[#This Row],[type_code]]="GH", Table1[[#This Row],[type_code]]="CH", Table1[[#This Row],[type_code]]="CLIP H" ), "Automatic After Production", "")</f>
        <v>Automatic After Production</v>
      </c>
      <c r="AF24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48" spans="1:32" x14ac:dyDescent="0.3">
      <c r="B248" s="1">
        <v>7252809330</v>
      </c>
      <c r="C248" s="1"/>
      <c r="G248" t="s">
        <v>455</v>
      </c>
      <c r="H248" t="s">
        <v>456</v>
      </c>
      <c r="I248">
        <v>1</v>
      </c>
      <c r="J248">
        <v>40</v>
      </c>
      <c r="K248">
        <v>44</v>
      </c>
      <c r="L248">
        <v>60</v>
      </c>
      <c r="M248" t="s">
        <v>48</v>
      </c>
      <c r="N248" t="s">
        <v>20</v>
      </c>
      <c r="O248" t="b">
        <v>1</v>
      </c>
      <c r="Y24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48" t="str">
        <f>IF(LEN(Table1[[#This Row],[MA_Number]])&gt;0, Table1[[#This Row],[MA_Number]], "")</f>
        <v/>
      </c>
      <c r="AA248" t="str">
        <f>IF(OR(Table1[[#This Row],[type_code]]="GH", Table1[[#This Row],[type_code]]="CH", Table1[[#This Row],[type_code]]="CLIP H" ), "Finished Product", "")</f>
        <v/>
      </c>
      <c r="AB248" t="str">
        <f>IF(OR(Table1[[#This Row],[type_code]]="GH", Table1[[#This Row],[type_code]]="CH", Table1[[#This Row],[type_code]]="CLIP H" ), "Holder", "")</f>
        <v/>
      </c>
      <c r="AC248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48" t="str">
        <f>IF(OR(Table1[[#This Row],[type_code]]="GH", Table1[[#This Row],[type_code]]="CH", Table1[[#This Row],[type_code]]="CLIP H" ), "Mechanic Holder Production", "")</f>
        <v/>
      </c>
      <c r="AE248" t="str">
        <f>IF(OR(Table1[[#This Row],[type_code]]="GH", Table1[[#This Row],[type_code]]="CH", Table1[[#This Row],[type_code]]="CLIP H" ), "Automatic After Production", "")</f>
        <v/>
      </c>
      <c r="AF24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40mm x 44mm x 60mm</v>
      </c>
    </row>
    <row r="249" spans="1:32" x14ac:dyDescent="0.3">
      <c r="B249" s="1">
        <v>7252809330</v>
      </c>
      <c r="C249" s="1"/>
      <c r="G249" t="s">
        <v>455</v>
      </c>
      <c r="H249" t="s">
        <v>457</v>
      </c>
      <c r="I249">
        <v>1</v>
      </c>
      <c r="J249">
        <v>50</v>
      </c>
      <c r="K249">
        <v>24</v>
      </c>
      <c r="L249">
        <v>28</v>
      </c>
      <c r="M249" t="s">
        <v>50</v>
      </c>
      <c r="N249" t="s">
        <v>20</v>
      </c>
      <c r="O249" t="b">
        <v>1</v>
      </c>
      <c r="Y24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49" t="str">
        <f>IF(LEN(Table1[[#This Row],[MA_Number]])&gt;0, Table1[[#This Row],[MA_Number]], "")</f>
        <v/>
      </c>
      <c r="AA249" t="str">
        <f>IF(OR(Table1[[#This Row],[type_code]]="GH", Table1[[#This Row],[type_code]]="CH", Table1[[#This Row],[type_code]]="CLIP H" ), "Finished Product", "")</f>
        <v/>
      </c>
      <c r="AB249" t="str">
        <f>IF(OR(Table1[[#This Row],[type_code]]="GH", Table1[[#This Row],[type_code]]="CH", Table1[[#This Row],[type_code]]="CLIP H" ), "Holder", "")</f>
        <v/>
      </c>
      <c r="AC249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49" t="str">
        <f>IF(OR(Table1[[#This Row],[type_code]]="GH", Table1[[#This Row],[type_code]]="CH", Table1[[#This Row],[type_code]]="CLIP H" ), "Mechanic Holder Production", "")</f>
        <v/>
      </c>
      <c r="AE249" t="str">
        <f>IF(OR(Table1[[#This Row],[type_code]]="GH", Table1[[#This Row],[type_code]]="CH", Table1[[#This Row],[type_code]]="CLIP H" ), "Automatic After Production", "")</f>
        <v/>
      </c>
      <c r="AF24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50mm x 24mm x 28mm</v>
      </c>
    </row>
    <row r="250" spans="1:32" x14ac:dyDescent="0.3">
      <c r="A250" t="s">
        <v>458</v>
      </c>
      <c r="B250" s="1">
        <v>7047052330</v>
      </c>
      <c r="C250" s="1"/>
      <c r="D250" t="s">
        <v>261</v>
      </c>
      <c r="E250" t="s">
        <v>402</v>
      </c>
      <c r="F250" t="b">
        <v>1</v>
      </c>
      <c r="I250">
        <v>1</v>
      </c>
      <c r="Y25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7047052330 Clip Holder JB</v>
      </c>
      <c r="Z250" t="str">
        <f>IF(LEN(Table1[[#This Row],[MA_Number]])&gt;0, Table1[[#This Row],[MA_Number]], "")</f>
        <v>10.21.96576A</v>
      </c>
      <c r="AA250" t="str">
        <f>IF(OR(Table1[[#This Row],[type_code]]="GH", Table1[[#This Row],[type_code]]="CH", Table1[[#This Row],[type_code]]="CLIP H" ), "Finished Product", "")</f>
        <v>Finished Product</v>
      </c>
      <c r="AB250" t="str">
        <f>IF(OR(Table1[[#This Row],[type_code]]="GH", Table1[[#This Row],[type_code]]="CH", Table1[[#This Row],[type_code]]="CLIP H" ), "Holder", "")</f>
        <v>Holder</v>
      </c>
      <c r="AC250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50" t="str">
        <f>IF(OR(Table1[[#This Row],[type_code]]="GH", Table1[[#This Row],[type_code]]="CH", Table1[[#This Row],[type_code]]="CLIP H" ), "Mechanic Holder Production", "")</f>
        <v>Mechanic Holder Production</v>
      </c>
      <c r="AE250" t="str">
        <f>IF(OR(Table1[[#This Row],[type_code]]="GH", Table1[[#This Row],[type_code]]="CH", Table1[[#This Row],[type_code]]="CLIP H" ), "Automatic After Production", "")</f>
        <v>Automatic After Production</v>
      </c>
      <c r="AF25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51" spans="1:32" x14ac:dyDescent="0.3">
      <c r="B251" s="1">
        <v>7047052330</v>
      </c>
      <c r="C251" s="1"/>
      <c r="G251" t="s">
        <v>458</v>
      </c>
      <c r="H251" t="s">
        <v>459</v>
      </c>
      <c r="I251">
        <v>1</v>
      </c>
      <c r="J251">
        <v>38</v>
      </c>
      <c r="K251">
        <v>30</v>
      </c>
      <c r="L251">
        <v>60</v>
      </c>
      <c r="M251" t="s">
        <v>48</v>
      </c>
      <c r="N251" t="s">
        <v>20</v>
      </c>
      <c r="O251" t="b">
        <v>1</v>
      </c>
      <c r="Y25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51" t="str">
        <f>IF(LEN(Table1[[#This Row],[MA_Number]])&gt;0, Table1[[#This Row],[MA_Number]], "")</f>
        <v/>
      </c>
      <c r="AA251" t="str">
        <f>IF(OR(Table1[[#This Row],[type_code]]="GH", Table1[[#This Row],[type_code]]="CH", Table1[[#This Row],[type_code]]="CLIP H" ), "Finished Product", "")</f>
        <v/>
      </c>
      <c r="AB251" t="str">
        <f>IF(OR(Table1[[#This Row],[type_code]]="GH", Table1[[#This Row],[type_code]]="CH", Table1[[#This Row],[type_code]]="CLIP H" ), "Holder", "")</f>
        <v/>
      </c>
      <c r="AC251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51" t="str">
        <f>IF(OR(Table1[[#This Row],[type_code]]="GH", Table1[[#This Row],[type_code]]="CH", Table1[[#This Row],[type_code]]="CLIP H" ), "Mechanic Holder Production", "")</f>
        <v/>
      </c>
      <c r="AE251" t="str">
        <f>IF(OR(Table1[[#This Row],[type_code]]="GH", Table1[[#This Row],[type_code]]="CH", Table1[[#This Row],[type_code]]="CLIP H" ), "Automatic After Production", "")</f>
        <v/>
      </c>
      <c r="AF25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38mm x 30mm x 60mm</v>
      </c>
    </row>
    <row r="252" spans="1:32" x14ac:dyDescent="0.3">
      <c r="B252" s="1">
        <v>7047052330</v>
      </c>
      <c r="C252" s="1"/>
      <c r="G252" t="s">
        <v>458</v>
      </c>
      <c r="H252" t="s">
        <v>460</v>
      </c>
      <c r="I252">
        <v>1</v>
      </c>
      <c r="J252">
        <v>40</v>
      </c>
      <c r="K252">
        <v>50</v>
      </c>
      <c r="L252">
        <v>28</v>
      </c>
      <c r="M252" t="s">
        <v>50</v>
      </c>
      <c r="N252" t="s">
        <v>20</v>
      </c>
      <c r="O252" t="b">
        <v>1</v>
      </c>
      <c r="Y25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52" t="str">
        <f>IF(LEN(Table1[[#This Row],[MA_Number]])&gt;0, Table1[[#This Row],[MA_Number]], "")</f>
        <v/>
      </c>
      <c r="AA252" t="str">
        <f>IF(OR(Table1[[#This Row],[type_code]]="GH", Table1[[#This Row],[type_code]]="CH", Table1[[#This Row],[type_code]]="CLIP H" ), "Finished Product", "")</f>
        <v/>
      </c>
      <c r="AB252" t="str">
        <f>IF(OR(Table1[[#This Row],[type_code]]="GH", Table1[[#This Row],[type_code]]="CH", Table1[[#This Row],[type_code]]="CLIP H" ), "Holder", "")</f>
        <v/>
      </c>
      <c r="AC252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52" t="str">
        <f>IF(OR(Table1[[#This Row],[type_code]]="GH", Table1[[#This Row],[type_code]]="CH", Table1[[#This Row],[type_code]]="CLIP H" ), "Mechanic Holder Production", "")</f>
        <v/>
      </c>
      <c r="AE252" t="str">
        <f>IF(OR(Table1[[#This Row],[type_code]]="GH", Table1[[#This Row],[type_code]]="CH", Table1[[#This Row],[type_code]]="CLIP H" ), "Automatic After Production", "")</f>
        <v/>
      </c>
      <c r="AF25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40mm x 50mm x 28mm</v>
      </c>
    </row>
    <row r="253" spans="1:32" x14ac:dyDescent="0.3">
      <c r="A253" t="s">
        <v>451</v>
      </c>
      <c r="B253" s="1">
        <v>7052161430</v>
      </c>
      <c r="C253" s="1"/>
      <c r="D253" t="s">
        <v>261</v>
      </c>
      <c r="E253" t="s">
        <v>452</v>
      </c>
      <c r="F253" t="b">
        <v>1</v>
      </c>
      <c r="I253">
        <v>1</v>
      </c>
      <c r="Y25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7052161430 Clip Holder JB</v>
      </c>
      <c r="Z253" t="str">
        <f>IF(LEN(Table1[[#This Row],[MA_Number]])&gt;0, Table1[[#This Row],[MA_Number]], "")</f>
        <v>10.21.96572A</v>
      </c>
      <c r="AA253" t="str">
        <f>IF(OR(Table1[[#This Row],[type_code]]="GH", Table1[[#This Row],[type_code]]="CH", Table1[[#This Row],[type_code]]="CLIP H" ), "Finished Product", "")</f>
        <v>Finished Product</v>
      </c>
      <c r="AB253" t="str">
        <f>IF(OR(Table1[[#This Row],[type_code]]="GH", Table1[[#This Row],[type_code]]="CH", Table1[[#This Row],[type_code]]="CLIP H" ), "Holder", "")</f>
        <v>Holder</v>
      </c>
      <c r="AC253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53" t="str">
        <f>IF(OR(Table1[[#This Row],[type_code]]="GH", Table1[[#This Row],[type_code]]="CH", Table1[[#This Row],[type_code]]="CLIP H" ), "Mechanic Holder Production", "")</f>
        <v>Mechanic Holder Production</v>
      </c>
      <c r="AE253" t="str">
        <f>IF(OR(Table1[[#This Row],[type_code]]="GH", Table1[[#This Row],[type_code]]="CH", Table1[[#This Row],[type_code]]="CLIP H" ), "Automatic After Production", "")</f>
        <v>Automatic After Production</v>
      </c>
      <c r="AF25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54" spans="1:32" x14ac:dyDescent="0.3">
      <c r="B254" s="1">
        <v>7052161430</v>
      </c>
      <c r="C254" s="1"/>
      <c r="G254" t="s">
        <v>451</v>
      </c>
      <c r="H254" t="s">
        <v>453</v>
      </c>
      <c r="I254">
        <v>1</v>
      </c>
      <c r="J254">
        <v>30</v>
      </c>
      <c r="K254">
        <v>30</v>
      </c>
      <c r="L254">
        <v>60</v>
      </c>
      <c r="M254" t="s">
        <v>48</v>
      </c>
      <c r="N254" t="s">
        <v>20</v>
      </c>
      <c r="O254" t="b">
        <v>1</v>
      </c>
      <c r="Y25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54" t="str">
        <f>IF(LEN(Table1[[#This Row],[MA_Number]])&gt;0, Table1[[#This Row],[MA_Number]], "")</f>
        <v/>
      </c>
      <c r="AA254" t="str">
        <f>IF(OR(Table1[[#This Row],[type_code]]="GH", Table1[[#This Row],[type_code]]="CH", Table1[[#This Row],[type_code]]="CLIP H" ), "Finished Product", "")</f>
        <v/>
      </c>
      <c r="AB254" t="str">
        <f>IF(OR(Table1[[#This Row],[type_code]]="GH", Table1[[#This Row],[type_code]]="CH", Table1[[#This Row],[type_code]]="CLIP H" ), "Holder", "")</f>
        <v/>
      </c>
      <c r="AC254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54" t="str">
        <f>IF(OR(Table1[[#This Row],[type_code]]="GH", Table1[[#This Row],[type_code]]="CH", Table1[[#This Row],[type_code]]="CLIP H" ), "Mechanic Holder Production", "")</f>
        <v/>
      </c>
      <c r="AE254" t="str">
        <f>IF(OR(Table1[[#This Row],[type_code]]="GH", Table1[[#This Row],[type_code]]="CH", Table1[[#This Row],[type_code]]="CLIP H" ), "Automatic After Production", "")</f>
        <v/>
      </c>
      <c r="AF25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30mm x 30mm x 60mm</v>
      </c>
    </row>
    <row r="255" spans="1:32" x14ac:dyDescent="0.3">
      <c r="B255" s="1">
        <v>7052161430</v>
      </c>
      <c r="C255" s="1"/>
      <c r="G255" t="s">
        <v>451</v>
      </c>
      <c r="H255" t="s">
        <v>454</v>
      </c>
      <c r="I255">
        <v>1</v>
      </c>
      <c r="J255">
        <v>44</v>
      </c>
      <c r="K255">
        <v>21</v>
      </c>
      <c r="L255">
        <v>24</v>
      </c>
      <c r="M255" t="s">
        <v>50</v>
      </c>
      <c r="N255" t="s">
        <v>20</v>
      </c>
      <c r="O255" t="b">
        <v>1</v>
      </c>
      <c r="Y25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55" t="str">
        <f>IF(LEN(Table1[[#This Row],[MA_Number]])&gt;0, Table1[[#This Row],[MA_Number]], "")</f>
        <v/>
      </c>
      <c r="AA255" t="str">
        <f>IF(OR(Table1[[#This Row],[type_code]]="GH", Table1[[#This Row],[type_code]]="CH", Table1[[#This Row],[type_code]]="CLIP H" ), "Finished Product", "")</f>
        <v/>
      </c>
      <c r="AB255" t="str">
        <f>IF(OR(Table1[[#This Row],[type_code]]="GH", Table1[[#This Row],[type_code]]="CH", Table1[[#This Row],[type_code]]="CLIP H" ), "Holder", "")</f>
        <v/>
      </c>
      <c r="AC255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55" t="str">
        <f>IF(OR(Table1[[#This Row],[type_code]]="GH", Table1[[#This Row],[type_code]]="CH", Table1[[#This Row],[type_code]]="CLIP H" ), "Mechanic Holder Production", "")</f>
        <v/>
      </c>
      <c r="AE255" t="str">
        <f>IF(OR(Table1[[#This Row],[type_code]]="GH", Table1[[#This Row],[type_code]]="CH", Table1[[#This Row],[type_code]]="CLIP H" ), "Automatic After Production", "")</f>
        <v/>
      </c>
      <c r="AF25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44mm x 21mm x 24mm</v>
      </c>
    </row>
    <row r="256" spans="1:32" x14ac:dyDescent="0.3">
      <c r="A256" t="s">
        <v>412</v>
      </c>
      <c r="B256" s="1">
        <v>7147882430</v>
      </c>
      <c r="C256" s="1"/>
      <c r="D256" t="s">
        <v>261</v>
      </c>
      <c r="E256" t="s">
        <v>402</v>
      </c>
      <c r="F256" t="b">
        <v>1</v>
      </c>
      <c r="I256">
        <v>1</v>
      </c>
      <c r="Y25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7147882430 Clip Holder JB</v>
      </c>
      <c r="Z256" t="str">
        <f>IF(LEN(Table1[[#This Row],[MA_Number]])&gt;0, Table1[[#This Row],[MA_Number]], "")</f>
        <v>10.21.72843E</v>
      </c>
      <c r="AA256" t="str">
        <f>IF(OR(Table1[[#This Row],[type_code]]="GH", Table1[[#This Row],[type_code]]="CH", Table1[[#This Row],[type_code]]="CLIP H" ), "Finished Product", "")</f>
        <v>Finished Product</v>
      </c>
      <c r="AB256" t="str">
        <f>IF(OR(Table1[[#This Row],[type_code]]="GH", Table1[[#This Row],[type_code]]="CH", Table1[[#This Row],[type_code]]="CLIP H" ), "Holder", "")</f>
        <v>Holder</v>
      </c>
      <c r="AC256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56" t="str">
        <f>IF(OR(Table1[[#This Row],[type_code]]="GH", Table1[[#This Row],[type_code]]="CH", Table1[[#This Row],[type_code]]="CLIP H" ), "Mechanic Holder Production", "")</f>
        <v>Mechanic Holder Production</v>
      </c>
      <c r="AE256" t="str">
        <f>IF(OR(Table1[[#This Row],[type_code]]="GH", Table1[[#This Row],[type_code]]="CH", Table1[[#This Row],[type_code]]="CLIP H" ), "Automatic After Production", "")</f>
        <v>Automatic After Production</v>
      </c>
      <c r="AF25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57" spans="1:32" x14ac:dyDescent="0.3">
      <c r="B257" s="1">
        <v>7147882430</v>
      </c>
      <c r="C257" s="1"/>
      <c r="G257" t="s">
        <v>412</v>
      </c>
      <c r="H257" t="s">
        <v>413</v>
      </c>
      <c r="I257">
        <v>1</v>
      </c>
      <c r="J257">
        <v>44</v>
      </c>
      <c r="K257">
        <v>30</v>
      </c>
      <c r="L257">
        <v>60</v>
      </c>
      <c r="M257" t="s">
        <v>48</v>
      </c>
      <c r="N257" t="s">
        <v>20</v>
      </c>
      <c r="O257" t="b">
        <v>1</v>
      </c>
      <c r="Y25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57" t="str">
        <f>IF(LEN(Table1[[#This Row],[MA_Number]])&gt;0, Table1[[#This Row],[MA_Number]], "")</f>
        <v/>
      </c>
      <c r="AA257" t="str">
        <f>IF(OR(Table1[[#This Row],[type_code]]="GH", Table1[[#This Row],[type_code]]="CH", Table1[[#This Row],[type_code]]="CLIP H" ), "Finished Product", "")</f>
        <v/>
      </c>
      <c r="AB257" t="str">
        <f>IF(OR(Table1[[#This Row],[type_code]]="GH", Table1[[#This Row],[type_code]]="CH", Table1[[#This Row],[type_code]]="CLIP H" ), "Holder", "")</f>
        <v/>
      </c>
      <c r="AC257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57" t="str">
        <f>IF(OR(Table1[[#This Row],[type_code]]="GH", Table1[[#This Row],[type_code]]="CH", Table1[[#This Row],[type_code]]="CLIP H" ), "Mechanic Holder Production", "")</f>
        <v/>
      </c>
      <c r="AE257" t="str">
        <f>IF(OR(Table1[[#This Row],[type_code]]="GH", Table1[[#This Row],[type_code]]="CH", Table1[[#This Row],[type_code]]="CLIP H" ), "Automatic After Production", "")</f>
        <v/>
      </c>
      <c r="AF25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44mm x 30mm x 60mm</v>
      </c>
    </row>
    <row r="258" spans="1:32" x14ac:dyDescent="0.3">
      <c r="B258" s="1">
        <v>7147882430</v>
      </c>
      <c r="C258" s="1"/>
      <c r="G258" t="s">
        <v>412</v>
      </c>
      <c r="H258" t="s">
        <v>414</v>
      </c>
      <c r="I258">
        <v>1</v>
      </c>
      <c r="J258">
        <v>49</v>
      </c>
      <c r="K258">
        <v>33</v>
      </c>
      <c r="L258">
        <v>28</v>
      </c>
      <c r="M258" t="s">
        <v>50</v>
      </c>
      <c r="N258" t="s">
        <v>20</v>
      </c>
      <c r="O258" t="b">
        <v>1</v>
      </c>
      <c r="Y25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58" t="str">
        <f>IF(LEN(Table1[[#This Row],[MA_Number]])&gt;0, Table1[[#This Row],[MA_Number]], "")</f>
        <v/>
      </c>
      <c r="AA258" t="str">
        <f>IF(OR(Table1[[#This Row],[type_code]]="GH", Table1[[#This Row],[type_code]]="CH", Table1[[#This Row],[type_code]]="CLIP H" ), "Finished Product", "")</f>
        <v/>
      </c>
      <c r="AB258" t="str">
        <f>IF(OR(Table1[[#This Row],[type_code]]="GH", Table1[[#This Row],[type_code]]="CH", Table1[[#This Row],[type_code]]="CLIP H" ), "Holder", "")</f>
        <v/>
      </c>
      <c r="AC258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58" t="str">
        <f>IF(OR(Table1[[#This Row],[type_code]]="GH", Table1[[#This Row],[type_code]]="CH", Table1[[#This Row],[type_code]]="CLIP H" ), "Mechanic Holder Production", "")</f>
        <v/>
      </c>
      <c r="AE258" t="str">
        <f>IF(OR(Table1[[#This Row],[type_code]]="GH", Table1[[#This Row],[type_code]]="CH", Table1[[#This Row],[type_code]]="CLIP H" ), "Automatic After Production", "")</f>
        <v/>
      </c>
      <c r="AF25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49mm x 33mm x 28mm</v>
      </c>
    </row>
    <row r="259" spans="1:32" x14ac:dyDescent="0.3">
      <c r="A259" t="s">
        <v>418</v>
      </c>
      <c r="B259" s="1">
        <v>7247760930</v>
      </c>
      <c r="C259" s="1"/>
      <c r="D259" t="s">
        <v>261</v>
      </c>
      <c r="E259" t="s">
        <v>402</v>
      </c>
      <c r="F259" t="b">
        <v>1</v>
      </c>
      <c r="I259">
        <v>1</v>
      </c>
      <c r="Y25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7247760930 Clip Holder JB</v>
      </c>
      <c r="Z259" t="str">
        <f>IF(LEN(Table1[[#This Row],[MA_Number]])&gt;0, Table1[[#This Row],[MA_Number]], "")</f>
        <v>10.21.75457A</v>
      </c>
      <c r="AA259" t="str">
        <f>IF(OR(Table1[[#This Row],[type_code]]="GH", Table1[[#This Row],[type_code]]="CH", Table1[[#This Row],[type_code]]="CLIP H" ), "Finished Product", "")</f>
        <v>Finished Product</v>
      </c>
      <c r="AB259" t="str">
        <f>IF(OR(Table1[[#This Row],[type_code]]="GH", Table1[[#This Row],[type_code]]="CH", Table1[[#This Row],[type_code]]="CLIP H" ), "Holder", "")</f>
        <v>Holder</v>
      </c>
      <c r="AC259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59" t="str">
        <f>IF(OR(Table1[[#This Row],[type_code]]="GH", Table1[[#This Row],[type_code]]="CH", Table1[[#This Row],[type_code]]="CLIP H" ), "Mechanic Holder Production", "")</f>
        <v>Mechanic Holder Production</v>
      </c>
      <c r="AE259" t="str">
        <f>IF(OR(Table1[[#This Row],[type_code]]="GH", Table1[[#This Row],[type_code]]="CH", Table1[[#This Row],[type_code]]="CLIP H" ), "Automatic After Production", "")</f>
        <v>Automatic After Production</v>
      </c>
      <c r="AF25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60" spans="1:32" ht="15" customHeight="1" x14ac:dyDescent="0.3">
      <c r="B260" s="1">
        <v>7247760930</v>
      </c>
      <c r="C260" s="1"/>
      <c r="G260" t="s">
        <v>418</v>
      </c>
      <c r="H260" t="s">
        <v>419</v>
      </c>
      <c r="I260">
        <v>1</v>
      </c>
      <c r="J260">
        <v>42</v>
      </c>
      <c r="K260">
        <v>35</v>
      </c>
      <c r="L260">
        <v>60</v>
      </c>
      <c r="M260" t="s">
        <v>48</v>
      </c>
      <c r="N260" t="s">
        <v>20</v>
      </c>
      <c r="O260" t="b">
        <v>1</v>
      </c>
      <c r="Y26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60" t="str">
        <f>IF(LEN(Table1[[#This Row],[MA_Number]])&gt;0, Table1[[#This Row],[MA_Number]], "")</f>
        <v/>
      </c>
      <c r="AA260" t="str">
        <f>IF(OR(Table1[[#This Row],[type_code]]="GH", Table1[[#This Row],[type_code]]="CH", Table1[[#This Row],[type_code]]="CLIP H" ), "Finished Product", "")</f>
        <v/>
      </c>
      <c r="AB260" t="str">
        <f>IF(OR(Table1[[#This Row],[type_code]]="GH", Table1[[#This Row],[type_code]]="CH", Table1[[#This Row],[type_code]]="CLIP H" ), "Holder", "")</f>
        <v/>
      </c>
      <c r="AC260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60" t="str">
        <f>IF(OR(Table1[[#This Row],[type_code]]="GH", Table1[[#This Row],[type_code]]="CH", Table1[[#This Row],[type_code]]="CLIP H" ), "Mechanic Holder Production", "")</f>
        <v/>
      </c>
      <c r="AE260" t="str">
        <f>IF(OR(Table1[[#This Row],[type_code]]="GH", Table1[[#This Row],[type_code]]="CH", Table1[[#This Row],[type_code]]="CLIP H" ), "Automatic After Production", "")</f>
        <v/>
      </c>
      <c r="AF26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42mm x 35mm x 60mm</v>
      </c>
    </row>
    <row r="261" spans="1:32" x14ac:dyDescent="0.3">
      <c r="B261" s="1">
        <v>7247760930</v>
      </c>
      <c r="C261" s="1"/>
      <c r="G261" t="s">
        <v>418</v>
      </c>
      <c r="H261" t="s">
        <v>420</v>
      </c>
      <c r="I261">
        <v>1</v>
      </c>
      <c r="J261">
        <v>47</v>
      </c>
      <c r="K261">
        <v>22</v>
      </c>
      <c r="L261">
        <v>35</v>
      </c>
      <c r="M261" t="s">
        <v>50</v>
      </c>
      <c r="N261" t="s">
        <v>20</v>
      </c>
      <c r="O261" t="b">
        <v>1</v>
      </c>
      <c r="Y26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61" t="str">
        <f>IF(LEN(Table1[[#This Row],[MA_Number]])&gt;0, Table1[[#This Row],[MA_Number]], "")</f>
        <v/>
      </c>
      <c r="AA261" t="str">
        <f>IF(OR(Table1[[#This Row],[type_code]]="GH", Table1[[#This Row],[type_code]]="CH", Table1[[#This Row],[type_code]]="CLIP H" ), "Finished Product", "")</f>
        <v/>
      </c>
      <c r="AB261" t="str">
        <f>IF(OR(Table1[[#This Row],[type_code]]="GH", Table1[[#This Row],[type_code]]="CH", Table1[[#This Row],[type_code]]="CLIP H" ), "Holder", "")</f>
        <v/>
      </c>
      <c r="AC261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61" t="str">
        <f>IF(OR(Table1[[#This Row],[type_code]]="GH", Table1[[#This Row],[type_code]]="CH", Table1[[#This Row],[type_code]]="CLIP H" ), "Mechanic Holder Production", "")</f>
        <v/>
      </c>
      <c r="AE261" t="str">
        <f>IF(OR(Table1[[#This Row],[type_code]]="GH", Table1[[#This Row],[type_code]]="CH", Table1[[#This Row],[type_code]]="CLIP H" ), "Automatic After Production", "")</f>
        <v/>
      </c>
      <c r="AF26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47mm x 22mm x 35mm</v>
      </c>
    </row>
    <row r="262" spans="1:32" x14ac:dyDescent="0.3">
      <c r="A262" t="s">
        <v>421</v>
      </c>
      <c r="B262" s="1">
        <v>7247761330</v>
      </c>
      <c r="C262" s="1"/>
      <c r="D262" t="s">
        <v>261</v>
      </c>
      <c r="E262" t="s">
        <v>402</v>
      </c>
      <c r="F262" t="b">
        <v>1</v>
      </c>
      <c r="I262">
        <v>1</v>
      </c>
      <c r="Y26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7247761330 Clip Holder JB</v>
      </c>
      <c r="Z262" t="str">
        <f>IF(LEN(Table1[[#This Row],[MA_Number]])&gt;0, Table1[[#This Row],[MA_Number]], "")</f>
        <v>10.21.75456A</v>
      </c>
      <c r="AA262" t="str">
        <f>IF(OR(Table1[[#This Row],[type_code]]="GH", Table1[[#This Row],[type_code]]="CH", Table1[[#This Row],[type_code]]="CLIP H" ), "Finished Product", "")</f>
        <v>Finished Product</v>
      </c>
      <c r="AB262" t="str">
        <f>IF(OR(Table1[[#This Row],[type_code]]="GH", Table1[[#This Row],[type_code]]="CH", Table1[[#This Row],[type_code]]="CLIP H" ), "Holder", "")</f>
        <v>Holder</v>
      </c>
      <c r="AC262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62" t="str">
        <f>IF(OR(Table1[[#This Row],[type_code]]="GH", Table1[[#This Row],[type_code]]="CH", Table1[[#This Row],[type_code]]="CLIP H" ), "Mechanic Holder Production", "")</f>
        <v>Mechanic Holder Production</v>
      </c>
      <c r="AE262" t="str">
        <f>IF(OR(Table1[[#This Row],[type_code]]="GH", Table1[[#This Row],[type_code]]="CH", Table1[[#This Row],[type_code]]="CLIP H" ), "Automatic After Production", "")</f>
        <v>Automatic After Production</v>
      </c>
      <c r="AF26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63" spans="1:32" x14ac:dyDescent="0.3">
      <c r="B263" s="1">
        <v>7247761330</v>
      </c>
      <c r="C263" s="1"/>
      <c r="G263" t="s">
        <v>421</v>
      </c>
      <c r="H263" t="s">
        <v>422</v>
      </c>
      <c r="I263">
        <v>1</v>
      </c>
      <c r="J263">
        <v>40</v>
      </c>
      <c r="K263">
        <v>35</v>
      </c>
      <c r="L263">
        <v>60</v>
      </c>
      <c r="M263" t="s">
        <v>48</v>
      </c>
      <c r="N263" t="s">
        <v>20</v>
      </c>
      <c r="O263" t="b">
        <v>1</v>
      </c>
      <c r="Y26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63" t="str">
        <f>IF(LEN(Table1[[#This Row],[MA_Number]])&gt;0, Table1[[#This Row],[MA_Number]], "")</f>
        <v/>
      </c>
      <c r="AA263" t="str">
        <f>IF(OR(Table1[[#This Row],[type_code]]="GH", Table1[[#This Row],[type_code]]="CH", Table1[[#This Row],[type_code]]="CLIP H" ), "Finished Product", "")</f>
        <v/>
      </c>
      <c r="AB263" t="str">
        <f>IF(OR(Table1[[#This Row],[type_code]]="GH", Table1[[#This Row],[type_code]]="CH", Table1[[#This Row],[type_code]]="CLIP H" ), "Holder", "")</f>
        <v/>
      </c>
      <c r="AC263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63" t="str">
        <f>IF(OR(Table1[[#This Row],[type_code]]="GH", Table1[[#This Row],[type_code]]="CH", Table1[[#This Row],[type_code]]="CLIP H" ), "Mechanic Holder Production", "")</f>
        <v/>
      </c>
      <c r="AE263" t="str">
        <f>IF(OR(Table1[[#This Row],[type_code]]="GH", Table1[[#This Row],[type_code]]="CH", Table1[[#This Row],[type_code]]="CLIP H" ), "Automatic After Production", "")</f>
        <v/>
      </c>
      <c r="AF26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40mm x 35mm x 60mm</v>
      </c>
    </row>
    <row r="264" spans="1:32" x14ac:dyDescent="0.3">
      <c r="B264" s="1">
        <v>7247761330</v>
      </c>
      <c r="C264" s="1"/>
      <c r="G264" t="s">
        <v>421</v>
      </c>
      <c r="H264" t="s">
        <v>423</v>
      </c>
      <c r="I264">
        <v>1</v>
      </c>
      <c r="J264">
        <v>47</v>
      </c>
      <c r="K264">
        <v>22</v>
      </c>
      <c r="L264">
        <v>37</v>
      </c>
      <c r="M264" t="s">
        <v>50</v>
      </c>
      <c r="N264" t="s">
        <v>20</v>
      </c>
      <c r="O264" t="b">
        <v>1</v>
      </c>
      <c r="Y26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64" t="str">
        <f>IF(LEN(Table1[[#This Row],[MA_Number]])&gt;0, Table1[[#This Row],[MA_Number]], "")</f>
        <v/>
      </c>
      <c r="AA264" t="str">
        <f>IF(OR(Table1[[#This Row],[type_code]]="GH", Table1[[#This Row],[type_code]]="CH", Table1[[#This Row],[type_code]]="CLIP H" ), "Finished Product", "")</f>
        <v/>
      </c>
      <c r="AB264" t="str">
        <f>IF(OR(Table1[[#This Row],[type_code]]="GH", Table1[[#This Row],[type_code]]="CH", Table1[[#This Row],[type_code]]="CLIP H" ), "Holder", "")</f>
        <v/>
      </c>
      <c r="AC264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64" t="str">
        <f>IF(OR(Table1[[#This Row],[type_code]]="GH", Table1[[#This Row],[type_code]]="CH", Table1[[#This Row],[type_code]]="CLIP H" ), "Mechanic Holder Production", "")</f>
        <v/>
      </c>
      <c r="AE264" t="str">
        <f>IF(OR(Table1[[#This Row],[type_code]]="GH", Table1[[#This Row],[type_code]]="CH", Table1[[#This Row],[type_code]]="CLIP H" ), "Automatic After Production", "")</f>
        <v/>
      </c>
      <c r="AF26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47mm x 22mm x 37mm</v>
      </c>
    </row>
    <row r="265" spans="1:32" x14ac:dyDescent="0.3">
      <c r="A265" t="s">
        <v>427</v>
      </c>
      <c r="B265" s="1">
        <v>7247781230</v>
      </c>
      <c r="C265" s="1"/>
      <c r="D265" t="s">
        <v>261</v>
      </c>
      <c r="E265" t="s">
        <v>402</v>
      </c>
      <c r="F265" t="b">
        <v>1</v>
      </c>
      <c r="I265">
        <v>1</v>
      </c>
      <c r="Y26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7247781230 Clip Holder JB</v>
      </c>
      <c r="Z265" t="str">
        <f>IF(LEN(Table1[[#This Row],[MA_Number]])&gt;0, Table1[[#This Row],[MA_Number]], "")</f>
        <v>10.21.75458А</v>
      </c>
      <c r="AA265" t="str">
        <f>IF(OR(Table1[[#This Row],[type_code]]="GH", Table1[[#This Row],[type_code]]="CH", Table1[[#This Row],[type_code]]="CLIP H" ), "Finished Product", "")</f>
        <v>Finished Product</v>
      </c>
      <c r="AB265" t="str">
        <f>IF(OR(Table1[[#This Row],[type_code]]="GH", Table1[[#This Row],[type_code]]="CH", Table1[[#This Row],[type_code]]="CLIP H" ), "Holder", "")</f>
        <v>Holder</v>
      </c>
      <c r="AC265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65" t="str">
        <f>IF(OR(Table1[[#This Row],[type_code]]="GH", Table1[[#This Row],[type_code]]="CH", Table1[[#This Row],[type_code]]="CLIP H" ), "Mechanic Holder Production", "")</f>
        <v>Mechanic Holder Production</v>
      </c>
      <c r="AE265" t="str">
        <f>IF(OR(Table1[[#This Row],[type_code]]="GH", Table1[[#This Row],[type_code]]="CH", Table1[[#This Row],[type_code]]="CLIP H" ), "Automatic After Production", "")</f>
        <v>Automatic After Production</v>
      </c>
      <c r="AF26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66" spans="1:32" x14ac:dyDescent="0.3">
      <c r="B266" s="1">
        <v>7247781230</v>
      </c>
      <c r="C266" s="1"/>
      <c r="G266" t="s">
        <v>427</v>
      </c>
      <c r="H266" t="s">
        <v>428</v>
      </c>
      <c r="I266">
        <v>1</v>
      </c>
      <c r="J266">
        <v>40</v>
      </c>
      <c r="K266">
        <v>35</v>
      </c>
      <c r="L266">
        <v>60</v>
      </c>
      <c r="M266" t="s">
        <v>48</v>
      </c>
      <c r="N266" t="s">
        <v>20</v>
      </c>
      <c r="O266" t="b">
        <v>1</v>
      </c>
      <c r="Y26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66" t="str">
        <f>IF(LEN(Table1[[#This Row],[MA_Number]])&gt;0, Table1[[#This Row],[MA_Number]], "")</f>
        <v/>
      </c>
      <c r="AA266" t="str">
        <f>IF(OR(Table1[[#This Row],[type_code]]="GH", Table1[[#This Row],[type_code]]="CH", Table1[[#This Row],[type_code]]="CLIP H" ), "Finished Product", "")</f>
        <v/>
      </c>
      <c r="AB266" t="str">
        <f>IF(OR(Table1[[#This Row],[type_code]]="GH", Table1[[#This Row],[type_code]]="CH", Table1[[#This Row],[type_code]]="CLIP H" ), "Holder", "")</f>
        <v/>
      </c>
      <c r="AC266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66" t="str">
        <f>IF(OR(Table1[[#This Row],[type_code]]="GH", Table1[[#This Row],[type_code]]="CH", Table1[[#This Row],[type_code]]="CLIP H" ), "Mechanic Holder Production", "")</f>
        <v/>
      </c>
      <c r="AE266" t="str">
        <f>IF(OR(Table1[[#This Row],[type_code]]="GH", Table1[[#This Row],[type_code]]="CH", Table1[[#This Row],[type_code]]="CLIP H" ), "Automatic After Production", "")</f>
        <v/>
      </c>
      <c r="AF26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40mm x 35mm x 60mm</v>
      </c>
    </row>
    <row r="267" spans="1:32" x14ac:dyDescent="0.3">
      <c r="B267" s="1">
        <v>7247781230</v>
      </c>
      <c r="C267" s="1"/>
      <c r="G267" t="s">
        <v>427</v>
      </c>
      <c r="H267" t="s">
        <v>429</v>
      </c>
      <c r="I267">
        <v>1</v>
      </c>
      <c r="J267">
        <v>47</v>
      </c>
      <c r="K267">
        <v>22</v>
      </c>
      <c r="L267">
        <v>35</v>
      </c>
      <c r="M267" t="s">
        <v>50</v>
      </c>
      <c r="N267" t="s">
        <v>20</v>
      </c>
      <c r="O267" t="b">
        <v>1</v>
      </c>
      <c r="Y26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67" t="str">
        <f>IF(LEN(Table1[[#This Row],[MA_Number]])&gt;0, Table1[[#This Row],[MA_Number]], "")</f>
        <v/>
      </c>
      <c r="AA267" t="str">
        <f>IF(OR(Table1[[#This Row],[type_code]]="GH", Table1[[#This Row],[type_code]]="CH", Table1[[#This Row],[type_code]]="CLIP H" ), "Finished Product", "")</f>
        <v/>
      </c>
      <c r="AB267" t="str">
        <f>IF(OR(Table1[[#This Row],[type_code]]="GH", Table1[[#This Row],[type_code]]="CH", Table1[[#This Row],[type_code]]="CLIP H" ), "Holder", "")</f>
        <v/>
      </c>
      <c r="AC267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67" t="str">
        <f>IF(OR(Table1[[#This Row],[type_code]]="GH", Table1[[#This Row],[type_code]]="CH", Table1[[#This Row],[type_code]]="CLIP H" ), "Mechanic Holder Production", "")</f>
        <v/>
      </c>
      <c r="AE267" t="str">
        <f>IF(OR(Table1[[#This Row],[type_code]]="GH", Table1[[#This Row],[type_code]]="CH", Table1[[#This Row],[type_code]]="CLIP H" ), "Automatic After Production", "")</f>
        <v/>
      </c>
      <c r="AF26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47mm x 22mm x 35mm</v>
      </c>
    </row>
    <row r="268" spans="1:32" x14ac:dyDescent="0.3">
      <c r="A268" t="s">
        <v>463</v>
      </c>
      <c r="B268" s="1">
        <v>72478572</v>
      </c>
      <c r="C268" s="1"/>
      <c r="D268" t="s">
        <v>261</v>
      </c>
      <c r="E268" t="s">
        <v>402</v>
      </c>
      <c r="F268" t="b">
        <v>1</v>
      </c>
      <c r="I268">
        <v>1</v>
      </c>
      <c r="Y26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72478572 Clip Holder JB</v>
      </c>
      <c r="Z268" t="str">
        <f>IF(LEN(Table1[[#This Row],[MA_Number]])&gt;0, Table1[[#This Row],[MA_Number]], "")</f>
        <v>10.21.96577A</v>
      </c>
      <c r="AA268" t="str">
        <f>IF(OR(Table1[[#This Row],[type_code]]="GH", Table1[[#This Row],[type_code]]="CH", Table1[[#This Row],[type_code]]="CLIP H" ), "Finished Product", "")</f>
        <v>Finished Product</v>
      </c>
      <c r="AB268" t="str">
        <f>IF(OR(Table1[[#This Row],[type_code]]="GH", Table1[[#This Row],[type_code]]="CH", Table1[[#This Row],[type_code]]="CLIP H" ), "Holder", "")</f>
        <v>Holder</v>
      </c>
      <c r="AC268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68" t="str">
        <f>IF(OR(Table1[[#This Row],[type_code]]="GH", Table1[[#This Row],[type_code]]="CH", Table1[[#This Row],[type_code]]="CLIP H" ), "Mechanic Holder Production", "")</f>
        <v>Mechanic Holder Production</v>
      </c>
      <c r="AE268" t="str">
        <f>IF(OR(Table1[[#This Row],[type_code]]="GH", Table1[[#This Row],[type_code]]="CH", Table1[[#This Row],[type_code]]="CLIP H" ), "Automatic After Production", "")</f>
        <v>Automatic After Production</v>
      </c>
      <c r="AF26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69" spans="1:32" x14ac:dyDescent="0.3">
      <c r="B269" s="1">
        <v>72478572</v>
      </c>
      <c r="C269" s="1"/>
      <c r="G269" t="s">
        <v>463</v>
      </c>
      <c r="H269" t="s">
        <v>464</v>
      </c>
      <c r="I269">
        <v>1</v>
      </c>
      <c r="J269">
        <v>38</v>
      </c>
      <c r="K269">
        <v>21</v>
      </c>
      <c r="L269">
        <v>24</v>
      </c>
      <c r="M269" t="s">
        <v>50</v>
      </c>
      <c r="N269" t="s">
        <v>20</v>
      </c>
      <c r="O269" t="b">
        <v>1</v>
      </c>
      <c r="Y26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69" t="str">
        <f>IF(LEN(Table1[[#This Row],[MA_Number]])&gt;0, Table1[[#This Row],[MA_Number]], "")</f>
        <v/>
      </c>
      <c r="AA269" t="str">
        <f>IF(OR(Table1[[#This Row],[type_code]]="GH", Table1[[#This Row],[type_code]]="CH", Table1[[#This Row],[type_code]]="CLIP H" ), "Finished Product", "")</f>
        <v/>
      </c>
      <c r="AB269" t="str">
        <f>IF(OR(Table1[[#This Row],[type_code]]="GH", Table1[[#This Row],[type_code]]="CH", Table1[[#This Row],[type_code]]="CLIP H" ), "Holder", "")</f>
        <v/>
      </c>
      <c r="AC269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69" t="str">
        <f>IF(OR(Table1[[#This Row],[type_code]]="GH", Table1[[#This Row],[type_code]]="CH", Table1[[#This Row],[type_code]]="CLIP H" ), "Mechanic Holder Production", "")</f>
        <v/>
      </c>
      <c r="AE269" t="str">
        <f>IF(OR(Table1[[#This Row],[type_code]]="GH", Table1[[#This Row],[type_code]]="CH", Table1[[#This Row],[type_code]]="CLIP H" ), "Automatic After Production", "")</f>
        <v/>
      </c>
      <c r="AF26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38mm x 21mm x 24mm</v>
      </c>
    </row>
    <row r="270" spans="1:32" x14ac:dyDescent="0.3">
      <c r="B270" s="1">
        <v>72478572</v>
      </c>
      <c r="C270" s="1"/>
      <c r="G270" t="s">
        <v>463</v>
      </c>
      <c r="H270" t="s">
        <v>465</v>
      </c>
      <c r="I270">
        <v>1</v>
      </c>
      <c r="J270">
        <v>30</v>
      </c>
      <c r="K270">
        <v>30</v>
      </c>
      <c r="L270">
        <v>60</v>
      </c>
      <c r="M270" t="s">
        <v>48</v>
      </c>
      <c r="N270" t="s">
        <v>20</v>
      </c>
      <c r="O270" t="b">
        <v>1</v>
      </c>
      <c r="Y27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70" t="str">
        <f>IF(LEN(Table1[[#This Row],[MA_Number]])&gt;0, Table1[[#This Row],[MA_Number]], "")</f>
        <v/>
      </c>
      <c r="AA270" t="str">
        <f>IF(OR(Table1[[#This Row],[type_code]]="GH", Table1[[#This Row],[type_code]]="CH", Table1[[#This Row],[type_code]]="CLIP H" ), "Finished Product", "")</f>
        <v/>
      </c>
      <c r="AB270" t="str">
        <f>IF(OR(Table1[[#This Row],[type_code]]="GH", Table1[[#This Row],[type_code]]="CH", Table1[[#This Row],[type_code]]="CLIP H" ), "Holder", "")</f>
        <v/>
      </c>
      <c r="AC270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70" t="str">
        <f>IF(OR(Table1[[#This Row],[type_code]]="GH", Table1[[#This Row],[type_code]]="CH", Table1[[#This Row],[type_code]]="CLIP H" ), "Mechanic Holder Production", "")</f>
        <v/>
      </c>
      <c r="AE270" t="str">
        <f>IF(OR(Table1[[#This Row],[type_code]]="GH", Table1[[#This Row],[type_code]]="CH", Table1[[#This Row],[type_code]]="CLIP H" ), "Automatic After Production", "")</f>
        <v/>
      </c>
      <c r="AF27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30mm x 30mm x 60mm</v>
      </c>
    </row>
    <row r="271" spans="1:32" x14ac:dyDescent="0.3">
      <c r="A271" t="s">
        <v>424</v>
      </c>
      <c r="B271" s="1">
        <v>7252779130</v>
      </c>
      <c r="C271" s="1"/>
      <c r="D271" t="s">
        <v>261</v>
      </c>
      <c r="E271" t="s">
        <v>402</v>
      </c>
      <c r="F271" t="b">
        <v>1</v>
      </c>
      <c r="I271">
        <v>1</v>
      </c>
      <c r="Y27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7252779130 Clip Holder JB</v>
      </c>
      <c r="Z271" t="str">
        <f>IF(LEN(Table1[[#This Row],[MA_Number]])&gt;0, Table1[[#This Row],[MA_Number]], "")</f>
        <v>10.21.75455A</v>
      </c>
      <c r="AA271" t="str">
        <f>IF(OR(Table1[[#This Row],[type_code]]="GH", Table1[[#This Row],[type_code]]="CH", Table1[[#This Row],[type_code]]="CLIP H" ), "Finished Product", "")</f>
        <v>Finished Product</v>
      </c>
      <c r="AB271" t="str">
        <f>IF(OR(Table1[[#This Row],[type_code]]="GH", Table1[[#This Row],[type_code]]="CH", Table1[[#This Row],[type_code]]="CLIP H" ), "Holder", "")</f>
        <v>Holder</v>
      </c>
      <c r="AC271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71" t="str">
        <f>IF(OR(Table1[[#This Row],[type_code]]="GH", Table1[[#This Row],[type_code]]="CH", Table1[[#This Row],[type_code]]="CLIP H" ), "Mechanic Holder Production", "")</f>
        <v>Mechanic Holder Production</v>
      </c>
      <c r="AE271" t="str">
        <f>IF(OR(Table1[[#This Row],[type_code]]="GH", Table1[[#This Row],[type_code]]="CH", Table1[[#This Row],[type_code]]="CLIP H" ), "Automatic After Production", "")</f>
        <v>Automatic After Production</v>
      </c>
      <c r="AF27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72" spans="1:32" x14ac:dyDescent="0.3">
      <c r="B272" s="1">
        <v>7252779130</v>
      </c>
      <c r="C272" s="1"/>
      <c r="G272" t="s">
        <v>424</v>
      </c>
      <c r="H272" t="s">
        <v>425</v>
      </c>
      <c r="I272">
        <v>1</v>
      </c>
      <c r="J272">
        <v>40</v>
      </c>
      <c r="K272">
        <v>35</v>
      </c>
      <c r="L272">
        <v>57</v>
      </c>
      <c r="M272" t="s">
        <v>48</v>
      </c>
      <c r="N272" t="s">
        <v>20</v>
      </c>
      <c r="O272" t="b">
        <v>1</v>
      </c>
      <c r="Y27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72" t="str">
        <f>IF(LEN(Table1[[#This Row],[MA_Number]])&gt;0, Table1[[#This Row],[MA_Number]], "")</f>
        <v/>
      </c>
      <c r="AA272" t="str">
        <f>IF(OR(Table1[[#This Row],[type_code]]="GH", Table1[[#This Row],[type_code]]="CH", Table1[[#This Row],[type_code]]="CLIP H" ), "Finished Product", "")</f>
        <v/>
      </c>
      <c r="AB272" t="str">
        <f>IF(OR(Table1[[#This Row],[type_code]]="GH", Table1[[#This Row],[type_code]]="CH", Table1[[#This Row],[type_code]]="CLIP H" ), "Holder", "")</f>
        <v/>
      </c>
      <c r="AC272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72" t="str">
        <f>IF(OR(Table1[[#This Row],[type_code]]="GH", Table1[[#This Row],[type_code]]="CH", Table1[[#This Row],[type_code]]="CLIP H" ), "Mechanic Holder Production", "")</f>
        <v/>
      </c>
      <c r="AE272" t="str">
        <f>IF(OR(Table1[[#This Row],[type_code]]="GH", Table1[[#This Row],[type_code]]="CH", Table1[[#This Row],[type_code]]="CLIP H" ), "Automatic After Production", "")</f>
        <v/>
      </c>
      <c r="AF27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40mm x 35mm x 57mm</v>
      </c>
    </row>
    <row r="273" spans="1:32" x14ac:dyDescent="0.3">
      <c r="B273" s="1">
        <v>7252779130</v>
      </c>
      <c r="C273" s="1"/>
      <c r="G273" t="s">
        <v>424</v>
      </c>
      <c r="H273" t="s">
        <v>426</v>
      </c>
      <c r="I273">
        <v>1</v>
      </c>
      <c r="J273">
        <v>47</v>
      </c>
      <c r="K273">
        <v>22</v>
      </c>
      <c r="L273">
        <v>37</v>
      </c>
      <c r="M273" t="s">
        <v>50</v>
      </c>
      <c r="N273" t="s">
        <v>20</v>
      </c>
      <c r="O273" t="b">
        <v>1</v>
      </c>
      <c r="Y27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73" t="str">
        <f>IF(LEN(Table1[[#This Row],[MA_Number]])&gt;0, Table1[[#This Row],[MA_Number]], "")</f>
        <v/>
      </c>
      <c r="AA273" t="str">
        <f>IF(OR(Table1[[#This Row],[type_code]]="GH", Table1[[#This Row],[type_code]]="CH", Table1[[#This Row],[type_code]]="CLIP H" ), "Finished Product", "")</f>
        <v/>
      </c>
      <c r="AB273" t="str">
        <f>IF(OR(Table1[[#This Row],[type_code]]="GH", Table1[[#This Row],[type_code]]="CH", Table1[[#This Row],[type_code]]="CLIP H" ), "Holder", "")</f>
        <v/>
      </c>
      <c r="AC273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73" t="str">
        <f>IF(OR(Table1[[#This Row],[type_code]]="GH", Table1[[#This Row],[type_code]]="CH", Table1[[#This Row],[type_code]]="CLIP H" ), "Mechanic Holder Production", "")</f>
        <v/>
      </c>
      <c r="AE273" t="str">
        <f>IF(OR(Table1[[#This Row],[type_code]]="GH", Table1[[#This Row],[type_code]]="CH", Table1[[#This Row],[type_code]]="CLIP H" ), "Automatic After Production", "")</f>
        <v/>
      </c>
      <c r="AF27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47mm x 22mm x 37mm</v>
      </c>
    </row>
    <row r="274" spans="1:32" x14ac:dyDescent="0.3">
      <c r="A274" t="s">
        <v>432</v>
      </c>
      <c r="B274" s="1">
        <v>7252785330</v>
      </c>
      <c r="C274" s="1">
        <v>7247075530</v>
      </c>
      <c r="D274" t="s">
        <v>261</v>
      </c>
      <c r="E274" t="s">
        <v>402</v>
      </c>
      <c r="F274" t="b">
        <v>1</v>
      </c>
      <c r="I274">
        <v>1</v>
      </c>
      <c r="Y27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7252785330 Clip Holder JB</v>
      </c>
      <c r="Z274" t="str">
        <f>IF(LEN(Table1[[#This Row],[MA_Number]])&gt;0, Table1[[#This Row],[MA_Number]], "")</f>
        <v>10.21.75459A</v>
      </c>
      <c r="AA274" t="str">
        <f>IF(OR(Table1[[#This Row],[type_code]]="GH", Table1[[#This Row],[type_code]]="CH", Table1[[#This Row],[type_code]]="CLIP H" ), "Finished Product", "")</f>
        <v>Finished Product</v>
      </c>
      <c r="AB274" t="str">
        <f>IF(OR(Table1[[#This Row],[type_code]]="GH", Table1[[#This Row],[type_code]]="CH", Table1[[#This Row],[type_code]]="CLIP H" ), "Holder", "")</f>
        <v>Holder</v>
      </c>
      <c r="AC274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74" t="str">
        <f>IF(OR(Table1[[#This Row],[type_code]]="GH", Table1[[#This Row],[type_code]]="CH", Table1[[#This Row],[type_code]]="CLIP H" ), "Mechanic Holder Production", "")</f>
        <v>Mechanic Holder Production</v>
      </c>
      <c r="AE274" t="str">
        <f>IF(OR(Table1[[#This Row],[type_code]]="GH", Table1[[#This Row],[type_code]]="CH", Table1[[#This Row],[type_code]]="CLIP H" ), "Automatic After Production", "")</f>
        <v>Automatic After Production</v>
      </c>
      <c r="AF27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/>
      </c>
    </row>
    <row r="275" spans="1:32" ht="13.8" customHeight="1" x14ac:dyDescent="0.3">
      <c r="B275" s="1">
        <v>7252785330</v>
      </c>
      <c r="C275" s="1"/>
      <c r="G275" t="s">
        <v>432</v>
      </c>
      <c r="H275" t="s">
        <v>433</v>
      </c>
      <c r="I275">
        <v>1</v>
      </c>
      <c r="J275">
        <v>40</v>
      </c>
      <c r="K275">
        <v>35</v>
      </c>
      <c r="L275">
        <v>60</v>
      </c>
      <c r="M275" t="s">
        <v>48</v>
      </c>
      <c r="N275" t="s">
        <v>20</v>
      </c>
      <c r="O275" t="b">
        <v>1</v>
      </c>
      <c r="Y27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75" t="str">
        <f>IF(LEN(Table1[[#This Row],[MA_Number]])&gt;0, Table1[[#This Row],[MA_Number]], "")</f>
        <v/>
      </c>
      <c r="AA275" t="str">
        <f>IF(OR(Table1[[#This Row],[type_code]]="GH", Table1[[#This Row],[type_code]]="CH", Table1[[#This Row],[type_code]]="CLIP H" ), "Finished Product", "")</f>
        <v/>
      </c>
      <c r="AB275" t="str">
        <f>IF(OR(Table1[[#This Row],[type_code]]="GH", Table1[[#This Row],[type_code]]="CH", Table1[[#This Row],[type_code]]="CLIP H" ), "Holder", "")</f>
        <v/>
      </c>
      <c r="AC275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75" t="str">
        <f>IF(OR(Table1[[#This Row],[type_code]]="GH", Table1[[#This Row],[type_code]]="CH", Table1[[#This Row],[type_code]]="CLIP H" ), "Mechanic Holder Production", "")</f>
        <v/>
      </c>
      <c r="AE275" t="str">
        <f>IF(OR(Table1[[#This Row],[type_code]]="GH", Table1[[#This Row],[type_code]]="CH", Table1[[#This Row],[type_code]]="CLIP H" ), "Automatic After Production", "")</f>
        <v/>
      </c>
      <c r="AF27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ЗЕЛЕН - GREEN, POM  - ДЕЛРИН, 
РЯЗАНЕ, 40mm x 35mm x 60mm</v>
      </c>
    </row>
    <row r="276" spans="1:32" x14ac:dyDescent="0.3">
      <c r="B276" s="1">
        <v>7252785330</v>
      </c>
      <c r="C276" s="1"/>
      <c r="G276" t="s">
        <v>432</v>
      </c>
      <c r="H276" t="s">
        <v>434</v>
      </c>
      <c r="I276">
        <v>1</v>
      </c>
      <c r="J276">
        <v>47</v>
      </c>
      <c r="K276">
        <v>30</v>
      </c>
      <c r="L276">
        <v>28</v>
      </c>
      <c r="M276" t="s">
        <v>50</v>
      </c>
      <c r="N276" t="s">
        <v>20</v>
      </c>
      <c r="O276" t="b">
        <v>1</v>
      </c>
      <c r="Y276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/>
      </c>
      <c r="Z276" t="str">
        <f>IF(LEN(Table1[[#This Row],[MA_Number]])&gt;0, Table1[[#This Row],[MA_Number]], "")</f>
        <v/>
      </c>
      <c r="AA276" t="str">
        <f>IF(OR(Table1[[#This Row],[type_code]]="GH", Table1[[#This Row],[type_code]]="CH", Table1[[#This Row],[type_code]]="CLIP H" ), "Finished Product", "")</f>
        <v/>
      </c>
      <c r="AB276" t="str">
        <f>IF(OR(Table1[[#This Row],[type_code]]="GH", Table1[[#This Row],[type_code]]="CH", Table1[[#This Row],[type_code]]="CLIP H" ), "Holder", "")</f>
        <v/>
      </c>
      <c r="AC276" t="str">
        <f>IF(Table1[[#This Row],[type_code]]="GH", "Grommet Mechanical JB","") &amp; IF(Table1[[#This Row],[type_code]]="CH", "Connectort Mechanical JB","") &amp; IF(Table1[[#This Row],[type_code]]="CLIP H", "Clip Mechanical JB","")</f>
        <v/>
      </c>
      <c r="AD276" t="str">
        <f>IF(OR(Table1[[#This Row],[type_code]]="GH", Table1[[#This Row],[type_code]]="CH", Table1[[#This Row],[type_code]]="CLIP H" ), "Mechanic Holder Production", "")</f>
        <v/>
      </c>
      <c r="AE276" t="str">
        <f>IF(OR(Table1[[#This Row],[type_code]]="GH", Table1[[#This Row],[type_code]]="CH", Table1[[#This Row],[type_code]]="CLIP H" ), "Automatic After Production", "")</f>
        <v/>
      </c>
      <c r="AF276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47mm x 30mm x 28mm</v>
      </c>
    </row>
    <row r="277" spans="1:32" x14ac:dyDescent="0.3">
      <c r="A277" t="s">
        <v>415</v>
      </c>
      <c r="B277" s="1">
        <v>7047052330</v>
      </c>
      <c r="C277" s="1"/>
      <c r="D277" t="s">
        <v>261</v>
      </c>
      <c r="F277" t="b">
        <v>0</v>
      </c>
      <c r="I277">
        <v>1</v>
      </c>
      <c r="J277">
        <v>35</v>
      </c>
      <c r="K277">
        <v>35</v>
      </c>
      <c r="L277">
        <v>45</v>
      </c>
      <c r="M277" t="s">
        <v>45</v>
      </c>
      <c r="N277" t="s">
        <v>20</v>
      </c>
      <c r="O277" t="b">
        <v>1</v>
      </c>
      <c r="Y277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7047052330 Clip Holder JB</v>
      </c>
      <c r="Z277" t="str">
        <f>IF(LEN(Table1[[#This Row],[MA_Number]])&gt;0, Table1[[#This Row],[MA_Number]], "")</f>
        <v>10.21.83606A</v>
      </c>
      <c r="AA277" t="str">
        <f>IF(OR(Table1[[#This Row],[type_code]]="GH", Table1[[#This Row],[type_code]]="CH", Table1[[#This Row],[type_code]]="CLIP H" ), "Finished Product", "")</f>
        <v>Finished Product</v>
      </c>
      <c r="AB277" t="str">
        <f>IF(OR(Table1[[#This Row],[type_code]]="GH", Table1[[#This Row],[type_code]]="CH", Table1[[#This Row],[type_code]]="CLIP H" ), "Holder", "")</f>
        <v>Holder</v>
      </c>
      <c r="AC277" t="str">
        <f>IF(Table1[[#This Row],[type_code]]="GH", "Grommet Mechanical JB","") &amp; IF(Table1[[#This Row],[type_code]]="CH", "Connectort Mechanical JB","") &amp; IF(Table1[[#This Row],[type_code]]="CLIP H", "Clip Mechanical JB","")</f>
        <v>Clip Mechanical JB</v>
      </c>
      <c r="AD277" t="str">
        <f>IF(OR(Table1[[#This Row],[type_code]]="GH", Table1[[#This Row],[type_code]]="CH", Table1[[#This Row],[type_code]]="CLIP H" ), "Mechanic Holder Production", "")</f>
        <v>Mechanic Holder Production</v>
      </c>
      <c r="AE277" t="str">
        <f>IF(OR(Table1[[#This Row],[type_code]]="GH", Table1[[#This Row],[type_code]]="CH", Table1[[#This Row],[type_code]]="CLIP H" ), "Automatic After Production", "")</f>
        <v>Automatic After Production</v>
      </c>
      <c r="AF277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35mm x 35mm x 45mm</v>
      </c>
    </row>
    <row r="278" spans="1:32" x14ac:dyDescent="0.3">
      <c r="A278" t="s">
        <v>417</v>
      </c>
      <c r="B278" s="1" t="s">
        <v>281</v>
      </c>
      <c r="C278" s="1" t="s">
        <v>411</v>
      </c>
      <c r="D278" t="s">
        <v>258</v>
      </c>
      <c r="F278" t="b">
        <v>0</v>
      </c>
      <c r="I278">
        <v>1</v>
      </c>
      <c r="J278">
        <v>42</v>
      </c>
      <c r="K278">
        <v>37</v>
      </c>
      <c r="L278">
        <v>43</v>
      </c>
      <c r="M278" t="s">
        <v>50</v>
      </c>
      <c r="N278" t="s">
        <v>20</v>
      </c>
      <c r="O278" t="b">
        <v>1</v>
      </c>
      <c r="Y278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ASSY_PPI0001107 Connector Holder JB</v>
      </c>
      <c r="Z278" t="str">
        <f>IF(LEN(Table1[[#This Row],[MA_Number]])&gt;0, Table1[[#This Row],[MA_Number]], "")</f>
        <v>10.21.96554A</v>
      </c>
      <c r="AA278" t="str">
        <f>IF(OR(Table1[[#This Row],[type_code]]="GH", Table1[[#This Row],[type_code]]="CH", Table1[[#This Row],[type_code]]="CLIP H" ), "Finished Product", "")</f>
        <v>Finished Product</v>
      </c>
      <c r="AB278" t="str">
        <f>IF(OR(Table1[[#This Row],[type_code]]="GH", Table1[[#This Row],[type_code]]="CH", Table1[[#This Row],[type_code]]="CLIP H" ), "Holder", "")</f>
        <v>Holder</v>
      </c>
      <c r="AC278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78" t="str">
        <f>IF(OR(Table1[[#This Row],[type_code]]="GH", Table1[[#This Row],[type_code]]="CH", Table1[[#This Row],[type_code]]="CLIP H" ), "Mechanic Holder Production", "")</f>
        <v>Mechanic Holder Production</v>
      </c>
      <c r="AE278" t="str">
        <f>IF(OR(Table1[[#This Row],[type_code]]="GH", Table1[[#This Row],[type_code]]="CH", Table1[[#This Row],[type_code]]="CLIP H" ), "Automatic After Production", "")</f>
        <v>Automatic After Production</v>
      </c>
      <c r="AF278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ЖЪЛТ - YELLOW, POM  - ДЕЛРИН, 
РЯЗАНЕ, 42mm x 37mm x 43mm</v>
      </c>
    </row>
    <row r="279" spans="1:32" x14ac:dyDescent="0.3">
      <c r="A279" t="s">
        <v>431</v>
      </c>
      <c r="B279" s="1">
        <v>7298808730</v>
      </c>
      <c r="C279" s="1"/>
      <c r="D279" t="s">
        <v>258</v>
      </c>
      <c r="F279" t="b">
        <v>0</v>
      </c>
      <c r="I279">
        <v>1</v>
      </c>
      <c r="J279">
        <v>47</v>
      </c>
      <c r="K279">
        <v>47</v>
      </c>
      <c r="L279">
        <v>70</v>
      </c>
      <c r="M279" t="s">
        <v>45</v>
      </c>
      <c r="N279" t="s">
        <v>20</v>
      </c>
      <c r="O279" t="b">
        <v>1</v>
      </c>
      <c r="Y279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7298808730 Connector Holder JB</v>
      </c>
      <c r="Z279" t="str">
        <f>IF(LEN(Table1[[#This Row],[MA_Number]])&gt;0, Table1[[#This Row],[MA_Number]], "")</f>
        <v>10.21.76985_A</v>
      </c>
      <c r="AA279" t="str">
        <f>IF(OR(Table1[[#This Row],[type_code]]="GH", Table1[[#This Row],[type_code]]="CH", Table1[[#This Row],[type_code]]="CLIP H" ), "Finished Product", "")</f>
        <v>Finished Product</v>
      </c>
      <c r="AB279" t="str">
        <f>IF(OR(Table1[[#This Row],[type_code]]="GH", Table1[[#This Row],[type_code]]="CH", Table1[[#This Row],[type_code]]="CLIP H" ), "Holder", "")</f>
        <v>Holder</v>
      </c>
      <c r="AC279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79" t="str">
        <f>IF(OR(Table1[[#This Row],[type_code]]="GH", Table1[[#This Row],[type_code]]="CH", Table1[[#This Row],[type_code]]="CLIP H" ), "Mechanic Holder Production", "")</f>
        <v>Mechanic Holder Production</v>
      </c>
      <c r="AE279" t="str">
        <f>IF(OR(Table1[[#This Row],[type_code]]="GH", Table1[[#This Row],[type_code]]="CH", Table1[[#This Row],[type_code]]="CLIP H" ), "Automatic After Production", "")</f>
        <v>Automatic After Production</v>
      </c>
      <c r="AF279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47mm x 47mm x 70mm</v>
      </c>
    </row>
    <row r="280" spans="1:32" x14ac:dyDescent="0.3">
      <c r="A280" t="s">
        <v>435</v>
      </c>
      <c r="B280" s="1" t="s">
        <v>293</v>
      </c>
      <c r="C280" s="1"/>
      <c r="D280" t="s">
        <v>258</v>
      </c>
      <c r="E280" t="s">
        <v>436</v>
      </c>
      <c r="F280" t="b">
        <v>0</v>
      </c>
      <c r="I280">
        <v>1</v>
      </c>
      <c r="J280">
        <v>100</v>
      </c>
      <c r="K280">
        <v>75</v>
      </c>
      <c r="L280">
        <v>60</v>
      </c>
      <c r="M280" t="s">
        <v>44</v>
      </c>
      <c r="N280" t="s">
        <v>20</v>
      </c>
      <c r="O280" t="b">
        <v>1</v>
      </c>
      <c r="Y280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7198762530+7198600430+72743034 Connector Holder JB</v>
      </c>
      <c r="Z280" t="str">
        <f>IF(LEN(Table1[[#This Row],[MA_Number]])&gt;0, Table1[[#This Row],[MA_Number]], "")</f>
        <v>10.21.96569A</v>
      </c>
      <c r="AA280" t="str">
        <f>IF(OR(Table1[[#This Row],[type_code]]="GH", Table1[[#This Row],[type_code]]="CH", Table1[[#This Row],[type_code]]="CLIP H" ), "Finished Product", "")</f>
        <v>Finished Product</v>
      </c>
      <c r="AB280" t="str">
        <f>IF(OR(Table1[[#This Row],[type_code]]="GH", Table1[[#This Row],[type_code]]="CH", Table1[[#This Row],[type_code]]="CLIP H" ), "Holder", "")</f>
        <v>Holder</v>
      </c>
      <c r="AC280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80" t="str">
        <f>IF(OR(Table1[[#This Row],[type_code]]="GH", Table1[[#This Row],[type_code]]="CH", Table1[[#This Row],[type_code]]="CLIP H" ), "Mechanic Holder Production", "")</f>
        <v>Mechanic Holder Production</v>
      </c>
      <c r="AE280" t="str">
        <f>IF(OR(Table1[[#This Row],[type_code]]="GH", Table1[[#This Row],[type_code]]="CH", Table1[[#This Row],[type_code]]="CLIP H" ), "Automatic After Production", "")</f>
        <v>Automatic After Production</v>
      </c>
      <c r="AF280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БЯЛ - WHITE, POM  - ДЕЛРИН, 
РЯЗАНЕ, 100mm x 75mm x 60mm</v>
      </c>
    </row>
    <row r="281" spans="1:32" x14ac:dyDescent="0.3">
      <c r="A281" t="s">
        <v>438</v>
      </c>
      <c r="B281" s="1">
        <v>7223686530</v>
      </c>
      <c r="C281" s="1"/>
      <c r="D281" t="s">
        <v>258</v>
      </c>
      <c r="E281" t="s">
        <v>439</v>
      </c>
      <c r="F281" t="b">
        <v>0</v>
      </c>
      <c r="I281">
        <v>1</v>
      </c>
      <c r="J281">
        <v>32</v>
      </c>
      <c r="K281">
        <v>74</v>
      </c>
      <c r="L281">
        <v>48</v>
      </c>
      <c r="M281" t="s">
        <v>45</v>
      </c>
      <c r="N281" t="s">
        <v>20</v>
      </c>
      <c r="O281" t="b">
        <v>1</v>
      </c>
      <c r="Y281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7223686530 Connector Holder JB</v>
      </c>
      <c r="Z281" t="str">
        <f>IF(LEN(Table1[[#This Row],[MA_Number]])&gt;0, Table1[[#This Row],[MA_Number]], "")</f>
        <v>10.21.28242A</v>
      </c>
      <c r="AA281" t="str">
        <f>IF(OR(Table1[[#This Row],[type_code]]="GH", Table1[[#This Row],[type_code]]="CH", Table1[[#This Row],[type_code]]="CLIP H" ), "Finished Product", "")</f>
        <v>Finished Product</v>
      </c>
      <c r="AB281" t="str">
        <f>IF(OR(Table1[[#This Row],[type_code]]="GH", Table1[[#This Row],[type_code]]="CH", Table1[[#This Row],[type_code]]="CLIP H" ), "Holder", "")</f>
        <v>Holder</v>
      </c>
      <c r="AC281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81" t="str">
        <f>IF(OR(Table1[[#This Row],[type_code]]="GH", Table1[[#This Row],[type_code]]="CH", Table1[[#This Row],[type_code]]="CLIP H" ), "Mechanic Holder Production", "")</f>
        <v>Mechanic Holder Production</v>
      </c>
      <c r="AE281" t="str">
        <f>IF(OR(Table1[[#This Row],[type_code]]="GH", Table1[[#This Row],[type_code]]="CH", Table1[[#This Row],[type_code]]="CLIP H" ), "Automatic After Production", "")</f>
        <v>Automatic After Production</v>
      </c>
      <c r="AF281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32mm x 74mm x 48mm</v>
      </c>
    </row>
    <row r="282" spans="1:32" x14ac:dyDescent="0.3">
      <c r="A282" t="s">
        <v>441</v>
      </c>
      <c r="B282" s="1" t="s">
        <v>241</v>
      </c>
      <c r="C282" s="1"/>
      <c r="D282" t="s">
        <v>258</v>
      </c>
      <c r="E282" t="s">
        <v>472</v>
      </c>
      <c r="F282" t="b">
        <v>0</v>
      </c>
      <c r="I282">
        <v>1</v>
      </c>
      <c r="J282">
        <v>82</v>
      </c>
      <c r="K282">
        <v>57</v>
      </c>
      <c r="L282">
        <v>54</v>
      </c>
      <c r="M282" t="s">
        <v>45</v>
      </c>
      <c r="N282" t="s">
        <v>20</v>
      </c>
      <c r="O282" t="b">
        <v>1</v>
      </c>
      <c r="Y282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7289808930+7274153930 Connector Holder JB</v>
      </c>
      <c r="Z282" t="str">
        <f>IF(LEN(Table1[[#This Row],[MA_Number]])&gt;0, Table1[[#This Row],[MA_Number]], "")</f>
        <v>10.21.83758_A</v>
      </c>
      <c r="AA282" t="str">
        <f>IF(OR(Table1[[#This Row],[type_code]]="GH", Table1[[#This Row],[type_code]]="CH", Table1[[#This Row],[type_code]]="CLIP H" ), "Finished Product", "")</f>
        <v>Finished Product</v>
      </c>
      <c r="AB282" t="str">
        <f>IF(OR(Table1[[#This Row],[type_code]]="GH", Table1[[#This Row],[type_code]]="CH", Table1[[#This Row],[type_code]]="CLIP H" ), "Holder", "")</f>
        <v>Holder</v>
      </c>
      <c r="AC282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82" t="str">
        <f>IF(OR(Table1[[#This Row],[type_code]]="GH", Table1[[#This Row],[type_code]]="CH", Table1[[#This Row],[type_code]]="CLIP H" ), "Mechanic Holder Production", "")</f>
        <v>Mechanic Holder Production</v>
      </c>
      <c r="AE282" t="str">
        <f>IF(OR(Table1[[#This Row],[type_code]]="GH", Table1[[#This Row],[type_code]]="CH", Table1[[#This Row],[type_code]]="CLIP H" ), "Automatic After Production", "")</f>
        <v>Automatic After Production</v>
      </c>
      <c r="AF282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82mm x 57mm x 54mm</v>
      </c>
    </row>
    <row r="283" spans="1:32" x14ac:dyDescent="0.3">
      <c r="A283" t="s">
        <v>449</v>
      </c>
      <c r="B283" s="1">
        <v>7035990430</v>
      </c>
      <c r="C283" s="1"/>
      <c r="D283" t="s">
        <v>499</v>
      </c>
      <c r="E283" t="s">
        <v>450</v>
      </c>
      <c r="F283" t="b">
        <v>0</v>
      </c>
      <c r="I283">
        <v>1</v>
      </c>
      <c r="J283">
        <v>64</v>
      </c>
      <c r="K283">
        <v>69</v>
      </c>
      <c r="L283">
        <v>59</v>
      </c>
      <c r="M283" t="s">
        <v>45</v>
      </c>
      <c r="N283" t="s">
        <v>20</v>
      </c>
      <c r="O283" t="b">
        <v>1</v>
      </c>
      <c r="Y283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7035990430 Grommet Holder JB</v>
      </c>
      <c r="Z283" t="str">
        <f>IF(LEN(Table1[[#This Row],[MA_Number]])&gt;0, Table1[[#This Row],[MA_Number]], "")</f>
        <v>10.21.96571A</v>
      </c>
      <c r="AA283" t="str">
        <f>IF(OR(Table1[[#This Row],[type_code]]="GH", Table1[[#This Row],[type_code]]="CH", Table1[[#This Row],[type_code]]="CLIP H" ), "Finished Product", "")</f>
        <v>Finished Product</v>
      </c>
      <c r="AB283" t="str">
        <f>IF(OR(Table1[[#This Row],[type_code]]="GH", Table1[[#This Row],[type_code]]="CH", Table1[[#This Row],[type_code]]="CLIP H" ), "Holder", "")</f>
        <v>Holder</v>
      </c>
      <c r="AC283" t="str">
        <f>IF(Table1[[#This Row],[type_code]]="GH", "Grommet Mechanical JB","") &amp; IF(Table1[[#This Row],[type_code]]="CH", "Connectort Mechanical JB","") &amp; IF(Table1[[#This Row],[type_code]]="CLIP H", "Clip Mechanical JB","")</f>
        <v>Grommet Mechanical JB</v>
      </c>
      <c r="AD283" t="str">
        <f>IF(OR(Table1[[#This Row],[type_code]]="GH", Table1[[#This Row],[type_code]]="CH", Table1[[#This Row],[type_code]]="CLIP H" ), "Mechanic Holder Production", "")</f>
        <v>Mechanic Holder Production</v>
      </c>
      <c r="AE283" t="str">
        <f>IF(OR(Table1[[#This Row],[type_code]]="GH", Table1[[#This Row],[type_code]]="CH", Table1[[#This Row],[type_code]]="CLIP H" ), "Automatic After Production", "")</f>
        <v>Automatic After Production</v>
      </c>
      <c r="AF283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64mm x 69mm x 59mm</v>
      </c>
    </row>
    <row r="284" spans="1:32" x14ac:dyDescent="0.3">
      <c r="A284" t="s">
        <v>473</v>
      </c>
      <c r="B284" s="1">
        <v>7297914930</v>
      </c>
      <c r="C284" s="1"/>
      <c r="D284" t="s">
        <v>258</v>
      </c>
      <c r="F284" t="b">
        <v>0</v>
      </c>
      <c r="I284">
        <v>1</v>
      </c>
      <c r="J284">
        <v>67</v>
      </c>
      <c r="K284">
        <v>48</v>
      </c>
      <c r="L284">
        <v>65</v>
      </c>
      <c r="M284" t="s">
        <v>45</v>
      </c>
      <c r="N284" t="s">
        <v>20</v>
      </c>
      <c r="O284" t="b">
        <v>1</v>
      </c>
      <c r="Y284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7297914930 Connector Holder JB</v>
      </c>
      <c r="Z284" t="str">
        <f>IF(LEN(Table1[[#This Row],[MA_Number]])&gt;0, Table1[[#This Row],[MA_Number]], "")</f>
        <v>10.21.77088A</v>
      </c>
      <c r="AA284" t="str">
        <f>IF(OR(Table1[[#This Row],[type_code]]="GH", Table1[[#This Row],[type_code]]="CH", Table1[[#This Row],[type_code]]="CLIP H" ), "Finished Product", "")</f>
        <v>Finished Product</v>
      </c>
      <c r="AB284" t="str">
        <f>IF(OR(Table1[[#This Row],[type_code]]="GH", Table1[[#This Row],[type_code]]="CH", Table1[[#This Row],[type_code]]="CLIP H" ), "Holder", "")</f>
        <v>Holder</v>
      </c>
      <c r="AC284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84" t="str">
        <f>IF(OR(Table1[[#This Row],[type_code]]="GH", Table1[[#This Row],[type_code]]="CH", Table1[[#This Row],[type_code]]="CLIP H" ), "Mechanic Holder Production", "")</f>
        <v>Mechanic Holder Production</v>
      </c>
      <c r="AE284" t="str">
        <f>IF(OR(Table1[[#This Row],[type_code]]="GH", Table1[[#This Row],[type_code]]="CH", Table1[[#This Row],[type_code]]="CLIP H" ), "Automatic After Production", "")</f>
        <v>Automatic After Production</v>
      </c>
      <c r="AF284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67mm x 48mm x 65mm</v>
      </c>
    </row>
    <row r="285" spans="1:32" x14ac:dyDescent="0.3">
      <c r="A285" t="s">
        <v>474</v>
      </c>
      <c r="B285" s="1">
        <v>7297913630</v>
      </c>
      <c r="C285" s="1"/>
      <c r="D285" t="s">
        <v>258</v>
      </c>
      <c r="F285" t="b">
        <v>0</v>
      </c>
      <c r="I285">
        <v>1</v>
      </c>
      <c r="J285">
        <v>66</v>
      </c>
      <c r="K285">
        <v>47</v>
      </c>
      <c r="L285">
        <v>56</v>
      </c>
      <c r="M285" t="s">
        <v>45</v>
      </c>
      <c r="N285" t="s">
        <v>20</v>
      </c>
      <c r="O285" t="b">
        <v>1</v>
      </c>
      <c r="Y285" t="str">
        <f>IF(Table1[[#This Row],[type_code]]="CH", CONCATENATE(Table1[[#This Row],[Product_Name]], " Connector Holder JB"), "") &amp; IF(Table1[[#This Row],[type_code]]="CLIP H", CONCATENATE(Table1[[#This Row],[Product_Name]], " Clip Holder JB"), "") &amp; IF(Table1[[#This Row],[type_code]]="GH", CONCATENATE(Table1[[#This Row],[Product_Name]], " Grommet Holder JB"), "")</f>
        <v>7297913630 Connector Holder JB</v>
      </c>
      <c r="Z285" t="str">
        <f>IF(LEN(Table1[[#This Row],[MA_Number]])&gt;0, Table1[[#This Row],[MA_Number]], "")</f>
        <v>10.21.77146A</v>
      </c>
      <c r="AA285" t="str">
        <f>IF(OR(Table1[[#This Row],[type_code]]="GH", Table1[[#This Row],[type_code]]="CH", Table1[[#This Row],[type_code]]="CLIP H" ), "Finished Product", "")</f>
        <v>Finished Product</v>
      </c>
      <c r="AB285" t="str">
        <f>IF(OR(Table1[[#This Row],[type_code]]="GH", Table1[[#This Row],[type_code]]="CH", Table1[[#This Row],[type_code]]="CLIP H" ), "Holder", "")</f>
        <v>Holder</v>
      </c>
      <c r="AC285" t="str">
        <f>IF(Table1[[#This Row],[type_code]]="GH", "Grommet Mechanical JB","") &amp; IF(Table1[[#This Row],[type_code]]="CH", "Connectort Mechanical JB","") &amp; IF(Table1[[#This Row],[type_code]]="CLIP H", "Clip Mechanical JB","")</f>
        <v>Connectort Mechanical JB</v>
      </c>
      <c r="AD285" t="str">
        <f>IF(OR(Table1[[#This Row],[type_code]]="GH", Table1[[#This Row],[type_code]]="CH", Table1[[#This Row],[type_code]]="CLIP H" ), "Mechanic Holder Production", "")</f>
        <v>Mechanic Holder Production</v>
      </c>
      <c r="AE285" t="str">
        <f>IF(OR(Table1[[#This Row],[type_code]]="GH", Table1[[#This Row],[type_code]]="CH", Table1[[#This Row],[type_code]]="CLIP H" ), "Automatic After Production", "")</f>
        <v>Automatic After Production</v>
      </c>
      <c r="AF285" t="str">
        <f>IF(Table1[[#This Row],[color_code]]="BK","ЧЕРЕН - BLACK","") &amp; IF(Table1[[#This Row],[color_code]]="WH","БЯЛ - WHITE","") &amp; IF(Table1[[#This Row],[color_code]]="BL","СИН - BLUE","") &amp; IF(Table1[[#This Row],[color_code]]="BN","КАФЯВ - BROWN","") &amp; IF(Table1[[#This Row],[color_code]]="GN","ЗЕЛЕН - GREEN","") &amp; IF(Table1[[#This Row],[color_code]]="RD","ЧЕРВЕН* - RED","") &amp; IF(Table1[[#This Row],[color_code]]="YE","ЖЪЛТ - YELLOW","") &amp; IF(Table1[[#This Row],[color_code]]="GR","СИВ - GRAY","")  &amp;IF(Table1[[#This Row],[material_code]]="POM", CONCATENATE(", POM  - ДЕЛРИН, ", CHAR(10)),"") &amp; IF(Table1[[#This Row],[Is_Assembly]]=FALSE,IF(Table1[[#This Row],[process_cut]]=TRUE, "РЯЗАНЕ",", ФРЕЗОВАНЕ") &amp; CONCATENATE(", ") &amp; CONCATENATE(Table1[[#This Row],[Part_Length]],"mm"," x ", Table1[[#This Row],[Part_Width]],"mm", " x ", Table1[[#This Row],[Part_Height]],"mm"), "")</f>
        <v>ЧЕРЕН - BLACK, POM  - ДЕЛРИН, 
РЯЗАНЕ, 66mm x 47mm x 56mm</v>
      </c>
    </row>
  </sheetData>
  <autoFilter ref="Y1:AF285" xr:uid="{00000000-0001-0000-0000-000000000000}"/>
  <phoneticPr fontId="1" type="noConversion"/>
  <conditionalFormatting sqref="A1:A1048576">
    <cfRule type="duplicateValues" dxfId="11" priority="27"/>
  </conditionalFormatting>
  <conditionalFormatting sqref="G236">
    <cfRule type="duplicateValues" dxfId="10" priority="13"/>
  </conditionalFormatting>
  <conditionalFormatting sqref="G237">
    <cfRule type="duplicateValues" dxfId="9" priority="12"/>
  </conditionalFormatting>
  <conditionalFormatting sqref="G257">
    <cfRule type="duplicateValues" dxfId="8" priority="6"/>
    <cfRule type="duplicateValues" dxfId="7" priority="7"/>
  </conditionalFormatting>
  <conditionalFormatting sqref="G258">
    <cfRule type="duplicateValues" dxfId="6" priority="4"/>
    <cfRule type="duplicateValues" dxfId="5" priority="5"/>
  </conditionalFormatting>
  <conditionalFormatting sqref="H236">
    <cfRule type="duplicateValues" dxfId="4" priority="11"/>
  </conditionalFormatting>
  <conditionalFormatting sqref="H237">
    <cfRule type="duplicateValues" dxfId="3" priority="10"/>
  </conditionalFormatting>
  <conditionalFormatting sqref="H257:H258">
    <cfRule type="duplicateValues" dxfId="2" priority="2"/>
    <cfRule type="duplicateValues" dxfId="1" priority="3"/>
  </conditionalFormatting>
  <conditionalFormatting sqref="A2:A285">
    <cfRule type="duplicateValues" dxfId="0" priority="83"/>
  </conditionalFormatting>
  <pageMargins left="0.7" right="0.7" top="0.75" bottom="0.75" header="0.3" footer="0.3"/>
  <pageSetup paperSize="9" scale="15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86A210A7-6CBE-42AA-A2DB-70227FD39B07}">
          <x14:formula1>
            <xm:f>material_list!$A$2:$A$6</xm:f>
          </x14:formula1>
          <xm:sqref>N2:N285</xm:sqref>
        </x14:dataValidation>
        <x14:dataValidation type="list" allowBlank="1" showInputMessage="1" showErrorMessage="1" xr:uid="{6E271931-38A0-4724-BE89-D7EDCCC43DD2}">
          <x14:formula1>
            <xm:f>color_list!$A$2:$A$8</xm:f>
          </x14:formula1>
          <xm:sqref>M2:M285</xm:sqref>
        </x14:dataValidation>
        <x14:dataValidation type="list" allowBlank="1" showInputMessage="1" showErrorMessage="1" xr:uid="{3C08A238-BEF8-4214-B2B7-808DBE1B02D6}">
          <x14:formula1>
            <xm:f>type_list!$A$2:$A$12</xm:f>
          </x14:formula1>
          <xm:sqref>D2:D285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62B7-834F-4BD2-A629-C95740306FF3}">
  <sheetPr codeName="Sheet3"/>
  <dimension ref="A1:F7"/>
  <sheetViews>
    <sheetView workbookViewId="0">
      <selection activeCell="A11" sqref="A11"/>
    </sheetView>
  </sheetViews>
  <sheetFormatPr defaultRowHeight="14.4" x14ac:dyDescent="0.3"/>
  <cols>
    <col min="1" max="1" width="11.77734375" customWidth="1"/>
    <col min="2" max="2" width="24.33203125" bestFit="1" customWidth="1"/>
    <col min="3" max="3" width="12.21875" customWidth="1"/>
    <col min="4" max="4" width="11.88671875" customWidth="1"/>
    <col min="5" max="5" width="12.6640625" customWidth="1"/>
    <col min="6" max="6" width="12.33203125" customWidth="1"/>
  </cols>
  <sheetData>
    <row r="1" spans="1:6" x14ac:dyDescent="0.3">
      <c r="A1" t="s">
        <v>14</v>
      </c>
      <c r="B1" t="s">
        <v>15</v>
      </c>
      <c r="C1" t="s">
        <v>16</v>
      </c>
      <c r="D1" t="s">
        <v>11</v>
      </c>
      <c r="E1" t="s">
        <v>12</v>
      </c>
      <c r="F1" t="s">
        <v>13</v>
      </c>
    </row>
    <row r="2" spans="1:6" x14ac:dyDescent="0.3">
      <c r="A2" t="s">
        <v>258</v>
      </c>
      <c r="B2" t="s">
        <v>17</v>
      </c>
    </row>
    <row r="3" spans="1:6" x14ac:dyDescent="0.3">
      <c r="A3" t="s">
        <v>259</v>
      </c>
      <c r="B3" t="s">
        <v>18</v>
      </c>
    </row>
    <row r="4" spans="1:6" x14ac:dyDescent="0.3">
      <c r="A4" t="s">
        <v>260</v>
      </c>
      <c r="B4" t="s">
        <v>19</v>
      </c>
    </row>
    <row r="5" spans="1:6" x14ac:dyDescent="0.3">
      <c r="A5" t="s">
        <v>261</v>
      </c>
      <c r="B5" t="s">
        <v>262</v>
      </c>
    </row>
    <row r="6" spans="1:6" x14ac:dyDescent="0.3">
      <c r="A6" t="s">
        <v>501</v>
      </c>
      <c r="B6" t="s">
        <v>469</v>
      </c>
    </row>
    <row r="7" spans="1:6" x14ac:dyDescent="0.3">
      <c r="A7" t="s">
        <v>499</v>
      </c>
      <c r="B7" t="s">
        <v>500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D32C-13AE-4999-A106-C2CB899069D5}">
  <sheetPr codeName="Sheet6"/>
  <dimension ref="A1:I9"/>
  <sheetViews>
    <sheetView workbookViewId="0">
      <selection activeCell="A8" sqref="A8:I8"/>
    </sheetView>
  </sheetViews>
  <sheetFormatPr defaultRowHeight="14.4" x14ac:dyDescent="0.3"/>
  <cols>
    <col min="1" max="1" width="12.21875" customWidth="1"/>
    <col min="2" max="2" width="12.88671875" customWidth="1"/>
    <col min="3" max="3" width="16.44140625" bestFit="1" customWidth="1"/>
    <col min="4" max="4" width="11.21875" customWidth="1"/>
    <col min="5" max="5" width="15.109375" customWidth="1"/>
    <col min="6" max="6" width="10.109375" customWidth="1"/>
    <col min="7" max="7" width="11.88671875" customWidth="1"/>
    <col min="8" max="8" width="12.6640625" customWidth="1"/>
    <col min="9" max="9" width="12.33203125" customWidth="1"/>
  </cols>
  <sheetData>
    <row r="1" spans="1:9" x14ac:dyDescent="0.3">
      <c r="A1" t="s">
        <v>28</v>
      </c>
      <c r="B1" t="s">
        <v>29</v>
      </c>
      <c r="C1" t="s">
        <v>51</v>
      </c>
      <c r="D1" t="s">
        <v>30</v>
      </c>
      <c r="E1" t="s">
        <v>31</v>
      </c>
      <c r="F1" t="s">
        <v>27</v>
      </c>
      <c r="G1" t="s">
        <v>11</v>
      </c>
      <c r="H1" t="s">
        <v>12</v>
      </c>
      <c r="I1" t="s">
        <v>13</v>
      </c>
    </row>
    <row r="2" spans="1:9" x14ac:dyDescent="0.3">
      <c r="A2" t="s">
        <v>44</v>
      </c>
      <c r="B2" t="s">
        <v>32</v>
      </c>
      <c r="C2" t="s">
        <v>52</v>
      </c>
      <c r="F2" t="b">
        <v>1</v>
      </c>
    </row>
    <row r="3" spans="1:9" x14ac:dyDescent="0.3">
      <c r="A3" t="s">
        <v>45</v>
      </c>
      <c r="B3" t="s">
        <v>33</v>
      </c>
      <c r="C3" t="s">
        <v>53</v>
      </c>
      <c r="F3" t="b">
        <v>1</v>
      </c>
    </row>
    <row r="4" spans="1:9" x14ac:dyDescent="0.3">
      <c r="A4" t="s">
        <v>46</v>
      </c>
      <c r="B4" t="s">
        <v>39</v>
      </c>
      <c r="C4" t="s">
        <v>54</v>
      </c>
      <c r="F4" t="b">
        <v>1</v>
      </c>
    </row>
    <row r="5" spans="1:9" x14ac:dyDescent="0.3">
      <c r="A5" t="s">
        <v>47</v>
      </c>
      <c r="B5" t="s">
        <v>40</v>
      </c>
      <c r="C5" t="s">
        <v>55</v>
      </c>
      <c r="F5" t="b">
        <v>1</v>
      </c>
    </row>
    <row r="6" spans="1:9" x14ac:dyDescent="0.3">
      <c r="A6" t="s">
        <v>48</v>
      </c>
      <c r="B6" t="s">
        <v>41</v>
      </c>
      <c r="C6" t="s">
        <v>56</v>
      </c>
      <c r="F6" t="b">
        <v>1</v>
      </c>
    </row>
    <row r="7" spans="1:9" x14ac:dyDescent="0.3">
      <c r="A7" t="s">
        <v>49</v>
      </c>
      <c r="B7" t="s">
        <v>42</v>
      </c>
      <c r="C7" t="s">
        <v>57</v>
      </c>
      <c r="F7" t="b">
        <v>1</v>
      </c>
    </row>
    <row r="8" spans="1:9" x14ac:dyDescent="0.3">
      <c r="A8" t="s">
        <v>50</v>
      </c>
      <c r="B8" t="s">
        <v>43</v>
      </c>
      <c r="C8" t="s">
        <v>58</v>
      </c>
      <c r="F8" t="b">
        <v>1</v>
      </c>
    </row>
    <row r="9" spans="1:9" x14ac:dyDescent="0.3">
      <c r="A9" t="s">
        <v>466</v>
      </c>
      <c r="B9" t="s">
        <v>467</v>
      </c>
      <c r="C9" t="s">
        <v>468</v>
      </c>
      <c r="F9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790C-BB2F-431D-BC71-3A4FB5BCFE42}">
  <sheetPr codeName="Sheet7"/>
  <dimension ref="A1:K6"/>
  <sheetViews>
    <sheetView workbookViewId="0">
      <selection activeCell="F14" sqref="F14"/>
    </sheetView>
  </sheetViews>
  <sheetFormatPr defaultRowHeight="14.4" x14ac:dyDescent="0.3"/>
  <cols>
    <col min="1" max="1" width="14.88671875" customWidth="1"/>
    <col min="2" max="3" width="15.5546875" customWidth="1"/>
    <col min="4" max="4" width="10.21875" customWidth="1"/>
    <col min="5" max="5" width="19.44140625" customWidth="1"/>
    <col min="6" max="6" width="21.109375" customWidth="1"/>
    <col min="7" max="7" width="13.109375" customWidth="1"/>
    <col min="8" max="8" width="10.109375" customWidth="1"/>
    <col min="9" max="9" width="11.88671875" customWidth="1"/>
    <col min="10" max="10" width="12.6640625" customWidth="1"/>
    <col min="11" max="11" width="12.33203125" customWidth="1"/>
  </cols>
  <sheetData>
    <row r="1" spans="1:11" x14ac:dyDescent="0.3">
      <c r="A1" t="s">
        <v>21</v>
      </c>
      <c r="B1" t="s">
        <v>22</v>
      </c>
      <c r="C1" t="s">
        <v>59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11</v>
      </c>
      <c r="J1" t="s">
        <v>12</v>
      </c>
      <c r="K1" t="s">
        <v>13</v>
      </c>
    </row>
    <row r="2" spans="1:11" x14ac:dyDescent="0.3">
      <c r="A2" t="s">
        <v>34</v>
      </c>
      <c r="B2" t="s">
        <v>10</v>
      </c>
      <c r="C2" t="s">
        <v>60</v>
      </c>
      <c r="H2" t="b">
        <v>1</v>
      </c>
    </row>
    <row r="3" spans="1:11" x14ac:dyDescent="0.3">
      <c r="A3" t="s">
        <v>20</v>
      </c>
      <c r="B3" t="s">
        <v>35</v>
      </c>
      <c r="C3" t="s">
        <v>284</v>
      </c>
      <c r="H3" t="b">
        <v>1</v>
      </c>
    </row>
    <row r="4" spans="1:11" x14ac:dyDescent="0.3">
      <c r="A4" t="s">
        <v>36</v>
      </c>
      <c r="B4" t="s">
        <v>37</v>
      </c>
      <c r="C4" t="s">
        <v>61</v>
      </c>
      <c r="H4" t="b">
        <v>1</v>
      </c>
    </row>
    <row r="5" spans="1:11" x14ac:dyDescent="0.3">
      <c r="A5" t="s">
        <v>62</v>
      </c>
      <c r="B5" t="s">
        <v>63</v>
      </c>
      <c r="C5" t="s">
        <v>64</v>
      </c>
      <c r="H5" t="b">
        <v>1</v>
      </c>
    </row>
    <row r="6" spans="1:11" x14ac:dyDescent="0.3">
      <c r="A6" t="s">
        <v>67</v>
      </c>
      <c r="B6" t="s">
        <v>66</v>
      </c>
      <c r="C6" t="s">
        <v>65</v>
      </c>
      <c r="H6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D63C70-88E7-48AB-95E6-4C565552D1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product_list</vt:lpstr>
      <vt:lpstr>type_list</vt:lpstr>
      <vt:lpstr>color_list</vt:lpstr>
      <vt:lpstr>material_list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DIMITROV</dc:creator>
  <cp:lastModifiedBy>EloparBG EloparBG</cp:lastModifiedBy>
  <cp:lastPrinted>2026-07-22T11:52:54Z</cp:lastPrinted>
  <dcterms:created xsi:type="dcterms:W3CDTF">2015-06-05T18:17:20Z</dcterms:created>
  <dcterms:modified xsi:type="dcterms:W3CDTF">2026-07-24T10:28:26Z</dcterms:modified>
</cp:coreProperties>
</file>