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2.xml" ContentType="application/vnd.openxmlformats-officedocument.spreadsheetml.queryTable+xml"/>
  <Override PartName="/xl/tables/table18.xml" ContentType="application/vnd.openxmlformats-officedocument.spreadsheetml.table+xml"/>
  <Override PartName="/xl/queryTables/queryTable3.xml" ContentType="application/vnd.openxmlformats-officedocument.spreadsheetml.queryTable+xml"/>
  <Override PartName="/xl/tables/table19.xml" ContentType="application/vnd.openxmlformats-officedocument.spreadsheetml.table+xml"/>
  <Override PartName="/xl/queryTables/queryTable4.xml" ContentType="application/vnd.openxmlformats-officedocument.spreadsheetml.queryTable+xml"/>
  <Override PartName="/xl/tables/table20.xml" ContentType="application/vnd.openxmlformats-officedocument.spreadsheetml.table+xml"/>
  <Override PartName="/xl/queryTables/queryTable5.xml" ContentType="application/vnd.openxmlformats-officedocument.spreadsheetml.queryTable+xml"/>
  <Override PartName="/xl/tables/table21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:\production_data\"/>
    </mc:Choice>
  </mc:AlternateContent>
  <xr:revisionPtr revIDLastSave="0" documentId="13_ncr:1_{662F9912-4446-425F-8E94-1FA7369AD795}" xr6:coauthVersionLast="47" xr6:coauthVersionMax="47" xr10:uidLastSave="{00000000-0000-0000-0000-000000000000}"/>
  <bookViews>
    <workbookView xWindow="-108" yWindow="-108" windowWidth="23256" windowHeight="12576" tabRatio="902" activeTab="1" xr2:uid="{00000000-000D-0000-FFFF-FFFF00000000}"/>
  </bookViews>
  <sheets>
    <sheet name="product_list" sheetId="1" r:id="rId1"/>
    <sheet name="vlookup" sheetId="39" r:id="rId2"/>
    <sheet name="H248ClipPosition" sheetId="44" r:id="rId3"/>
    <sheet name="H248_SC35H" sheetId="45" r:id="rId4"/>
    <sheet name="h248LL" sheetId="43" r:id="rId5"/>
    <sheet name="sa_mma_3" sheetId="41" r:id="rId6"/>
    <sheet name="pivot_sa_mma_3" sheetId="42" r:id="rId7"/>
    <sheet name="batchs" sheetId="28" r:id="rId8"/>
    <sheet name="х248 миссинг" sheetId="35" r:id="rId9"/>
    <sheet name="dispach 0302026" sheetId="36" r:id="rId10"/>
    <sheet name="dispach 29062026" sheetId="34" r:id="rId11"/>
    <sheet name="product_list (2)" sheetId="7" r:id="rId12"/>
    <sheet name="type_list" sheetId="4" r:id="rId13"/>
    <sheet name="price_offer_list" sheetId="3" r:id="rId14"/>
    <sheet name="color_list" sheetId="2" r:id="rId15"/>
    <sheet name="material_list" sheetId="5" r:id="rId16"/>
    <sheet name="product_projects" sheetId="15" r:id="rId17"/>
    <sheet name="product_families" sheetId="16" r:id="rId18"/>
    <sheet name="barcode" sheetId="21" r:id="rId19"/>
    <sheet name="sps calc" sheetId="30" r:id="rId20"/>
    <sheet name="Sheet3" sheetId="31" r:id="rId21"/>
    <sheet name="pch" sheetId="9" r:id="rId22"/>
    <sheet name="b1-6" sheetId="19" r:id="rId23"/>
    <sheet name="engine" sheetId="24" r:id="rId24"/>
    <sheet name="main15_view" sheetId="25" r:id="rId25"/>
    <sheet name="11 jb rest view" sheetId="27" r:id="rId26"/>
    <sheet name="engine progress" sheetId="33" r:id="rId27"/>
  </sheets>
  <definedNames>
    <definedName name="_xlnm._FilterDatabase" localSheetId="3" hidden="1">H248_SC35H!$A$2:$D$42</definedName>
    <definedName name="_xlnm._FilterDatabase" localSheetId="2" hidden="1">H248ClipPosition!$A$2:$D$31</definedName>
    <definedName name="_xlnm._FilterDatabase" localSheetId="0" hidden="1">product_list!$AA$1:$AE$55</definedName>
    <definedName name="_xlnm._FilterDatabase" localSheetId="1" hidden="1">vlookup!$A$15:$J$149</definedName>
    <definedName name="defaultdb_barcode_scans" localSheetId="21" hidden="1">pch!#REF!</definedName>
    <definedName name="ExternalData_1" localSheetId="25" hidden="1">'11 jb rest view'!$A$1:$K$9</definedName>
    <definedName name="ExternalData_1" localSheetId="22" hidden="1">'b1-6'!$A$1:$AB$49</definedName>
    <definedName name="ExternalData_1" localSheetId="23" hidden="1">engine!$A$1:$AB$49</definedName>
    <definedName name="ExternalData_1" localSheetId="26" hidden="1">'engine progress'!$A$1:$K$49</definedName>
    <definedName name="ExternalData_1" localSheetId="4" hidden="1">'h248LL'!$A$1:$K$54</definedName>
    <definedName name="ExternalData_1" localSheetId="24" hidden="1">main15_view!$A$1:$K$97</definedName>
    <definedName name="Table18_1" localSheetId="21" hidden="1">pch!#REF!</definedName>
  </definedNames>
  <calcPr calcId="181029"/>
  <pivotCaches>
    <pivotCache cacheId="16" r:id="rId2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5" l="1"/>
  <c r="N3" i="25"/>
  <c r="N4" i="25"/>
  <c r="N5" i="25"/>
  <c r="N6" i="25"/>
  <c r="N7" i="25"/>
  <c r="N8" i="25"/>
  <c r="N9" i="25"/>
  <c r="N10" i="25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38" i="25"/>
  <c r="N39" i="25"/>
  <c r="N40" i="25"/>
  <c r="N41" i="25"/>
  <c r="N42" i="25"/>
  <c r="N43" i="25"/>
  <c r="N44" i="25"/>
  <c r="N45" i="25"/>
  <c r="N46" i="25"/>
  <c r="N47" i="25"/>
  <c r="O47" i="25" s="1"/>
  <c r="N48" i="25"/>
  <c r="N49" i="25"/>
  <c r="N50" i="25"/>
  <c r="N51" i="25"/>
  <c r="N52" i="25"/>
  <c r="N53" i="25"/>
  <c r="N54" i="25"/>
  <c r="N55" i="25"/>
  <c r="N56" i="25"/>
  <c r="N57" i="25"/>
  <c r="N58" i="25"/>
  <c r="N59" i="25"/>
  <c r="N60" i="25"/>
  <c r="N61" i="25"/>
  <c r="N62" i="25"/>
  <c r="N63" i="25"/>
  <c r="N64" i="25"/>
  <c r="N65" i="25"/>
  <c r="N66" i="25"/>
  <c r="N67" i="25"/>
  <c r="N68" i="25"/>
  <c r="N69" i="25"/>
  <c r="N70" i="25"/>
  <c r="N71" i="25"/>
  <c r="N72" i="25"/>
  <c r="N73" i="25"/>
  <c r="N74" i="25"/>
  <c r="N75" i="25"/>
  <c r="N76" i="25"/>
  <c r="N77" i="25"/>
  <c r="N78" i="25"/>
  <c r="N79" i="25"/>
  <c r="N80" i="25"/>
  <c r="N81" i="25"/>
  <c r="N82" i="25"/>
  <c r="N83" i="25"/>
  <c r="N84" i="25"/>
  <c r="N85" i="25"/>
  <c r="N86" i="25"/>
  <c r="N87" i="25"/>
  <c r="N88" i="25"/>
  <c r="N89" i="25"/>
  <c r="N90" i="25"/>
  <c r="N91" i="25"/>
  <c r="N92" i="25"/>
  <c r="N93" i="25"/>
  <c r="N94" i="25"/>
  <c r="N95" i="25"/>
  <c r="N96" i="25"/>
  <c r="N97" i="25"/>
  <c r="O2" i="25"/>
  <c r="O3" i="25"/>
  <c r="O4" i="25"/>
  <c r="O5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C3" i="45"/>
  <c r="C4" i="45"/>
  <c r="C5" i="45"/>
  <c r="C6" i="45"/>
  <c r="C7" i="45"/>
  <c r="C8" i="45"/>
  <c r="C9" i="45"/>
  <c r="C10" i="45"/>
  <c r="C11" i="45"/>
  <c r="C12" i="45"/>
  <c r="C13" i="45"/>
  <c r="C14" i="45"/>
  <c r="C15" i="45"/>
  <c r="C16" i="45"/>
  <c r="C17" i="45"/>
  <c r="C18" i="45"/>
  <c r="C19" i="45"/>
  <c r="C20" i="45"/>
  <c r="C21" i="45"/>
  <c r="C22" i="45"/>
  <c r="C23" i="45"/>
  <c r="C24" i="45"/>
  <c r="C25" i="45"/>
  <c r="C26" i="45"/>
  <c r="C27" i="45"/>
  <c r="C28" i="45"/>
  <c r="C29" i="45"/>
  <c r="C30" i="45"/>
  <c r="C31" i="45"/>
  <c r="C32" i="45"/>
  <c r="C33" i="45"/>
  <c r="C34" i="45"/>
  <c r="C35" i="45"/>
  <c r="C36" i="45"/>
  <c r="C37" i="45"/>
  <c r="C38" i="45"/>
  <c r="C39" i="45"/>
  <c r="C40" i="45"/>
  <c r="C41" i="45"/>
  <c r="C42" i="45"/>
  <c r="C4" i="44" l="1"/>
  <c r="C5" i="44"/>
  <c r="C6" i="44"/>
  <c r="C8" i="44"/>
  <c r="C9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25" i="44"/>
  <c r="C26" i="44"/>
  <c r="C27" i="44"/>
  <c r="C28" i="44"/>
  <c r="C29" i="44"/>
  <c r="C30" i="44"/>
  <c r="C31" i="44"/>
  <c r="C3" i="44"/>
  <c r="Y56" i="1" l="1"/>
  <c r="Y57" i="1"/>
  <c r="AD120" i="1"/>
  <c r="AA120" i="1" s="1"/>
  <c r="H149" i="39"/>
  <c r="H148" i="39"/>
  <c r="H25" i="39"/>
  <c r="H26" i="39"/>
  <c r="H27" i="39"/>
  <c r="H28" i="39"/>
  <c r="H29" i="39"/>
  <c r="H30" i="39"/>
  <c r="H31" i="39"/>
  <c r="H32" i="39"/>
  <c r="H33" i="39"/>
  <c r="H34" i="39"/>
  <c r="H35" i="39"/>
  <c r="H36" i="39"/>
  <c r="H37" i="39"/>
  <c r="H38" i="39"/>
  <c r="H39" i="39"/>
  <c r="H40" i="39"/>
  <c r="H41" i="39"/>
  <c r="H42" i="39"/>
  <c r="H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56" i="39"/>
  <c r="H57" i="39"/>
  <c r="H58" i="39"/>
  <c r="H59" i="39"/>
  <c r="H60" i="39"/>
  <c r="H61" i="39"/>
  <c r="H62" i="39"/>
  <c r="H63" i="39"/>
  <c r="H64" i="39"/>
  <c r="H65" i="39"/>
  <c r="H66" i="39"/>
  <c r="H67" i="39"/>
  <c r="H68" i="39"/>
  <c r="H69" i="39"/>
  <c r="H70" i="39"/>
  <c r="H71" i="39"/>
  <c r="H72" i="39"/>
  <c r="H73" i="39"/>
  <c r="H74" i="39"/>
  <c r="H75" i="39"/>
  <c r="H76" i="39"/>
  <c r="H77" i="39"/>
  <c r="H78" i="39"/>
  <c r="H79" i="39"/>
  <c r="H80" i="39"/>
  <c r="H81" i="39"/>
  <c r="H82" i="39"/>
  <c r="H83" i="39"/>
  <c r="H84" i="39"/>
  <c r="H85" i="39"/>
  <c r="H86" i="39"/>
  <c r="H87" i="39"/>
  <c r="H88" i="39"/>
  <c r="H89" i="39"/>
  <c r="H90" i="39"/>
  <c r="H91" i="39"/>
  <c r="H92" i="39"/>
  <c r="H93" i="39"/>
  <c r="H94" i="39"/>
  <c r="H95" i="39"/>
  <c r="H96" i="39"/>
  <c r="H97" i="39"/>
  <c r="H98" i="39"/>
  <c r="H99" i="39"/>
  <c r="H100" i="39"/>
  <c r="H101" i="39"/>
  <c r="H102" i="39"/>
  <c r="H103" i="39"/>
  <c r="H104" i="39"/>
  <c r="H105" i="39"/>
  <c r="H106" i="39"/>
  <c r="H107" i="39"/>
  <c r="H108" i="39"/>
  <c r="H109" i="39"/>
  <c r="H110" i="39"/>
  <c r="H111" i="39"/>
  <c r="H112" i="39"/>
  <c r="H113" i="39"/>
  <c r="H114" i="39"/>
  <c r="H115" i="39"/>
  <c r="H116" i="39"/>
  <c r="H117" i="39"/>
  <c r="H118" i="39"/>
  <c r="H119" i="39"/>
  <c r="H120" i="39"/>
  <c r="H121" i="39"/>
  <c r="H122" i="39"/>
  <c r="H123" i="39"/>
  <c r="H124" i="39"/>
  <c r="H125" i="39"/>
  <c r="H126" i="39"/>
  <c r="H127" i="39"/>
  <c r="H128" i="39"/>
  <c r="H129" i="39"/>
  <c r="H130" i="39"/>
  <c r="H131" i="39"/>
  <c r="H132" i="39"/>
  <c r="H133" i="39"/>
  <c r="H134" i="39"/>
  <c r="H135" i="39"/>
  <c r="H136" i="39"/>
  <c r="H137" i="39"/>
  <c r="H138" i="39"/>
  <c r="H139" i="39"/>
  <c r="H140" i="39"/>
  <c r="H141" i="39"/>
  <c r="H142" i="39"/>
  <c r="H143" i="39"/>
  <c r="H144" i="39"/>
  <c r="H145" i="39"/>
  <c r="H146" i="39"/>
  <c r="H147" i="39"/>
  <c r="H16" i="39"/>
  <c r="H17" i="39"/>
  <c r="H24" i="39"/>
  <c r="H23" i="39"/>
  <c r="H22" i="39"/>
  <c r="H21" i="39"/>
  <c r="H20" i="39"/>
  <c r="H19" i="39"/>
  <c r="H18" i="39"/>
  <c r="AD300" i="1"/>
  <c r="AA300" i="1" s="1"/>
  <c r="AD301" i="1"/>
  <c r="AA301" i="1" s="1"/>
  <c r="AD302" i="1"/>
  <c r="AD303" i="1"/>
  <c r="AD304" i="1"/>
  <c r="AD305" i="1"/>
  <c r="AD306" i="1"/>
  <c r="AD307" i="1"/>
  <c r="AD308" i="1"/>
  <c r="AD309" i="1"/>
  <c r="AC300" i="1"/>
  <c r="AC301" i="1"/>
  <c r="AC302" i="1"/>
  <c r="AC303" i="1"/>
  <c r="AC304" i="1"/>
  <c r="AC305" i="1"/>
  <c r="AC306" i="1"/>
  <c r="AC307" i="1"/>
  <c r="AC308" i="1"/>
  <c r="AC309" i="1"/>
  <c r="AD284" i="1"/>
  <c r="AA284" i="1" s="1"/>
  <c r="AC284" i="1"/>
  <c r="AC2" i="1"/>
  <c r="AC3" i="1"/>
  <c r="AC4" i="1"/>
  <c r="AC5" i="1"/>
  <c r="AC6" i="1"/>
  <c r="AD299" i="1"/>
  <c r="AC299" i="1"/>
  <c r="AD3" i="1"/>
  <c r="AD4" i="1"/>
  <c r="AD5" i="1"/>
  <c r="AA5" i="1" s="1"/>
  <c r="AD6" i="1"/>
  <c r="AA6" i="1" s="1"/>
  <c r="AD7" i="1"/>
  <c r="AD8" i="1"/>
  <c r="AD9" i="1"/>
  <c r="AA9" i="1" s="1"/>
  <c r="AD10" i="1"/>
  <c r="AA10" i="1" s="1"/>
  <c r="AD11" i="1"/>
  <c r="AD12" i="1"/>
  <c r="AD13" i="1"/>
  <c r="AD14" i="1"/>
  <c r="AA14" i="1" s="1"/>
  <c r="AD15" i="1"/>
  <c r="AD16" i="1"/>
  <c r="AA16" i="1" s="1"/>
  <c r="Y16" i="1" s="1"/>
  <c r="AD17" i="1"/>
  <c r="AA17" i="1" s="1"/>
  <c r="Y17" i="1" s="1"/>
  <c r="AD18" i="1"/>
  <c r="AA18" i="1" s="1"/>
  <c r="AD19" i="1"/>
  <c r="AD20" i="1"/>
  <c r="AD21" i="1"/>
  <c r="AD22" i="1"/>
  <c r="AA22" i="1" s="1"/>
  <c r="Y22" i="1" s="1"/>
  <c r="AD23" i="1"/>
  <c r="AD24" i="1"/>
  <c r="AD25" i="1"/>
  <c r="AD26" i="1"/>
  <c r="AA26" i="1" s="1"/>
  <c r="AD27" i="1"/>
  <c r="AA27" i="1" s="1"/>
  <c r="Y27" i="1" s="1"/>
  <c r="AD28" i="1"/>
  <c r="AD29" i="1"/>
  <c r="AD30" i="1"/>
  <c r="AA30" i="1" s="1"/>
  <c r="Y30" i="1" s="1"/>
  <c r="AD31" i="1"/>
  <c r="AD32" i="1"/>
  <c r="AA32" i="1" s="1"/>
  <c r="Y32" i="1" s="1"/>
  <c r="AD33" i="1"/>
  <c r="AA33" i="1" s="1"/>
  <c r="Y33" i="1" s="1"/>
  <c r="AD34" i="1"/>
  <c r="AA34" i="1" s="1"/>
  <c r="AD35" i="1"/>
  <c r="AD36" i="1"/>
  <c r="AD37" i="1"/>
  <c r="AD38" i="1"/>
  <c r="AA38" i="1" s="1"/>
  <c r="AD39" i="1"/>
  <c r="AD40" i="1"/>
  <c r="AD41" i="1"/>
  <c r="AA41" i="1" s="1"/>
  <c r="Y41" i="1" s="1"/>
  <c r="AD42" i="1"/>
  <c r="AA42" i="1" s="1"/>
  <c r="AD43" i="1"/>
  <c r="AD44" i="1"/>
  <c r="AD45" i="1"/>
  <c r="AD46" i="1"/>
  <c r="AA46" i="1" s="1"/>
  <c r="AD47" i="1"/>
  <c r="AD48" i="1"/>
  <c r="AD49" i="1"/>
  <c r="AD50" i="1"/>
  <c r="AA50" i="1" s="1"/>
  <c r="Y50" i="1" s="1"/>
  <c r="AD51" i="1"/>
  <c r="AD52" i="1"/>
  <c r="AD53" i="1"/>
  <c r="AD54" i="1"/>
  <c r="AA54" i="1" s="1"/>
  <c r="AD55" i="1"/>
  <c r="AD58" i="1"/>
  <c r="AD59" i="1"/>
  <c r="AD60" i="1"/>
  <c r="AA60" i="1" s="1"/>
  <c r="Y60" i="1" s="1"/>
  <c r="AD61" i="1"/>
  <c r="AD62" i="1"/>
  <c r="AD63" i="1"/>
  <c r="AD64" i="1"/>
  <c r="AA64" i="1" s="1"/>
  <c r="AD65" i="1"/>
  <c r="AD66" i="1"/>
  <c r="AA66" i="1" s="1"/>
  <c r="Y66" i="1" s="1"/>
  <c r="AD67" i="1"/>
  <c r="AD68" i="1"/>
  <c r="AA68" i="1" s="1"/>
  <c r="Y68" i="1" s="1"/>
  <c r="AD69" i="1"/>
  <c r="AA69" i="1" s="1"/>
  <c r="Y69" i="1" s="1"/>
  <c r="AD70" i="1"/>
  <c r="AD71" i="1"/>
  <c r="AD72" i="1"/>
  <c r="AA72" i="1" s="1"/>
  <c r="AD73" i="1"/>
  <c r="AD74" i="1"/>
  <c r="AD75" i="1"/>
  <c r="AD76" i="1"/>
  <c r="AA76" i="1" s="1"/>
  <c r="AD77" i="1"/>
  <c r="AD78" i="1"/>
  <c r="AD79" i="1"/>
  <c r="AA79" i="1" s="1"/>
  <c r="Y79" i="1" s="1"/>
  <c r="AD80" i="1"/>
  <c r="AA80" i="1" s="1"/>
  <c r="AD81" i="1"/>
  <c r="AA81" i="1" s="1"/>
  <c r="Y81" i="1" s="1"/>
  <c r="AD82" i="1"/>
  <c r="AD83" i="1"/>
  <c r="AD84" i="1"/>
  <c r="AA84" i="1" s="1"/>
  <c r="AD85" i="1"/>
  <c r="AD86" i="1"/>
  <c r="AA86" i="1" s="1"/>
  <c r="Y86" i="1" s="1"/>
  <c r="AD87" i="1"/>
  <c r="AD88" i="1"/>
  <c r="AA88" i="1" s="1"/>
  <c r="AD89" i="1"/>
  <c r="AD90" i="1"/>
  <c r="AD91" i="1"/>
  <c r="AA91" i="1" s="1"/>
  <c r="Y91" i="1" s="1"/>
  <c r="AD92" i="1"/>
  <c r="AA92" i="1" s="1"/>
  <c r="Y92" i="1" s="1"/>
  <c r="AD93" i="1"/>
  <c r="AA93" i="1" s="1"/>
  <c r="Y93" i="1" s="1"/>
  <c r="AD94" i="1"/>
  <c r="AD95" i="1"/>
  <c r="AD96" i="1"/>
  <c r="AA96" i="1" s="1"/>
  <c r="Y96" i="1" s="1"/>
  <c r="AD97" i="1"/>
  <c r="AA97" i="1" s="1"/>
  <c r="Y97" i="1" s="1"/>
  <c r="AD98" i="1"/>
  <c r="AA98" i="1" s="1"/>
  <c r="Y98" i="1" s="1"/>
  <c r="AD99" i="1"/>
  <c r="AA99" i="1" s="1"/>
  <c r="Y99" i="1" s="1"/>
  <c r="AD100" i="1"/>
  <c r="AA100" i="1" s="1"/>
  <c r="Y100" i="1" s="1"/>
  <c r="AD101" i="1"/>
  <c r="AA101" i="1" s="1"/>
  <c r="Y101" i="1" s="1"/>
  <c r="AD102" i="1"/>
  <c r="AA102" i="1" s="1"/>
  <c r="Y102" i="1" s="1"/>
  <c r="AD103" i="1"/>
  <c r="AD104" i="1"/>
  <c r="AA104" i="1" s="1"/>
  <c r="AD105" i="1"/>
  <c r="AA105" i="1" s="1"/>
  <c r="Y105" i="1" s="1"/>
  <c r="AD106" i="1"/>
  <c r="AD107" i="1"/>
  <c r="AA107" i="1" s="1"/>
  <c r="Y107" i="1" s="1"/>
  <c r="AD108" i="1"/>
  <c r="AA108" i="1" s="1"/>
  <c r="Y108" i="1" s="1"/>
  <c r="AD109" i="1"/>
  <c r="AA109" i="1" s="1"/>
  <c r="Y109" i="1" s="1"/>
  <c r="AD110" i="1"/>
  <c r="AA110" i="1" s="1"/>
  <c r="Y110" i="1" s="1"/>
  <c r="AD111" i="1"/>
  <c r="AD112" i="1"/>
  <c r="AA112" i="1" s="1"/>
  <c r="Y112" i="1" s="1"/>
  <c r="AD113" i="1"/>
  <c r="AA113" i="1" s="1"/>
  <c r="Y113" i="1" s="1"/>
  <c r="AD114" i="1"/>
  <c r="AA114" i="1" s="1"/>
  <c r="Y114" i="1" s="1"/>
  <c r="AD115" i="1"/>
  <c r="AA115" i="1" s="1"/>
  <c r="Y115" i="1" s="1"/>
  <c r="AD116" i="1"/>
  <c r="AA116" i="1" s="1"/>
  <c r="Y116" i="1" s="1"/>
  <c r="AD117" i="1"/>
  <c r="AA117" i="1" s="1"/>
  <c r="Y117" i="1" s="1"/>
  <c r="AD118" i="1"/>
  <c r="AA118" i="1" s="1"/>
  <c r="Y118" i="1" s="1"/>
  <c r="AD119" i="1"/>
  <c r="AA119" i="1" s="1"/>
  <c r="Y119" i="1" s="1"/>
  <c r="AD121" i="1"/>
  <c r="AD122" i="1"/>
  <c r="AA122" i="1" s="1"/>
  <c r="Y122" i="1" s="1"/>
  <c r="AD123" i="1"/>
  <c r="AA123" i="1" s="1"/>
  <c r="Y123" i="1" s="1"/>
  <c r="AD124" i="1"/>
  <c r="AD125" i="1"/>
  <c r="AA125" i="1" s="1"/>
  <c r="Y125" i="1" s="1"/>
  <c r="AD126" i="1"/>
  <c r="AD127" i="1"/>
  <c r="AD128" i="1"/>
  <c r="AD129" i="1"/>
  <c r="AA129" i="1" s="1"/>
  <c r="Y129" i="1" s="1"/>
  <c r="AD130" i="1"/>
  <c r="AA130" i="1" s="1"/>
  <c r="Y130" i="1" s="1"/>
  <c r="AD131" i="1"/>
  <c r="AA131" i="1" s="1"/>
  <c r="Y131" i="1" s="1"/>
  <c r="AD132" i="1"/>
  <c r="AA132" i="1" s="1"/>
  <c r="Y132" i="1" s="1"/>
  <c r="AD133" i="1"/>
  <c r="AA133" i="1" s="1"/>
  <c r="Y133" i="1" s="1"/>
  <c r="AD134" i="1"/>
  <c r="AA134" i="1" s="1"/>
  <c r="Y134" i="1" s="1"/>
  <c r="AD135" i="1"/>
  <c r="AA135" i="1" s="1"/>
  <c r="Y135" i="1" s="1"/>
  <c r="AD136" i="1"/>
  <c r="AA136" i="1" s="1"/>
  <c r="Y136" i="1" s="1"/>
  <c r="AD137" i="1"/>
  <c r="AA137" i="1" s="1"/>
  <c r="Y137" i="1" s="1"/>
  <c r="AD138" i="1"/>
  <c r="AD139" i="1"/>
  <c r="AD140" i="1"/>
  <c r="AD141" i="1"/>
  <c r="AA141" i="1" s="1"/>
  <c r="Y141" i="1" s="1"/>
  <c r="AD142" i="1"/>
  <c r="AD143" i="1"/>
  <c r="AA143" i="1" s="1"/>
  <c r="Y143" i="1" s="1"/>
  <c r="AD144" i="1"/>
  <c r="AD145" i="1"/>
  <c r="AD146" i="1"/>
  <c r="AA146" i="1" s="1"/>
  <c r="Y146" i="1" s="1"/>
  <c r="AD147" i="1"/>
  <c r="AA147" i="1" s="1"/>
  <c r="Y147" i="1" s="1"/>
  <c r="AD148" i="1"/>
  <c r="AD149" i="1"/>
  <c r="AA149" i="1" s="1"/>
  <c r="Y149" i="1" s="1"/>
  <c r="AD150" i="1"/>
  <c r="AA150" i="1" s="1"/>
  <c r="Y150" i="1" s="1"/>
  <c r="AD151" i="1"/>
  <c r="AD152" i="1"/>
  <c r="AA152" i="1" s="1"/>
  <c r="Y152" i="1" s="1"/>
  <c r="AD153" i="1"/>
  <c r="AA153" i="1" s="1"/>
  <c r="Y153" i="1" s="1"/>
  <c r="AD154" i="1"/>
  <c r="AA154" i="1" s="1"/>
  <c r="Y154" i="1" s="1"/>
  <c r="AD155" i="1"/>
  <c r="AA155" i="1" s="1"/>
  <c r="Y155" i="1" s="1"/>
  <c r="AD156" i="1"/>
  <c r="AA156" i="1" s="1"/>
  <c r="Y156" i="1" s="1"/>
  <c r="AD157" i="1"/>
  <c r="AD158" i="1"/>
  <c r="AD159" i="1"/>
  <c r="AD160" i="1"/>
  <c r="AD161" i="1"/>
  <c r="AD162" i="1"/>
  <c r="AD163" i="1"/>
  <c r="AD164" i="1"/>
  <c r="AD165" i="1"/>
  <c r="AD166" i="1"/>
  <c r="AD167" i="1"/>
  <c r="AA167" i="1" s="1"/>
  <c r="Y167" i="1" s="1"/>
  <c r="AD168" i="1"/>
  <c r="AA168" i="1" s="1"/>
  <c r="Y168" i="1" s="1"/>
  <c r="AD169" i="1"/>
  <c r="AA169" i="1" s="1"/>
  <c r="Y169" i="1" s="1"/>
  <c r="AD170" i="1"/>
  <c r="AA170" i="1" s="1"/>
  <c r="Y170" i="1" s="1"/>
  <c r="AD171" i="1"/>
  <c r="AA171" i="1" s="1"/>
  <c r="Y171" i="1" s="1"/>
  <c r="AD172" i="1"/>
  <c r="AA172" i="1" s="1"/>
  <c r="Y172" i="1" s="1"/>
  <c r="AD173" i="1"/>
  <c r="AA173" i="1" s="1"/>
  <c r="Y173" i="1" s="1"/>
  <c r="AD174" i="1"/>
  <c r="AA174" i="1" s="1"/>
  <c r="Y174" i="1" s="1"/>
  <c r="AD175" i="1"/>
  <c r="AA175" i="1" s="1"/>
  <c r="Y175" i="1" s="1"/>
  <c r="AD176" i="1"/>
  <c r="AA176" i="1" s="1"/>
  <c r="Y176" i="1" s="1"/>
  <c r="AD177" i="1"/>
  <c r="AA177" i="1" s="1"/>
  <c r="Y177" i="1" s="1"/>
  <c r="AD178" i="1"/>
  <c r="AA178" i="1" s="1"/>
  <c r="Y178" i="1" s="1"/>
  <c r="AD179" i="1"/>
  <c r="AA179" i="1" s="1"/>
  <c r="Y179" i="1" s="1"/>
  <c r="AD180" i="1"/>
  <c r="AA180" i="1" s="1"/>
  <c r="Y180" i="1" s="1"/>
  <c r="AD181" i="1"/>
  <c r="AA181" i="1" s="1"/>
  <c r="Y181" i="1" s="1"/>
  <c r="AD182" i="1"/>
  <c r="AA182" i="1" s="1"/>
  <c r="Y182" i="1" s="1"/>
  <c r="AD183" i="1"/>
  <c r="AA183" i="1" s="1"/>
  <c r="Y183" i="1" s="1"/>
  <c r="AD184" i="1"/>
  <c r="AA184" i="1" s="1"/>
  <c r="Y184" i="1" s="1"/>
  <c r="AD185" i="1"/>
  <c r="AA185" i="1" s="1"/>
  <c r="Y185" i="1" s="1"/>
  <c r="AD186" i="1"/>
  <c r="AA186" i="1" s="1"/>
  <c r="Y186" i="1" s="1"/>
  <c r="AD187" i="1"/>
  <c r="AA187" i="1" s="1"/>
  <c r="Y187" i="1" s="1"/>
  <c r="AD188" i="1"/>
  <c r="AA188" i="1" s="1"/>
  <c r="Y188" i="1" s="1"/>
  <c r="AD189" i="1"/>
  <c r="AA189" i="1" s="1"/>
  <c r="Y189" i="1" s="1"/>
  <c r="AD190" i="1"/>
  <c r="AD191" i="1"/>
  <c r="AA191" i="1" s="1"/>
  <c r="Y191" i="1" s="1"/>
  <c r="AD192" i="1"/>
  <c r="AA192" i="1" s="1"/>
  <c r="Y192" i="1" s="1"/>
  <c r="AD193" i="1"/>
  <c r="AA193" i="1" s="1"/>
  <c r="Y193" i="1" s="1"/>
  <c r="AD194" i="1"/>
  <c r="AA194" i="1" s="1"/>
  <c r="Y194" i="1" s="1"/>
  <c r="AD195" i="1"/>
  <c r="AA195" i="1" s="1"/>
  <c r="Y195" i="1" s="1"/>
  <c r="AD196" i="1"/>
  <c r="AA196" i="1" s="1"/>
  <c r="Y196" i="1" s="1"/>
  <c r="AD197" i="1"/>
  <c r="AA197" i="1" s="1"/>
  <c r="Y197" i="1" s="1"/>
  <c r="AD198" i="1"/>
  <c r="AA198" i="1" s="1"/>
  <c r="Y198" i="1" s="1"/>
  <c r="AD199" i="1"/>
  <c r="AA199" i="1" s="1"/>
  <c r="Y199" i="1" s="1"/>
  <c r="AD200" i="1"/>
  <c r="AA200" i="1" s="1"/>
  <c r="Y200" i="1" s="1"/>
  <c r="AD201" i="1"/>
  <c r="AD202" i="1"/>
  <c r="AD203" i="1"/>
  <c r="AA203" i="1" s="1"/>
  <c r="Y203" i="1" s="1"/>
  <c r="AD204" i="1"/>
  <c r="AA204" i="1" s="1"/>
  <c r="Y204" i="1" s="1"/>
  <c r="AD205" i="1"/>
  <c r="AA205" i="1" s="1"/>
  <c r="Y205" i="1" s="1"/>
  <c r="AD206" i="1"/>
  <c r="AA206" i="1" s="1"/>
  <c r="Y206" i="1" s="1"/>
  <c r="AD207" i="1"/>
  <c r="AA207" i="1" s="1"/>
  <c r="Y207" i="1" s="1"/>
  <c r="AD208" i="1"/>
  <c r="AA208" i="1" s="1"/>
  <c r="Y208" i="1" s="1"/>
  <c r="AD209" i="1"/>
  <c r="AA209" i="1" s="1"/>
  <c r="Y209" i="1" s="1"/>
  <c r="AD210" i="1"/>
  <c r="AA210" i="1" s="1"/>
  <c r="Y210" i="1" s="1"/>
  <c r="AD211" i="1"/>
  <c r="AA211" i="1" s="1"/>
  <c r="Y211" i="1" s="1"/>
  <c r="AD212" i="1"/>
  <c r="AA212" i="1" s="1"/>
  <c r="Y212" i="1" s="1"/>
  <c r="AD213" i="1"/>
  <c r="AA213" i="1" s="1"/>
  <c r="Y213" i="1" s="1"/>
  <c r="AD214" i="1"/>
  <c r="AA214" i="1" s="1"/>
  <c r="Y214" i="1" s="1"/>
  <c r="AD215" i="1"/>
  <c r="AA215" i="1" s="1"/>
  <c r="Y215" i="1" s="1"/>
  <c r="AD216" i="1"/>
  <c r="AA216" i="1" s="1"/>
  <c r="Y216" i="1" s="1"/>
  <c r="AD217" i="1"/>
  <c r="AA217" i="1" s="1"/>
  <c r="Y217" i="1" s="1"/>
  <c r="AD218" i="1"/>
  <c r="AA218" i="1" s="1"/>
  <c r="Y218" i="1" s="1"/>
  <c r="AD219" i="1"/>
  <c r="AA219" i="1" s="1"/>
  <c r="Y219" i="1" s="1"/>
  <c r="AD220" i="1"/>
  <c r="AA220" i="1" s="1"/>
  <c r="Y220" i="1" s="1"/>
  <c r="AD221" i="1"/>
  <c r="AD222" i="1"/>
  <c r="AA222" i="1" s="1"/>
  <c r="Y222" i="1" s="1"/>
  <c r="AD223" i="1"/>
  <c r="AA223" i="1" s="1"/>
  <c r="Y223" i="1" s="1"/>
  <c r="AD224" i="1"/>
  <c r="AA224" i="1" s="1"/>
  <c r="Y224" i="1" s="1"/>
  <c r="AD225" i="1"/>
  <c r="AD226" i="1"/>
  <c r="AA226" i="1" s="1"/>
  <c r="Y226" i="1" s="1"/>
  <c r="AD227" i="1"/>
  <c r="AA227" i="1" s="1"/>
  <c r="Y227" i="1" s="1"/>
  <c r="AD228" i="1"/>
  <c r="AA228" i="1" s="1"/>
  <c r="Y228" i="1" s="1"/>
  <c r="AD229" i="1"/>
  <c r="AA229" i="1" s="1"/>
  <c r="Y229" i="1" s="1"/>
  <c r="AD230" i="1"/>
  <c r="AD231" i="1"/>
  <c r="AD232" i="1"/>
  <c r="AD233" i="1"/>
  <c r="AA234" i="1"/>
  <c r="Y234" i="1" s="1"/>
  <c r="AA235" i="1"/>
  <c r="Y235" i="1" s="1"/>
  <c r="AA236" i="1"/>
  <c r="Y236" i="1" s="1"/>
  <c r="AD240" i="1"/>
  <c r="AD241" i="1"/>
  <c r="AD242" i="1"/>
  <c r="AD243" i="1"/>
  <c r="AD244" i="1"/>
  <c r="AA244" i="1" s="1"/>
  <c r="Y244" i="1" s="1"/>
  <c r="AD245" i="1"/>
  <c r="AA245" i="1" s="1"/>
  <c r="Y245" i="1" s="1"/>
  <c r="AD246" i="1"/>
  <c r="AD247" i="1"/>
  <c r="AD248" i="1"/>
  <c r="AA248" i="1" s="1"/>
  <c r="Y248" i="1" s="1"/>
  <c r="AD249" i="1"/>
  <c r="AA250" i="1"/>
  <c r="Y250" i="1" s="1"/>
  <c r="AA251" i="1"/>
  <c r="Y251" i="1" s="1"/>
  <c r="AA252" i="1"/>
  <c r="Y252" i="1" s="1"/>
  <c r="AA253" i="1"/>
  <c r="Y253" i="1" s="1"/>
  <c r="AA254" i="1"/>
  <c r="Y254" i="1" s="1"/>
  <c r="AA255" i="1"/>
  <c r="Y255" i="1" s="1"/>
  <c r="AA256" i="1"/>
  <c r="Y256" i="1" s="1"/>
  <c r="AA257" i="1"/>
  <c r="Y257" i="1" s="1"/>
  <c r="AA258" i="1"/>
  <c r="Y258" i="1" s="1"/>
  <c r="AD259" i="1"/>
  <c r="AA259" i="1" s="1"/>
  <c r="Y259" i="1" s="1"/>
  <c r="AA263" i="1"/>
  <c r="Y263" i="1" s="1"/>
  <c r="AA264" i="1"/>
  <c r="Y264" i="1" s="1"/>
  <c r="AA265" i="1"/>
  <c r="Y265" i="1" s="1"/>
  <c r="AA266" i="1"/>
  <c r="Y266" i="1" s="1"/>
  <c r="AA267" i="1"/>
  <c r="Y267" i="1" s="1"/>
  <c r="AA268" i="1"/>
  <c r="Y268" i="1" s="1"/>
  <c r="AA269" i="1"/>
  <c r="Y269" i="1" s="1"/>
  <c r="AA270" i="1"/>
  <c r="Y270" i="1" s="1"/>
  <c r="AA271" i="1"/>
  <c r="Y271" i="1" s="1"/>
  <c r="AA272" i="1"/>
  <c r="Y272" i="1" s="1"/>
  <c r="AA273" i="1"/>
  <c r="Y273" i="1" s="1"/>
  <c r="AA274" i="1"/>
  <c r="Y274" i="1" s="1"/>
  <c r="AD275" i="1"/>
  <c r="AD276" i="1"/>
  <c r="AA276" i="1" s="1"/>
  <c r="Y276" i="1" s="1"/>
  <c r="AD277" i="1"/>
  <c r="AD281" i="1"/>
  <c r="AA281" i="1" s="1"/>
  <c r="Y281" i="1" s="1"/>
  <c r="AD282" i="1"/>
  <c r="AD283" i="1"/>
  <c r="AD285" i="1"/>
  <c r="AA285" i="1" s="1"/>
  <c r="Y285" i="1" s="1"/>
  <c r="AD286" i="1"/>
  <c r="AD287" i="1"/>
  <c r="AA287" i="1" s="1"/>
  <c r="AD288" i="1"/>
  <c r="AA288" i="1" s="1"/>
  <c r="Y288" i="1" s="1"/>
  <c r="AD289" i="1"/>
  <c r="AA289" i="1" s="1"/>
  <c r="Y289" i="1" s="1"/>
  <c r="AD290" i="1"/>
  <c r="AA290" i="1" s="1"/>
  <c r="Y290" i="1" s="1"/>
  <c r="AD291" i="1"/>
  <c r="AA291" i="1" s="1"/>
  <c r="Y291" i="1" s="1"/>
  <c r="AD292" i="1"/>
  <c r="AA292" i="1" s="1"/>
  <c r="Y292" i="1" s="1"/>
  <c r="AD293" i="1"/>
  <c r="AA293" i="1" s="1"/>
  <c r="Y293" i="1" s="1"/>
  <c r="AD294" i="1"/>
  <c r="AD295" i="1"/>
  <c r="AA295" i="1" s="1"/>
  <c r="AD296" i="1"/>
  <c r="AA296" i="1" s="1"/>
  <c r="Y296" i="1" s="1"/>
  <c r="AD297" i="1"/>
  <c r="AA297" i="1" s="1"/>
  <c r="Y297" i="1" s="1"/>
  <c r="AD298" i="1"/>
  <c r="AA298" i="1" s="1"/>
  <c r="Y298" i="1" s="1"/>
  <c r="AD2" i="1"/>
  <c r="AA2" i="1" s="1"/>
  <c r="Y2" i="1" s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A280" i="1" l="1"/>
  <c r="Y280" i="1" s="1"/>
  <c r="AA260" i="1"/>
  <c r="Y260" i="1" s="1"/>
  <c r="AA160" i="1"/>
  <c r="Y160" i="1" s="1"/>
  <c r="AA148" i="1"/>
  <c r="Y148" i="1" s="1"/>
  <c r="AA232" i="1"/>
  <c r="Y232" i="1" s="1"/>
  <c r="AA164" i="1"/>
  <c r="Y164" i="1" s="1"/>
  <c r="AA111" i="1"/>
  <c r="Y111" i="1" s="1"/>
  <c r="AA103" i="1"/>
  <c r="Y103" i="1" s="1"/>
  <c r="AA95" i="1"/>
  <c r="Y95" i="1" s="1"/>
  <c r="AA83" i="1"/>
  <c r="Y83" i="1" s="1"/>
  <c r="AA71" i="1"/>
  <c r="Y71" i="1" s="1"/>
  <c r="AA240" i="1"/>
  <c r="Y240" i="1" s="1"/>
  <c r="AA144" i="1"/>
  <c r="Y144" i="1" s="1"/>
  <c r="AA140" i="1"/>
  <c r="Y140" i="1" s="1"/>
  <c r="AA128" i="1"/>
  <c r="Y128" i="1" s="1"/>
  <c r="AA124" i="1"/>
  <c r="Y124" i="1" s="1"/>
  <c r="AA87" i="1"/>
  <c r="Y87" i="1" s="1"/>
  <c r="AA75" i="1"/>
  <c r="Y75" i="1" s="1"/>
  <c r="AA63" i="1"/>
  <c r="Y63" i="1" s="1"/>
  <c r="AA49" i="1"/>
  <c r="Y49" i="1" s="1"/>
  <c r="AA25" i="1"/>
  <c r="Y25" i="1" s="1"/>
  <c r="AA13" i="1"/>
  <c r="Y13" i="1" s="1"/>
  <c r="AA299" i="1"/>
  <c r="Y299" i="1" s="1"/>
  <c r="AA67" i="1"/>
  <c r="Y67" i="1" s="1"/>
  <c r="AA53" i="1"/>
  <c r="Y53" i="1" s="1"/>
  <c r="AA45" i="1"/>
  <c r="Y45" i="1" s="1"/>
  <c r="AA283" i="1"/>
  <c r="Y283" i="1" s="1"/>
  <c r="AA275" i="1"/>
  <c r="Y275" i="1" s="1"/>
  <c r="AA247" i="1"/>
  <c r="Y247" i="1" s="1"/>
  <c r="AA243" i="1"/>
  <c r="Y243" i="1" s="1"/>
  <c r="AA239" i="1"/>
  <c r="Y239" i="1" s="1"/>
  <c r="AA231" i="1"/>
  <c r="Y231" i="1" s="1"/>
  <c r="AA163" i="1"/>
  <c r="Y163" i="1" s="1"/>
  <c r="AA151" i="1"/>
  <c r="Y151" i="1" s="1"/>
  <c r="AA139" i="1"/>
  <c r="Y139" i="1" s="1"/>
  <c r="AA127" i="1"/>
  <c r="Y127" i="1" s="1"/>
  <c r="AA94" i="1"/>
  <c r="Y94" i="1" s="1"/>
  <c r="AA90" i="1"/>
  <c r="Y90" i="1" s="1"/>
  <c r="AA82" i="1"/>
  <c r="Y82" i="1" s="1"/>
  <c r="AA74" i="1"/>
  <c r="Y74" i="1" s="1"/>
  <c r="AA58" i="1"/>
  <c r="Y58" i="1" s="1"/>
  <c r="AA48" i="1"/>
  <c r="Y48" i="1" s="1"/>
  <c r="AA20" i="1"/>
  <c r="Y20" i="1" s="1"/>
  <c r="AA282" i="1"/>
  <c r="Y282" i="1" s="1"/>
  <c r="AA278" i="1"/>
  <c r="Y278" i="1" s="1"/>
  <c r="AA262" i="1"/>
  <c r="Y262" i="1" s="1"/>
  <c r="AA246" i="1"/>
  <c r="Y246" i="1" s="1"/>
  <c r="AA242" i="1"/>
  <c r="Y242" i="1" s="1"/>
  <c r="AA238" i="1"/>
  <c r="Y238" i="1" s="1"/>
  <c r="AA230" i="1"/>
  <c r="Y230" i="1" s="1"/>
  <c r="AA202" i="1"/>
  <c r="Y202" i="1" s="1"/>
  <c r="AA190" i="1"/>
  <c r="Y190" i="1" s="1"/>
  <c r="AA166" i="1"/>
  <c r="Y166" i="1" s="1"/>
  <c r="AA162" i="1"/>
  <c r="Y162" i="1" s="1"/>
  <c r="AA158" i="1"/>
  <c r="Y158" i="1" s="1"/>
  <c r="AA142" i="1"/>
  <c r="Y142" i="1" s="1"/>
  <c r="AA138" i="1"/>
  <c r="Y138" i="1" s="1"/>
  <c r="AA126" i="1"/>
  <c r="Y126" i="1" s="1"/>
  <c r="AA89" i="1"/>
  <c r="Y89" i="1" s="1"/>
  <c r="AA85" i="1"/>
  <c r="Y85" i="1" s="1"/>
  <c r="AA77" i="1"/>
  <c r="Y77" i="1" s="1"/>
  <c r="AA73" i="1"/>
  <c r="Y73" i="1" s="1"/>
  <c r="AA65" i="1"/>
  <c r="Y65" i="1" s="1"/>
  <c r="AA61" i="1"/>
  <c r="Y61" i="1" s="1"/>
  <c r="AA55" i="1"/>
  <c r="Y55" i="1" s="1"/>
  <c r="AA51" i="1"/>
  <c r="Y51" i="1" s="1"/>
  <c r="AA47" i="1"/>
  <c r="Y47" i="1" s="1"/>
  <c r="AA43" i="1"/>
  <c r="Y43" i="1" s="1"/>
  <c r="AA39" i="1"/>
  <c r="Y39" i="1" s="1"/>
  <c r="AA35" i="1"/>
  <c r="Y35" i="1" s="1"/>
  <c r="AA31" i="1"/>
  <c r="Y31" i="1" s="1"/>
  <c r="AA23" i="1"/>
  <c r="Y23" i="1" s="1"/>
  <c r="AA19" i="1"/>
  <c r="Y19" i="1" s="1"/>
  <c r="AA15" i="1"/>
  <c r="Y15" i="1" s="1"/>
  <c r="AA11" i="1"/>
  <c r="Y11" i="1" s="1"/>
  <c r="AA7" i="1"/>
  <c r="Y7" i="1" s="1"/>
  <c r="AA3" i="1"/>
  <c r="Y3" i="1" s="1"/>
  <c r="Y301" i="1"/>
  <c r="AA59" i="1"/>
  <c r="Y59" i="1" s="1"/>
  <c r="AA37" i="1"/>
  <c r="Y37" i="1" s="1"/>
  <c r="AA29" i="1"/>
  <c r="Y29" i="1" s="1"/>
  <c r="AA21" i="1"/>
  <c r="Y21" i="1" s="1"/>
  <c r="AA279" i="1"/>
  <c r="Y279" i="1" s="1"/>
  <c r="AA159" i="1"/>
  <c r="Y159" i="1" s="1"/>
  <c r="AA106" i="1"/>
  <c r="Y106" i="1" s="1"/>
  <c r="AA78" i="1"/>
  <c r="Y78" i="1" s="1"/>
  <c r="AA70" i="1"/>
  <c r="Y70" i="1" s="1"/>
  <c r="AA62" i="1"/>
  <c r="Y62" i="1" s="1"/>
  <c r="AA52" i="1"/>
  <c r="Y52" i="1" s="1"/>
  <c r="AA44" i="1"/>
  <c r="Y44" i="1" s="1"/>
  <c r="AA40" i="1"/>
  <c r="Y40" i="1" s="1"/>
  <c r="AA36" i="1"/>
  <c r="Y36" i="1" s="1"/>
  <c r="AA28" i="1"/>
  <c r="Y28" i="1" s="1"/>
  <c r="AA24" i="1"/>
  <c r="Y24" i="1" s="1"/>
  <c r="AA12" i="1"/>
  <c r="Y12" i="1" s="1"/>
  <c r="AA8" i="1"/>
  <c r="Y8" i="1" s="1"/>
  <c r="AA4" i="1"/>
  <c r="Y4" i="1" s="1"/>
  <c r="AA294" i="1"/>
  <c r="Y294" i="1" s="1"/>
  <c r="AA286" i="1"/>
  <c r="Y286" i="1" s="1"/>
  <c r="AA277" i="1"/>
  <c r="Y277" i="1" s="1"/>
  <c r="AA261" i="1"/>
  <c r="Y261" i="1" s="1"/>
  <c r="AA249" i="1"/>
  <c r="Y249" i="1" s="1"/>
  <c r="AA241" i="1"/>
  <c r="Y241" i="1" s="1"/>
  <c r="AA237" i="1"/>
  <c r="Y237" i="1" s="1"/>
  <c r="AA233" i="1"/>
  <c r="Y233" i="1" s="1"/>
  <c r="AA225" i="1"/>
  <c r="Y225" i="1" s="1"/>
  <c r="AA221" i="1"/>
  <c r="Y221" i="1" s="1"/>
  <c r="AA201" i="1"/>
  <c r="Y201" i="1" s="1"/>
  <c r="AA165" i="1"/>
  <c r="Y165" i="1" s="1"/>
  <c r="AA161" i="1"/>
  <c r="Y161" i="1" s="1"/>
  <c r="AA157" i="1"/>
  <c r="Y157" i="1" s="1"/>
  <c r="AA145" i="1"/>
  <c r="Y145" i="1" s="1"/>
  <c r="AA121" i="1"/>
  <c r="Y121" i="1" s="1"/>
  <c r="Y295" i="1"/>
  <c r="Y287" i="1"/>
  <c r="Y104" i="1"/>
  <c r="Y88" i="1"/>
  <c r="Y84" i="1"/>
  <c r="Y80" i="1"/>
  <c r="Y76" i="1"/>
  <c r="Y72" i="1"/>
  <c r="Y64" i="1"/>
  <c r="Y54" i="1"/>
  <c r="Y46" i="1"/>
  <c r="Y42" i="1"/>
  <c r="Y38" i="1"/>
  <c r="Y34" i="1"/>
  <c r="Y26" i="1"/>
  <c r="Y18" i="1"/>
  <c r="Y14" i="1"/>
  <c r="Y10" i="1"/>
  <c r="Y284" i="1"/>
  <c r="Y300" i="1"/>
  <c r="Y6" i="1"/>
  <c r="Y9" i="1"/>
  <c r="Y5" i="1"/>
  <c r="D2" i="39"/>
  <c r="D3" i="39" l="1"/>
  <c r="D4" i="39"/>
  <c r="D5" i="39"/>
  <c r="D6" i="39"/>
  <c r="D7" i="39"/>
  <c r="D8" i="39"/>
  <c r="D9" i="39"/>
  <c r="D10" i="39"/>
  <c r="D11" i="39"/>
  <c r="D12" i="39"/>
  <c r="D13" i="39"/>
  <c r="D14" i="39"/>
  <c r="B319" i="9" l="1"/>
  <c r="B320" i="9"/>
  <c r="C320" i="9" s="1"/>
  <c r="B321" i="9"/>
  <c r="C321" i="9" s="1"/>
  <c r="B322" i="9"/>
  <c r="C322" i="9" s="1"/>
  <c r="B323" i="9"/>
  <c r="B324" i="9"/>
  <c r="C324" i="9" s="1"/>
  <c r="B325" i="9"/>
  <c r="C325" i="9" s="1"/>
  <c r="B326" i="9"/>
  <c r="C326" i="9" s="1"/>
  <c r="B327" i="9"/>
  <c r="B328" i="9"/>
  <c r="C328" i="9" s="1"/>
  <c r="B329" i="9"/>
  <c r="C329" i="9" s="1"/>
  <c r="B330" i="9"/>
  <c r="C330" i="9" s="1"/>
  <c r="B331" i="9"/>
  <c r="C331" i="9" s="1"/>
  <c r="B332" i="9"/>
  <c r="C332" i="9" s="1"/>
  <c r="B333" i="9"/>
  <c r="C333" i="9" s="1"/>
  <c r="B334" i="9"/>
  <c r="C334" i="9" s="1"/>
  <c r="B335" i="9"/>
  <c r="B336" i="9"/>
  <c r="C336" i="9" s="1"/>
  <c r="B337" i="9"/>
  <c r="C337" i="9" s="1"/>
  <c r="B338" i="9"/>
  <c r="C338" i="9" s="1"/>
  <c r="B339" i="9"/>
  <c r="B340" i="9"/>
  <c r="C340" i="9" s="1"/>
  <c r="B341" i="9"/>
  <c r="C341" i="9" s="1"/>
  <c r="B342" i="9"/>
  <c r="C342" i="9" s="1"/>
  <c r="B343" i="9"/>
  <c r="B344" i="9"/>
  <c r="C344" i="9" s="1"/>
  <c r="B345" i="9"/>
  <c r="C345" i="9" s="1"/>
  <c r="B346" i="9"/>
  <c r="C346" i="9" s="1"/>
  <c r="B347" i="9"/>
  <c r="C347" i="9" s="1"/>
  <c r="B348" i="9"/>
  <c r="C348" i="9" s="1"/>
  <c r="B349" i="9"/>
  <c r="C349" i="9" s="1"/>
  <c r="B350" i="9"/>
  <c r="C350" i="9" s="1"/>
  <c r="B351" i="9"/>
  <c r="C351" i="9" s="1"/>
  <c r="B352" i="9"/>
  <c r="C352" i="9" s="1"/>
  <c r="B353" i="9"/>
  <c r="C353" i="9" s="1"/>
  <c r="B354" i="9"/>
  <c r="C354" i="9" s="1"/>
  <c r="B355" i="9"/>
  <c r="C355" i="9" s="1"/>
  <c r="B356" i="9"/>
  <c r="C356" i="9" s="1"/>
  <c r="B357" i="9"/>
  <c r="C357" i="9" s="1"/>
  <c r="B358" i="9"/>
  <c r="C358" i="9" s="1"/>
  <c r="B359" i="9"/>
  <c r="C359" i="9" s="1"/>
  <c r="B360" i="9"/>
  <c r="C360" i="9" s="1"/>
  <c r="B361" i="9"/>
  <c r="C361" i="9" s="1"/>
  <c r="B362" i="9"/>
  <c r="C362" i="9" s="1"/>
  <c r="B363" i="9"/>
  <c r="C363" i="9" s="1"/>
  <c r="B364" i="9"/>
  <c r="C364" i="9" s="1"/>
  <c r="B365" i="9"/>
  <c r="C365" i="9" s="1"/>
  <c r="B366" i="9"/>
  <c r="C366" i="9" s="1"/>
  <c r="B367" i="9"/>
  <c r="C367" i="9" s="1"/>
  <c r="B368" i="9"/>
  <c r="C368" i="9" s="1"/>
  <c r="B369" i="9"/>
  <c r="C369" i="9" s="1"/>
  <c r="B370" i="9"/>
  <c r="C370" i="9" s="1"/>
  <c r="B371" i="9"/>
  <c r="C371" i="9" s="1"/>
  <c r="B372" i="9"/>
  <c r="C372" i="9" s="1"/>
  <c r="B373" i="9"/>
  <c r="C373" i="9" s="1"/>
  <c r="B374" i="9"/>
  <c r="C374" i="9" s="1"/>
  <c r="B375" i="9"/>
  <c r="C375" i="9" s="1"/>
  <c r="B376" i="9"/>
  <c r="C376" i="9" s="1"/>
  <c r="B377" i="9"/>
  <c r="C377" i="9" s="1"/>
  <c r="B378" i="9"/>
  <c r="C378" i="9" s="1"/>
  <c r="B379" i="9"/>
  <c r="C379" i="9" s="1"/>
  <c r="B380" i="9"/>
  <c r="C380" i="9" s="1"/>
  <c r="B381" i="9"/>
  <c r="C381" i="9" s="1"/>
  <c r="B382" i="9"/>
  <c r="C382" i="9" s="1"/>
  <c r="B383" i="9"/>
  <c r="C383" i="9" s="1"/>
  <c r="B384" i="9"/>
  <c r="C384" i="9" s="1"/>
  <c r="B385" i="9"/>
  <c r="C385" i="9" s="1"/>
  <c r="B386" i="9"/>
  <c r="C386" i="9" s="1"/>
  <c r="B387" i="9"/>
  <c r="C387" i="9" s="1"/>
  <c r="B388" i="9"/>
  <c r="C388" i="9" s="1"/>
  <c r="B389" i="9"/>
  <c r="C389" i="9" s="1"/>
  <c r="B390" i="9"/>
  <c r="C390" i="9" s="1"/>
  <c r="B391" i="9"/>
  <c r="C391" i="9" s="1"/>
  <c r="B392" i="9"/>
  <c r="C392" i="9" s="1"/>
  <c r="B393" i="9"/>
  <c r="C393" i="9" s="1"/>
  <c r="B394" i="9"/>
  <c r="C394" i="9" s="1"/>
  <c r="B395" i="9"/>
  <c r="C395" i="9" s="1"/>
  <c r="B396" i="9"/>
  <c r="C396" i="9" s="1"/>
  <c r="B397" i="9"/>
  <c r="C397" i="9" s="1"/>
  <c r="B398" i="9"/>
  <c r="C398" i="9" s="1"/>
  <c r="B399" i="9"/>
  <c r="C399" i="9" s="1"/>
  <c r="B400" i="9"/>
  <c r="C400" i="9" s="1"/>
  <c r="B401" i="9"/>
  <c r="C401" i="9" s="1"/>
  <c r="B402" i="9"/>
  <c r="C402" i="9" s="1"/>
  <c r="B403" i="9"/>
  <c r="C403" i="9" s="1"/>
  <c r="B404" i="9"/>
  <c r="C404" i="9" s="1"/>
  <c r="B405" i="9"/>
  <c r="C405" i="9" s="1"/>
  <c r="B406" i="9"/>
  <c r="C406" i="9" s="1"/>
  <c r="B407" i="9"/>
  <c r="C407" i="9" s="1"/>
  <c r="B408" i="9"/>
  <c r="C408" i="9" s="1"/>
  <c r="B409" i="9"/>
  <c r="C409" i="9" s="1"/>
  <c r="B410" i="9"/>
  <c r="C410" i="9" s="1"/>
  <c r="B411" i="9"/>
  <c r="C411" i="9" s="1"/>
  <c r="B412" i="9"/>
  <c r="C412" i="9" s="1"/>
  <c r="B413" i="9"/>
  <c r="C413" i="9" s="1"/>
  <c r="B414" i="9"/>
  <c r="C414" i="9" s="1"/>
  <c r="B415" i="9"/>
  <c r="C415" i="9" s="1"/>
  <c r="B416" i="9"/>
  <c r="C416" i="9" s="1"/>
  <c r="B417" i="9"/>
  <c r="C417" i="9" s="1"/>
  <c r="B418" i="9"/>
  <c r="C418" i="9" s="1"/>
  <c r="B419" i="9"/>
  <c r="C419" i="9" s="1"/>
  <c r="B420" i="9"/>
  <c r="C420" i="9" s="1"/>
  <c r="B421" i="9"/>
  <c r="C421" i="9" s="1"/>
  <c r="B422" i="9"/>
  <c r="C422" i="9" s="1"/>
  <c r="B423" i="9"/>
  <c r="C423" i="9" s="1"/>
  <c r="B424" i="9"/>
  <c r="C424" i="9" s="1"/>
  <c r="B425" i="9"/>
  <c r="C425" i="9" s="1"/>
  <c r="B426" i="9"/>
  <c r="C426" i="9" s="1"/>
  <c r="B427" i="9"/>
  <c r="C427" i="9" s="1"/>
  <c r="B428" i="9"/>
  <c r="C428" i="9" s="1"/>
  <c r="B429" i="9"/>
  <c r="C429" i="9" s="1"/>
  <c r="B430" i="9"/>
  <c r="C430" i="9" s="1"/>
  <c r="B431" i="9"/>
  <c r="C431" i="9" s="1"/>
  <c r="B432" i="9"/>
  <c r="C432" i="9" s="1"/>
  <c r="B433" i="9"/>
  <c r="C433" i="9" s="1"/>
  <c r="B434" i="9"/>
  <c r="C434" i="9" s="1"/>
  <c r="B435" i="9"/>
  <c r="C435" i="9" s="1"/>
  <c r="B436" i="9"/>
  <c r="C436" i="9" s="1"/>
  <c r="B437" i="9"/>
  <c r="C437" i="9" s="1"/>
  <c r="B438" i="9"/>
  <c r="C438" i="9" s="1"/>
  <c r="B439" i="9"/>
  <c r="C439" i="9" s="1"/>
  <c r="B440" i="9"/>
  <c r="C440" i="9" s="1"/>
  <c r="B441" i="9"/>
  <c r="C441" i="9" s="1"/>
  <c r="B442" i="9"/>
  <c r="C442" i="9" s="1"/>
  <c r="B443" i="9"/>
  <c r="C443" i="9" s="1"/>
  <c r="B444" i="9"/>
  <c r="C444" i="9" s="1"/>
  <c r="B445" i="9"/>
  <c r="C445" i="9" s="1"/>
  <c r="B446" i="9"/>
  <c r="C446" i="9" s="1"/>
  <c r="B447" i="9"/>
  <c r="C447" i="9" s="1"/>
  <c r="B448" i="9"/>
  <c r="C448" i="9" s="1"/>
  <c r="B449" i="9"/>
  <c r="C449" i="9" s="1"/>
  <c r="B450" i="9"/>
  <c r="C450" i="9" s="1"/>
  <c r="B451" i="9"/>
  <c r="C451" i="9" s="1"/>
  <c r="B452" i="9"/>
  <c r="C452" i="9" s="1"/>
  <c r="B453" i="9"/>
  <c r="C453" i="9" s="1"/>
  <c r="B454" i="9"/>
  <c r="C454" i="9" s="1"/>
  <c r="B455" i="9"/>
  <c r="C455" i="9" s="1"/>
  <c r="B456" i="9"/>
  <c r="C456" i="9" s="1"/>
  <c r="B457" i="9"/>
  <c r="C457" i="9" s="1"/>
  <c r="B458" i="9"/>
  <c r="C458" i="9" s="1"/>
  <c r="B459" i="9"/>
  <c r="C459" i="9" s="1"/>
  <c r="B460" i="9"/>
  <c r="C460" i="9" s="1"/>
  <c r="B461" i="9"/>
  <c r="C461" i="9" s="1"/>
  <c r="B462" i="9"/>
  <c r="C462" i="9" s="1"/>
  <c r="B463" i="9"/>
  <c r="C463" i="9" s="1"/>
  <c r="B464" i="9"/>
  <c r="C464" i="9" s="1"/>
  <c r="B465" i="9"/>
  <c r="C465" i="9" s="1"/>
  <c r="B466" i="9"/>
  <c r="C466" i="9" s="1"/>
  <c r="B467" i="9"/>
  <c r="C467" i="9" s="1"/>
  <c r="B468" i="9"/>
  <c r="C468" i="9" s="1"/>
  <c r="B469" i="9"/>
  <c r="C469" i="9" s="1"/>
  <c r="B470" i="9"/>
  <c r="C470" i="9" s="1"/>
  <c r="B471" i="9"/>
  <c r="C471" i="9" s="1"/>
  <c r="B472" i="9"/>
  <c r="C472" i="9" s="1"/>
  <c r="B473" i="9"/>
  <c r="C473" i="9" s="1"/>
  <c r="B474" i="9"/>
  <c r="C474" i="9" s="1"/>
  <c r="B475" i="9"/>
  <c r="C475" i="9" s="1"/>
  <c r="B476" i="9"/>
  <c r="C476" i="9" s="1"/>
  <c r="B477" i="9"/>
  <c r="C477" i="9" s="1"/>
  <c r="B478" i="9"/>
  <c r="C478" i="9" s="1"/>
  <c r="B479" i="9"/>
  <c r="C479" i="9" s="1"/>
  <c r="B480" i="9"/>
  <c r="C480" i="9" s="1"/>
  <c r="B481" i="9"/>
  <c r="C481" i="9" s="1"/>
  <c r="B482" i="9"/>
  <c r="C482" i="9" s="1"/>
  <c r="B483" i="9"/>
  <c r="C483" i="9" s="1"/>
  <c r="B484" i="9"/>
  <c r="C484" i="9" s="1"/>
  <c r="B485" i="9"/>
  <c r="C485" i="9" s="1"/>
  <c r="B486" i="9"/>
  <c r="C486" i="9" s="1"/>
  <c r="B487" i="9"/>
  <c r="C487" i="9" s="1"/>
  <c r="B488" i="9"/>
  <c r="C488" i="9" s="1"/>
  <c r="B489" i="9"/>
  <c r="C489" i="9" s="1"/>
  <c r="C319" i="9"/>
  <c r="C323" i="9"/>
  <c r="C327" i="9"/>
  <c r="C335" i="9"/>
  <c r="C339" i="9"/>
  <c r="C343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B303" i="9"/>
  <c r="B304" i="9"/>
  <c r="C304" i="9" s="1"/>
  <c r="B305" i="9"/>
  <c r="C305" i="9" s="1"/>
  <c r="B306" i="9"/>
  <c r="C306" i="9" s="1"/>
  <c r="B307" i="9"/>
  <c r="C307" i="9" s="1"/>
  <c r="B308" i="9"/>
  <c r="B309" i="9"/>
  <c r="C309" i="9" s="1"/>
  <c r="B310" i="9"/>
  <c r="C310" i="9" s="1"/>
  <c r="B311" i="9"/>
  <c r="C311" i="9" s="1"/>
  <c r="B312" i="9"/>
  <c r="C312" i="9" s="1"/>
  <c r="B313" i="9"/>
  <c r="C313" i="9" s="1"/>
  <c r="B314" i="9"/>
  <c r="C314" i="9" s="1"/>
  <c r="B315" i="9"/>
  <c r="C315" i="9" s="1"/>
  <c r="B316" i="9"/>
  <c r="C316" i="9" s="1"/>
  <c r="B317" i="9"/>
  <c r="C317" i="9" s="1"/>
  <c r="B318" i="9"/>
  <c r="C318" i="9" s="1"/>
  <c r="C303" i="9"/>
  <c r="C308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Y276" i="35"/>
  <c r="Y275" i="35"/>
  <c r="Y273" i="35"/>
  <c r="Y272" i="35"/>
  <c r="Y271" i="35"/>
  <c r="Y270" i="35"/>
  <c r="Y269" i="35"/>
  <c r="Y268" i="35"/>
  <c r="Y267" i="35"/>
  <c r="Y266" i="35"/>
  <c r="Y265" i="35"/>
  <c r="Y264" i="35"/>
  <c r="Y263" i="35"/>
  <c r="Y262" i="35"/>
  <c r="Y261" i="35"/>
  <c r="Y260" i="35"/>
  <c r="Y258" i="35"/>
  <c r="Y257" i="35"/>
  <c r="Y256" i="35"/>
  <c r="Y255" i="35"/>
  <c r="Y254" i="35"/>
  <c r="Y253" i="35"/>
  <c r="Y252" i="35"/>
  <c r="Y251" i="35"/>
  <c r="Y250" i="35"/>
  <c r="Y249" i="35"/>
  <c r="Y248" i="35"/>
  <c r="Y247" i="35"/>
  <c r="Y246" i="35"/>
  <c r="Y245" i="35"/>
  <c r="Y244" i="35"/>
  <c r="Y243" i="35"/>
  <c r="Y242" i="35"/>
  <c r="Y241" i="35"/>
  <c r="Y240" i="35"/>
  <c r="Y239" i="35"/>
  <c r="Y238" i="35"/>
  <c r="Y237" i="35"/>
  <c r="Y236" i="35"/>
  <c r="Y235" i="35"/>
  <c r="Y234" i="35"/>
  <c r="Y233" i="35"/>
  <c r="Y232" i="35"/>
  <c r="Y231" i="35"/>
  <c r="Y230" i="35"/>
  <c r="Y229" i="35"/>
  <c r="Y228" i="35"/>
  <c r="Y227" i="35"/>
  <c r="Y226" i="35"/>
  <c r="Y225" i="35"/>
  <c r="Y224" i="35"/>
  <c r="Y223" i="35"/>
  <c r="Y222" i="35"/>
  <c r="Y221" i="35"/>
  <c r="Y220" i="35"/>
  <c r="Y219" i="35"/>
  <c r="Y218" i="35"/>
  <c r="Y217" i="35"/>
  <c r="Y216" i="35"/>
  <c r="Y215" i="35"/>
  <c r="Y214" i="35"/>
  <c r="Y213" i="35"/>
  <c r="Y212" i="35"/>
  <c r="Y211" i="35"/>
  <c r="Y210" i="35"/>
  <c r="Y209" i="35"/>
  <c r="Y208" i="35"/>
  <c r="Y207" i="35"/>
  <c r="Y206" i="35"/>
  <c r="Y205" i="35"/>
  <c r="Y204" i="35"/>
  <c r="Y203" i="35"/>
  <c r="Y202" i="35"/>
  <c r="Y201" i="35"/>
  <c r="Y200" i="35"/>
  <c r="Y199" i="35"/>
  <c r="Y198" i="35"/>
  <c r="Y197" i="35"/>
  <c r="Y196" i="35"/>
  <c r="Y195" i="35"/>
  <c r="Y194" i="35"/>
  <c r="Y193" i="35"/>
  <c r="Y192" i="35"/>
  <c r="Y191" i="35"/>
  <c r="Y190" i="35"/>
  <c r="Y189" i="35"/>
  <c r="Y188" i="35"/>
  <c r="Y187" i="35"/>
  <c r="Y186" i="35"/>
  <c r="Y185" i="35"/>
  <c r="Y184" i="35"/>
  <c r="Y183" i="35"/>
  <c r="Y182" i="35"/>
  <c r="Y181" i="35"/>
  <c r="Y180" i="35"/>
  <c r="Y179" i="35"/>
  <c r="Y178" i="35"/>
  <c r="Y177" i="35"/>
  <c r="Y176" i="35"/>
  <c r="Y175" i="35"/>
  <c r="Y174" i="35"/>
  <c r="Y173" i="35"/>
  <c r="Y172" i="35"/>
  <c r="Y171" i="35"/>
  <c r="Y170" i="35"/>
  <c r="Y169" i="35"/>
  <c r="Y168" i="35"/>
  <c r="Y167" i="35"/>
  <c r="Y166" i="35"/>
  <c r="Y165" i="35"/>
  <c r="Y164" i="35"/>
  <c r="Y163" i="35"/>
  <c r="Y162" i="35"/>
  <c r="Y161" i="35"/>
  <c r="Y160" i="35"/>
  <c r="Y159" i="35"/>
  <c r="Y158" i="35"/>
  <c r="Y157" i="35"/>
  <c r="Y156" i="35"/>
  <c r="Y155" i="35"/>
  <c r="Y154" i="35"/>
  <c r="Y153" i="35"/>
  <c r="Y152" i="35"/>
  <c r="Y151" i="35"/>
  <c r="Y150" i="35"/>
  <c r="Y149" i="35"/>
  <c r="Y148" i="35"/>
  <c r="Y147" i="35"/>
  <c r="Y146" i="35"/>
  <c r="Y145" i="35"/>
  <c r="Y144" i="35"/>
  <c r="Y143" i="35"/>
  <c r="Y142" i="35"/>
  <c r="Y141" i="35"/>
  <c r="Y140" i="35"/>
  <c r="Y139" i="35"/>
  <c r="Y138" i="35"/>
  <c r="Y137" i="35"/>
  <c r="Y136" i="35"/>
  <c r="Y135" i="35"/>
  <c r="Y134" i="35"/>
  <c r="Y133" i="35"/>
  <c r="Y132" i="35"/>
  <c r="Y131" i="35"/>
  <c r="Y130" i="35"/>
  <c r="Y129" i="35"/>
  <c r="Y128" i="35"/>
  <c r="Y127" i="35"/>
  <c r="Y126" i="35"/>
  <c r="Y125" i="35"/>
  <c r="Y124" i="35"/>
  <c r="Y123" i="35"/>
  <c r="Y122" i="35"/>
  <c r="Y121" i="35"/>
  <c r="Y120" i="35"/>
  <c r="Y119" i="35"/>
  <c r="Y118" i="35"/>
  <c r="Y117" i="35"/>
  <c r="Y116" i="35"/>
  <c r="Y115" i="35"/>
  <c r="Y114" i="35"/>
  <c r="Y113" i="35"/>
  <c r="Y112" i="35"/>
  <c r="Y111" i="35"/>
  <c r="Y110" i="35"/>
  <c r="Y109" i="35"/>
  <c r="Y108" i="35"/>
  <c r="Y107" i="35"/>
  <c r="Y106" i="35"/>
  <c r="Y105" i="35"/>
  <c r="Y104" i="35"/>
  <c r="Y103" i="35"/>
  <c r="Y102" i="35"/>
  <c r="Y101" i="35"/>
  <c r="Y100" i="35"/>
  <c r="Y99" i="35"/>
  <c r="Y98" i="35"/>
  <c r="Y97" i="35"/>
  <c r="Y96" i="35"/>
  <c r="Y95" i="35"/>
  <c r="Y94" i="35"/>
  <c r="Y93" i="35"/>
  <c r="Y92" i="35"/>
  <c r="Y91" i="35"/>
  <c r="Y90" i="35"/>
  <c r="Y89" i="35"/>
  <c r="Y88" i="35"/>
  <c r="Y87" i="35"/>
  <c r="Y86" i="35"/>
  <c r="Y85" i="35"/>
  <c r="Y84" i="35"/>
  <c r="Y83" i="35"/>
  <c r="Y82" i="35"/>
  <c r="Y81" i="35"/>
  <c r="Y80" i="35"/>
  <c r="Y79" i="35"/>
  <c r="Y78" i="35"/>
  <c r="Y77" i="35"/>
  <c r="Y76" i="35"/>
  <c r="Y75" i="35"/>
  <c r="Y74" i="35"/>
  <c r="Y73" i="35"/>
  <c r="Y72" i="35"/>
  <c r="Y71" i="35"/>
  <c r="Y70" i="35"/>
  <c r="Y69" i="35"/>
  <c r="Y68" i="35"/>
  <c r="Y67" i="35"/>
  <c r="Y66" i="35"/>
  <c r="Y65" i="35"/>
  <c r="Y64" i="35"/>
  <c r="Y63" i="35"/>
  <c r="Y62" i="35"/>
  <c r="Y61" i="35"/>
  <c r="Y60" i="35"/>
  <c r="Y59" i="35"/>
  <c r="Y58" i="35"/>
  <c r="Y57" i="35"/>
  <c r="Y56" i="35"/>
  <c r="Y55" i="35"/>
  <c r="Y54" i="35"/>
  <c r="Y53" i="35"/>
  <c r="Y52" i="35"/>
  <c r="Y51" i="35"/>
  <c r="Y50" i="35"/>
  <c r="Y49" i="35"/>
  <c r="Y48" i="35"/>
  <c r="Y47" i="35"/>
  <c r="Y46" i="35"/>
  <c r="Y45" i="35"/>
  <c r="Y44" i="35"/>
  <c r="Y43" i="35"/>
  <c r="Y42" i="35"/>
  <c r="Y41" i="35"/>
  <c r="Y40" i="35"/>
  <c r="Y39" i="35"/>
  <c r="Y38" i="35"/>
  <c r="Y37" i="35"/>
  <c r="Y36" i="35"/>
  <c r="Y35" i="35"/>
  <c r="Y34" i="35"/>
  <c r="Y33" i="35"/>
  <c r="Y32" i="35"/>
  <c r="Y31" i="35"/>
  <c r="Y30" i="35"/>
  <c r="Y29" i="35"/>
  <c r="Y28" i="35"/>
  <c r="Y27" i="35"/>
  <c r="Y26" i="35"/>
  <c r="Y25" i="35"/>
  <c r="Y24" i="35"/>
  <c r="Y23" i="35"/>
  <c r="Y22" i="35"/>
  <c r="Y21" i="35"/>
  <c r="Y20" i="35"/>
  <c r="Y19" i="35"/>
  <c r="Y18" i="35"/>
  <c r="Y17" i="35"/>
  <c r="Y16" i="35"/>
  <c r="Y15" i="35"/>
  <c r="Y14" i="35"/>
  <c r="Y13" i="35"/>
  <c r="Y12" i="35"/>
  <c r="Y11" i="35"/>
  <c r="Y10" i="35"/>
  <c r="Y9" i="35"/>
  <c r="Y8" i="35"/>
  <c r="Y7" i="35"/>
  <c r="Y6" i="35"/>
  <c r="Y5" i="35"/>
  <c r="Y4" i="35"/>
  <c r="Y3" i="35"/>
  <c r="E8" i="30" l="1"/>
  <c r="B3" i="30" l="1"/>
  <c r="B2" i="30"/>
  <c r="C1" i="21" l="1"/>
  <c r="C2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D111" i="9" l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B2" i="9"/>
  <c r="C2" i="9" s="1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B3" i="9"/>
  <c r="C3" i="9" s="1"/>
  <c r="B4" i="9"/>
  <c r="C4" i="9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B43" i="9"/>
  <c r="C43" i="9" s="1"/>
  <c r="B44" i="9"/>
  <c r="C44" i="9" s="1"/>
  <c r="B45" i="9"/>
  <c r="C45" i="9" s="1"/>
  <c r="B46" i="9"/>
  <c r="C46" i="9" s="1"/>
  <c r="B47" i="9"/>
  <c r="C47" i="9" s="1"/>
  <c r="B48" i="9"/>
  <c r="C48" i="9" s="1"/>
  <c r="B49" i="9"/>
  <c r="C49" i="9" s="1"/>
  <c r="B50" i="9"/>
  <c r="C50" i="9" s="1"/>
  <c r="B51" i="9"/>
  <c r="C51" i="9" s="1"/>
  <c r="B52" i="9"/>
  <c r="C52" i="9" s="1"/>
  <c r="B53" i="9"/>
  <c r="C53" i="9" s="1"/>
  <c r="B54" i="9"/>
  <c r="C54" i="9" s="1"/>
  <c r="B55" i="9"/>
  <c r="C55" i="9" s="1"/>
  <c r="B56" i="9"/>
  <c r="C56" i="9" s="1"/>
  <c r="B57" i="9"/>
  <c r="C57" i="9" s="1"/>
  <c r="B58" i="9"/>
  <c r="C58" i="9" s="1"/>
  <c r="B59" i="9"/>
  <c r="C59" i="9" s="1"/>
  <c r="B60" i="9"/>
  <c r="C60" i="9" s="1"/>
  <c r="B61" i="9"/>
  <c r="C61" i="9" s="1"/>
  <c r="B62" i="9"/>
  <c r="C62" i="9" s="1"/>
  <c r="B63" i="9"/>
  <c r="C63" i="9" s="1"/>
  <c r="B64" i="9"/>
  <c r="C64" i="9" s="1"/>
  <c r="B65" i="9"/>
  <c r="C65" i="9" s="1"/>
  <c r="B66" i="9"/>
  <c r="C66" i="9" s="1"/>
  <c r="B67" i="9"/>
  <c r="C67" i="9" s="1"/>
  <c r="B68" i="9"/>
  <c r="C68" i="9" s="1"/>
  <c r="B69" i="9"/>
  <c r="C69" i="9" s="1"/>
  <c r="B70" i="9"/>
  <c r="C70" i="9" s="1"/>
  <c r="B71" i="9"/>
  <c r="C71" i="9" s="1"/>
  <c r="B72" i="9"/>
  <c r="C72" i="9" s="1"/>
  <c r="B73" i="9"/>
  <c r="C73" i="9" s="1"/>
  <c r="B74" i="9"/>
  <c r="C74" i="9" s="1"/>
  <c r="B75" i="9"/>
  <c r="C75" i="9" s="1"/>
  <c r="B76" i="9"/>
  <c r="C76" i="9" s="1"/>
  <c r="B77" i="9"/>
  <c r="C77" i="9" s="1"/>
  <c r="B78" i="9"/>
  <c r="C78" i="9" s="1"/>
  <c r="B79" i="9"/>
  <c r="C79" i="9" s="1"/>
  <c r="B80" i="9"/>
  <c r="C80" i="9" s="1"/>
  <c r="B81" i="9"/>
  <c r="C81" i="9" s="1"/>
  <c r="B82" i="9"/>
  <c r="C82" i="9" s="1"/>
  <c r="B83" i="9"/>
  <c r="C83" i="9" s="1"/>
  <c r="B84" i="9"/>
  <c r="C84" i="9" s="1"/>
  <c r="B85" i="9"/>
  <c r="C85" i="9" s="1"/>
  <c r="B86" i="9"/>
  <c r="C86" i="9" s="1"/>
  <c r="B87" i="9"/>
  <c r="C87" i="9" s="1"/>
  <c r="B88" i="9"/>
  <c r="C88" i="9" s="1"/>
  <c r="B89" i="9"/>
  <c r="C89" i="9" s="1"/>
  <c r="B90" i="9"/>
  <c r="C90" i="9" s="1"/>
  <c r="B91" i="9"/>
  <c r="C91" i="9" s="1"/>
  <c r="B92" i="9"/>
  <c r="C92" i="9" s="1"/>
  <c r="B93" i="9"/>
  <c r="C93" i="9" s="1"/>
  <c r="B94" i="9"/>
  <c r="C94" i="9" s="1"/>
  <c r="B95" i="9"/>
  <c r="C95" i="9" s="1"/>
  <c r="B96" i="9"/>
  <c r="C96" i="9" s="1"/>
  <c r="B97" i="9"/>
  <c r="C97" i="9" s="1"/>
  <c r="B98" i="9"/>
  <c r="C98" i="9" s="1"/>
  <c r="B99" i="9"/>
  <c r="C99" i="9" s="1"/>
  <c r="B100" i="9"/>
  <c r="C100" i="9" s="1"/>
  <c r="B101" i="9"/>
  <c r="C101" i="9" s="1"/>
  <c r="B102" i="9"/>
  <c r="C102" i="9" s="1"/>
  <c r="B103" i="9"/>
  <c r="C103" i="9" s="1"/>
  <c r="B104" i="9"/>
  <c r="C104" i="9" s="1"/>
  <c r="B105" i="9"/>
  <c r="C105" i="9" s="1"/>
  <c r="B106" i="9"/>
  <c r="C106" i="9" s="1"/>
  <c r="B107" i="9"/>
  <c r="C107" i="9" s="1"/>
  <c r="B108" i="9"/>
  <c r="C108" i="9" s="1"/>
  <c r="B109" i="9"/>
  <c r="C109" i="9" s="1"/>
  <c r="B110" i="9"/>
  <c r="C110" i="9" s="1"/>
  <c r="B111" i="9"/>
  <c r="C111" i="9" s="1"/>
  <c r="B112" i="9"/>
  <c r="C112" i="9" s="1"/>
  <c r="B113" i="9"/>
  <c r="C113" i="9" s="1"/>
  <c r="B114" i="9"/>
  <c r="C114" i="9" s="1"/>
  <c r="B115" i="9"/>
  <c r="C115" i="9" s="1"/>
  <c r="B116" i="9"/>
  <c r="C116" i="9" s="1"/>
  <c r="B117" i="9"/>
  <c r="C117" i="9" s="1"/>
  <c r="B118" i="9"/>
  <c r="C118" i="9" s="1"/>
  <c r="B119" i="9"/>
  <c r="C119" i="9" s="1"/>
  <c r="B120" i="9"/>
  <c r="C120" i="9" s="1"/>
  <c r="B121" i="9"/>
  <c r="C121" i="9" s="1"/>
  <c r="B122" i="9"/>
  <c r="C122" i="9" s="1"/>
  <c r="B123" i="9"/>
  <c r="C123" i="9" s="1"/>
  <c r="B124" i="9"/>
  <c r="C124" i="9" s="1"/>
  <c r="B125" i="9"/>
  <c r="C125" i="9" s="1"/>
  <c r="B126" i="9"/>
  <c r="C126" i="9" s="1"/>
  <c r="B127" i="9"/>
  <c r="C127" i="9" s="1"/>
  <c r="B128" i="9"/>
  <c r="C128" i="9" s="1"/>
  <c r="B129" i="9"/>
  <c r="C129" i="9" s="1"/>
  <c r="B130" i="9"/>
  <c r="C130" i="9" s="1"/>
  <c r="B131" i="9"/>
  <c r="C131" i="9" s="1"/>
  <c r="B132" i="9"/>
  <c r="C132" i="9" s="1"/>
  <c r="B133" i="9"/>
  <c r="C133" i="9" s="1"/>
  <c r="B134" i="9"/>
  <c r="C134" i="9" s="1"/>
  <c r="B135" i="9"/>
  <c r="C135" i="9" s="1"/>
  <c r="B136" i="9"/>
  <c r="C136" i="9" s="1"/>
  <c r="B137" i="9"/>
  <c r="C137" i="9" s="1"/>
  <c r="B138" i="9"/>
  <c r="C138" i="9" s="1"/>
  <c r="B139" i="9"/>
  <c r="C139" i="9" s="1"/>
  <c r="B140" i="9"/>
  <c r="C140" i="9" s="1"/>
  <c r="B141" i="9"/>
  <c r="C141" i="9" s="1"/>
  <c r="B142" i="9"/>
  <c r="C142" i="9" s="1"/>
  <c r="B143" i="9"/>
  <c r="C143" i="9" s="1"/>
  <c r="B144" i="9"/>
  <c r="C144" i="9" s="1"/>
  <c r="B145" i="9"/>
  <c r="C145" i="9" s="1"/>
  <c r="B146" i="9"/>
  <c r="C146" i="9" s="1"/>
  <c r="B147" i="9"/>
  <c r="C147" i="9" s="1"/>
  <c r="B148" i="9"/>
  <c r="C148" i="9" s="1"/>
  <c r="B149" i="9"/>
  <c r="C149" i="9" s="1"/>
  <c r="B150" i="9"/>
  <c r="C150" i="9" s="1"/>
  <c r="B151" i="9"/>
  <c r="C151" i="9" s="1"/>
  <c r="B152" i="9"/>
  <c r="C152" i="9" s="1"/>
  <c r="B153" i="9"/>
  <c r="C153" i="9" s="1"/>
  <c r="B154" i="9"/>
  <c r="C154" i="9" s="1"/>
  <c r="B155" i="9"/>
  <c r="C155" i="9" s="1"/>
  <c r="B156" i="9"/>
  <c r="C156" i="9" s="1"/>
  <c r="B157" i="9"/>
  <c r="C157" i="9" s="1"/>
  <c r="B158" i="9"/>
  <c r="C158" i="9" s="1"/>
  <c r="B159" i="9"/>
  <c r="C159" i="9" s="1"/>
  <c r="B160" i="9"/>
  <c r="C160" i="9" s="1"/>
  <c r="B161" i="9"/>
  <c r="C161" i="9" s="1"/>
  <c r="B162" i="9"/>
  <c r="C162" i="9" s="1"/>
  <c r="B163" i="9"/>
  <c r="C163" i="9" s="1"/>
  <c r="B164" i="9"/>
  <c r="C164" i="9" s="1"/>
  <c r="B165" i="9"/>
  <c r="C165" i="9" s="1"/>
  <c r="B166" i="9"/>
  <c r="C166" i="9" s="1"/>
  <c r="B167" i="9"/>
  <c r="C167" i="9" s="1"/>
  <c r="B168" i="9"/>
  <c r="C168" i="9" s="1"/>
  <c r="B169" i="9"/>
  <c r="C169" i="9" s="1"/>
  <c r="B170" i="9"/>
  <c r="C170" i="9" s="1"/>
  <c r="B171" i="9"/>
  <c r="C171" i="9" s="1"/>
  <c r="B172" i="9"/>
  <c r="C172" i="9" s="1"/>
  <c r="B173" i="9"/>
  <c r="C173" i="9" s="1"/>
  <c r="B174" i="9"/>
  <c r="C174" i="9" s="1"/>
  <c r="B175" i="9"/>
  <c r="C175" i="9" s="1"/>
  <c r="B176" i="9"/>
  <c r="C176" i="9" s="1"/>
  <c r="B177" i="9"/>
  <c r="C177" i="9" s="1"/>
  <c r="B178" i="9"/>
  <c r="C178" i="9" s="1"/>
  <c r="B179" i="9"/>
  <c r="C179" i="9" s="1"/>
  <c r="B180" i="9"/>
  <c r="C180" i="9" s="1"/>
  <c r="B181" i="9"/>
  <c r="C181" i="9" s="1"/>
  <c r="B182" i="9"/>
  <c r="C182" i="9" s="1"/>
  <c r="B183" i="9"/>
  <c r="C183" i="9" s="1"/>
  <c r="B184" i="9"/>
  <c r="C184" i="9" s="1"/>
  <c r="B185" i="9"/>
  <c r="C185" i="9" s="1"/>
  <c r="B186" i="9"/>
  <c r="C186" i="9" s="1"/>
  <c r="B187" i="9"/>
  <c r="C187" i="9" s="1"/>
  <c r="B188" i="9"/>
  <c r="C188" i="9" s="1"/>
  <c r="B189" i="9"/>
  <c r="C189" i="9" s="1"/>
  <c r="B190" i="9"/>
  <c r="C190" i="9" s="1"/>
  <c r="B191" i="9"/>
  <c r="C191" i="9" s="1"/>
  <c r="B192" i="9"/>
  <c r="C192" i="9" s="1"/>
  <c r="B193" i="9"/>
  <c r="C193" i="9" s="1"/>
  <c r="B194" i="9"/>
  <c r="C194" i="9" s="1"/>
  <c r="B195" i="9"/>
  <c r="C195" i="9" s="1"/>
  <c r="B196" i="9"/>
  <c r="C196" i="9" s="1"/>
  <c r="B197" i="9"/>
  <c r="C197" i="9" s="1"/>
  <c r="B198" i="9"/>
  <c r="C198" i="9" s="1"/>
  <c r="B199" i="9"/>
  <c r="C199" i="9" s="1"/>
  <c r="B200" i="9"/>
  <c r="C200" i="9" s="1"/>
  <c r="B201" i="9"/>
  <c r="C201" i="9" s="1"/>
  <c r="B202" i="9"/>
  <c r="C202" i="9" s="1"/>
  <c r="B203" i="9"/>
  <c r="C203" i="9" s="1"/>
  <c r="B204" i="9"/>
  <c r="C204" i="9" s="1"/>
  <c r="B205" i="9"/>
  <c r="C205" i="9" s="1"/>
  <c r="B206" i="9"/>
  <c r="C206" i="9" s="1"/>
  <c r="B207" i="9"/>
  <c r="C207" i="9" s="1"/>
  <c r="B208" i="9"/>
  <c r="C208" i="9" s="1"/>
  <c r="B209" i="9"/>
  <c r="C209" i="9" s="1"/>
  <c r="B210" i="9"/>
  <c r="C210" i="9" s="1"/>
  <c r="B211" i="9"/>
  <c r="C211" i="9" s="1"/>
  <c r="B212" i="9"/>
  <c r="C212" i="9" s="1"/>
  <c r="B213" i="9"/>
  <c r="C213" i="9" s="1"/>
  <c r="B214" i="9"/>
  <c r="C214" i="9" s="1"/>
  <c r="B215" i="9"/>
  <c r="C215" i="9" s="1"/>
  <c r="B216" i="9"/>
  <c r="C216" i="9" s="1"/>
  <c r="B217" i="9"/>
  <c r="C217" i="9" s="1"/>
  <c r="B218" i="9"/>
  <c r="C218" i="9" s="1"/>
  <c r="B219" i="9"/>
  <c r="C219" i="9" s="1"/>
  <c r="B220" i="9"/>
  <c r="C220" i="9" s="1"/>
  <c r="B221" i="9"/>
  <c r="C221" i="9" s="1"/>
  <c r="B222" i="9"/>
  <c r="C222" i="9" s="1"/>
  <c r="B223" i="9"/>
  <c r="C223" i="9" s="1"/>
  <c r="B224" i="9"/>
  <c r="C224" i="9" s="1"/>
  <c r="B225" i="9"/>
  <c r="C225" i="9" s="1"/>
  <c r="B226" i="9"/>
  <c r="C226" i="9" s="1"/>
  <c r="B227" i="9"/>
  <c r="C227" i="9" s="1"/>
  <c r="B228" i="9"/>
  <c r="C228" i="9" s="1"/>
  <c r="B229" i="9"/>
  <c r="C229" i="9" s="1"/>
  <c r="B230" i="9"/>
  <c r="C230" i="9" s="1"/>
  <c r="B231" i="9"/>
  <c r="C231" i="9" s="1"/>
  <c r="B232" i="9"/>
  <c r="C232" i="9" s="1"/>
  <c r="B233" i="9"/>
  <c r="C233" i="9" s="1"/>
  <c r="B234" i="9"/>
  <c r="C234" i="9" s="1"/>
  <c r="B235" i="9"/>
  <c r="C235" i="9" s="1"/>
  <c r="B236" i="9"/>
  <c r="C236" i="9" s="1"/>
  <c r="B237" i="9"/>
  <c r="C237" i="9" s="1"/>
  <c r="B238" i="9"/>
  <c r="C238" i="9" s="1"/>
  <c r="B239" i="9"/>
  <c r="C239" i="9" s="1"/>
  <c r="B240" i="9"/>
  <c r="C240" i="9" s="1"/>
  <c r="B241" i="9"/>
  <c r="C241" i="9" s="1"/>
  <c r="B242" i="9"/>
  <c r="C242" i="9" s="1"/>
  <c r="B243" i="9"/>
  <c r="C243" i="9" s="1"/>
  <c r="B244" i="9"/>
  <c r="C244" i="9" s="1"/>
  <c r="B245" i="9"/>
  <c r="C245" i="9" s="1"/>
  <c r="B246" i="9"/>
  <c r="C246" i="9" s="1"/>
  <c r="B247" i="9"/>
  <c r="C247" i="9" s="1"/>
  <c r="B248" i="9"/>
  <c r="C248" i="9" s="1"/>
  <c r="B249" i="9"/>
  <c r="C249" i="9" s="1"/>
  <c r="B250" i="9"/>
  <c r="C250" i="9" s="1"/>
  <c r="B251" i="9"/>
  <c r="C251" i="9" s="1"/>
  <c r="B252" i="9"/>
  <c r="C252" i="9" s="1"/>
  <c r="B253" i="9"/>
  <c r="C253" i="9" s="1"/>
  <c r="B254" i="9"/>
  <c r="C254" i="9" s="1"/>
  <c r="B255" i="9"/>
  <c r="C255" i="9" s="1"/>
  <c r="B256" i="9"/>
  <c r="C256" i="9" s="1"/>
  <c r="B257" i="9"/>
  <c r="C257" i="9" s="1"/>
  <c r="B258" i="9"/>
  <c r="C258" i="9" s="1"/>
  <c r="B259" i="9"/>
  <c r="C259" i="9" s="1"/>
  <c r="B260" i="9"/>
  <c r="C260" i="9" s="1"/>
  <c r="B261" i="9"/>
  <c r="C261" i="9" s="1"/>
  <c r="B262" i="9"/>
  <c r="C262" i="9" s="1"/>
  <c r="B263" i="9"/>
  <c r="C263" i="9" s="1"/>
  <c r="B264" i="9"/>
  <c r="C264" i="9" s="1"/>
  <c r="B265" i="9"/>
  <c r="C265" i="9" s="1"/>
  <c r="B266" i="9"/>
  <c r="C266" i="9" s="1"/>
  <c r="B267" i="9"/>
  <c r="C267" i="9" s="1"/>
  <c r="B268" i="9"/>
  <c r="C268" i="9" s="1"/>
  <c r="B269" i="9"/>
  <c r="C269" i="9" s="1"/>
  <c r="B270" i="9"/>
  <c r="C270" i="9" s="1"/>
  <c r="B271" i="9"/>
  <c r="C271" i="9" s="1"/>
  <c r="B272" i="9"/>
  <c r="C272" i="9" s="1"/>
  <c r="B273" i="9"/>
  <c r="C273" i="9" s="1"/>
  <c r="B274" i="9"/>
  <c r="C274" i="9" s="1"/>
  <c r="B275" i="9"/>
  <c r="C275" i="9" s="1"/>
  <c r="B276" i="9"/>
  <c r="C276" i="9" s="1"/>
  <c r="B277" i="9"/>
  <c r="C277" i="9" s="1"/>
  <c r="B278" i="9"/>
  <c r="C278" i="9" s="1"/>
  <c r="B279" i="9"/>
  <c r="C279" i="9" s="1"/>
  <c r="B280" i="9"/>
  <c r="C280" i="9" s="1"/>
  <c r="B281" i="9"/>
  <c r="C281" i="9" s="1"/>
  <c r="B282" i="9"/>
  <c r="C282" i="9" s="1"/>
  <c r="B283" i="9"/>
  <c r="C283" i="9" s="1"/>
  <c r="B284" i="9"/>
  <c r="C284" i="9" s="1"/>
  <c r="B285" i="9"/>
  <c r="C285" i="9" s="1"/>
  <c r="B286" i="9"/>
  <c r="C286" i="9" s="1"/>
  <c r="B287" i="9"/>
  <c r="C287" i="9" s="1"/>
  <c r="B288" i="9"/>
  <c r="C288" i="9" s="1"/>
  <c r="B289" i="9"/>
  <c r="C289" i="9" s="1"/>
  <c r="B290" i="9"/>
  <c r="C290" i="9" s="1"/>
  <c r="B291" i="9"/>
  <c r="C291" i="9" s="1"/>
  <c r="B292" i="9"/>
  <c r="C292" i="9" s="1"/>
  <c r="B293" i="9"/>
  <c r="C293" i="9" s="1"/>
  <c r="B294" i="9"/>
  <c r="C294" i="9" s="1"/>
  <c r="B295" i="9"/>
  <c r="C295" i="9" s="1"/>
  <c r="B296" i="9"/>
  <c r="C296" i="9" s="1"/>
  <c r="B297" i="9"/>
  <c r="C297" i="9" s="1"/>
  <c r="B298" i="9"/>
  <c r="C298" i="9" s="1"/>
  <c r="B299" i="9"/>
  <c r="C299" i="9" s="1"/>
  <c r="B300" i="9"/>
  <c r="C300" i="9" s="1"/>
  <c r="B301" i="9"/>
  <c r="C301" i="9" s="1"/>
  <c r="B302" i="9"/>
  <c r="C302" i="9" s="1"/>
  <c r="B1" i="30" l="1"/>
  <c r="B4" i="30" s="1"/>
  <c r="E7" i="30" s="1"/>
  <c r="E9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PLAMEN DIMITROV</author>
  </authors>
  <commentList>
    <comment ref="A15" authorId="0" shapeId="0" xr:uid="{F79CBF05-FF2E-4F71-AB45-2E60A8F2C186}">
      <text>
        <r>
          <rPr>
            <b/>
            <sz val="9"/>
            <color indexed="81"/>
            <rFont val="Tahoma"/>
            <family val="2"/>
          </rPr>
          <t>PLAMEN DIMITROV:</t>
        </r>
        <r>
          <rPr>
            <sz val="9"/>
            <color indexed="81"/>
            <rFont val="Tahoma"/>
            <family val="2"/>
          </rPr>
          <t xml:space="preserve">
general</t>
        </r>
      </text>
    </comment>
    <comment ref="G15" authorId="0" shapeId="0" xr:uid="{0B6383B9-BC69-4136-B24F-4B3FD061D2F0}">
      <text>
        <r>
          <rPr>
            <b/>
            <sz val="9"/>
            <color indexed="81"/>
            <rFont val="Tahoma"/>
            <family val="2"/>
          </rPr>
          <t>PLAMEN DIMITROV:</t>
        </r>
        <r>
          <rPr>
            <sz val="9"/>
            <color indexed="81"/>
            <rFont val="Tahoma"/>
            <family val="2"/>
          </rPr>
          <t xml:space="preserve">
general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4C52B-8218-4B17-AE88-D844CC75129C}" keepAlive="1" name="Query - engine" description="Connection to the 'engine' query in the workbook." type="5" refreshedVersion="8" background="1" saveData="1">
    <dbPr connection="Provider=Microsoft.Mashup.OleDb.1;Data Source=$Workbook$;Location=engine;Extended Properties=&quot;&quot;" command="SELECT * FROM [engine]"/>
  </connection>
  <connection id="2" xr16:uid="{0F7D1117-E3EC-4CB8-BFBE-46AFF2593489}" keepAlive="1" name="Query - engine progress" description="Connection to the 'engine progress' query in the workbook." type="5" refreshedVersion="8" background="1" saveData="1">
    <dbPr connection="Provider=Microsoft.Mashup.OleDb.1;Data Source=$Workbook$;Location=&quot;engine progress&quot;;Extended Properties=&quot;&quot;" command="SELECT * FROM [engine progress]"/>
  </connection>
  <connection id="3" xr16:uid="{432527AF-2F9D-4448-A5AC-175CF5FA7F87}" keepAlive="1" name="Query - h248LL" description="Connection to the 'h248LL' query in the workbook." type="5" refreshedVersion="8" background="1" saveData="1">
    <dbPr connection="Provider=Microsoft.Mashup.OleDb.1;Data Source=$Workbook$;Location=h248LL;Extended Properties=&quot;&quot;" command="SELECT * FROM [h248LL]"/>
  </connection>
  <connection id="4" xr16:uid="{D74131AC-F5D8-4082-9725-94CCCD90A9E6}" keepAlive="1" name="Query - materials" description="Connection to the 'materials' query in the workbook." type="5" refreshedVersion="8" background="1" saveData="1">
    <dbPr connection="Provider=Microsoft.Mashup.OleDb.1;Data Source=$Workbook$;Location=materials;Extended Properties=&quot;&quot;" command="SELECT * FROM [materials]"/>
  </connection>
  <connection id="5" xr16:uid="{C9044B01-43EB-4602-B90C-83E4AB3EFCF5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6" xr16:uid="{08597B15-F497-4188-B744-BC46B1F2BB79}" keepAlive="1" name="Query - Query1 (2)" description="Connection to the 'Query1 (2)' query in the workbook." type="5" refreshedVersion="8" background="1" saveData="1">
    <dbPr connection="Provider=Microsoft.Mashup.OleDb.1;Data Source=$Workbook$;Location=&quot;Query1 (2)&quot;;Extended Properties=&quot;&quot;" command="SELECT * FROM [Query1 (2)]"/>
  </connection>
  <connection id="7" xr16:uid="{32991CFE-709B-42CD-B71B-1D73C7F25802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8" xr16:uid="{F88485BB-4AA5-48E6-AC64-7AF2D2ADD8F7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  <connection id="9" xr16:uid="{C72AD30C-BC64-49EA-82EA-62649B6D19E8}" keepAlive="1" name="Query - Query4" description="Connection to the 'Query4' query in the workbook." type="5" refreshedVersion="8" background="1" saveData="1">
    <dbPr connection="Provider=Microsoft.Mashup.OleDb.1;Data Source=$Workbook$;Location=Query4;Extended Properties=&quot;&quot;" command="SELECT * FROM [Query4]"/>
  </connection>
  <connection id="10" xr16:uid="{53B48E85-63F1-4C74-A2B7-855D40DE159E}" keepAlive="1" name="Query - Query4 (2)" description="Connection to the 'Query4 (2)' query in the workbook." type="5" refreshedVersion="8" background="1" saveData="1">
    <dbPr connection="Provider=Microsoft.Mashup.OleDb.1;Data Source=$Workbook$;Location=&quot;Query4 (2)&quot;;Extended Properties=&quot;&quot;" command="SELECT * FROM [Query4 (2)]"/>
  </connection>
  <connection id="11" xr16:uid="{72488FCD-9ABE-451B-AFCF-5D07B2A10116}" keepAlive="1" name="Query - Query5" description="Connection to the 'Query5' query in the workbook." type="5" refreshedVersion="8" background="1" saveData="1">
    <dbPr connection="Provider=Microsoft.Mashup.OleDb.1;Data Source=$Workbook$;Location=Query5;Extended Properties=&quot;&quot;" command="SELECT * FROM [Query5]"/>
  </connection>
</connections>
</file>

<file path=xl/sharedStrings.xml><?xml version="1.0" encoding="utf-8"?>
<sst xmlns="http://schemas.openxmlformats.org/spreadsheetml/2006/main" count="9406" uniqueCount="1689">
  <si>
    <t>MA_Number</t>
  </si>
  <si>
    <t>Product_Name</t>
  </si>
  <si>
    <t>Description</t>
  </si>
  <si>
    <t>Is_Assembly</t>
  </si>
  <si>
    <t>Part_Number</t>
  </si>
  <si>
    <t>Part_Qty</t>
  </si>
  <si>
    <t>Part_Length</t>
  </si>
  <si>
    <t>Part_Width</t>
  </si>
  <si>
    <t>Part_Height</t>
  </si>
  <si>
    <t>Assembly_Order</t>
  </si>
  <si>
    <t>Steel</t>
  </si>
  <si>
    <t>ch</t>
  </si>
  <si>
    <t>price_offer_num</t>
  </si>
  <si>
    <t>created_at</t>
  </si>
  <si>
    <t>updated_at</t>
  </si>
  <si>
    <t>created_by</t>
  </si>
  <si>
    <t>type_code</t>
  </si>
  <si>
    <t>type_name</t>
  </si>
  <si>
    <t>description</t>
  </si>
  <si>
    <t>pch</t>
  </si>
  <si>
    <t>connector holder</t>
  </si>
  <si>
    <t>pneumatic connector holder</t>
  </si>
  <si>
    <t>JB fork</t>
  </si>
  <si>
    <t>batch_id</t>
  </si>
  <si>
    <t>qty</t>
  </si>
  <si>
    <t>10.21.1111</t>
  </si>
  <si>
    <t>10.21.2222</t>
  </si>
  <si>
    <t>10.21.3333</t>
  </si>
  <si>
    <t>7283 1111 30</t>
  </si>
  <si>
    <t>7283 2222 30</t>
  </si>
  <si>
    <t>STR</t>
  </si>
  <si>
    <t>10.21.3333-1</t>
  </si>
  <si>
    <t>10.21.3333-2</t>
  </si>
  <si>
    <t>POM</t>
  </si>
  <si>
    <t>10.21.4444</t>
  </si>
  <si>
    <t>10.21.5555</t>
  </si>
  <si>
    <t>10.21.6666</t>
  </si>
  <si>
    <t>10.21.7777</t>
  </si>
  <si>
    <t>10.21.8888</t>
  </si>
  <si>
    <t>10.21.8888-1</t>
  </si>
  <si>
    <t>10.21.9999</t>
  </si>
  <si>
    <t>material_code</t>
  </si>
  <si>
    <t>material_name</t>
  </si>
  <si>
    <t>category</t>
  </si>
  <si>
    <t>density_kg_per_m3</t>
  </si>
  <si>
    <t>tensile_strength_mpa</t>
  </si>
  <si>
    <t>cost_per_kg</t>
  </si>
  <si>
    <t>is_active</t>
  </si>
  <si>
    <t>color_code</t>
  </si>
  <si>
    <t>color_name</t>
  </si>
  <si>
    <t>rgb_value</t>
  </si>
  <si>
    <t>pantone_code</t>
  </si>
  <si>
    <t>white</t>
  </si>
  <si>
    <t>black</t>
  </si>
  <si>
    <t>STL</t>
  </si>
  <si>
    <t>Derlin</t>
  </si>
  <si>
    <t>BR</t>
  </si>
  <si>
    <t>Brass</t>
  </si>
  <si>
    <t>10.21.7777-1</t>
  </si>
  <si>
    <t>10.21.7777-2</t>
  </si>
  <si>
    <t>10.21.8888-2</t>
  </si>
  <si>
    <t>parent_ma</t>
  </si>
  <si>
    <t>STR1</t>
  </si>
  <si>
    <t>blue</t>
  </si>
  <si>
    <t>brown</t>
  </si>
  <si>
    <t>green</t>
  </si>
  <si>
    <t>red</t>
  </si>
  <si>
    <t>yellow</t>
  </si>
  <si>
    <t>WH</t>
  </si>
  <si>
    <t>BK</t>
  </si>
  <si>
    <t>BL</t>
  </si>
  <si>
    <t>BN</t>
  </si>
  <si>
    <t>GN</t>
  </si>
  <si>
    <t>RD</t>
  </si>
  <si>
    <t>YE</t>
  </si>
  <si>
    <t>color_name_bg</t>
  </si>
  <si>
    <t>БЯЛ</t>
  </si>
  <si>
    <t>ЧЕРЕН</t>
  </si>
  <si>
    <t>СИН</t>
  </si>
  <si>
    <t>КАФЯВ</t>
  </si>
  <si>
    <t>ЗЕЛЕН</t>
  </si>
  <si>
    <t>ЧЕРВЕН</t>
  </si>
  <si>
    <t>ЖЪЛТ</t>
  </si>
  <si>
    <t>material_name_bg</t>
  </si>
  <si>
    <t>СТОМАНА</t>
  </si>
  <si>
    <t>МЕСИНГ</t>
  </si>
  <si>
    <t>AL</t>
  </si>
  <si>
    <t>Aluminium</t>
  </si>
  <si>
    <t>АЛУМИНИЙ</t>
  </si>
  <si>
    <t>НЕРЪЖДАВЕЙКА</t>
  </si>
  <si>
    <t>Stainless steel</t>
  </si>
  <si>
    <t>SS</t>
  </si>
  <si>
    <t>10.21.1212</t>
  </si>
  <si>
    <t>process_cut</t>
  </si>
  <si>
    <t>process_mill</t>
  </si>
  <si>
    <t>10.21.80758A</t>
  </si>
  <si>
    <t>10.21.72966C</t>
  </si>
  <si>
    <t>10.21.72968A</t>
  </si>
  <si>
    <t>10.21.83798A</t>
  </si>
  <si>
    <t>10.21.35131A</t>
  </si>
  <si>
    <t>10.21.35334A</t>
  </si>
  <si>
    <t>10.21.89505A</t>
  </si>
  <si>
    <t>10.21.77121A</t>
  </si>
  <si>
    <t>10.21.27914A</t>
  </si>
  <si>
    <t>10.21.36860F</t>
  </si>
  <si>
    <t>10.21.54168C</t>
  </si>
  <si>
    <t>10.21.80751A</t>
  </si>
  <si>
    <t>10.21.35002C</t>
  </si>
  <si>
    <t>10.21.35003A</t>
  </si>
  <si>
    <t>10.21.77073A</t>
  </si>
  <si>
    <t>10.21.77045A</t>
  </si>
  <si>
    <t>10.21.83680A</t>
  </si>
  <si>
    <t>10.21.36271A</t>
  </si>
  <si>
    <t>10.21.83709A</t>
  </si>
  <si>
    <t>10.21.47236A</t>
  </si>
  <si>
    <t>10.21.83671B</t>
  </si>
  <si>
    <t>10.21.77085A</t>
  </si>
  <si>
    <t>10.21.73050A</t>
  </si>
  <si>
    <t>10.21.80748A</t>
  </si>
  <si>
    <t>10.21.42593A</t>
  </si>
  <si>
    <t>10.21.77076A</t>
  </si>
  <si>
    <t>10.21.72974A</t>
  </si>
  <si>
    <t>10.21.77049A</t>
  </si>
  <si>
    <t>10.21.42674D</t>
  </si>
  <si>
    <t>10.21.72978A</t>
  </si>
  <si>
    <t>10.21.83656D</t>
  </si>
  <si>
    <t>10.21.83657E</t>
  </si>
  <si>
    <t>10.21.35851A</t>
  </si>
  <si>
    <t>10.21.28074A</t>
  </si>
  <si>
    <t>10.21.76956B</t>
  </si>
  <si>
    <t>10.21.47066D</t>
  </si>
  <si>
    <t>10.21.47047D</t>
  </si>
  <si>
    <t>10.21.47065D</t>
  </si>
  <si>
    <t>10.21.96493A</t>
  </si>
  <si>
    <t>10.21.80753C</t>
  </si>
  <si>
    <t>10.21.83630A</t>
  </si>
  <si>
    <t>10.21.80775B</t>
  </si>
  <si>
    <t>10.21.80733A</t>
  </si>
  <si>
    <t>10.21.73031A</t>
  </si>
  <si>
    <t>10.21.72982A</t>
  </si>
  <si>
    <t>10.21.83758A</t>
  </si>
  <si>
    <t>10.21.80743B</t>
  </si>
  <si>
    <t>10.21.77054A</t>
  </si>
  <si>
    <t>10.21.77084A</t>
  </si>
  <si>
    <t>10.21.77047A</t>
  </si>
  <si>
    <t>10.21.35898A</t>
  </si>
  <si>
    <t>10.21.77160A</t>
  </si>
  <si>
    <t>10.21.77162A</t>
  </si>
  <si>
    <t>10.21.47100C</t>
  </si>
  <si>
    <t>10.21.83783A</t>
  </si>
  <si>
    <t>10.21.77152A</t>
  </si>
  <si>
    <t>10.21.76940C</t>
  </si>
  <si>
    <t>10.21.80752A</t>
  </si>
  <si>
    <t>10.21.47195A</t>
  </si>
  <si>
    <t>10.21.76987A</t>
  </si>
  <si>
    <t>10.21.76981A</t>
  </si>
  <si>
    <t>10.21.77157A</t>
  </si>
  <si>
    <t>10.21.77155A</t>
  </si>
  <si>
    <t>10.21.77156A</t>
  </si>
  <si>
    <t>10.21.76988A</t>
  </si>
  <si>
    <t>10.21.76967A</t>
  </si>
  <si>
    <t>10.21.35998A</t>
  </si>
  <si>
    <t>10.21.27982A</t>
  </si>
  <si>
    <t>10.21.73069A</t>
  </si>
  <si>
    <t>10.21.73067A</t>
  </si>
  <si>
    <t>10.21.77187A</t>
  </si>
  <si>
    <t>10.21.73076A</t>
  </si>
  <si>
    <t>10.21.73073A</t>
  </si>
  <si>
    <t>10.21.77066A</t>
  </si>
  <si>
    <t>10.21.77068A</t>
  </si>
  <si>
    <t>10.21.77069A</t>
  </si>
  <si>
    <t>10.21.77070A</t>
  </si>
  <si>
    <t>10.21.77038A</t>
  </si>
  <si>
    <t>10.21.77040A</t>
  </si>
  <si>
    <t>10.21.77039A</t>
  </si>
  <si>
    <t>10.21.77041A</t>
  </si>
  <si>
    <t>10.21.73066A</t>
  </si>
  <si>
    <t>10.21.77089A</t>
  </si>
  <si>
    <t>10.21.83646A</t>
  </si>
  <si>
    <t>10.21.77128A</t>
  </si>
  <si>
    <t>10.21.96496A</t>
  </si>
  <si>
    <t>10.21.96494A</t>
  </si>
  <si>
    <t>10.21.83677A</t>
  </si>
  <si>
    <t>10.21.50179G</t>
  </si>
  <si>
    <t>10.21.77159A</t>
  </si>
  <si>
    <t>10.21.80727A</t>
  </si>
  <si>
    <t>10.21.35125A</t>
  </si>
  <si>
    <t>10.21.83685A</t>
  </si>
  <si>
    <t>10.21.83672A</t>
  </si>
  <si>
    <t>10.21.77126A</t>
  </si>
  <si>
    <t>10.21.73070A</t>
  </si>
  <si>
    <t>10.21.79593A</t>
  </si>
  <si>
    <t>10.21.10820</t>
  </si>
  <si>
    <t>10.21.08826</t>
  </si>
  <si>
    <t>10.21.84626</t>
  </si>
  <si>
    <t>10.21.39356</t>
  </si>
  <si>
    <t>10.21.54460A</t>
  </si>
  <si>
    <t>10.21.10182</t>
  </si>
  <si>
    <t>10.21.37737</t>
  </si>
  <si>
    <t>10.21.35018</t>
  </si>
  <si>
    <t>10.21.96730E</t>
  </si>
  <si>
    <t>10.21.96716</t>
  </si>
  <si>
    <t>10.21.35019</t>
  </si>
  <si>
    <t>10.21.96734</t>
  </si>
  <si>
    <t>10.21.37442</t>
  </si>
  <si>
    <t>10.21.04100</t>
  </si>
  <si>
    <t>10.21.96728</t>
  </si>
  <si>
    <t>10.21.27932B</t>
  </si>
  <si>
    <t>10.21.34352</t>
  </si>
  <si>
    <t>10.21.19220</t>
  </si>
  <si>
    <t>10.21.84635</t>
  </si>
  <si>
    <t>10.21.96733</t>
  </si>
  <si>
    <t>10.21.76983B</t>
  </si>
  <si>
    <t>10.21.96697</t>
  </si>
  <si>
    <t>10.21.96501A</t>
  </si>
  <si>
    <t>10.21.83613A</t>
  </si>
  <si>
    <t>10.21.63361A</t>
  </si>
  <si>
    <t>10.21.77127C</t>
  </si>
  <si>
    <t>10.21.77190A</t>
  </si>
  <si>
    <t>10.21.77132A</t>
  </si>
  <si>
    <t>10.21.77083A</t>
  </si>
  <si>
    <t>10.21.83795A</t>
  </si>
  <si>
    <t>10.21.96498A</t>
  </si>
  <si>
    <t>10.21.80734A</t>
  </si>
  <si>
    <t>10.21.77149A</t>
  </si>
  <si>
    <t>10.21.79594A</t>
  </si>
  <si>
    <t>10.21.79595A</t>
  </si>
  <si>
    <t>10.21.77179A</t>
  </si>
  <si>
    <t>10.21.77151A</t>
  </si>
  <si>
    <t>10.21.35000A</t>
  </si>
  <si>
    <t>10.21.80774C</t>
  </si>
  <si>
    <t>10.21.83782A</t>
  </si>
  <si>
    <t>7075236930(X1PO2363)</t>
  </si>
  <si>
    <t>7118641830+7173344320</t>
  </si>
  <si>
    <t>7119101830+7274131020A</t>
  </si>
  <si>
    <t>7119127830+7234894130A</t>
  </si>
  <si>
    <t>7119632530+7119632630+72742614A</t>
  </si>
  <si>
    <t>71196683+7173344320+X1PO2488</t>
  </si>
  <si>
    <t>7119670830+7274290770A</t>
  </si>
  <si>
    <t>7119648630+7274171430A</t>
  </si>
  <si>
    <t>7183288530+7183288630+72742612A</t>
  </si>
  <si>
    <t>7185173030+7185173130+72742608A</t>
  </si>
  <si>
    <t>71884821+7134425740</t>
  </si>
  <si>
    <t>7188503730+7174152230A(7177097330)</t>
  </si>
  <si>
    <t>7189811530+7289811830+72741554A</t>
  </si>
  <si>
    <t>7189668330+7274136090A</t>
  </si>
  <si>
    <t>7189730210+7274146260A</t>
  </si>
  <si>
    <t>7198277430+7198277530+72741954A</t>
  </si>
  <si>
    <t>7198762530+7198600430+7274261190A</t>
  </si>
  <si>
    <t>7198774930+7198947430+72742908A</t>
  </si>
  <si>
    <t>7198809140+7274268930A</t>
  </si>
  <si>
    <t>7198914830+7234497030</t>
  </si>
  <si>
    <t>7289811630+7289811730+72741551A</t>
  </si>
  <si>
    <t>7289811630+7289811730+7274155220A</t>
  </si>
  <si>
    <t>72897304+72895207</t>
  </si>
  <si>
    <t>A1729821302_EYELET V2</t>
  </si>
  <si>
    <t>A1729821302_EYELET V3 2-KS</t>
  </si>
  <si>
    <t>A1729821302_EYELET V3 3-KS</t>
  </si>
  <si>
    <t>A1729821302_EYELET V3 4-KS</t>
  </si>
  <si>
    <t>ASSY_123024541</t>
  </si>
  <si>
    <t>ASSY_59Z063DC0B</t>
  </si>
  <si>
    <t>ASSY_59Z063DC0C</t>
  </si>
  <si>
    <t>ASSY_AMZ005DC0C</t>
  </si>
  <si>
    <t>ASSY_AMZ005DC0D</t>
  </si>
  <si>
    <t>ASSY_AMZ005DC0B</t>
  </si>
  <si>
    <t>ASSY_AMZ040C00B</t>
  </si>
  <si>
    <t>ASSY_AMZ040C00C</t>
  </si>
  <si>
    <t>ASSY_AMZ040C00D</t>
  </si>
  <si>
    <t>ASSY_AMZ040C00E</t>
  </si>
  <si>
    <t>ASSY_CA288A15199XXX</t>
  </si>
  <si>
    <t>ASSY_CA288A25199XXX</t>
  </si>
  <si>
    <t>ASSY_CA288A35199XXX</t>
  </si>
  <si>
    <t>ASSY_CA288B1519XXXX</t>
  </si>
  <si>
    <t>ASSY_D4Z001DC0C</t>
  </si>
  <si>
    <t>7075226730(X1PP5707)</t>
  </si>
  <si>
    <t>X1PP5M18</t>
  </si>
  <si>
    <t>ASSY_59Z006-T00D</t>
  </si>
  <si>
    <t>7187903970+7187904070</t>
  </si>
  <si>
    <t>X1PO2539</t>
  </si>
  <si>
    <t>71196683+7173344320+7173807630</t>
  </si>
  <si>
    <t>7289808930+7274153930</t>
  </si>
  <si>
    <t>ASSY_59Z006T00E</t>
  </si>
  <si>
    <t>ASSY_D4Z002DC0D</t>
  </si>
  <si>
    <t>7198762530+7198600430+72743034A</t>
  </si>
  <si>
    <t>7278246930/7298196130</t>
  </si>
  <si>
    <t>7118673890+7173344320</t>
  </si>
  <si>
    <t>7219678730+7134811530A</t>
  </si>
  <si>
    <t>7178412830+7198277430+72743637</t>
  </si>
  <si>
    <t>7177363290+7173344320</t>
  </si>
  <si>
    <t>7189482930+72741357A</t>
  </si>
  <si>
    <t>ASSY_59Z063DC0A/ASSY_59Z063-DC0A</t>
  </si>
  <si>
    <t>ASSY_E6Z017DC1C</t>
  </si>
  <si>
    <t>7198810230+72742686A</t>
  </si>
  <si>
    <t>I10017Rev01</t>
  </si>
  <si>
    <t>105x35x47-(x5PCS)</t>
  </si>
  <si>
    <t>138x35x40-(x5PCS)</t>
  </si>
  <si>
    <t>160x45x40-(x5PCS)</t>
  </si>
  <si>
    <t>138x36x47-(x5PCS)</t>
  </si>
  <si>
    <t>holder</t>
  </si>
  <si>
    <t>REF425</t>
  </si>
  <si>
    <t>10</t>
  </si>
  <si>
    <t>93</t>
  </si>
  <si>
    <t>26</t>
  </si>
  <si>
    <t>396</t>
  </si>
  <si>
    <t>9</t>
  </si>
  <si>
    <t>491</t>
  </si>
  <si>
    <t>76</t>
  </si>
  <si>
    <t>397</t>
  </si>
  <si>
    <t>16</t>
  </si>
  <si>
    <t>17</t>
  </si>
  <si>
    <t>23</t>
  </si>
  <si>
    <t>8</t>
  </si>
  <si>
    <t>13</t>
  </si>
  <si>
    <t>7</t>
  </si>
  <si>
    <t>12</t>
  </si>
  <si>
    <t>32</t>
  </si>
  <si>
    <t>14</t>
  </si>
  <si>
    <t>127</t>
  </si>
  <si>
    <t>103</t>
  </si>
  <si>
    <t>18</t>
  </si>
  <si>
    <t>31</t>
  </si>
  <si>
    <t>4</t>
  </si>
  <si>
    <t>30</t>
  </si>
  <si>
    <t>3</t>
  </si>
  <si>
    <t>24</t>
  </si>
  <si>
    <t>229</t>
  </si>
  <si>
    <t>29</t>
  </si>
  <si>
    <t>REF944</t>
  </si>
  <si>
    <t>1</t>
  </si>
  <si>
    <t>579</t>
  </si>
  <si>
    <t>287</t>
  </si>
  <si>
    <t>clips</t>
  </si>
  <si>
    <t>side</t>
  </si>
  <si>
    <t>down</t>
  </si>
  <si>
    <t>up</t>
  </si>
  <si>
    <t>399/402</t>
  </si>
  <si>
    <t>type</t>
  </si>
  <si>
    <t>sc35h</t>
  </si>
  <si>
    <t>family</t>
  </si>
  <si>
    <t>qty_per_board</t>
  </si>
  <si>
    <t>10.21.72967B</t>
  </si>
  <si>
    <t>C469</t>
  </si>
  <si>
    <t>212/239</t>
  </si>
  <si>
    <t>10.21.73052A</t>
  </si>
  <si>
    <t>C158 C456</t>
  </si>
  <si>
    <t>10.21.73082A</t>
  </si>
  <si>
    <t>247, 243</t>
  </si>
  <si>
    <t>282, 231</t>
  </si>
  <si>
    <t>5, 29</t>
  </si>
  <si>
    <t>248, 246, 433</t>
  </si>
  <si>
    <t>571 69</t>
  </si>
  <si>
    <t>5 28</t>
  </si>
  <si>
    <t>8 25</t>
  </si>
  <si>
    <t>23 8</t>
  </si>
  <si>
    <t>26 5</t>
  </si>
  <si>
    <t>605 83</t>
  </si>
  <si>
    <t>31 17</t>
  </si>
  <si>
    <t>CH</t>
  </si>
  <si>
    <t>PCH</t>
  </si>
  <si>
    <t>FORK</t>
  </si>
  <si>
    <t>CLIP H</t>
  </si>
  <si>
    <t>clip holder</t>
  </si>
  <si>
    <t>X1PO2003A</t>
  </si>
  <si>
    <t>7198913290+7189662430</t>
  </si>
  <si>
    <t>7198279630+7274154030</t>
  </si>
  <si>
    <t>7119162130+7274025390</t>
  </si>
  <si>
    <t>10.21.76983_B</t>
  </si>
  <si>
    <t>10.21.77132_A</t>
  </si>
  <si>
    <t>10.21.77157_A</t>
  </si>
  <si>
    <t>10.21.77190_A</t>
  </si>
  <si>
    <t>10.21.83671_B</t>
  </si>
  <si>
    <t>10.21.36176A</t>
  </si>
  <si>
    <t>10.21.73078A</t>
  </si>
  <si>
    <t>A1729821302_EYELETV1</t>
  </si>
  <si>
    <t>ASSY_59Z006T00C</t>
  </si>
  <si>
    <t>10.21.83587A</t>
  </si>
  <si>
    <t>26/20/35, РЯЗАНЕ, СИН, ДЕРЛИН</t>
  </si>
  <si>
    <t>10.21.76946A</t>
  </si>
  <si>
    <t>10.21.83610A</t>
  </si>
  <si>
    <t>10.21.77067A</t>
  </si>
  <si>
    <t>10.21.83700A</t>
  </si>
  <si>
    <t>ASSY_PPI0001107</t>
  </si>
  <si>
    <t>10.21.36071A</t>
  </si>
  <si>
    <t>id</t>
  </si>
  <si>
    <t>10.21.11655A</t>
  </si>
  <si>
    <t>10.21.80755A</t>
  </si>
  <si>
    <t>10.21.65866A</t>
  </si>
  <si>
    <t>10.21.77061A</t>
  </si>
  <si>
    <t>ASSY_123024542+ASSY_23024521</t>
  </si>
  <si>
    <t>X1PO4566+7247502430</t>
  </si>
  <si>
    <t>job_order_number</t>
  </si>
  <si>
    <t>quantity</t>
  </si>
  <si>
    <t>ma_number</t>
  </si>
  <si>
    <t>parent_id</t>
  </si>
  <si>
    <t>dimension_x</t>
  </si>
  <si>
    <t>dimension_y</t>
  </si>
  <si>
    <t>dimension_z</t>
  </si>
  <si>
    <t>color_id</t>
  </si>
  <si>
    <t>material_id</t>
  </si>
  <si>
    <t>name</t>
  </si>
  <si>
    <t>type_id</t>
  </si>
  <si>
    <t>261493</t>
  </si>
  <si>
    <t>7075231830</t>
  </si>
  <si>
    <t>0</t>
  </si>
  <si>
    <t>261494</t>
  </si>
  <si>
    <t>261495</t>
  </si>
  <si>
    <t>261496</t>
  </si>
  <si>
    <t>261497</t>
  </si>
  <si>
    <t>261498</t>
  </si>
  <si>
    <t>71196180</t>
  </si>
  <si>
    <t>261499</t>
  </si>
  <si>
    <t>261500</t>
  </si>
  <si>
    <t>7119639830</t>
  </si>
  <si>
    <t>261501</t>
  </si>
  <si>
    <t>261502</t>
  </si>
  <si>
    <t>7119668820</t>
  </si>
  <si>
    <t>261503</t>
  </si>
  <si>
    <t>261504</t>
  </si>
  <si>
    <t>71196714</t>
  </si>
  <si>
    <t>261505</t>
  </si>
  <si>
    <t>261506</t>
  </si>
  <si>
    <t>261507</t>
  </si>
  <si>
    <t>261508</t>
  </si>
  <si>
    <t>261509</t>
  </si>
  <si>
    <t>261510</t>
  </si>
  <si>
    <t>261511</t>
  </si>
  <si>
    <t>261512</t>
  </si>
  <si>
    <t>261513</t>
  </si>
  <si>
    <t>261514</t>
  </si>
  <si>
    <t>261515</t>
  </si>
  <si>
    <t>71986562</t>
  </si>
  <si>
    <t>261516</t>
  </si>
  <si>
    <t>261517</t>
  </si>
  <si>
    <t>261518</t>
  </si>
  <si>
    <t>261519</t>
  </si>
  <si>
    <t>261520</t>
  </si>
  <si>
    <t>261521</t>
  </si>
  <si>
    <t>7271007230</t>
  </si>
  <si>
    <t>261522</t>
  </si>
  <si>
    <t>261523</t>
  </si>
  <si>
    <t>261524</t>
  </si>
  <si>
    <t>261525</t>
  </si>
  <si>
    <t>261526</t>
  </si>
  <si>
    <t>261527</t>
  </si>
  <si>
    <t>261528</t>
  </si>
  <si>
    <t>261529</t>
  </si>
  <si>
    <t>261530</t>
  </si>
  <si>
    <t>261531</t>
  </si>
  <si>
    <t>261532</t>
  </si>
  <si>
    <t>261533</t>
  </si>
  <si>
    <t>261534</t>
  </si>
  <si>
    <t>261535</t>
  </si>
  <si>
    <t>261536</t>
  </si>
  <si>
    <t>261537</t>
  </si>
  <si>
    <t>261538</t>
  </si>
  <si>
    <t>7009741102</t>
  </si>
  <si>
    <t>261539</t>
  </si>
  <si>
    <t>261540</t>
  </si>
  <si>
    <t>261541</t>
  </si>
  <si>
    <t>261542</t>
  </si>
  <si>
    <t>7047135830</t>
  </si>
  <si>
    <t>261543</t>
  </si>
  <si>
    <t>7047186030</t>
  </si>
  <si>
    <t>261544</t>
  </si>
  <si>
    <t>7047273930</t>
  </si>
  <si>
    <t>261545</t>
  </si>
  <si>
    <t>7047305630</t>
  </si>
  <si>
    <t>261546</t>
  </si>
  <si>
    <t>7052161430</t>
  </si>
  <si>
    <t>261547</t>
  </si>
  <si>
    <t>7047178330</t>
  </si>
  <si>
    <t>261548</t>
  </si>
  <si>
    <t>7147882430</t>
  </si>
  <si>
    <t>261549</t>
  </si>
  <si>
    <t>7247075530</t>
  </si>
  <si>
    <t>261550</t>
  </si>
  <si>
    <t>7247374530</t>
  </si>
  <si>
    <t>261551</t>
  </si>
  <si>
    <t>7247374930</t>
  </si>
  <si>
    <t>261552</t>
  </si>
  <si>
    <t>7247760830</t>
  </si>
  <si>
    <t>261553</t>
  </si>
  <si>
    <t>7247760930</t>
  </si>
  <si>
    <t>261554</t>
  </si>
  <si>
    <t>7247761330</t>
  </si>
  <si>
    <t>261555</t>
  </si>
  <si>
    <t>7247776330</t>
  </si>
  <si>
    <t>261556</t>
  </si>
  <si>
    <t>7247781230</t>
  </si>
  <si>
    <t>261557</t>
  </si>
  <si>
    <t>7247781730</t>
  </si>
  <si>
    <t>261558</t>
  </si>
  <si>
    <t>7247787730</t>
  </si>
  <si>
    <t>261559</t>
  </si>
  <si>
    <t>72478572</t>
  </si>
  <si>
    <t>261560</t>
  </si>
  <si>
    <t>7252726530</t>
  </si>
  <si>
    <t>261561</t>
  </si>
  <si>
    <t>7252735930</t>
  </si>
  <si>
    <t>261562</t>
  </si>
  <si>
    <t>7252779130</t>
  </si>
  <si>
    <t>261563</t>
  </si>
  <si>
    <t>7252785330</t>
  </si>
  <si>
    <t>261564</t>
  </si>
  <si>
    <t>7252815130</t>
  </si>
  <si>
    <t>261565</t>
  </si>
  <si>
    <t>261566</t>
  </si>
  <si>
    <t>71196350</t>
  </si>
  <si>
    <t>261567</t>
  </si>
  <si>
    <t>261568</t>
  </si>
  <si>
    <t>261569</t>
  </si>
  <si>
    <t>261570</t>
  </si>
  <si>
    <t>261571</t>
  </si>
  <si>
    <t>261572</t>
  </si>
  <si>
    <t>261573</t>
  </si>
  <si>
    <t>261574</t>
  </si>
  <si>
    <t>261575</t>
  </si>
  <si>
    <t>261576</t>
  </si>
  <si>
    <t>261577</t>
  </si>
  <si>
    <t>261578</t>
  </si>
  <si>
    <t>7047275330</t>
  </si>
  <si>
    <t>261579</t>
  </si>
  <si>
    <t>is_3d_part</t>
  </si>
  <si>
    <t>ДЕЛРИН</t>
  </si>
  <si>
    <t>10.21.77162A - 1</t>
  </si>
  <si>
    <t>10.21.77162A - 2</t>
  </si>
  <si>
    <t>10.21.77162A - 3</t>
  </si>
  <si>
    <t>10.21.77162A - 4</t>
  </si>
  <si>
    <t>10.21.77162A - 5</t>
  </si>
  <si>
    <t>S:\Register\Y№\Y3834'</t>
  </si>
  <si>
    <t>ypn</t>
  </si>
  <si>
    <t>10.21.43811A</t>
  </si>
  <si>
    <t>10.21.38043A</t>
  </si>
  <si>
    <t>10.21.77371A</t>
  </si>
  <si>
    <t>10.21.37931A</t>
  </si>
  <si>
    <t>10.21.38690A</t>
  </si>
  <si>
    <t>10.21.77048A</t>
  </si>
  <si>
    <t>10.21.80749</t>
  </si>
  <si>
    <t>10.21.84407</t>
  </si>
  <si>
    <t>10.21.77033</t>
  </si>
  <si>
    <t>10.21.80724</t>
  </si>
  <si>
    <t>10.21.63723C</t>
  </si>
  <si>
    <t>10.21.39390A</t>
  </si>
  <si>
    <t>10.21.51985A</t>
  </si>
  <si>
    <t>10.21.77353A</t>
  </si>
  <si>
    <t>10.21.90707</t>
  </si>
  <si>
    <t>10.21.73020B</t>
  </si>
  <si>
    <t>10.21.77353</t>
  </si>
  <si>
    <t>10.21.43782</t>
  </si>
  <si>
    <t>10.21.77348A</t>
  </si>
  <si>
    <t>10.21.80721A</t>
  </si>
  <si>
    <t>10.21.73035A</t>
  </si>
  <si>
    <t>10.21.77058A</t>
  </si>
  <si>
    <t>10.21.69492</t>
  </si>
  <si>
    <t>10.21.83796A</t>
  </si>
  <si>
    <t>10.21.43814A</t>
  </si>
  <si>
    <t>10.21.71225A</t>
  </si>
  <si>
    <t>10.21.38917A</t>
  </si>
  <si>
    <t>10.21.43817B</t>
  </si>
  <si>
    <t>10.21.37966A</t>
  </si>
  <si>
    <t>10.21.43818A</t>
  </si>
  <si>
    <t>10.21.37967A</t>
  </si>
  <si>
    <t>10.21.37930A</t>
  </si>
  <si>
    <t>10.21.84399</t>
  </si>
  <si>
    <t>10.21.77335A</t>
  </si>
  <si>
    <t>10.21.84405A</t>
  </si>
  <si>
    <t>10.21.84406A</t>
  </si>
  <si>
    <t>10.21.43819D</t>
  </si>
  <si>
    <t>10.21.37913A</t>
  </si>
  <si>
    <t>10.21.76959</t>
  </si>
  <si>
    <t>10.21.73033B</t>
  </si>
  <si>
    <t>10.21.77369A</t>
  </si>
  <si>
    <t>10.21.45806B</t>
  </si>
  <si>
    <t>10.21.43822B</t>
  </si>
  <si>
    <t>10.21.39767A</t>
  </si>
  <si>
    <t>10.21.43823A</t>
  </si>
  <si>
    <t>10.21.48060A</t>
  </si>
  <si>
    <t>10.21.48627A</t>
  </si>
  <si>
    <t>10.21.38686A</t>
  </si>
  <si>
    <t>10.21.84747F</t>
  </si>
  <si>
    <t>10.21.96418I</t>
  </si>
  <si>
    <t>10.21.94327</t>
  </si>
  <si>
    <t>10.21.77357</t>
  </si>
  <si>
    <t>10.21.84421</t>
  </si>
  <si>
    <t>10.21.37883B</t>
  </si>
  <si>
    <t>10.21.37965A</t>
  </si>
  <si>
    <t>10.21.37964A</t>
  </si>
  <si>
    <t>10.21.38683A</t>
  </si>
  <si>
    <t>10.21.37986A</t>
  </si>
  <si>
    <t>10.21.37988A</t>
  </si>
  <si>
    <t>10.21.37887A</t>
  </si>
  <si>
    <t>10.21.39764A</t>
  </si>
  <si>
    <t>10.21.38507A</t>
  </si>
  <si>
    <t>10.21.52058A</t>
  </si>
  <si>
    <t>10.21.80873A</t>
  </si>
  <si>
    <t>10.21.80773A</t>
  </si>
  <si>
    <t>10.21.77300</t>
  </si>
  <si>
    <t>10.21.77302</t>
  </si>
  <si>
    <t>10.21.77374</t>
  </si>
  <si>
    <t>10.21.81212A</t>
  </si>
  <si>
    <t>10.21.65867A</t>
  </si>
  <si>
    <t>10.21.73023B</t>
  </si>
  <si>
    <t>10.21.73034</t>
  </si>
  <si>
    <t>10.21.77347</t>
  </si>
  <si>
    <t>10.21.77032</t>
  </si>
  <si>
    <t>10.21.77344</t>
  </si>
  <si>
    <t>10.21.77362</t>
  </si>
  <si>
    <t>10.21.73022B</t>
  </si>
  <si>
    <t>10.21.76952</t>
  </si>
  <si>
    <t>10.21.44739A</t>
  </si>
  <si>
    <t>7003293002(RINGTERMINAL)</t>
  </si>
  <si>
    <t>10.21.83556A</t>
  </si>
  <si>
    <t>7003803202(RINGTERMINAL)</t>
  </si>
  <si>
    <t>10.21.83557A</t>
  </si>
  <si>
    <t>10.21.80779A</t>
  </si>
  <si>
    <t>10.21.77118B</t>
  </si>
  <si>
    <t>10.21.80780A</t>
  </si>
  <si>
    <t>10.21.77120A</t>
  </si>
  <si>
    <t>7075231830(X1PO2395)</t>
  </si>
  <si>
    <t>10.21.80874C</t>
  </si>
  <si>
    <t>7075231930(X1PO2518)</t>
  </si>
  <si>
    <t>10.21.77378A</t>
  </si>
  <si>
    <t>10.21.77381A</t>
  </si>
  <si>
    <t>71186683+7173344320</t>
  </si>
  <si>
    <t>10.21.80708A</t>
  </si>
  <si>
    <t>10.21.77057A</t>
  </si>
  <si>
    <t>10.21.37852A</t>
  </si>
  <si>
    <t>7119127830+7234894130</t>
  </si>
  <si>
    <t>10.21.38711A</t>
  </si>
  <si>
    <t>7119140530+7119140640+72741359</t>
  </si>
  <si>
    <t>10.21.83585B</t>
  </si>
  <si>
    <t>10.21.80880A</t>
  </si>
  <si>
    <t>10.21.77029A</t>
  </si>
  <si>
    <t>10.21.38505</t>
  </si>
  <si>
    <t>7119648630+7274171430</t>
  </si>
  <si>
    <t>10.21.38730B</t>
  </si>
  <si>
    <t>10.21.77015A</t>
  </si>
  <si>
    <t>7176861930(X1PO2578)</t>
  </si>
  <si>
    <t>10.21.78863A</t>
  </si>
  <si>
    <t>7176862030(X1PO2580)</t>
  </si>
  <si>
    <t>10.21.78862A</t>
  </si>
  <si>
    <t>7176862130(X1PO2557)</t>
  </si>
  <si>
    <t>10.21.77386A</t>
  </si>
  <si>
    <t>7176862330(X1PO2559)</t>
  </si>
  <si>
    <t>10.21.77387A</t>
  </si>
  <si>
    <t>7176862730(X1PO2563)</t>
  </si>
  <si>
    <t>10.21.77390A</t>
  </si>
  <si>
    <t>7176862930(X1PO2407)</t>
  </si>
  <si>
    <t>10.21.77384A</t>
  </si>
  <si>
    <t>7176863030(X1PO2408)</t>
  </si>
  <si>
    <t>10.21.77391A</t>
  </si>
  <si>
    <t>7176874730(X1PO2553)</t>
  </si>
  <si>
    <t>10.21.77388A</t>
  </si>
  <si>
    <t>10.21.96345</t>
  </si>
  <si>
    <t>10.21.77032A</t>
  </si>
  <si>
    <t>7185173030+7185173130+72742608</t>
  </si>
  <si>
    <t>10.21.77013A</t>
  </si>
  <si>
    <t>10.21.43296A</t>
  </si>
  <si>
    <t>10.21.80862B</t>
  </si>
  <si>
    <t>7189730210+7274146260</t>
  </si>
  <si>
    <t>10.21.80863G</t>
  </si>
  <si>
    <t>10.21.73026B</t>
  </si>
  <si>
    <t>10.21.84415</t>
  </si>
  <si>
    <t>10.21.83762A</t>
  </si>
  <si>
    <t>7198762530+7198600430+7274261190</t>
  </si>
  <si>
    <t>10.21.83658C</t>
  </si>
  <si>
    <t>7198762530+7198600430+72743034</t>
  </si>
  <si>
    <t>10.21.76953B</t>
  </si>
  <si>
    <t>10.21.80875B</t>
  </si>
  <si>
    <t>10.21.83586B</t>
  </si>
  <si>
    <t>10.21.80744B</t>
  </si>
  <si>
    <t>10.21.80789A</t>
  </si>
  <si>
    <t>7219678730+7134811530</t>
  </si>
  <si>
    <t>7271007030(X1PO2536+X1PO2299)</t>
  </si>
  <si>
    <t>10.21.80644A</t>
  </si>
  <si>
    <t>10.21.80872A</t>
  </si>
  <si>
    <t>7278242730+7173825540+7174342530</t>
  </si>
  <si>
    <t>10.21.77148A</t>
  </si>
  <si>
    <t>10.21.83737A</t>
  </si>
  <si>
    <t>7289256230+7174167930A</t>
  </si>
  <si>
    <t>10.21.77342B</t>
  </si>
  <si>
    <t>7289488430+7274297830</t>
  </si>
  <si>
    <t>10.21.77169A</t>
  </si>
  <si>
    <t>10.21.73062A</t>
  </si>
  <si>
    <t>10.21.43362C</t>
  </si>
  <si>
    <t>10.21.73028A</t>
  </si>
  <si>
    <t>10.21.73029A</t>
  </si>
  <si>
    <t>7289811630+7289811730+7274166590</t>
  </si>
  <si>
    <t>10.21.80690A</t>
  </si>
  <si>
    <t>7298341860+7297341730+7247502430</t>
  </si>
  <si>
    <t>10.21.64864A</t>
  </si>
  <si>
    <t>10.21.73212</t>
  </si>
  <si>
    <t>A1729821302_EYELETV2</t>
  </si>
  <si>
    <t>A1729821302_EYELETV3</t>
  </si>
  <si>
    <t>10.21.77183</t>
  </si>
  <si>
    <t>A1729821302_EYELETV4_1</t>
  </si>
  <si>
    <t>A1729821302_EYELETV4_3</t>
  </si>
  <si>
    <t>ASSY_118021051</t>
  </si>
  <si>
    <t>10.21.76915A</t>
  </si>
  <si>
    <t>10.21.74208</t>
  </si>
  <si>
    <t>ASSY_123024542</t>
  </si>
  <si>
    <t>10.21.73060</t>
  </si>
  <si>
    <t>ASSY_59Z006T00B</t>
  </si>
  <si>
    <t>10.21.41555A</t>
  </si>
  <si>
    <t>ASSY_59Z006T00D</t>
  </si>
  <si>
    <t>10.21.77112A</t>
  </si>
  <si>
    <t>10.21.41556A</t>
  </si>
  <si>
    <t>ASSY_59Z063DC0A</t>
  </si>
  <si>
    <t>10.21.37924A</t>
  </si>
  <si>
    <t>10.21.37923A</t>
  </si>
  <si>
    <t>10.21.41552A</t>
  </si>
  <si>
    <t>ASSY_59Z063DC0F</t>
  </si>
  <si>
    <t>10.21.73214</t>
  </si>
  <si>
    <t>ASSY_59Z145DC0F</t>
  </si>
  <si>
    <t>10.21.73061</t>
  </si>
  <si>
    <t>ASSY_59Z163003F</t>
  </si>
  <si>
    <t>10.21.57692A</t>
  </si>
  <si>
    <t>ASSY_AMZ005000B</t>
  </si>
  <si>
    <t>10.21.79345</t>
  </si>
  <si>
    <t>10.21.73079</t>
  </si>
  <si>
    <t>ASSY_AMZ005DC0E</t>
  </si>
  <si>
    <t>10.21.83181B</t>
  </si>
  <si>
    <t>ASSY_AMZ005DC0F</t>
  </si>
  <si>
    <t>10.21.81225A</t>
  </si>
  <si>
    <t>10.21.77055A</t>
  </si>
  <si>
    <t>10.21.77052A</t>
  </si>
  <si>
    <t>10.21.77053A</t>
  </si>
  <si>
    <t>10.21.77056A</t>
  </si>
  <si>
    <t>10.21.37857</t>
  </si>
  <si>
    <t>10.21.77074</t>
  </si>
  <si>
    <t>10.21.77077</t>
  </si>
  <si>
    <t>10.21.77080</t>
  </si>
  <si>
    <t>ASSY_D4K2RE1D5A5BDC</t>
  </si>
  <si>
    <t>10.21.48078</t>
  </si>
  <si>
    <t>10.21.38926A</t>
  </si>
  <si>
    <t>ASSY_D4Z001DC0D</t>
  </si>
  <si>
    <t>10.21.71080A</t>
  </si>
  <si>
    <t>10.21.80674</t>
  </si>
  <si>
    <t>PDCBOX</t>
  </si>
  <si>
    <t>10.21.83565A</t>
  </si>
  <si>
    <t>10.21.77385A</t>
  </si>
  <si>
    <t>X1PO2395</t>
  </si>
  <si>
    <t>10.21.77379A</t>
  </si>
  <si>
    <t>X1PO2519</t>
  </si>
  <si>
    <t>10.21.80786A</t>
  </si>
  <si>
    <t>X1PO2538</t>
  </si>
  <si>
    <t>10.21.80748C</t>
  </si>
  <si>
    <t>7075226830X1PP5350</t>
  </si>
  <si>
    <t>7075231830X1PO2395</t>
  </si>
  <si>
    <t>7176862130X1PO2557</t>
  </si>
  <si>
    <t>7176862930X1PO2407</t>
  </si>
  <si>
    <t>7176863030X1PO2408</t>
  </si>
  <si>
    <t>7176874730X1PO2553</t>
  </si>
  <si>
    <t>71782472X1PO2221</t>
  </si>
  <si>
    <t>71979249+CLIP5110</t>
  </si>
  <si>
    <t>7198762530+7198600430+X1PO1C35A</t>
  </si>
  <si>
    <t>7198809140+7274268930</t>
  </si>
  <si>
    <t>7278242730+7174342530+7173825540</t>
  </si>
  <si>
    <t>7289488430+7274297830A</t>
  </si>
  <si>
    <t>7298341860+7297341730</t>
  </si>
  <si>
    <t>A1729821302</t>
  </si>
  <si>
    <t>A1729821302_EYELETV34-KS</t>
  </si>
  <si>
    <t>ASSY_59K24K1XX92A4C</t>
  </si>
  <si>
    <t>ASSY_59Z063DC0F/ASSY_59Z063-DC0F</t>
  </si>
  <si>
    <t>ASSY_59Z163003F/ASSY_59Z163DC0F</t>
  </si>
  <si>
    <t>ASSY_D4K2RE1D5A5BDC/ASSY_D4K2RE1D5A5B</t>
  </si>
  <si>
    <t>ASSY_PPI0001107+ASSY_CA288A25199XXX+ASSY_CA288A35199XXX</t>
  </si>
  <si>
    <t>ASSY_PPI0001107+ASSY_PPI0001651+ASSY_PPI0001652</t>
  </si>
  <si>
    <t>X1PO2007</t>
  </si>
  <si>
    <t>X1PO2518</t>
  </si>
  <si>
    <t>X1PO-2538</t>
  </si>
  <si>
    <t>X1PO2559</t>
  </si>
  <si>
    <t>X1PO2562</t>
  </si>
  <si>
    <t>X1PO2578</t>
  </si>
  <si>
    <t>X1PO2580</t>
  </si>
  <si>
    <t>X1PO3875+X1PO3876+X1PO3877A</t>
  </si>
  <si>
    <t>FoamholderX18_2-2-B_V1</t>
  </si>
  <si>
    <t>FOAMHOLDERX35_RHD</t>
  </si>
  <si>
    <t>FOAMHOLDERA1261-B_V1RHD</t>
  </si>
  <si>
    <t/>
  </si>
  <si>
    <t>10.21.77405I</t>
  </si>
  <si>
    <t>10.21.64080A</t>
  </si>
  <si>
    <t>10.21.9113B</t>
  </si>
  <si>
    <t>10.21.83747A</t>
  </si>
  <si>
    <t>10.21.37968A</t>
  </si>
  <si>
    <t>10.21.38177B</t>
  </si>
  <si>
    <t>10.21.43818</t>
  </si>
  <si>
    <t>10.21.38047A</t>
  </si>
  <si>
    <t>10.21.58455</t>
  </si>
  <si>
    <t>10.21.66609A</t>
  </si>
  <si>
    <t>10.21.80574A</t>
  </si>
  <si>
    <t>10.21.80876A</t>
  </si>
  <si>
    <t>10.21.80724A</t>
  </si>
  <si>
    <t>10.21.38685A</t>
  </si>
  <si>
    <t>10.21.73056A</t>
  </si>
  <si>
    <t>10.21.73080A</t>
  </si>
  <si>
    <t>10.21.83593A</t>
  </si>
  <si>
    <t>10.21.83761A</t>
  </si>
  <si>
    <t>10.21.77024A</t>
  </si>
  <si>
    <t>10.21.83666A</t>
  </si>
  <si>
    <t>10.21.47926A</t>
  </si>
  <si>
    <t>10.21.4788B</t>
  </si>
  <si>
    <t>10.21.37810E</t>
  </si>
  <si>
    <t>10.21.7213E</t>
  </si>
  <si>
    <t>10.21.37551B</t>
  </si>
  <si>
    <t>10.21.69750F</t>
  </si>
  <si>
    <t>10.21.78001B</t>
  </si>
  <si>
    <t>10.21.80883A</t>
  </si>
  <si>
    <t>10.21.48718A</t>
  </si>
  <si>
    <t>10.21.37987A</t>
  </si>
  <si>
    <t>10.21.83736A</t>
  </si>
  <si>
    <t>10.21.51519B</t>
  </si>
  <si>
    <t>10.21.77300A</t>
  </si>
  <si>
    <t>10.21.83757A</t>
  </si>
  <si>
    <t>10.21.77357A</t>
  </si>
  <si>
    <t>10.21.73034A</t>
  </si>
  <si>
    <t>10.21.77347A</t>
  </si>
  <si>
    <t>10.21.73032A</t>
  </si>
  <si>
    <t>10.21.77362A</t>
  </si>
  <si>
    <t>10.21.76952A</t>
  </si>
  <si>
    <t>10.21.73212A</t>
  </si>
  <si>
    <t>10.21.76951A</t>
  </si>
  <si>
    <t>10.21.73060A</t>
  </si>
  <si>
    <t>10.21.42191A</t>
  </si>
  <si>
    <t>10.21.44428A</t>
  </si>
  <si>
    <t>10.21.73214A</t>
  </si>
  <si>
    <t>10.21.73061A</t>
  </si>
  <si>
    <t>10.21.65863A</t>
  </si>
  <si>
    <t>10.21.73079A</t>
  </si>
  <si>
    <t>10.21.73064B</t>
  </si>
  <si>
    <t>10.21.73075A</t>
  </si>
  <si>
    <t>10.21.73059A</t>
  </si>
  <si>
    <t>10.21.71084A</t>
  </si>
  <si>
    <t>10.21.77033A</t>
  </si>
  <si>
    <t>10.21.77378Aor72966C</t>
  </si>
  <si>
    <t>10.21.80648C</t>
  </si>
  <si>
    <t>10.21.77000B</t>
  </si>
  <si>
    <t>10.21.83706A</t>
  </si>
  <si>
    <t>10.21.83716A</t>
  </si>
  <si>
    <t>10.21.83717A</t>
  </si>
  <si>
    <t>10.21.80877B</t>
  </si>
  <si>
    <t>10.21.53368A</t>
  </si>
  <si>
    <t>10.21.53369B</t>
  </si>
  <si>
    <t>7187903970+7187904070+7274060970A</t>
  </si>
  <si>
    <t>trim</t>
  </si>
  <si>
    <t>check string</t>
  </si>
  <si>
    <t>check equal</t>
  </si>
  <si>
    <t>ma_final</t>
  </si>
  <si>
    <t>c</t>
  </si>
  <si>
    <t>10.21.45821C</t>
  </si>
  <si>
    <t>10.21.76946A - 1</t>
  </si>
  <si>
    <t>10.21.76946A - 2</t>
  </si>
  <si>
    <t>10.21.76946A - 3</t>
  </si>
  <si>
    <t>S:\Register\Y№\Y3619'</t>
  </si>
  <si>
    <t>10.21.77125A</t>
  </si>
  <si>
    <t>10.21.76941A</t>
  </si>
  <si>
    <t>Y4317</t>
  </si>
  <si>
    <t>Y4318</t>
  </si>
  <si>
    <t>60/27/60, РЯЗАНЕ, ДЕРЛИН, БЯЛ</t>
  </si>
  <si>
    <t>7183288530+7183288630+72742612 - 7119632530+7119632630+72742614A</t>
  </si>
  <si>
    <t>qty_per_group</t>
  </si>
  <si>
    <t>group_processing</t>
  </si>
  <si>
    <t>dimension_x_g</t>
  </si>
  <si>
    <t>dimension_y_g</t>
  </si>
  <si>
    <t>dimension_z_g</t>
  </si>
  <si>
    <t>I9987</t>
  </si>
  <si>
    <t>MMA</t>
  </si>
  <si>
    <t>main</t>
  </si>
  <si>
    <t>engine</t>
  </si>
  <si>
    <t>product_ma</t>
  </si>
  <si>
    <t>project_name</t>
  </si>
  <si>
    <t>family_name</t>
  </si>
  <si>
    <t>10.21.28341A</t>
  </si>
  <si>
    <t>10.21.83799A</t>
  </si>
  <si>
    <t>10.21.83616A</t>
  </si>
  <si>
    <t>10.21.83584A</t>
  </si>
  <si>
    <t>10.21.76999A</t>
  </si>
  <si>
    <t>10.21.42697A</t>
  </si>
  <si>
    <t>10.21.83618A</t>
  </si>
  <si>
    <t>10.21.83617A</t>
  </si>
  <si>
    <t>10.21.83619A</t>
  </si>
  <si>
    <t>10.21.80728A</t>
  </si>
  <si>
    <t>10.21.76992A</t>
  </si>
  <si>
    <t>10.21.35897A</t>
  </si>
  <si>
    <t>10.21.76989A</t>
  </si>
  <si>
    <t>10.21.54167A</t>
  </si>
  <si>
    <t>10.21.47366B</t>
  </si>
  <si>
    <t>10.21.80868</t>
  </si>
  <si>
    <t>10.21.76985A</t>
  </si>
  <si>
    <t>10.21.35126A</t>
  </si>
  <si>
    <t>10.21.47158B</t>
  </si>
  <si>
    <t>10.21.36272A</t>
  </si>
  <si>
    <t>10.21.73046A</t>
  </si>
  <si>
    <t>10.21.47450E</t>
  </si>
  <si>
    <t>10.21.54157A</t>
  </si>
  <si>
    <t>10.21.80759A</t>
  </si>
  <si>
    <t>10.21.72973</t>
  </si>
  <si>
    <t>10.21.80722A</t>
  </si>
  <si>
    <t>10.21.59093D</t>
  </si>
  <si>
    <t>10.21.76980B</t>
  </si>
  <si>
    <t>10.21.76978C</t>
  </si>
  <si>
    <t>10.21.76961A</t>
  </si>
  <si>
    <t>10.21.72963A</t>
  </si>
  <si>
    <t>10.21.72976A</t>
  </si>
  <si>
    <t>10.21.76979A</t>
  </si>
  <si>
    <t>10.21.76965A</t>
  </si>
  <si>
    <t>10.21.77186A</t>
  </si>
  <si>
    <t>7274114630+7289488430A</t>
  </si>
  <si>
    <t>10.21.42430A</t>
  </si>
  <si>
    <t>10.21.83667A</t>
  </si>
  <si>
    <t>10.21.42628C</t>
  </si>
  <si>
    <t>X1PO2363</t>
  </si>
  <si>
    <t>X1PP5350</t>
  </si>
  <si>
    <t>X1PO2536+X1PO2299A</t>
  </si>
  <si>
    <t>X1PO2348</t>
  </si>
  <si>
    <t>X1PP5707</t>
  </si>
  <si>
    <t>alt_name</t>
  </si>
  <si>
    <t>Y0175</t>
  </si>
  <si>
    <t>Y4328</t>
  </si>
  <si>
    <t>10.21.49811L</t>
  </si>
  <si>
    <t>10.21.77006A</t>
  </si>
  <si>
    <t>7118605030+7152511030</t>
  </si>
  <si>
    <t>10.21.80868A</t>
  </si>
  <si>
    <t>10.21.77113A</t>
  </si>
  <si>
    <t>X1PO2109</t>
  </si>
  <si>
    <t>10.21.76979B</t>
  </si>
  <si>
    <t>10.21.54176B</t>
  </si>
  <si>
    <t>10.21.83644A</t>
  </si>
  <si>
    <t>10.21.83668A</t>
  </si>
  <si>
    <t>10.21.83614A</t>
  </si>
  <si>
    <t>10.21.77004A</t>
  </si>
  <si>
    <t>10.21.63360A</t>
  </si>
  <si>
    <t>10.21.35008A</t>
  </si>
  <si>
    <t>10.21.83692A</t>
  </si>
  <si>
    <t>10.21.83669A</t>
  </si>
  <si>
    <t>10.21.72971A</t>
  </si>
  <si>
    <t>7198940330+7198940430+72742881A</t>
  </si>
  <si>
    <t>is_assembly</t>
  </si>
  <si>
    <t>id2</t>
  </si>
  <si>
    <t>7075236930</t>
  </si>
  <si>
    <t>7271007030</t>
  </si>
  <si>
    <t>7178270480</t>
  </si>
  <si>
    <t>7075226730</t>
  </si>
  <si>
    <t>7075226830</t>
  </si>
  <si>
    <t>261580</t>
  </si>
  <si>
    <t>261581</t>
  </si>
  <si>
    <t>261582</t>
  </si>
  <si>
    <t>261583</t>
  </si>
  <si>
    <t>261584</t>
  </si>
  <si>
    <t>261585</t>
  </si>
  <si>
    <t>261586</t>
  </si>
  <si>
    <t>261587</t>
  </si>
  <si>
    <t>261588</t>
  </si>
  <si>
    <t>CUT</t>
  </si>
  <si>
    <t>CNC</t>
  </si>
  <si>
    <t>ASSY</t>
  </si>
  <si>
    <t>QC</t>
  </si>
  <si>
    <t>PACK</t>
  </si>
  <si>
    <t>10.21.76963A</t>
  </si>
  <si>
    <t>7119140530+7119140640+72741359A</t>
  </si>
  <si>
    <t>A1729821302_EYELET V1</t>
  </si>
  <si>
    <t>7298947030+7172174830</t>
  </si>
  <si>
    <t>10.21.89507А</t>
  </si>
  <si>
    <t>10.21.83703А</t>
  </si>
  <si>
    <t>10.21.02366А</t>
  </si>
  <si>
    <t>AL Part</t>
  </si>
  <si>
    <t>X1PO2527</t>
  </si>
  <si>
    <t>10.21.77174A</t>
  </si>
  <si>
    <t>10.21.83697A</t>
  </si>
  <si>
    <t>10.21.00000</t>
  </si>
  <si>
    <t>NEED DESIGN</t>
  </si>
  <si>
    <t>261758</t>
  </si>
  <si>
    <t>261759</t>
  </si>
  <si>
    <t>7283837230</t>
  </si>
  <si>
    <t>261760</t>
  </si>
  <si>
    <t>261761</t>
  </si>
  <si>
    <t>261762</t>
  </si>
  <si>
    <t>261763</t>
  </si>
  <si>
    <t>261764</t>
  </si>
  <si>
    <t>261765</t>
  </si>
  <si>
    <t>7003293002</t>
  </si>
  <si>
    <t>261766</t>
  </si>
  <si>
    <t>7003789102</t>
  </si>
  <si>
    <t>261767</t>
  </si>
  <si>
    <t>7003803702</t>
  </si>
  <si>
    <t>261768</t>
  </si>
  <si>
    <t>7003827402</t>
  </si>
  <si>
    <t>261769</t>
  </si>
  <si>
    <t>7009630402</t>
  </si>
  <si>
    <t>261770</t>
  </si>
  <si>
    <t>7009639402</t>
  </si>
  <si>
    <t>261771</t>
  </si>
  <si>
    <t>7009741502</t>
  </si>
  <si>
    <t>261772</t>
  </si>
  <si>
    <t>7003803502</t>
  </si>
  <si>
    <t>261773</t>
  </si>
  <si>
    <t>7219182630</t>
  </si>
  <si>
    <t>261774</t>
  </si>
  <si>
    <t>7219622130</t>
  </si>
  <si>
    <t>261775</t>
  </si>
  <si>
    <t>7219632030</t>
  </si>
  <si>
    <t>261776</t>
  </si>
  <si>
    <t>7219632230</t>
  </si>
  <si>
    <t>261777</t>
  </si>
  <si>
    <t>7219648530</t>
  </si>
  <si>
    <t>261778</t>
  </si>
  <si>
    <t>7219652330</t>
  </si>
  <si>
    <t>261779</t>
  </si>
  <si>
    <t>7289059730</t>
  </si>
  <si>
    <t>261780</t>
  </si>
  <si>
    <t>7289063730</t>
  </si>
  <si>
    <t>261781</t>
  </si>
  <si>
    <t>72893837</t>
  </si>
  <si>
    <t>261782</t>
  </si>
  <si>
    <t>7289405130</t>
  </si>
  <si>
    <t>261783</t>
  </si>
  <si>
    <t>7289464330</t>
  </si>
  <si>
    <t>261784</t>
  </si>
  <si>
    <t>72895381</t>
  </si>
  <si>
    <t>261785</t>
  </si>
  <si>
    <t>7289734390</t>
  </si>
  <si>
    <t>261786</t>
  </si>
  <si>
    <t>7289921730</t>
  </si>
  <si>
    <t>261787</t>
  </si>
  <si>
    <t>72980475</t>
  </si>
  <si>
    <t>261788</t>
  </si>
  <si>
    <t>7298677930</t>
  </si>
  <si>
    <t>261789</t>
  </si>
  <si>
    <t>7298912930</t>
  </si>
  <si>
    <t>261790</t>
  </si>
  <si>
    <t>7298913330</t>
  </si>
  <si>
    <t>261791</t>
  </si>
  <si>
    <t>7298948930</t>
  </si>
  <si>
    <t>261792</t>
  </si>
  <si>
    <t>7298949030</t>
  </si>
  <si>
    <t>261793</t>
  </si>
  <si>
    <t>261794</t>
  </si>
  <si>
    <t>261795</t>
  </si>
  <si>
    <t>7003292202</t>
  </si>
  <si>
    <t>261796</t>
  </si>
  <si>
    <t>261797</t>
  </si>
  <si>
    <t>7009748202</t>
  </si>
  <si>
    <t>261798</t>
  </si>
  <si>
    <t>7287065830</t>
  </si>
  <si>
    <t>261799</t>
  </si>
  <si>
    <t>7035990830</t>
  </si>
  <si>
    <t>261800</t>
  </si>
  <si>
    <t>261801</t>
  </si>
  <si>
    <t>7247781630</t>
  </si>
  <si>
    <t>261802</t>
  </si>
  <si>
    <t>7035964930</t>
  </si>
  <si>
    <t>261803</t>
  </si>
  <si>
    <t>7035990430</t>
  </si>
  <si>
    <t>261804</t>
  </si>
  <si>
    <t>261805</t>
  </si>
  <si>
    <t>7075231930</t>
  </si>
  <si>
    <t>job_order_id</t>
  </si>
  <si>
    <t>cut</t>
  </si>
  <si>
    <t>cnc</t>
  </si>
  <si>
    <t>assembly</t>
  </si>
  <si>
    <t>qc</t>
  </si>
  <si>
    <t>not passed</t>
  </si>
  <si>
    <t>ASSYPPI0001107</t>
  </si>
  <si>
    <t>passed</t>
  </si>
  <si>
    <t>7189668330+7274135020A</t>
  </si>
  <si>
    <t>7289811630+7289811730+7274166590A</t>
  </si>
  <si>
    <t>ASSY_AMZ005000E/ASSY_AMZ005DC0E</t>
  </si>
  <si>
    <t>ASSY_AMZ005000F/ASSY_AMZ005DC0F</t>
  </si>
  <si>
    <t>ASSY_AMZ005000B/ASSY_AMZ005DC0B</t>
  </si>
  <si>
    <t>10.21.73073_A</t>
  </si>
  <si>
    <t>10.21.83604A</t>
  </si>
  <si>
    <t>10.21.83605A</t>
  </si>
  <si>
    <t>10.21.83601A</t>
  </si>
  <si>
    <t>10.21.83602A</t>
  </si>
  <si>
    <t>261720</t>
  </si>
  <si>
    <t>261721</t>
  </si>
  <si>
    <t>261722</t>
  </si>
  <si>
    <t>71191993</t>
  </si>
  <si>
    <t>261723</t>
  </si>
  <si>
    <t>261724</t>
  </si>
  <si>
    <t>71196506</t>
  </si>
  <si>
    <t>261725</t>
  </si>
  <si>
    <t>72988085</t>
  </si>
  <si>
    <t>261726</t>
  </si>
  <si>
    <t>261727</t>
  </si>
  <si>
    <t>project_description</t>
  </si>
  <si>
    <t>main RHD+LHD H248 x 1jb</t>
  </si>
  <si>
    <t>engine H248 1 jb</t>
  </si>
  <si>
    <t>10.21.77046A</t>
  </si>
  <si>
    <t>ASSY_123024501 + ASSY_023024521</t>
  </si>
  <si>
    <t>10.21.89517A</t>
  </si>
  <si>
    <t>10.21.77091A</t>
  </si>
  <si>
    <t>10.21.42632B</t>
  </si>
  <si>
    <t>7047135830S_DP</t>
  </si>
  <si>
    <t>2 part</t>
  </si>
  <si>
    <t>10.21.72847A</t>
  </si>
  <si>
    <t>10.21.72847A - 1</t>
  </si>
  <si>
    <t>10.21.72847A - 2</t>
  </si>
  <si>
    <t>7047186030D_DP</t>
  </si>
  <si>
    <t>10.21.54326E</t>
  </si>
  <si>
    <t>10.21.54326E - 1</t>
  </si>
  <si>
    <t>10.21.54326E - 2</t>
  </si>
  <si>
    <t>7035964930, X1PO2518, X1PP5823</t>
  </si>
  <si>
    <t>rest 11 jb</t>
  </si>
  <si>
    <t>71897277</t>
  </si>
  <si>
    <t>design/sample waiting</t>
  </si>
  <si>
    <t>for test</t>
  </si>
  <si>
    <t>design/sample waiting big grommet</t>
  </si>
  <si>
    <t>10.21.00001T</t>
  </si>
  <si>
    <t>10.21.00003T</t>
  </si>
  <si>
    <t>10.21.00006T</t>
  </si>
  <si>
    <t>10.21.00012T</t>
  </si>
  <si>
    <t>10.21.00018T</t>
  </si>
  <si>
    <t>10.21.00019T</t>
  </si>
  <si>
    <t>10.21.00021T</t>
  </si>
  <si>
    <t>remark</t>
  </si>
  <si>
    <t>ASSY_PPI0001651, ASSY_PPI0001652</t>
  </si>
  <si>
    <t>10.21.72843E</t>
  </si>
  <si>
    <t>10.21.72843E - 1</t>
  </si>
  <si>
    <t>10.21.72843E - 2</t>
  </si>
  <si>
    <t>10.21.83606A</t>
  </si>
  <si>
    <t>I10073</t>
  </si>
  <si>
    <t>I10074/5</t>
  </si>
  <si>
    <t>j</t>
  </si>
  <si>
    <t>y</t>
  </si>
  <si>
    <t>e</t>
  </si>
  <si>
    <t>l</t>
  </si>
  <si>
    <t>X</t>
  </si>
  <si>
    <t>Y</t>
  </si>
  <si>
    <t>Z</t>
  </si>
  <si>
    <t>jig bottom</t>
  </si>
  <si>
    <t>j left or right</t>
  </si>
  <si>
    <t>lock</t>
  </si>
  <si>
    <t>ear</t>
  </si>
  <si>
    <t>x conn</t>
  </si>
  <si>
    <t>y conn</t>
  </si>
  <si>
    <t>z conn</t>
  </si>
  <si>
    <t>ejector</t>
  </si>
  <si>
    <t>V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</si>
  <si>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</si>
  <si>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</si>
  <si>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</si>
  <si>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</si>
  <si>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</si>
  <si>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</si>
  <si>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</si>
  <si>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</si>
  <si>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</si>
  <si>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</si>
  <si>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</si>
  <si>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</si>
  <si>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</si>
  <si>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</si>
  <si>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</si>
  <si>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I10061</t>
  </si>
  <si>
    <t>I10062</t>
  </si>
  <si>
    <t>I10063</t>
  </si>
  <si>
    <t>I10064</t>
  </si>
  <si>
    <t>ASSY_R197136A85</t>
  </si>
  <si>
    <t>?????</t>
  </si>
  <si>
    <t>X1PP5F69</t>
  </si>
  <si>
    <t>X1PP5M25</t>
  </si>
  <si>
    <t>няма създаден</t>
  </si>
  <si>
    <t>YPN</t>
  </si>
  <si>
    <t>PO</t>
  </si>
  <si>
    <t>cap</t>
  </si>
  <si>
    <t>grommet</t>
  </si>
  <si>
    <t>leter</t>
  </si>
  <si>
    <t>n</t>
  </si>
  <si>
    <t>terminal</t>
  </si>
  <si>
    <t>foam</t>
  </si>
  <si>
    <t>m</t>
  </si>
  <si>
    <t>h</t>
  </si>
  <si>
    <t>op16</t>
  </si>
  <si>
    <t>o</t>
  </si>
  <si>
    <t>123x30x48-(x5PCS)</t>
  </si>
  <si>
    <t>I10060</t>
  </si>
  <si>
    <t>10.21.96554A</t>
  </si>
  <si>
    <t>X1PP6144</t>
  </si>
  <si>
    <t>10.21.00022T</t>
  </si>
  <si>
    <t>design/sample waiting washer tube</t>
  </si>
  <si>
    <t>orange</t>
  </si>
  <si>
    <t>branch</t>
  </si>
  <si>
    <t>pink</t>
  </si>
  <si>
    <t>qty branch</t>
  </si>
  <si>
    <t>position</t>
  </si>
  <si>
    <t>10.21.75457A</t>
  </si>
  <si>
    <t>10.21.75457A - 1</t>
  </si>
  <si>
    <t>10.21.75457A - 2</t>
  </si>
  <si>
    <t>10.21.75456A</t>
  </si>
  <si>
    <t>10.21.75456A - 1</t>
  </si>
  <si>
    <t>10.21.75456A - 2</t>
  </si>
  <si>
    <t>10.21.75455A</t>
  </si>
  <si>
    <t>10.21.75455A - 1</t>
  </si>
  <si>
    <t>10.21.75455A - 2</t>
  </si>
  <si>
    <t>qty branch x15</t>
  </si>
  <si>
    <t>toatal in JO</t>
  </si>
  <si>
    <t>10.21.75458А</t>
  </si>
  <si>
    <t>10.21.75458А - 1</t>
  </si>
  <si>
    <t>10.21.75458А - 2</t>
  </si>
  <si>
    <t>test</t>
  </si>
  <si>
    <t>10.21.00012T - 1</t>
  </si>
  <si>
    <t>10.21.00006T - 1</t>
  </si>
  <si>
    <t>10.21.00006T - 2</t>
  </si>
  <si>
    <t>10.21.96563A</t>
  </si>
  <si>
    <t>10.21.00012T - 2</t>
  </si>
  <si>
    <t>D_DP</t>
  </si>
  <si>
    <t>note</t>
  </si>
  <si>
    <t>S_DP, D_DP</t>
  </si>
  <si>
    <t>2D_DP, 1S_DP</t>
  </si>
  <si>
    <t>1S_DP</t>
  </si>
  <si>
    <t>1d</t>
  </si>
  <si>
    <t>1U_DP</t>
  </si>
  <si>
    <t>4s, 1d</t>
  </si>
  <si>
    <t>1D_DP</t>
  </si>
  <si>
    <t>6up, 4s</t>
  </si>
  <si>
    <t>2S_DP, 1U_DP, 1D_DP</t>
  </si>
  <si>
    <t>sample</t>
  </si>
  <si>
    <t>?</t>
  </si>
  <si>
    <t>design</t>
  </si>
  <si>
    <t>I10017Rev01 - 15jb</t>
  </si>
  <si>
    <t>10.21.76985_A</t>
  </si>
  <si>
    <t>additional</t>
  </si>
  <si>
    <t>10.21.75459A</t>
  </si>
  <si>
    <t>10.21.75459A - 1</t>
  </si>
  <si>
    <t>10.21.75459A - 2</t>
  </si>
  <si>
    <t>10.21.96569A</t>
  </si>
  <si>
    <t>main RHD+LHD H248</t>
  </si>
  <si>
    <t>Only cap</t>
  </si>
  <si>
    <t>H248</t>
  </si>
  <si>
    <t>10.21.28242A</t>
  </si>
  <si>
    <t>A30</t>
  </si>
  <si>
    <t>10.21.83679A</t>
  </si>
  <si>
    <t>10.21.83758_A</t>
  </si>
  <si>
    <t>10.21.27972B</t>
  </si>
  <si>
    <t>10.21.54489A</t>
  </si>
  <si>
    <t>RIGHT</t>
  </si>
  <si>
    <t>LEFT</t>
  </si>
  <si>
    <t>10.21.96570A</t>
  </si>
  <si>
    <t>10.21.82666A</t>
  </si>
  <si>
    <t>10.21.96568A</t>
  </si>
  <si>
    <t>10.21.96571A</t>
  </si>
  <si>
    <t>Open up</t>
  </si>
  <si>
    <t>10.21.96572A</t>
  </si>
  <si>
    <t>3 part</t>
  </si>
  <si>
    <t>10.21.96572A - 1</t>
  </si>
  <si>
    <t>10.21.96572A - 2</t>
  </si>
  <si>
    <t>10.21.96572A - 3</t>
  </si>
  <si>
    <t>MA</t>
  </si>
  <si>
    <t>H248  Main/Engine LHD/RHD 2 JB</t>
  </si>
  <si>
    <t>QTY, pcs</t>
  </si>
  <si>
    <t>b</t>
  </si>
  <si>
    <t>11 JB MAIN I9986 7000465161-1</t>
  </si>
  <si>
    <t>Стоковата е разписана!</t>
  </si>
  <si>
    <t>price offer</t>
  </si>
  <si>
    <t>I10074</t>
  </si>
  <si>
    <t>I10075</t>
  </si>
  <si>
    <t>I9986</t>
  </si>
  <si>
    <t>15 JB MAIN / I10017Rev01 7000474804-1</t>
  </si>
  <si>
    <t>10.21.96575A</t>
  </si>
  <si>
    <t xml:space="preserve">10.21.96575A - 1 </t>
  </si>
  <si>
    <t>10.21.96575A - 2</t>
  </si>
  <si>
    <t>10.21.96576A</t>
  </si>
  <si>
    <t>10.21.96576A - 1</t>
  </si>
  <si>
    <t>10.21.96576A - 2</t>
  </si>
  <si>
    <t>ok</t>
  </si>
  <si>
    <t>assy</t>
  </si>
  <si>
    <t>10.21.96573A</t>
  </si>
  <si>
    <t>10.21.96574A</t>
  </si>
  <si>
    <t>10.21.84747</t>
  </si>
  <si>
    <t>10.21.69750</t>
  </si>
  <si>
    <t>10.21.79644</t>
  </si>
  <si>
    <t>10.21.79266</t>
  </si>
  <si>
    <t>10.21.72183</t>
  </si>
  <si>
    <t>10.21.69559</t>
  </si>
  <si>
    <t>10.21.72173</t>
  </si>
  <si>
    <t>10.21.89716</t>
  </si>
  <si>
    <t>10.21.77265</t>
  </si>
  <si>
    <t>10.21.38987</t>
  </si>
  <si>
    <t>10.21.37556</t>
  </si>
  <si>
    <t>10.21.70526</t>
  </si>
  <si>
    <t>10.21.90095</t>
  </si>
  <si>
    <t>10.21.77267</t>
  </si>
  <si>
    <t>10.21.90093</t>
  </si>
  <si>
    <t>10.21.90094</t>
  </si>
  <si>
    <t>10.21.96577A</t>
  </si>
  <si>
    <t>10.21.96577A - 1</t>
  </si>
  <si>
    <t>10.21.96577A - 2</t>
  </si>
  <si>
    <t>H248  Main LHD/RHD</t>
  </si>
  <si>
    <t>7147882430D_DP</t>
  </si>
  <si>
    <t>За Тодор Стоянов</t>
  </si>
  <si>
    <t xml:space="preserve">TR - eroziina </t>
  </si>
  <si>
    <t>erozina TR</t>
  </si>
  <si>
    <t>10.21.71356G</t>
  </si>
  <si>
    <t>10.21.79644C</t>
  </si>
  <si>
    <t>GR</t>
  </si>
  <si>
    <t>gray</t>
  </si>
  <si>
    <t>СИВ</t>
  </si>
  <si>
    <t>7289811630+8117030+7274166590</t>
  </si>
  <si>
    <t>7187903970+904070+7274060970AE</t>
  </si>
  <si>
    <t>7289063430E</t>
  </si>
  <si>
    <t>7189730210+7274146260AE</t>
  </si>
  <si>
    <t>7198914830+7234497030E</t>
  </si>
  <si>
    <t>7119131620E</t>
  </si>
  <si>
    <t>7289405830E</t>
  </si>
  <si>
    <t>7219622130E</t>
  </si>
  <si>
    <t>7119146730E</t>
  </si>
  <si>
    <t>71196401E</t>
  </si>
  <si>
    <t>7119172930E</t>
  </si>
  <si>
    <t>7189663170E</t>
  </si>
  <si>
    <t>7289405130E</t>
  </si>
  <si>
    <t>71191993E</t>
  </si>
  <si>
    <t>7119131530E</t>
  </si>
  <si>
    <t>7119163630E</t>
  </si>
  <si>
    <t>7119639830E</t>
  </si>
  <si>
    <t>7198762530+7198600430+274261190A</t>
  </si>
  <si>
    <t>72988085E</t>
  </si>
  <si>
    <t>7298913730E</t>
  </si>
  <si>
    <t>7271007030AE</t>
  </si>
  <si>
    <t>7289488430+7274297830E</t>
  </si>
  <si>
    <t>7183288530+7183288630+72742612AE</t>
  </si>
  <si>
    <t>7278242730+173825540+174342530AE(X1PO3875+X1PO3876+X1PO3877A)</t>
  </si>
  <si>
    <t>7119670830+7274290770AE</t>
  </si>
  <si>
    <t>7289811630+7289811730+72741551AE</t>
  </si>
  <si>
    <t>7289811630/811730+7274155220AE</t>
  </si>
  <si>
    <t>7119648630+7274171430AE</t>
  </si>
  <si>
    <t>71782472E</t>
  </si>
  <si>
    <t>7119101830+7274131020AE</t>
  </si>
  <si>
    <t>7119131260E</t>
  </si>
  <si>
    <t>7271007230AE</t>
  </si>
  <si>
    <t>7119668820E</t>
  </si>
  <si>
    <t>7119140530+7119140640+72711359E</t>
  </si>
  <si>
    <t>7289059730E</t>
  </si>
  <si>
    <t>7198277430+7198277530+72741954E</t>
  </si>
  <si>
    <t>7289690230E</t>
  </si>
  <si>
    <t>7189811530+7289811830+72741554AE</t>
  </si>
  <si>
    <t>7219632230E</t>
  </si>
  <si>
    <t>7289896430E</t>
  </si>
  <si>
    <t>7289921730E</t>
  </si>
  <si>
    <t>7219182630E</t>
  </si>
  <si>
    <t>7198948560E</t>
  </si>
  <si>
    <t>7198796290E</t>
  </si>
  <si>
    <t>7219632030E</t>
  </si>
  <si>
    <t>7298677930E</t>
  </si>
  <si>
    <t>7298948930E</t>
  </si>
  <si>
    <t>71897277E</t>
  </si>
  <si>
    <t>7198916130E</t>
  </si>
  <si>
    <t>7297914930E</t>
  </si>
  <si>
    <t>7298913330E</t>
  </si>
  <si>
    <t>71986562E</t>
  </si>
  <si>
    <t>7297944190E</t>
  </si>
  <si>
    <t>7298912930E</t>
  </si>
  <si>
    <t>7298949030E</t>
  </si>
  <si>
    <t>71196714E</t>
  </si>
  <si>
    <t>72897304E_72895207E</t>
  </si>
  <si>
    <t>71781227E</t>
  </si>
  <si>
    <t>FOAM HOLDER</t>
  </si>
  <si>
    <t>7119-1621-30+7274-0253-90A</t>
  </si>
  <si>
    <t>ASSY_D4Z001DC0CE</t>
  </si>
  <si>
    <t>ASSY_59Z063DC0AE</t>
  </si>
  <si>
    <t>ASSY_59Z063DC0BE</t>
  </si>
  <si>
    <t>ASSY_59Z063DC0CE</t>
  </si>
  <si>
    <t>ASSY_D4Z001-DC0D(ASSY_022820534)</t>
  </si>
  <si>
    <t>ASSY-59Z006T00C</t>
  </si>
  <si>
    <t>ASSY_59Z063DC0FE</t>
  </si>
  <si>
    <t>ASSY_AMZ005DC0EE</t>
  </si>
  <si>
    <t>ASSY_AMZ005DC0FE</t>
  </si>
  <si>
    <t>ASSY_AMZ005DC0DE</t>
  </si>
  <si>
    <t>ASSY_118021051E</t>
  </si>
  <si>
    <t>ASSY_59Z145DC0FE</t>
  </si>
  <si>
    <t>ASSY_123024541E</t>
  </si>
  <si>
    <t>ASSY_CA288A25199XXXE</t>
  </si>
  <si>
    <t>7119605590E</t>
  </si>
  <si>
    <t>7187948430E</t>
  </si>
  <si>
    <t>70521459</t>
  </si>
  <si>
    <t>7047251030U</t>
  </si>
  <si>
    <t>7047275330S</t>
  </si>
  <si>
    <t>70475017D</t>
  </si>
  <si>
    <t>7047798230S</t>
  </si>
  <si>
    <t>7047798330S</t>
  </si>
  <si>
    <t>7247001130S</t>
  </si>
  <si>
    <t>7247758130S</t>
  </si>
  <si>
    <t>7247792930S</t>
  </si>
  <si>
    <t>7252803330S</t>
  </si>
  <si>
    <t>7176862930 (X1PO2407)</t>
  </si>
  <si>
    <t>7176863030 (X1PO2408)</t>
  </si>
  <si>
    <t>X1PO2562 -A1748211900</t>
  </si>
  <si>
    <t>X1PO2578 - 7176 8619 30</t>
  </si>
  <si>
    <t>X1PO2580 - 7176 8620 30</t>
  </si>
  <si>
    <t>X1PO 2519</t>
  </si>
  <si>
    <t>7176862130 - X1PO 2557</t>
  </si>
  <si>
    <t>7176862330 - X1PO 2559</t>
  </si>
  <si>
    <t>7176862730 - X1PO 2563</t>
  </si>
  <si>
    <t>7176874730 - X1PO 2553</t>
  </si>
  <si>
    <t>7075236930 - X1PO2363</t>
  </si>
  <si>
    <t>7075226830(X1PP5350)</t>
  </si>
  <si>
    <t>7075231830 - X1PO 2395</t>
  </si>
  <si>
    <t>7177097330A RIGHT  +HALFMOON</t>
  </si>
  <si>
    <t>7075231930 IR33</t>
  </si>
  <si>
    <t>7289-4643-30E+COVER</t>
  </si>
  <si>
    <t>21.50646.C/10.21.80718B</t>
  </si>
  <si>
    <t>21.37930.A</t>
  </si>
  <si>
    <t>21.37965.A</t>
  </si>
  <si>
    <t>21.37870.A</t>
  </si>
  <si>
    <t>10.21.79584B</t>
  </si>
  <si>
    <t>21.37986.A</t>
  </si>
  <si>
    <t>21.43822.B</t>
  </si>
  <si>
    <t>21.37966.A</t>
  </si>
  <si>
    <t>21.38690.a</t>
  </si>
  <si>
    <t>21.37967.a</t>
  </si>
  <si>
    <t>21.37913.a</t>
  </si>
  <si>
    <t>21.38683.a</t>
  </si>
  <si>
    <t>21.38043.A</t>
  </si>
  <si>
    <t>21.38917.A</t>
  </si>
  <si>
    <t>21.43818.</t>
  </si>
  <si>
    <t>21.38505.</t>
  </si>
  <si>
    <t>21.83586.B</t>
  </si>
  <si>
    <t>21.73035.A</t>
  </si>
  <si>
    <t>10.21.77020B</t>
  </si>
  <si>
    <t>21.37883.B</t>
  </si>
  <si>
    <t>21.37887.A</t>
  </si>
  <si>
    <t>21.43823.A</t>
  </si>
  <si>
    <t>21.38507.A</t>
  </si>
  <si>
    <t>10.21.52058B</t>
  </si>
  <si>
    <t>21.77369.a</t>
  </si>
  <si>
    <t>21.73033.B</t>
  </si>
  <si>
    <t>21.65867.A</t>
  </si>
  <si>
    <t>21.73022.B</t>
  </si>
  <si>
    <t>21.39390.A</t>
  </si>
  <si>
    <t>21.77024.A</t>
  </si>
  <si>
    <t>21.77353.A</t>
  </si>
  <si>
    <t>10.21.77374A</t>
  </si>
  <si>
    <t>10.21.80749A</t>
  </si>
  <si>
    <t>10.21.84407A</t>
  </si>
  <si>
    <t>10.21.83715A</t>
  </si>
  <si>
    <t>10.21.77027A</t>
  </si>
  <si>
    <t>10.21.44457E</t>
  </si>
  <si>
    <t>21.38926.a</t>
  </si>
  <si>
    <t>21.37924.a</t>
  </si>
  <si>
    <t>21.37923.a</t>
  </si>
  <si>
    <t>21.41552.a</t>
  </si>
  <si>
    <t>10.21.77077A</t>
  </si>
  <si>
    <t>10.21.83645B</t>
  </si>
  <si>
    <t>10.21.73055A</t>
  </si>
  <si>
    <t>21.71080.A</t>
  </si>
  <si>
    <t>21.37857A</t>
  </si>
  <si>
    <t>10.21.77080A</t>
  </si>
  <si>
    <t>10.21.48078B</t>
  </si>
  <si>
    <t>10.21.73065B</t>
  </si>
  <si>
    <t>21.83181.b</t>
  </si>
  <si>
    <t>21.76915.a</t>
  </si>
  <si>
    <t>10.21.73061А</t>
  </si>
  <si>
    <t>10.21.73057A</t>
  </si>
  <si>
    <t>10.21.77074A</t>
  </si>
  <si>
    <t>10.21.77312A</t>
  </si>
  <si>
    <t>10.21.58455A</t>
  </si>
  <si>
    <t>10.21.79591A</t>
  </si>
  <si>
    <t>10.21.79653B</t>
  </si>
  <si>
    <t>MA10.21.64080A</t>
  </si>
  <si>
    <t>10.21.90090B</t>
  </si>
  <si>
    <t>10.21.75011I</t>
  </si>
  <si>
    <t>10.21.11128A</t>
  </si>
  <si>
    <t>2120329B</t>
  </si>
  <si>
    <t>10.21.77383А</t>
  </si>
  <si>
    <t>10.2180874C</t>
  </si>
  <si>
    <t>10.21.80877A</t>
  </si>
  <si>
    <t>big fuse box/10.21.77343A</t>
  </si>
  <si>
    <t>21.77378.A</t>
  </si>
  <si>
    <t>21.37425.A</t>
  </si>
  <si>
    <t>10.21.37808C</t>
  </si>
  <si>
    <t>PCC</t>
  </si>
  <si>
    <t>pneumatic connector clip</t>
  </si>
  <si>
    <t>10.21.80788A</t>
  </si>
  <si>
    <t>A1729821302_EYELET V1E</t>
  </si>
  <si>
    <t>{"pin0": {"dia":  "8.0 mm", "length": "38.4 mm"}, "pin1": {"dia": "4.6 mm", "length": "12.0 mm"}}</t>
  </si>
  <si>
    <t>10.21.80788A-1</t>
  </si>
  <si>
    <t>66</t>
  </si>
  <si>
    <t>47</t>
  </si>
  <si>
    <t>48</t>
  </si>
  <si>
    <t>10.21.80788A-2</t>
  </si>
  <si>
    <t>10.21.80788A-3</t>
  </si>
  <si>
    <t>20</t>
  </si>
  <si>
    <t>testing</t>
  </si>
  <si>
    <t>10.21.69542I</t>
  </si>
  <si>
    <t>10.16.n/a-1</t>
  </si>
  <si>
    <t>10.21.77065A</t>
  </si>
  <si>
    <t>sample waiting</t>
  </si>
  <si>
    <t>{"info": {"type" : "mold", "supplier": "TR"}}</t>
  </si>
  <si>
    <t>Straight cover</t>
  </si>
  <si>
    <t>code</t>
  </si>
  <si>
    <t>test1</t>
  </si>
  <si>
    <t>test2</t>
  </si>
  <si>
    <t>test4</t>
  </si>
  <si>
    <t>oo</t>
  </si>
  <si>
    <t>result code</t>
  </si>
  <si>
    <t>QL08</t>
  </si>
  <si>
    <t>SA90_B</t>
  </si>
  <si>
    <t>WRFT10</t>
  </si>
  <si>
    <t>additional sheet</t>
  </si>
  <si>
    <t>10.78.11960</t>
  </si>
  <si>
    <t>vlookup_name</t>
  </si>
  <si>
    <t>vlookup_qty</t>
  </si>
  <si>
    <t>I10123</t>
  </si>
  <si>
    <t>ANTENNAS SPOT TAPE</t>
  </si>
  <si>
    <t>ASSY_123024501+ASSY_023024521</t>
  </si>
  <si>
    <t>WAVES_3</t>
  </si>
  <si>
    <t>SB60</t>
  </si>
  <si>
    <t>SB40</t>
  </si>
  <si>
    <t>SB70</t>
  </si>
  <si>
    <t>SB90</t>
  </si>
  <si>
    <t>SB41</t>
  </si>
  <si>
    <t>SB50</t>
  </si>
  <si>
    <t>WIRE HOLDER U/D 6</t>
  </si>
  <si>
    <t>I10124</t>
  </si>
  <si>
    <t>C-SUB02_A</t>
  </si>
  <si>
    <t>2C09C4</t>
  </si>
  <si>
    <t>2C12C4</t>
  </si>
  <si>
    <t>2A12C4</t>
  </si>
  <si>
    <t>1A12D4</t>
  </si>
  <si>
    <t>SC35H</t>
  </si>
  <si>
    <t>3C1212C4</t>
  </si>
  <si>
    <t>2A09B4</t>
  </si>
  <si>
    <t>7297914930</t>
  </si>
  <si>
    <t>C-SUB23</t>
  </si>
  <si>
    <t>I10125</t>
  </si>
  <si>
    <t>pon</t>
  </si>
  <si>
    <t>ma</t>
  </si>
  <si>
    <t>Row Labels</t>
  </si>
  <si>
    <t>Grand Total</t>
  </si>
  <si>
    <t>Sum of qty</t>
  </si>
  <si>
    <t>Column Labels</t>
  </si>
  <si>
    <t>jb_qty</t>
  </si>
  <si>
    <t>10.21.77088A</t>
  </si>
  <si>
    <t>path</t>
  </si>
  <si>
    <t>Y3760</t>
  </si>
  <si>
    <t>10.21.77146A</t>
  </si>
  <si>
    <t>Y3818</t>
  </si>
  <si>
    <t>10.21.97224</t>
  </si>
  <si>
    <t>X1PO2536</t>
  </si>
  <si>
    <t>7047052330D_DP</t>
  </si>
  <si>
    <t>7047186030S_DP</t>
  </si>
  <si>
    <t>7047186030U_DP</t>
  </si>
  <si>
    <t>7052161430S_DP</t>
  </si>
  <si>
    <t>7119101830+7274131020</t>
  </si>
  <si>
    <t>7177097330 (LEFT)</t>
  </si>
  <si>
    <t>7177097330 (RIGHT)</t>
  </si>
  <si>
    <t>7187903970/904070+7274060970A</t>
  </si>
  <si>
    <t>7189482930+72741357</t>
  </si>
  <si>
    <t>7189811530+7289811830+72741554</t>
  </si>
  <si>
    <t>7198277430+7198277530+72741954</t>
  </si>
  <si>
    <t>7198774930+7198947430+72742908</t>
  </si>
  <si>
    <t>71987958A</t>
  </si>
  <si>
    <t>7247760930S_DP</t>
  </si>
  <si>
    <t>7247761330U_DP</t>
  </si>
  <si>
    <t>7247781230S_DP</t>
  </si>
  <si>
    <t>72478572U_DP</t>
  </si>
  <si>
    <t>7252779130D_DP</t>
  </si>
  <si>
    <t>7252779130S_DP</t>
  </si>
  <si>
    <t>7252785330D_DP</t>
  </si>
  <si>
    <t>7252785330S_DP</t>
  </si>
  <si>
    <t>7252809330S_DP</t>
  </si>
  <si>
    <t>7289811630+7289811730+72741551</t>
  </si>
  <si>
    <t>7289811630+7289811730+7274155220</t>
  </si>
  <si>
    <t>A1729821302_EYELET V4_3</t>
  </si>
  <si>
    <t>WASHERTUBE X1PP6144 (180º BLACK)</t>
  </si>
  <si>
    <t>original</t>
  </si>
  <si>
    <t>7187903970+7187904070+7274060970</t>
  </si>
  <si>
    <t>clip</t>
  </si>
  <si>
    <t>gr</t>
  </si>
  <si>
    <t>special</t>
  </si>
  <si>
    <t>clip db</t>
  </si>
  <si>
    <t>removed, new layout</t>
  </si>
  <si>
    <t>add, new layout</t>
  </si>
  <si>
    <t>10.21.00023T</t>
  </si>
  <si>
    <t>10.21.00024T</t>
  </si>
  <si>
    <t>10.21.00026T</t>
  </si>
  <si>
    <t>10.21.00025T</t>
  </si>
  <si>
    <t>Engine H248 16jb</t>
  </si>
  <si>
    <t>Main LHD H248 28jb</t>
  </si>
  <si>
    <t>71979512</t>
  </si>
  <si>
    <t>72897304</t>
  </si>
  <si>
    <t>262557</t>
  </si>
  <si>
    <t>262558</t>
  </si>
  <si>
    <t>71186354</t>
  </si>
  <si>
    <t>262559</t>
  </si>
  <si>
    <t>7118670020</t>
  </si>
  <si>
    <t>262560</t>
  </si>
  <si>
    <t>7119131530</t>
  </si>
  <si>
    <t>262561</t>
  </si>
  <si>
    <t>262562</t>
  </si>
  <si>
    <t>71196401</t>
  </si>
  <si>
    <t>262563</t>
  </si>
  <si>
    <t>262564</t>
  </si>
  <si>
    <t>71899503</t>
  </si>
  <si>
    <t>262565</t>
  </si>
  <si>
    <t>7198796290</t>
  </si>
  <si>
    <t>262566</t>
  </si>
  <si>
    <t>71988082</t>
  </si>
  <si>
    <t>262567</t>
  </si>
  <si>
    <t>71989162</t>
  </si>
  <si>
    <t>262568</t>
  </si>
  <si>
    <t>7198948560</t>
  </si>
  <si>
    <t>262569</t>
  </si>
  <si>
    <t>262570</t>
  </si>
  <si>
    <t>262571</t>
  </si>
  <si>
    <t>7297944190</t>
  </si>
  <si>
    <t>262572</t>
  </si>
  <si>
    <t>262573</t>
  </si>
  <si>
    <t>262574</t>
  </si>
  <si>
    <t>262575</t>
  </si>
  <si>
    <t>262576</t>
  </si>
  <si>
    <t>262577</t>
  </si>
  <si>
    <t>262578</t>
  </si>
  <si>
    <t>262579</t>
  </si>
  <si>
    <t>262580</t>
  </si>
  <si>
    <t>262581</t>
  </si>
  <si>
    <t>262582</t>
  </si>
  <si>
    <t>262583</t>
  </si>
  <si>
    <t>262584</t>
  </si>
  <si>
    <t>262585</t>
  </si>
  <si>
    <t>7003756102</t>
  </si>
  <si>
    <t>262586</t>
  </si>
  <si>
    <t>batch</t>
  </si>
  <si>
    <t>I10129</t>
  </si>
  <si>
    <t>I10130</t>
  </si>
  <si>
    <t>262588</t>
  </si>
  <si>
    <t>262597</t>
  </si>
  <si>
    <t>7035990930</t>
  </si>
  <si>
    <t>262589</t>
  </si>
  <si>
    <t>262593</t>
  </si>
  <si>
    <t>7235053630</t>
  </si>
  <si>
    <t>262592</t>
  </si>
  <si>
    <t>262587</t>
  </si>
  <si>
    <t>262596</t>
  </si>
  <si>
    <t>262590</t>
  </si>
  <si>
    <t>262591</t>
  </si>
  <si>
    <t>262594</t>
  </si>
  <si>
    <t>262595</t>
  </si>
  <si>
    <t>10.21.77160A-1</t>
  </si>
  <si>
    <t>10.21.77160A-2</t>
  </si>
  <si>
    <t>160x45x40-, 126x45x40-(x4PCS)</t>
  </si>
  <si>
    <t>stock</t>
  </si>
  <si>
    <t>qtyx1</t>
  </si>
  <si>
    <t>7047186030D</t>
  </si>
  <si>
    <t>7047186030S</t>
  </si>
  <si>
    <t>7147882430D</t>
  </si>
  <si>
    <t>7147882430S</t>
  </si>
  <si>
    <t>7247781730U</t>
  </si>
  <si>
    <t>7252726530D</t>
  </si>
  <si>
    <t>7252779130D</t>
  </si>
  <si>
    <t>7252779130S</t>
  </si>
  <si>
    <t>7252785330D</t>
  </si>
  <si>
    <t>7252785330S</t>
  </si>
  <si>
    <t>7252785330U</t>
  </si>
  <si>
    <t>7252815130S</t>
  </si>
  <si>
    <t>7252815130U</t>
  </si>
  <si>
    <t>assembly_position</t>
  </si>
  <si>
    <t>qtyx28</t>
  </si>
  <si>
    <t>Side</t>
  </si>
  <si>
    <t>Up</t>
  </si>
  <si>
    <t>Down</t>
  </si>
  <si>
    <t>Указание за монтаж на клипс-холдър - H248 LHD</t>
  </si>
  <si>
    <t>C164</t>
  </si>
  <si>
    <t>sc35h true</t>
  </si>
  <si>
    <t>C167</t>
  </si>
  <si>
    <t>add numbering</t>
  </si>
  <si>
    <t>Zone</t>
  </si>
  <si>
    <t>Указание за монтаж на SC35H - H248 LHD</t>
  </si>
  <si>
    <t>status</t>
  </si>
  <si>
    <t>10.21.96697A</t>
  </si>
  <si>
    <t>10.21.08826A</t>
  </si>
  <si>
    <t>262609</t>
  </si>
  <si>
    <t>262608</t>
  </si>
  <si>
    <t>262598</t>
  </si>
  <si>
    <t>262599</t>
  </si>
  <si>
    <t>262602</t>
  </si>
  <si>
    <t>262601</t>
  </si>
  <si>
    <t>7047052330</t>
  </si>
  <si>
    <t>262605</t>
  </si>
  <si>
    <t>262607</t>
  </si>
  <si>
    <t>262604</t>
  </si>
  <si>
    <t>262606</t>
  </si>
  <si>
    <t>262603</t>
  </si>
  <si>
    <t>262600</t>
  </si>
  <si>
    <t>7252809330</t>
  </si>
  <si>
    <t>10.21.76941</t>
  </si>
  <si>
    <t>10.21.771125A</t>
  </si>
  <si>
    <t>10.21.2</t>
  </si>
  <si>
    <t>not in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</si>
</sst>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2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Libre Barcode 39"/>
    </font>
    <font>
      <sz val="48"/>
      <color theme="1"/>
      <name val="Libre Barcode 39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sz val="7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3" fillId="0" borderId="0"/>
    <xf numFmtId="0" fontId="17" fillId="0" borderId="0"/>
  </cellStyleXfs>
  <cellXfs count="100">
    <xf numFmtId="0" fontId="0" fillId="0" borderId="0" xfId="0"/>
    <xf numFmtId="0" fontId="0" fillId="0" borderId="0" xfId="0" applyAlignment="1">
      <alignment horizontal="left" vertical="top"/>
    </xf>
    <xf numFmtId="0" fontId="4" fillId="3" borderId="0" xfId="0" applyFont="1" applyFill="1"/>
    <xf numFmtId="0" fontId="4" fillId="0" borderId="0" xfId="0" applyFont="1"/>
    <xf numFmtId="0" fontId="4" fillId="3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0" fillId="4" borderId="0" xfId="0" applyFill="1"/>
    <xf numFmtId="0" fontId="0" fillId="0" borderId="0" xfId="0" quotePrefix="1" applyAlignment="1">
      <alignment horizontal="left" vertical="top"/>
    </xf>
    <xf numFmtId="3" fontId="4" fillId="3" borderId="0" xfId="0" applyNumberFormat="1" applyFont="1" applyFill="1" applyAlignment="1">
      <alignment horizontal="right"/>
    </xf>
    <xf numFmtId="3" fontId="4" fillId="0" borderId="0" xfId="0" applyNumberFormat="1" applyFont="1" applyAlignment="1">
      <alignment horizontal="right"/>
    </xf>
    <xf numFmtId="0" fontId="0" fillId="0" borderId="0" xfId="0" quotePrefix="1"/>
    <xf numFmtId="0" fontId="0" fillId="0" borderId="0" xfId="0" applyAlignment="1">
      <alignment horizontal="left"/>
    </xf>
    <xf numFmtId="49" fontId="5" fillId="2" borderId="3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6" fillId="0" borderId="0" xfId="0" applyNumberFormat="1" applyFont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 wrapText="1"/>
    </xf>
    <xf numFmtId="49" fontId="0" fillId="0" borderId="0" xfId="0" applyNumberFormat="1" applyAlignment="1">
      <alignment horizontal="left"/>
    </xf>
    <xf numFmtId="0" fontId="0" fillId="5" borderId="4" xfId="0" applyFill="1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7" fillId="0" borderId="0" xfId="0" applyFont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5" borderId="7" xfId="0" applyFill="1" applyBorder="1"/>
    <xf numFmtId="0" fontId="0" fillId="0" borderId="8" xfId="0" applyBorder="1"/>
    <xf numFmtId="0" fontId="0" fillId="7" borderId="13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1" fontId="0" fillId="0" borderId="0" xfId="0" applyNumberFormat="1"/>
    <xf numFmtId="0" fontId="10" fillId="10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11" borderId="0" xfId="0" applyFill="1"/>
    <xf numFmtId="0" fontId="0" fillId="0" borderId="6" xfId="0" applyBorder="1"/>
    <xf numFmtId="0" fontId="0" fillId="0" borderId="6" xfId="0" applyBorder="1" applyAlignment="1">
      <alignment horizontal="left"/>
    </xf>
    <xf numFmtId="0" fontId="12" fillId="0" borderId="6" xfId="0" applyFont="1" applyBorder="1"/>
    <xf numFmtId="0" fontId="12" fillId="0" borderId="6" xfId="0" applyFont="1" applyBorder="1" applyAlignment="1">
      <alignment horizontal="left"/>
    </xf>
    <xf numFmtId="0" fontId="14" fillId="0" borderId="6" xfId="0" applyFont="1" applyBorder="1"/>
    <xf numFmtId="0" fontId="15" fillId="0" borderId="6" xfId="0" applyFont="1" applyBorder="1"/>
    <xf numFmtId="0" fontId="14" fillId="0" borderId="0" xfId="0" applyFont="1"/>
    <xf numFmtId="0" fontId="6" fillId="0" borderId="0" xfId="0" applyFont="1" applyAlignment="1">
      <alignment horizontal="left"/>
    </xf>
    <xf numFmtId="0" fontId="0" fillId="0" borderId="24" xfId="0" applyBorder="1"/>
    <xf numFmtId="0" fontId="0" fillId="0" borderId="25" xfId="0" applyBorder="1"/>
    <xf numFmtId="0" fontId="0" fillId="0" borderId="0" xfId="0" pivotButton="1"/>
    <xf numFmtId="0" fontId="18" fillId="0" borderId="6" xfId="0" applyFont="1" applyBorder="1"/>
    <xf numFmtId="0" fontId="2" fillId="12" borderId="2" xfId="0" applyFont="1" applyFill="1" applyBorder="1"/>
    <xf numFmtId="0" fontId="9" fillId="12" borderId="0" xfId="0" applyFont="1" applyFill="1"/>
    <xf numFmtId="49" fontId="0" fillId="0" borderId="0" xfId="0" applyNumberFormat="1"/>
    <xf numFmtId="0" fontId="0" fillId="13" borderId="0" xfId="0" applyFill="1"/>
    <xf numFmtId="0" fontId="0" fillId="0" borderId="6" xfId="0" pivotButton="1" applyBorder="1"/>
    <xf numFmtId="0" fontId="11" fillId="0" borderId="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0" fillId="14" borderId="0" xfId="0" applyFill="1"/>
    <xf numFmtId="0" fontId="0" fillId="0" borderId="0" xfId="0" applyFill="1"/>
    <xf numFmtId="0" fontId="0" fillId="0" borderId="0" xfId="0" applyFill="1" applyAlignment="1">
      <alignment horizontal="left" vertical="top"/>
    </xf>
    <xf numFmtId="0" fontId="0" fillId="0" borderId="0" xfId="0" applyNumberFormat="1" applyFill="1"/>
    <xf numFmtId="0" fontId="11" fillId="0" borderId="6" xfId="0" applyFont="1" applyFill="1" applyBorder="1" applyAlignment="1">
      <alignment horizontal="center"/>
    </xf>
    <xf numFmtId="0" fontId="21" fillId="0" borderId="6" xfId="0" applyFont="1" applyFill="1" applyBorder="1"/>
    <xf numFmtId="0" fontId="14" fillId="0" borderId="6" xfId="0" applyFont="1" applyFill="1" applyBorder="1"/>
    <xf numFmtId="0" fontId="14" fillId="0" borderId="6" xfId="0" applyFont="1" applyFill="1" applyBorder="1" applyAlignment="1">
      <alignment horizontal="left"/>
    </xf>
    <xf numFmtId="0" fontId="0" fillId="0" borderId="0" xfId="0" applyNumberFormat="1"/>
    <xf numFmtId="0" fontId="0" fillId="0" borderId="6" xfId="0" applyNumberFormat="1" applyBorder="1"/>
  </cellXfs>
  <cellStyles count="3">
    <cellStyle name="Excel Built-in Normal" xfId="1" xr:uid="{FC05862D-A32D-41BF-B86F-FCDFEB09A0C7}"/>
    <cellStyle name="Normal" xfId="0" builtinId="0"/>
    <cellStyle name="Normal 2 2" xfId="2" xr:uid="{A4FBF281-33E9-4B26-94D1-DCC04C82109A}"/>
  </cellStyles>
  <dxfs count="16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textRotation="0" indent="0" justifyLastLine="0" shrinkToFit="0" readingOrder="0"/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AMEN DIMITROV" refreshedDate="46225.666575578703" createdVersion="8" refreshedVersion="8" minRefreshableVersion="3" recordCount="30" xr:uid="{0E3B092B-151A-4270-B72A-DB054E73BD8E}">
  <cacheSource type="worksheet">
    <worksheetSource name="Table19"/>
  </cacheSource>
  <cacheFields count="5">
    <cacheField name="pon" numFmtId="0">
      <sharedItems count="3">
        <s v="I10123"/>
        <s v="I10124"/>
        <s v="I10125"/>
      </sharedItems>
    </cacheField>
    <cacheField name="family" numFmtId="0">
      <sharedItems/>
    </cacheField>
    <cacheField name="name" numFmtId="49">
      <sharedItems containsMixedTypes="1" containsNumber="1" containsInteger="1" minValue="7297913630" maxValue="7297913630" count="26">
        <s v="ASSY_123024501+ASSY_023024521"/>
        <s v="WAVES_3"/>
        <s v="SB60"/>
        <s v="SB40"/>
        <s v="SB70"/>
        <s v="SB90"/>
        <s v="SB41"/>
        <s v="SB50"/>
        <s v="SA90_B"/>
        <s v="WIRE HOLDER U/D 6"/>
        <s v="2C09C4"/>
        <s v="2C12C4"/>
        <s v="2A12C4"/>
        <s v="1A12D4"/>
        <s v="SC35H"/>
        <s v="WRFT10"/>
        <s v="3C1212C4"/>
        <s v="QL08"/>
        <s v="2A09B4"/>
        <s v="7298677930"/>
        <s v="7298949030"/>
        <s v="7298913330"/>
        <s v="ASSY_118021051"/>
        <n v="7297913630"/>
        <s v="7298948930"/>
        <s v="7297914930"/>
      </sharedItems>
    </cacheField>
    <cacheField name="ma" numFmtId="0">
      <sharedItems containsBlank="1"/>
    </cacheField>
    <cacheField name="qty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ANTENNAS SPOT TAPE"/>
    <x v="0"/>
    <m/>
    <n v="10"/>
  </r>
  <r>
    <x v="0"/>
    <s v="ANTENNAS SPOT TAPE"/>
    <x v="1"/>
    <s v="additional sheet"/>
    <n v="6"/>
  </r>
  <r>
    <x v="0"/>
    <s v="ANTENNAS SPOT TAPE"/>
    <x v="2"/>
    <m/>
    <n v="1"/>
  </r>
  <r>
    <x v="0"/>
    <s v="ANTENNAS SPOT TAPE"/>
    <x v="3"/>
    <m/>
    <n v="1"/>
  </r>
  <r>
    <x v="0"/>
    <s v="ANTENNAS SPOT TAPE"/>
    <x v="4"/>
    <m/>
    <n v="2"/>
  </r>
  <r>
    <x v="0"/>
    <s v="ANTENNAS SPOT TAPE"/>
    <x v="5"/>
    <m/>
    <n v="3"/>
  </r>
  <r>
    <x v="0"/>
    <s v="ANTENNAS SPOT TAPE"/>
    <x v="6"/>
    <m/>
    <n v="1"/>
  </r>
  <r>
    <x v="0"/>
    <s v="ANTENNAS SPOT TAPE"/>
    <x v="7"/>
    <m/>
    <n v="2"/>
  </r>
  <r>
    <x v="0"/>
    <s v="ANTENNAS SPOT TAPE"/>
    <x v="8"/>
    <m/>
    <n v="2"/>
  </r>
  <r>
    <x v="0"/>
    <s v="ANTENNAS SPOT TAPE"/>
    <x v="9"/>
    <s v="additional sheet"/>
    <n v="4"/>
  </r>
  <r>
    <x v="1"/>
    <s v="C-SUB02_A"/>
    <x v="10"/>
    <m/>
    <n v="2"/>
  </r>
  <r>
    <x v="1"/>
    <s v="C-SUB02_A"/>
    <x v="11"/>
    <m/>
    <n v="3"/>
  </r>
  <r>
    <x v="1"/>
    <s v="C-SUB02_A"/>
    <x v="12"/>
    <m/>
    <n v="2"/>
  </r>
  <r>
    <x v="1"/>
    <s v="C-SUB02_A"/>
    <x v="13"/>
    <m/>
    <n v="1"/>
  </r>
  <r>
    <x v="1"/>
    <s v="C-SUB02_A"/>
    <x v="14"/>
    <m/>
    <n v="6"/>
  </r>
  <r>
    <x v="1"/>
    <s v="C-SUB02_A"/>
    <x v="15"/>
    <m/>
    <n v="1"/>
  </r>
  <r>
    <x v="1"/>
    <s v="C-SUB02_A"/>
    <x v="16"/>
    <m/>
    <n v="1"/>
  </r>
  <r>
    <x v="1"/>
    <s v="C-SUB02_A"/>
    <x v="17"/>
    <m/>
    <n v="1"/>
  </r>
  <r>
    <x v="1"/>
    <s v="C-SUB02_A"/>
    <x v="18"/>
    <m/>
    <n v="1"/>
  </r>
  <r>
    <x v="1"/>
    <s v="C-SUB02_A"/>
    <x v="19"/>
    <s v="10.21.76980B"/>
    <n v="1"/>
  </r>
  <r>
    <x v="1"/>
    <s v="C-SUB02_A"/>
    <x v="20"/>
    <s v="10.21.76979B"/>
    <n v="1"/>
  </r>
  <r>
    <x v="1"/>
    <s v="C-SUB02_A"/>
    <x v="21"/>
    <s v="10.21.76963A"/>
    <n v="1"/>
  </r>
  <r>
    <x v="1"/>
    <s v="C-SUB02_A"/>
    <x v="22"/>
    <s v="10.21.76965A"/>
    <n v="2"/>
  </r>
  <r>
    <x v="1"/>
    <s v="C-SUB02_A"/>
    <x v="23"/>
    <m/>
    <n v="1"/>
  </r>
  <r>
    <x v="1"/>
    <s v="C-SUB02_A"/>
    <x v="24"/>
    <s v="10.21.72976A"/>
    <n v="1"/>
  </r>
  <r>
    <x v="1"/>
    <s v="C-SUB02_A"/>
    <x v="25"/>
    <m/>
    <n v="1"/>
  </r>
  <r>
    <x v="2"/>
    <s v="C-SUB23"/>
    <x v="8"/>
    <m/>
    <n v="1"/>
  </r>
  <r>
    <x v="2"/>
    <s v="C-SUB23"/>
    <x v="15"/>
    <s v="10.78.11960"/>
    <n v="1"/>
  </r>
  <r>
    <x v="2"/>
    <s v="C-SUB23"/>
    <x v="0"/>
    <m/>
    <n v="4"/>
  </r>
  <r>
    <x v="2"/>
    <s v="C-SUB23"/>
    <x v="11"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1F1F8-3EA4-4AE1-8A93-8B5BE8B6860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7:K55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27">
        <item x="13"/>
        <item x="18"/>
        <item x="12"/>
        <item x="10"/>
        <item x="11"/>
        <item x="16"/>
        <item x="25"/>
        <item x="19"/>
        <item x="21"/>
        <item x="24"/>
        <item x="20"/>
        <item x="22"/>
        <item x="0"/>
        <item x="17"/>
        <item x="8"/>
        <item x="3"/>
        <item x="6"/>
        <item x="7"/>
        <item x="2"/>
        <item x="4"/>
        <item x="5"/>
        <item x="14"/>
        <item x="1"/>
        <item x="9"/>
        <item x="15"/>
        <item x="23"/>
        <item t="default"/>
      </items>
    </pivotField>
    <pivotField showAll="0"/>
    <pivotField dataField="1"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qty" fld="4" baseField="0" baseItem="0"/>
  </dataFields>
  <formats count="6">
    <format dxfId="135">
      <pivotArea outline="0" collapsedLevelsAreSubtotals="1" fieldPosition="0"/>
    </format>
    <format dxfId="134">
      <pivotArea field="2" type="button" dataOnly="0" labelOnly="1" outline="0" axis="axisRow" fieldPosition="0"/>
    </format>
    <format dxfId="133">
      <pivotArea dataOnly="0" labelOnly="1" fieldPosition="0">
        <references count="1">
          <reference field="2" count="0"/>
        </references>
      </pivotArea>
    </format>
    <format dxfId="132">
      <pivotArea dataOnly="0" labelOnly="1" grandRow="1" outline="0" fieldPosition="0"/>
    </format>
    <format dxfId="131">
      <pivotArea dataOnly="0" labelOnly="1" fieldPosition="0">
        <references count="1">
          <reference field="0" count="0"/>
        </references>
      </pivotArea>
    </format>
    <format dxfId="13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19FB17-96EF-44B9-B5DF-5F57057A3A6B}" autoFormatId="16" applyNumberFormats="0" applyBorderFormats="0" applyFontFormats="0" applyPatternFormats="0" applyAlignmentFormats="0" applyWidthHeightFormats="0">
  <queryTableRefresh nextId="14">
    <queryTableFields count="11">
      <queryTableField id="1" name="job_order_id" tableColumnId="10"/>
      <queryTableField id="2" name="job_order_number" tableColumnId="2"/>
      <queryTableField id="12" name="ma_number" tableColumnId="1"/>
      <queryTableField id="3" name="name" tableColumnId="3"/>
      <queryTableField id="10" name="type_id" tableColumnId="11"/>
      <queryTableField id="4" name="batch_id" tableColumnId="4"/>
      <queryTableField id="5" name="quantity" tableColumnId="5"/>
      <queryTableField id="6" name="cut" tableColumnId="6"/>
      <queryTableField id="7" name="cnc" tableColumnId="7"/>
      <queryTableField id="8" name="assembly" tableColumnId="8"/>
      <queryTableField id="9" name="qc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C20A709-123C-4A50-B267-893AB5117D21}" autoFormatId="16" applyNumberFormats="0" applyBorderFormats="0" applyFontFormats="0" applyPatternFormats="0" applyAlignmentFormats="0" applyWidthHeightFormats="0">
  <queryTableRefresh nextId="34" unboundColumnsRight="5">
    <queryTableFields count="33">
      <queryTableField id="1" name="job_order_number" tableColumnId="29"/>
      <queryTableField id="2" name="batch_id" tableColumnId="2"/>
      <queryTableField id="3" name="quantity" tableColumnId="3"/>
      <queryTableField id="4" name="id" tableColumnId="4"/>
      <queryTableField id="5" name="ma_number" tableColumnId="5"/>
      <queryTableField id="6" name="parent_id" tableColumnId="6"/>
      <queryTableField id="7" name="dimension_x" tableColumnId="7"/>
      <queryTableField id="8" name="dimension_y" tableColumnId="8"/>
      <queryTableField id="9" name="dimension_z" tableColumnId="9"/>
      <queryTableField id="10" name="color_id" tableColumnId="10"/>
      <queryTableField id="11" name="material_id" tableColumnId="11"/>
      <queryTableField id="12" name="color_name_bg" tableColumnId="12"/>
      <queryTableField id="13" name="material_code" tableColumnId="13"/>
      <queryTableField id="14" name="name" tableColumnId="14"/>
      <queryTableField id="15" name="type_id" tableColumnId="15"/>
      <queryTableField id="16" name="description" tableColumnId="16"/>
      <queryTableField id="17" name="type_code" tableColumnId="17"/>
      <queryTableField id="18" name="material_name_bg" tableColumnId="18"/>
      <queryTableField id="19" name="process_cut" tableColumnId="19"/>
      <queryTableField id="20" name="process_mill" tableColumnId="20"/>
      <queryTableField id="21" name="is_assembly" tableColumnId="21"/>
      <queryTableField id="22" name="price_offer_num" tableColumnId="22"/>
      <queryTableField id="23" name="dimension_x_g" tableColumnId="23"/>
      <queryTableField id="24" name="dimension_y_g" tableColumnId="24"/>
      <queryTableField id="25" name="dimension_z_g" tableColumnId="25"/>
      <queryTableField id="26" name="qty_per_group" tableColumnId="26"/>
      <queryTableField id="27" name="id2" tableColumnId="27"/>
      <queryTableField id="28" name="project_name" tableColumnId="28"/>
      <queryTableField id="29" dataBound="0" tableColumnId="1"/>
      <queryTableField id="30" dataBound="0" tableColumnId="30"/>
      <queryTableField id="31" dataBound="0" tableColumnId="31"/>
      <queryTableField id="32" dataBound="0" tableColumnId="32"/>
      <queryTableField id="33" dataBound="0" tableColumnId="3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50AFD3-1894-4EEB-837D-B7B0E0B98A67}" autoFormatId="16" applyNumberFormats="0" applyBorderFormats="0" applyFontFormats="0" applyPatternFormats="0" applyAlignmentFormats="0" applyWidthHeightFormats="0">
  <queryTableRefresh nextId="34" unboundColumnsRight="5">
    <queryTableFields count="33">
      <queryTableField id="1" name="job_order_number" tableColumnId="29"/>
      <queryTableField id="2" name="batch_id" tableColumnId="2"/>
      <queryTableField id="3" name="quantity" tableColumnId="3"/>
      <queryTableField id="4" name="id" tableColumnId="4"/>
      <queryTableField id="5" name="ma_number" tableColumnId="5"/>
      <queryTableField id="6" name="parent_id" tableColumnId="6"/>
      <queryTableField id="7" name="dimension_x" tableColumnId="7"/>
      <queryTableField id="8" name="dimension_y" tableColumnId="8"/>
      <queryTableField id="9" name="dimension_z" tableColumnId="9"/>
      <queryTableField id="10" name="color_id" tableColumnId="10"/>
      <queryTableField id="11" name="material_id" tableColumnId="11"/>
      <queryTableField id="12" name="color_name_bg" tableColumnId="12"/>
      <queryTableField id="13" name="material_code" tableColumnId="13"/>
      <queryTableField id="14" name="name" tableColumnId="14"/>
      <queryTableField id="15" name="type_id" tableColumnId="15"/>
      <queryTableField id="16" name="description" tableColumnId="16"/>
      <queryTableField id="17" name="type_code" tableColumnId="17"/>
      <queryTableField id="18" name="material_name_bg" tableColumnId="18"/>
      <queryTableField id="19" name="process_cut" tableColumnId="19"/>
      <queryTableField id="20" name="process_mill" tableColumnId="20"/>
      <queryTableField id="21" name="is_assembly" tableColumnId="21"/>
      <queryTableField id="22" name="price_offer_num" tableColumnId="22"/>
      <queryTableField id="23" name="dimension_x_g" tableColumnId="23"/>
      <queryTableField id="24" name="dimension_y_g" tableColumnId="24"/>
      <queryTableField id="25" name="dimension_z_g" tableColumnId="25"/>
      <queryTableField id="26" name="qty_per_group" tableColumnId="26"/>
      <queryTableField id="27" name="id2" tableColumnId="27"/>
      <queryTableField id="28" name="project_name" tableColumnId="28"/>
      <queryTableField id="29" dataBound="0" tableColumnId="30"/>
      <queryTableField id="30" dataBound="0" tableColumnId="31"/>
      <queryTableField id="31" dataBound="0" tableColumnId="32"/>
      <queryTableField id="32" dataBound="0" tableColumnId="33"/>
      <queryTableField id="33" dataBound="0" tableColumnId="3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57BB83D1-E622-4AC7-8C46-753DE9E0C110}" autoFormatId="16" applyNumberFormats="0" applyBorderFormats="0" applyFontFormats="0" applyPatternFormats="0" applyAlignmentFormats="0" applyWidthHeightFormats="0">
  <queryTableRefresh nextId="19" unboundColumnsRight="5">
    <queryTableFields count="16">
      <queryTableField id="1" name="job_order_id" tableColumnId="10"/>
      <queryTableField id="2" name="job_order_number" tableColumnId="2"/>
      <queryTableField id="17" name="ma_number" tableColumnId="16"/>
      <queryTableField id="3" name="name" tableColumnId="3"/>
      <queryTableField id="10" name="type_id" tableColumnId="1"/>
      <queryTableField id="4" name="batch_id" tableColumnId="4"/>
      <queryTableField id="5" name="quantity" tableColumnId="5"/>
      <queryTableField id="6" name="cut" tableColumnId="6"/>
      <queryTableField id="7" name="cnc" tableColumnId="7"/>
      <queryTableField id="8" name="assembly" tableColumnId="8"/>
      <queryTableField id="9" name="qc" tableColumnId="9"/>
      <queryTableField id="12" dataBound="0" tableColumnId="11"/>
      <queryTableField id="13" dataBound="0" tableColumnId="12"/>
      <queryTableField id="15" dataBound="0" tableColumnId="14"/>
      <queryTableField id="16" dataBound="0" tableColumnId="15"/>
      <queryTableField id="14" dataBound="0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907BB00E-DD80-4E69-AF4A-D33D787E2531}" autoFormatId="16" applyNumberFormats="0" applyBorderFormats="0" applyFontFormats="0" applyPatternFormats="0" applyAlignmentFormats="0" applyWidthHeightFormats="0">
  <queryTableRefresh nextId="14">
    <queryTableFields count="11">
      <queryTableField id="1" name="job_order_id" tableColumnId="10"/>
      <queryTableField id="2" name="job_order_number" tableColumnId="2"/>
      <queryTableField id="12" name="ma_number" tableColumnId="11"/>
      <queryTableField id="3" name="name" tableColumnId="3"/>
      <queryTableField id="10" name="type_id" tableColumnId="1"/>
      <queryTableField id="4" name="batch_id" tableColumnId="4"/>
      <queryTableField id="5" name="quantity" tableColumnId="5"/>
      <queryTableField id="6" name="cut" tableColumnId="6"/>
      <queryTableField id="7" name="cnc" tableColumnId="7"/>
      <queryTableField id="8" name="assembly" tableColumnId="8"/>
      <queryTableField id="9" name="qc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124EC8-C8BF-4C49-AF23-6C2C0E77A8FA}" autoFormatId="16" applyNumberFormats="0" applyBorderFormats="0" applyFontFormats="0" applyPatternFormats="0" applyAlignmentFormats="0" applyWidthHeightFormats="0">
  <queryTableRefresh nextId="14">
    <queryTableFields count="11">
      <queryTableField id="1" name="job_order_id" tableColumnId="10"/>
      <queryTableField id="2" name="job_order_number" tableColumnId="2"/>
      <queryTableField id="12" name="ma_number" tableColumnId="1"/>
      <queryTableField id="3" name="name" tableColumnId="3"/>
      <queryTableField id="10" name="type_id" tableColumnId="11"/>
      <queryTableField id="4" name="batch_id" tableColumnId="4"/>
      <queryTableField id="5" name="quantity" tableColumnId="5"/>
      <queryTableField id="6" name="cut" tableColumnId="6"/>
      <queryTableField id="7" name="cnc" tableColumnId="7"/>
      <queryTableField id="8" name="assembly" tableColumnId="8"/>
      <queryTableField id="9" name="qc" tableColumnId="9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4EFE6-1099-438A-9D64-1AFEA3E877E1}" name="Table1" displayName="Table1" ref="A1:Z301" totalsRowShown="0" headerRowDxfId="164" dataDxfId="163">
  <autoFilter ref="A1:Z301" xr:uid="{4FD4EFE6-1099-438A-9D64-1AFEA3E877E1}">
    <filterColumn colId="1">
      <filters>
        <filter val="7047186030"/>
        <filter val="7118605030"/>
        <filter val="7118605030+7152511030"/>
        <filter val="7298341860+7297341730"/>
      </filters>
    </filterColumn>
  </autoFilter>
  <tableColumns count="26">
    <tableColumn id="1" xr3:uid="{3B7E460A-E4F8-4748-BDB7-69F9DF95E095}" name="MA_Number" dataDxfId="162"/>
    <tableColumn id="2" xr3:uid="{0C86C14C-C734-4C14-9D15-5BF628634433}" name="Product_Name" dataDxfId="161"/>
    <tableColumn id="30" xr3:uid="{050D8DE9-BC74-4050-94FA-10894F23596C}" name="alt_name" dataDxfId="160"/>
    <tableColumn id="5" xr3:uid="{B7270D78-2CE2-41E9-A475-02143C2A7D02}" name="type_code" dataDxfId="159"/>
    <tableColumn id="3" xr3:uid="{80614BD7-785D-4865-A2C0-9EC9C8EACE03}" name="Description" dataDxfId="158"/>
    <tableColumn id="4" xr3:uid="{712E4162-81D9-47C7-8EEF-73A898972DF4}" name="Is_Assembly" dataDxfId="157"/>
    <tableColumn id="16" xr3:uid="{499F8FD0-A2A3-4176-A552-313DDDC5BA39}" name="parent_ma" dataDxfId="156"/>
    <tableColumn id="7" xr3:uid="{D05F0B8F-F449-4B71-BFD4-5C771658ED9C}" name="Part_Number" dataDxfId="155"/>
    <tableColumn id="8" xr3:uid="{B643C364-3099-4EEB-AED1-F61689849DDE}" name="Part_Qty" dataDxfId="154"/>
    <tableColumn id="9" xr3:uid="{1FB793F0-5C0E-4E9E-A553-69662201D95E}" name="Part_Length" dataDxfId="153"/>
    <tableColumn id="10" xr3:uid="{A46D0FCB-3E53-48F9-A53C-473B67948093}" name="Part_Width" dataDxfId="152"/>
    <tableColumn id="11" xr3:uid="{60D16FF4-D45B-4799-81B5-5A76D0C9B75F}" name="Part_Height" dataDxfId="151"/>
    <tableColumn id="12" xr3:uid="{9236BC38-CC48-4A88-8E0F-CC0CF0FD23E8}" name="color_code" dataDxfId="150"/>
    <tableColumn id="13" xr3:uid="{733327CD-E162-4FAD-AEA1-3C7B2D569A38}" name="material_code" dataDxfId="149"/>
    <tableColumn id="18" xr3:uid="{71BB0E28-DF33-49EB-86CF-D06CFB367F4F}" name="process_cut" dataDxfId="148"/>
    <tableColumn id="19" xr3:uid="{A88BCE54-C957-4D13-B884-66299105378A}" name="process_mill" dataDxfId="147"/>
    <tableColumn id="22" xr3:uid="{470DB65E-5747-4C8C-9238-C17C0675B78F}" name="group_processing" dataDxfId="146"/>
    <tableColumn id="25" xr3:uid="{30741311-55D9-429E-B38B-6427F3C29609}" name="dimension_x_g" dataDxfId="145"/>
    <tableColumn id="24" xr3:uid="{18A9B155-40E3-47EE-8E28-F4D7F3F4192C}" name="dimension_y_g" dataDxfId="144"/>
    <tableColumn id="23" xr3:uid="{F373FF10-9E7B-464C-898A-9AC55A93F09E}" name="dimension_z_g" dataDxfId="143"/>
    <tableColumn id="26" xr3:uid="{7F78AD9C-5261-4F67-A5CE-87A37B6268AB}" name="qty_per_group" dataDxfId="142"/>
    <tableColumn id="21" xr3:uid="{9058C990-680C-4FA0-A028-47CC2085F6BD}" name="is_3d_part" dataDxfId="141"/>
    <tableColumn id="14" xr3:uid="{02DB0385-C9D0-43F2-90B3-4B0F2B4A9E03}" name="Assembly_Order" dataDxfId="140"/>
    <tableColumn id="6" xr3:uid="{FF75CC84-E8C7-4A41-8450-E0DE1E70A57B}" name="batch_id" dataDxfId="139"/>
    <tableColumn id="15" xr3:uid="{CA727344-6660-47E3-8037-BC628C2DE7FA}" name="qty" dataDxfId="138">
      <calculatedColumnFormula>IFERROR(AB2*AA2,0)</calculatedColumnFormula>
    </tableColumn>
    <tableColumn id="17" xr3:uid="{B4D2D7A1-56A7-4DC1-BF72-D931C6B7031B}" name="price_offer_num" dataDxfId="1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C642CE5-3BE1-4FD9-8BB0-8621B5684139}" name="Table21" displayName="Table21" ref="A2:E31" totalsRowShown="0" headerRowDxfId="55" dataDxfId="54">
  <autoFilter ref="A2:E31" xr:uid="{9AA6459D-2BA3-4DCE-8DD8-A89C7C049A96}"/>
  <tableColumns count="5">
    <tableColumn id="1" xr3:uid="{756A7530-3445-4E09-B2D4-E6220A7C7E4B}" name="name" dataDxfId="60"/>
    <tableColumn id="2" xr3:uid="{12AA66ED-01B7-416F-A504-6DB7FFA8A29D}" name="qtyx1" dataDxfId="59"/>
    <tableColumn id="3" xr3:uid="{592CF1E9-C507-4794-AC13-0255DD011EF8}" name="qtyx28" dataDxfId="58">
      <calculatedColumnFormula>B3*28</calculatedColumnFormula>
    </tableColumn>
    <tableColumn id="4" xr3:uid="{0C73800E-0FF5-45BE-823F-6BB8ACABDBA8}" name="assembly_position" dataDxfId="57"/>
    <tableColumn id="5" xr3:uid="{907E01ED-22E9-41C1-A066-6E71847DDDF4}" name="status" dataDxfId="5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15E16A6-8164-4D95-B866-89A0BDE46E33}" name="Table2123" displayName="Table2123" ref="A2:E42" totalsRowShown="0" headerRowDxfId="47" dataDxfId="53">
  <autoFilter ref="A2:E42" xr:uid="{9AA6459D-2BA3-4DCE-8DD8-A89C7C049A96}"/>
  <tableColumns count="5">
    <tableColumn id="1" xr3:uid="{41AD1F83-D5D1-4960-B725-0ABBCC60E358}" name="name" dataDxfId="52"/>
    <tableColumn id="2" xr3:uid="{5FA011EA-38FD-4A81-B8A4-2D659771776A}" name="qtyx1" dataDxfId="51"/>
    <tableColumn id="3" xr3:uid="{8EAF81D7-2BAF-43F9-9678-235C01E0D50A}" name="qtyx28" dataDxfId="50">
      <calculatedColumnFormula>Table2123[[#This Row],[qtyx1]]*28</calculatedColumnFormula>
    </tableColumn>
    <tableColumn id="4" xr3:uid="{D9532E54-4950-4B3D-8CB6-A95BAA789078}" name="Zone" dataDxfId="49"/>
    <tableColumn id="5" xr3:uid="{F8F1C49E-3F8C-42D4-9FDA-4E5ADD122B93}" name="status" dataDxfId="4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04FEE07-DC93-4E55-8744-E19738550E80}" name="h248LL" displayName="h248LL" ref="A1:K54" tableType="queryTable" totalsRowShown="0">
  <autoFilter ref="A1:K54" xr:uid="{A19E5BE4-3314-481D-B5D9-FBDB974CBE79}"/>
  <tableColumns count="11">
    <tableColumn id="10" xr3:uid="{994EB8FD-6E9A-4EA6-A5B6-E57D2319C8DF}" uniqueName="10" name="job_order_id" queryTableFieldId="1"/>
    <tableColumn id="2" xr3:uid="{3CB649C8-D0FB-4EEF-A51E-70EFBAB20661}" uniqueName="2" name="job_order_number" queryTableFieldId="2"/>
    <tableColumn id="1" xr3:uid="{3744A83D-0CB6-4944-B236-AA4D11A096C2}" uniqueName="1" name="ma_number" queryTableFieldId="12" dataDxfId="40"/>
    <tableColumn id="3" xr3:uid="{E1C28CCD-8D10-4D63-A0D7-809F770CA8A2}" uniqueName="3" name="name" queryTableFieldId="3"/>
    <tableColumn id="11" xr3:uid="{F7022B89-3C0F-4477-A4ED-3B05FE9992CD}" uniqueName="11" name="type_id" queryTableFieldId="10"/>
    <tableColumn id="4" xr3:uid="{F79A8695-776D-4976-9AA7-F08A05A54D57}" uniqueName="4" name="batch_id" queryTableFieldId="4"/>
    <tableColumn id="5" xr3:uid="{975A8E4B-D0AC-43E8-8EAC-D45FDA0057AF}" uniqueName="5" name="quantity" queryTableFieldId="5"/>
    <tableColumn id="6" xr3:uid="{0D4EDA80-7184-4FA3-BD7A-C23223FF42DA}" uniqueName="6" name="cut" queryTableFieldId="6"/>
    <tableColumn id="7" xr3:uid="{A90B12E3-BC44-4D5F-8263-5336149E627F}" uniqueName="7" name="cnc" queryTableFieldId="7"/>
    <tableColumn id="8" xr3:uid="{9A6518B2-EB3E-4CC4-A1AB-DF45FEC93672}" uniqueName="8" name="assembly" queryTableFieldId="8"/>
    <tableColumn id="9" xr3:uid="{A286BEFA-8AE4-43C4-90B0-EF02A0FACA59}" uniqueName="9" name="qc" queryTableField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E299D2F-8B34-483C-997C-57C7B2C9E6FB}" name="Table19" displayName="Table19" ref="A1:E31" totalsRowShown="0">
  <autoFilter ref="A1:E31" xr:uid="{5E299D2F-8B34-483C-997C-57C7B2C9E6FB}"/>
  <tableColumns count="5">
    <tableColumn id="1" xr3:uid="{CFE4EDCD-D208-4C94-A5E8-653FB830A80D}" name="pon"/>
    <tableColumn id="2" xr3:uid="{12FAE2BF-C667-480A-BEB4-6D9A417AACDD}" name="family"/>
    <tableColumn id="3" xr3:uid="{AA617937-E5E8-4339-BAB0-53B6369E0DEF}" name="name" dataDxfId="136"/>
    <tableColumn id="4" xr3:uid="{5A855A6D-3778-4944-A2E5-D2B71127A094}" name="ma"/>
    <tableColumn id="5" xr3:uid="{15E34E89-C52D-44C8-8A4E-857D1ADC012C}" name="q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CEE75A9-4206-42D9-9E61-31E926C19243}" name="Table14" displayName="Table14" ref="A1:D23" totalsRowShown="0">
  <autoFilter ref="A1:D23" xr:uid="{FCEE75A9-4206-42D9-9E61-31E926C19243}"/>
  <sortState xmlns:xlrd2="http://schemas.microsoft.com/office/spreadsheetml/2017/richdata2" ref="A2:C12">
    <sortCondition ref="A2:A12"/>
  </sortState>
  <tableColumns count="4">
    <tableColumn id="1" xr3:uid="{4FA8D71F-A016-41AC-B792-FE5D9238CC29}" name="batch_id"/>
    <tableColumn id="2" xr3:uid="{7F70CD30-A47D-4BB0-9BF4-579ED688475B}" name="project_description"/>
    <tableColumn id="3" xr3:uid="{F4529EB0-8AFF-4481-B45C-2D5DEB14A659}" name="is_active"/>
    <tableColumn id="4" xr3:uid="{176B93D4-B91D-46D9-878E-BD66C9E16C9F}" name="remar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BE7BFF-9725-4C66-85F0-2D1F0FAFD8EB}" name="Table18" displayName="Table18" ref="A1:S24" totalsRowShown="0">
  <autoFilter ref="A1:S24" xr:uid="{4FD4EFE6-1099-438A-9D64-1AFEA3E877E1}"/>
  <tableColumns count="19">
    <tableColumn id="1" xr3:uid="{00833496-F267-43CB-9B95-38E1BD32C130}" name="MA_Number"/>
    <tableColumn id="2" xr3:uid="{BAA3EC61-11B3-46A1-8F89-2DBC249EF6C7}" name="Product_Name"/>
    <tableColumn id="5" xr3:uid="{33CB378B-AD85-427E-953D-836794C417EE}" name="type_code"/>
    <tableColumn id="3" xr3:uid="{EEA82CC4-64B3-4189-9064-8B167223AF8B}" name="Description"/>
    <tableColumn id="4" xr3:uid="{8901D006-BDF6-4BA7-A585-45DDD1BBA0F5}" name="Is_Assembly"/>
    <tableColumn id="16" xr3:uid="{AB047CF6-352E-4175-9430-18CA7261B79F}" name="parent_ma"/>
    <tableColumn id="7" xr3:uid="{16965B3C-F4D5-4F64-8892-0437BA8CD0DC}" name="Part_Number"/>
    <tableColumn id="8" xr3:uid="{86D806C5-78FA-4558-B34F-9B7EABE1C1D2}" name="Part_Qty"/>
    <tableColumn id="9" xr3:uid="{21BCFE21-BA57-4982-8CC0-C3CFAC098A7F}" name="Part_Length"/>
    <tableColumn id="10" xr3:uid="{73AAA6A8-A6C9-4284-8EEF-FD6FCB2AC020}" name="Part_Width"/>
    <tableColumn id="11" xr3:uid="{6B33C6D9-28F7-4CF7-9A82-FE5A7F22BEA6}" name="Part_Height"/>
    <tableColumn id="12" xr3:uid="{5800464F-D067-42EA-BDE5-F5621BE00D23}" name="color_code"/>
    <tableColumn id="13" xr3:uid="{961C3422-A69F-4B14-990D-A559BD6F6FD6}" name="material_code"/>
    <tableColumn id="18" xr3:uid="{6F18FD2E-9CAE-442E-96DD-A4F22880F34F}" name="process_cut"/>
    <tableColumn id="19" xr3:uid="{C6FD95AD-6280-4C1B-ADC7-54F756427ACA}" name="process_mill"/>
    <tableColumn id="14" xr3:uid="{5BD2454A-F78B-47EC-BDE0-AAC5066C9C0C}" name="Assembly_Order"/>
    <tableColumn id="6" xr3:uid="{6D4C31EB-605F-45DE-AB38-FF31EB973E4C}" name="batch_id"/>
    <tableColumn id="15" xr3:uid="{CAF3F1F1-BBDF-4BCB-A7D7-6A84B36066F5}" name="qty"/>
    <tableColumn id="17" xr3:uid="{06472D1D-2CEA-4A6A-9B07-4E25109184A8}" name="price_offer_num" dataDxfId="1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41380B-8236-4B79-8DB9-9C9113FC2C47}" name="Table3" displayName="Table3" ref="A1:F6" totalsRowShown="0">
  <autoFilter ref="A1:F6" xr:uid="{9141380B-8236-4B79-8DB9-9C9113FC2C47}"/>
  <tableColumns count="6">
    <tableColumn id="1" xr3:uid="{55F84D4F-9142-4A30-9787-35E7A399FA65}" name="type_code"/>
    <tableColumn id="2" xr3:uid="{A455EA27-82BC-42DB-A59F-DAA682332A1D}" name="type_name"/>
    <tableColumn id="3" xr3:uid="{2F9CEC10-0094-48CC-B3CD-7CFB3D8B0A8C}" name="description"/>
    <tableColumn id="4" xr3:uid="{CA63B818-D4A6-411D-B5DF-758E64C6C9A4}" name="created_at"/>
    <tableColumn id="5" xr3:uid="{6ECD55E8-66D7-40A7-82A5-1716404F8A25}" name="updated_at"/>
    <tableColumn id="6" xr3:uid="{B6EE05E8-5503-4E31-AF67-3FAAA36001E6}" name="created_b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A92250-65D3-4736-A483-3D1D4A61531C}" name="Table2" displayName="Table2" ref="A1:D8" totalsRowShown="0">
  <autoFilter ref="A1:D8" xr:uid="{B6A92250-65D3-4736-A483-3D1D4A61531C}"/>
  <tableColumns count="4">
    <tableColumn id="1" xr3:uid="{5D985C09-8D29-4404-A2F9-7EA438EF64D2}" name="price_offer_num" dataDxfId="128"/>
    <tableColumn id="2" xr3:uid="{79F85416-FBFB-4025-80E1-A579E77C9771}" name="created_at"/>
    <tableColumn id="3" xr3:uid="{9EB286FA-F381-49FF-8332-AFF68BD4C287}" name="updated_at"/>
    <tableColumn id="4" xr3:uid="{21A374BC-9677-49D1-AC83-5F4AABB5EFE4}" name="created_b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645311-CC6C-492D-B7C5-5D699985BED9}" name="Table6" displayName="Table6" ref="A1:I9" totalsRowShown="0">
  <autoFilter ref="A1:I9" xr:uid="{B9645311-CC6C-492D-B7C5-5D699985BED9}"/>
  <tableColumns count="9">
    <tableColumn id="1" xr3:uid="{7107930E-8449-4FA5-9EFB-73F82076086A}" name="color_code"/>
    <tableColumn id="2" xr3:uid="{B88664DC-B138-4920-809C-E6E720975BCA}" name="color_name"/>
    <tableColumn id="9" xr3:uid="{440A1156-8A15-43BD-B654-B9DE52F33BB8}" name="color_name_bg"/>
    <tableColumn id="3" xr3:uid="{49FFFC89-9ABD-4576-8EEB-F1AC5B6642B3}" name="rgb_value"/>
    <tableColumn id="4" xr3:uid="{12D32FA1-1F69-491C-A1B0-7ADB7E614640}" name="pantone_code"/>
    <tableColumn id="5" xr3:uid="{278EC752-D297-4241-BB3C-C634EBBCB6FA}" name="is_active"/>
    <tableColumn id="6" xr3:uid="{54D6F0B3-0424-412E-98C5-09758D2F293C}" name="created_at"/>
    <tableColumn id="7" xr3:uid="{7A86999D-AC8B-4859-B7CA-E3BF1FD65D2E}" name="updated_at"/>
    <tableColumn id="8" xr3:uid="{570FD0EC-8592-4299-8370-768C9551C39F}" name="created_b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755227-7A8D-4D43-A37C-53FA2E020984}" name="Table5" displayName="Table5" ref="A1:K6" totalsRowShown="0">
  <autoFilter ref="A1:K6" xr:uid="{81755227-7A8D-4D43-A37C-53FA2E020984}"/>
  <tableColumns count="11">
    <tableColumn id="1" xr3:uid="{C5153D17-FA5C-4FC0-A5CF-E316306521BE}" name="material_code"/>
    <tableColumn id="2" xr3:uid="{95110EAC-6F13-4F84-B241-9701770446B7}" name="material_name"/>
    <tableColumn id="11" xr3:uid="{2AD9C688-B30E-484F-9566-8244BE685254}" name="material_name_bg"/>
    <tableColumn id="3" xr3:uid="{FCB0B99F-4714-4C69-B77D-55E78738476E}" name="category"/>
    <tableColumn id="4" xr3:uid="{248CADA7-C7DB-42F6-B42C-5C54D067D712}" name="density_kg_per_m3"/>
    <tableColumn id="5" xr3:uid="{6D511D0E-E7B3-400B-94C7-0CD8083127AA}" name="tensile_strength_mpa"/>
    <tableColumn id="6" xr3:uid="{A030AB38-2AC6-4578-B8AD-A7FF0A90BD2E}" name="cost_per_kg"/>
    <tableColumn id="7" xr3:uid="{ABE281A3-0566-4F9B-9358-AD8FD5855238}" name="is_active"/>
    <tableColumn id="8" xr3:uid="{4EA5A0D8-17DB-464D-A17B-F01BB9BA1A89}" name="created_at"/>
    <tableColumn id="9" xr3:uid="{1CE8739B-A682-4CAC-B322-013ED64EE9C2}" name="updated_at"/>
    <tableColumn id="10" xr3:uid="{F89FF5FB-77DD-48F7-9205-55EC0191A5E7}" name="created_b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12CC0F-BA4B-4517-812C-552B4C16D8A8}" name="Table10" displayName="Table10" ref="A1:B207" totalsRowShown="0" dataDxfId="127">
  <autoFilter ref="A1:B207" xr:uid="{4A12CC0F-BA4B-4517-812C-552B4C16D8A8}"/>
  <tableColumns count="2">
    <tableColumn id="1" xr3:uid="{777335E3-37FC-488C-BBD4-A347C9069C69}" name="product_ma" dataDxfId="126"/>
    <tableColumn id="2" xr3:uid="{4A323716-0B34-450A-BD01-CE7BB4EEED8D}" name="project_name" dataDxfId="12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C808DE-F35A-4411-9E72-137F15E49E06}" name="Table11" displayName="Table11" ref="A1:B213" totalsRowShown="0">
  <autoFilter ref="A1:B213" xr:uid="{56C808DE-F35A-4411-9E72-137F15E49E06}"/>
  <tableColumns count="2">
    <tableColumn id="1" xr3:uid="{F9749D3D-C2A5-49D8-9D98-B722A36EAADA}" name="product_ma"/>
    <tableColumn id="2" xr3:uid="{A7384354-9E2B-42D0-BA99-A959F0E2894E}" name="family_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9993065-9726-4AC6-B5BF-4A8572FC38C3}" name="Table1517" displayName="Table1517" ref="A18:C320" totalsRowShown="0">
  <autoFilter ref="A18:C320" xr:uid="{19993065-9726-4AC6-B5BF-4A8572FC38C3}"/>
  <tableColumns count="3">
    <tableColumn id="1" xr3:uid="{D1072E37-8AC2-4C6C-904E-7CB201DD373C}" name="YPN"/>
    <tableColumn id="2" xr3:uid="{4CD7FDEE-F30D-4E24-B8D8-6CECB8889BC0}" name="PO"/>
    <tableColumn id="8" xr3:uid="{1AC9A228-601E-4188-BD4A-9DA51A4F872A}" name="leter" dataDxfId="12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9173522-17CD-4565-8CCD-653DFE65883A}" name="Table15" displayName="Table15" ref="A1:D268" totalsRowShown="0">
  <autoFilter ref="A1:D268" xr:uid="{A9173522-17CD-4565-8CCD-653DFE65883A}"/>
  <tableColumns count="4">
    <tableColumn id="1" xr3:uid="{67A74505-E5A7-4365-A89B-35FF6C51DB96}" name="YPN"/>
    <tableColumn id="2" xr3:uid="{11A6BF73-BBC8-4A4D-9B25-9D922D3F292D}" name="PO"/>
    <tableColumn id="8" xr3:uid="{117F4935-8BF2-4A5E-BB51-59B8506FBF2B}" name="leter" dataDxfId="123"/>
    <tableColumn id="9" xr3:uid="{A55174F8-209F-4A5A-AF03-9E12DB86B311}" name="remar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03C9C0-5B77-46A7-96FA-AD43C9191ADA}" name="Table4" displayName="Table4" ref="A1:G489" totalsRowShown="0" tableBorderDxfId="122">
  <autoFilter ref="A1:G489" xr:uid="{8003C9C0-5B77-46A7-96FA-AD43C9191ADA}"/>
  <tableColumns count="7">
    <tableColumn id="1" xr3:uid="{A8CED59A-1BC4-4ED2-84AB-9F7502AA4B79}" name="ypn" dataDxfId="121"/>
    <tableColumn id="6" xr3:uid="{0B5D0403-385A-41EE-8D3C-DE6487E266A8}" name="trim" dataDxfId="120">
      <calculatedColumnFormula>TRIM(Table4[[#This Row],[ypn]])</calculatedColumnFormula>
    </tableColumn>
    <tableColumn id="7" xr3:uid="{761C3012-0CF8-4D0E-9149-F4D039E6FC4A}" name="check equal" dataDxfId="119">
      <calculatedColumnFormula>Table4[[#This Row],[ypn]]=Table4[[#This Row],[trim]]</calculatedColumnFormula>
    </tableColumn>
    <tableColumn id="8" xr3:uid="{89621021-7EC7-4A86-AE34-00ED0C97D3B3}" name="check string" dataDxfId="118">
      <calculatedColumnFormula>Table4[[#This Row],[ypn]]*1</calculatedColumnFormula>
    </tableColumn>
    <tableColumn id="10" xr3:uid="{23BD3994-3453-4EB6-B6EF-F287F710DDE4}" name="type" dataDxfId="117">
      <calculatedColumnFormula>TYPE(Table4[[#This Row],[ypn]])</calculatedColumnFormula>
    </tableColumn>
    <tableColumn id="11" xr3:uid="{E0AA51D6-CA16-464C-B3CE-9CE1017F69D6}" name="ma_final"/>
    <tableColumn id="12" xr3:uid="{0536542E-9880-43E5-ADF4-CE1A0B325727}" name="note" dataDxfId="11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DB7B56-B631-4B43-93EA-200724479C1A}" name="Query3" displayName="Query3" ref="A1:AG49" tableType="queryTable" totalsRowShown="0">
  <autoFilter ref="A1:AG49" xr:uid="{55DB7B56-B631-4B43-93EA-200724479C1A}"/>
  <tableColumns count="33">
    <tableColumn id="29" xr3:uid="{50C8F345-3BE4-4B05-A22C-43DB5B5572C3}" uniqueName="29" name="job_order_number" queryTableFieldId="1" dataDxfId="115"/>
    <tableColumn id="2" xr3:uid="{8423F2B0-1943-4540-94C9-3328BBE2CB6B}" uniqueName="2" name="batch_id" queryTableFieldId="2"/>
    <tableColumn id="3" xr3:uid="{4B6FE468-0111-49BB-A4FE-F741AAB9100A}" uniqueName="3" name="quantity" queryTableFieldId="3"/>
    <tableColumn id="4" xr3:uid="{88DE928B-8069-418B-B277-7A256FAD8C7F}" uniqueName="4" name="id" queryTableFieldId="4"/>
    <tableColumn id="5" xr3:uid="{7CB6310C-A0B3-4E28-A5E4-B71F584F11C9}" uniqueName="5" name="ma_number" queryTableFieldId="5" dataDxfId="114"/>
    <tableColumn id="6" xr3:uid="{CDCA18BC-1F9D-4C3C-88AC-70C0AF92CC4C}" uniqueName="6" name="parent_id" queryTableFieldId="6"/>
    <tableColumn id="7" xr3:uid="{3D8BA3B7-DC62-47B5-892C-73522694430C}" uniqueName="7" name="dimension_x" queryTableFieldId="7"/>
    <tableColumn id="8" xr3:uid="{30A9851A-E0A6-45AF-A4C7-5AB7157D3DF5}" uniqueName="8" name="dimension_y" queryTableFieldId="8"/>
    <tableColumn id="9" xr3:uid="{2557B276-BA1B-4765-B6E5-39A5CFADB113}" uniqueName="9" name="dimension_z" queryTableFieldId="9"/>
    <tableColumn id="10" xr3:uid="{565CEE7C-07C9-4682-8144-B9848D3D0EE8}" uniqueName="10" name="color_id" queryTableFieldId="10"/>
    <tableColumn id="11" xr3:uid="{A66B0B13-76E2-439C-BBAD-4FC945DF2801}" uniqueName="11" name="material_id" queryTableFieldId="11"/>
    <tableColumn id="12" xr3:uid="{01308DA9-98F4-4287-AA53-C9F2D9C276CD}" uniqueName="12" name="color_name_bg" queryTableFieldId="12" dataDxfId="113"/>
    <tableColumn id="13" xr3:uid="{E23C538E-7FBC-4365-9AAD-4E652553C6D1}" uniqueName="13" name="material_code" queryTableFieldId="13" dataDxfId="112"/>
    <tableColumn id="14" xr3:uid="{887B8E5D-9A22-484E-B7D3-E8C8811C3A8B}" uniqueName="14" name="name" queryTableFieldId="14" dataDxfId="111"/>
    <tableColumn id="15" xr3:uid="{9A1C280B-96B0-4151-A781-DD97D7391A37}" uniqueName="15" name="type_id" queryTableFieldId="15"/>
    <tableColumn id="16" xr3:uid="{86E148DB-550C-4E29-8739-4F091FBA64E6}" uniqueName="16" name="description" queryTableFieldId="16" dataDxfId="110"/>
    <tableColumn id="17" xr3:uid="{603828D1-4C42-4C2E-A99A-03D865C559A3}" uniqueName="17" name="type_code" queryTableFieldId="17" dataDxfId="109"/>
    <tableColumn id="18" xr3:uid="{C4C6BFC6-A164-43DA-9EC1-A7EAFAEE2C3B}" uniqueName="18" name="material_name_bg" queryTableFieldId="18" dataDxfId="108"/>
    <tableColumn id="19" xr3:uid="{49A22975-D97D-4D02-A5D6-DD32374B91BA}" uniqueName="19" name="process_cut" queryTableFieldId="19" dataDxfId="107"/>
    <tableColumn id="20" xr3:uid="{FF9EF656-C1AB-489C-B21D-BA0E12B38B05}" uniqueName="20" name="process_mill" queryTableFieldId="20" dataDxfId="106"/>
    <tableColumn id="21" xr3:uid="{5E69170A-33C6-47F3-ADD8-5A61A945A5B2}" uniqueName="21" name="is_assembly" queryTableFieldId="21" dataDxfId="105"/>
    <tableColumn id="22" xr3:uid="{EB268DD1-A7EE-4C92-8C2E-AF76000594C8}" uniqueName="22" name="price_offer_num" queryTableFieldId="22" dataDxfId="104"/>
    <tableColumn id="23" xr3:uid="{AEDECBD0-936F-4330-A4BF-AAF514816BE3}" uniqueName="23" name="dimension_x_g" queryTableFieldId="23"/>
    <tableColumn id="24" xr3:uid="{32DADC51-584C-4F4A-BD84-0CD8F3938F27}" uniqueName="24" name="dimension_y_g" queryTableFieldId="24"/>
    <tableColumn id="25" xr3:uid="{6A62815F-67BC-415C-820C-23BFD54F56F4}" uniqueName="25" name="dimension_z_g" queryTableFieldId="25"/>
    <tableColumn id="26" xr3:uid="{BDABD57C-FA48-4876-BD0F-AF5C29017E3D}" uniqueName="26" name="qty_per_group" queryTableFieldId="26"/>
    <tableColumn id="27" xr3:uid="{60BA0A6C-FAF3-43A3-928B-A506290CAC5E}" uniqueName="27" name="id2" queryTableFieldId="27"/>
    <tableColumn id="28" xr3:uid="{CA6F0958-6EA8-4A17-B942-6888278CE7C3}" uniqueName="28" name="project_name" queryTableFieldId="28" dataDxfId="103"/>
    <tableColumn id="1" xr3:uid="{F316D291-0F39-4D3C-9605-62B3729C3F83}" uniqueName="1" name="CUT" queryTableFieldId="29"/>
    <tableColumn id="30" xr3:uid="{0F2FA3DD-C716-42A0-B9B1-D15EE865F356}" uniqueName="30" name="CNC" queryTableFieldId="30"/>
    <tableColumn id="31" xr3:uid="{32ED445A-44F4-4C04-85C7-C1C94946936F}" uniqueName="31" name="ASSY" queryTableFieldId="31"/>
    <tableColumn id="32" xr3:uid="{44387E9A-56CA-4561-ABAB-244CFE441060}" uniqueName="32" name="QC" queryTableFieldId="32"/>
    <tableColumn id="33" xr3:uid="{3A96ECA9-36C5-45D8-A5F4-67E2621AE675}" uniqueName="33" name="PACK" queryTableFieldId="3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0F6D09-3A89-49FD-8779-C7AC839D3724}" name="engine" displayName="engine" ref="A1:AG49" tableType="queryTable" totalsRowShown="0">
  <autoFilter ref="A1:AG49" xr:uid="{C40F6D09-3A89-49FD-8779-C7AC839D3724}"/>
  <tableColumns count="33">
    <tableColumn id="29" xr3:uid="{45B86623-7845-4C84-B001-28DDF4909973}" uniqueName="29" name="job_order_number" queryTableFieldId="1" dataDxfId="102"/>
    <tableColumn id="2" xr3:uid="{A8A00705-5396-494F-BDDC-AF0D57A59C72}" uniqueName="2" name="batch_id" queryTableFieldId="2"/>
    <tableColumn id="3" xr3:uid="{B8EABDA4-844E-45D5-A260-F9273C9F0BB9}" uniqueName="3" name="quantity" queryTableFieldId="3"/>
    <tableColumn id="4" xr3:uid="{4EEEF6B8-4CAD-47A7-A9B3-262D8122E60E}" uniqueName="4" name="id" queryTableFieldId="4"/>
    <tableColumn id="5" xr3:uid="{6A7B158E-4A29-47DB-A4C0-0B19A73788FA}" uniqueName="5" name="ma_number" queryTableFieldId="5" dataDxfId="101"/>
    <tableColumn id="6" xr3:uid="{500E99A1-274A-4C6C-B9DD-3B21F0CBB055}" uniqueName="6" name="parent_id" queryTableFieldId="6"/>
    <tableColumn id="7" xr3:uid="{5325F27F-607A-403B-8D3D-821FA0EA0352}" uniqueName="7" name="dimension_x" queryTableFieldId="7"/>
    <tableColumn id="8" xr3:uid="{DD033D24-AAFD-4015-9D39-722E0C772812}" uniqueName="8" name="dimension_y" queryTableFieldId="8"/>
    <tableColumn id="9" xr3:uid="{E95D9A3A-0D4D-44C7-80B5-C4D192C51B50}" uniqueName="9" name="dimension_z" queryTableFieldId="9"/>
    <tableColumn id="10" xr3:uid="{89E9EC4A-46C7-43C5-A654-CFCD128EB1EF}" uniqueName="10" name="color_id" queryTableFieldId="10"/>
    <tableColumn id="11" xr3:uid="{4D775BC4-AF32-4066-A67B-DD4878A286DA}" uniqueName="11" name="material_id" queryTableFieldId="11"/>
    <tableColumn id="12" xr3:uid="{8985CE2A-1CD5-4FCF-81CC-E902D285E472}" uniqueName="12" name="color_name_bg" queryTableFieldId="12" dataDxfId="100"/>
    <tableColumn id="13" xr3:uid="{BE80AC9F-6FE4-496A-8E92-B7B7A5183A1F}" uniqueName="13" name="material_code" queryTableFieldId="13" dataDxfId="99"/>
    <tableColumn id="14" xr3:uid="{BEE7562D-0AFF-45AE-A4E3-81F5B8021F7E}" uniqueName="14" name="name" queryTableFieldId="14" dataDxfId="98"/>
    <tableColumn id="15" xr3:uid="{F503B3AF-98CC-4C83-98E2-3A4002386A63}" uniqueName="15" name="type_id" queryTableFieldId="15"/>
    <tableColumn id="16" xr3:uid="{2562E802-2346-45D8-BC7C-6D3F226C692B}" uniqueName="16" name="description" queryTableFieldId="16" dataDxfId="97"/>
    <tableColumn id="17" xr3:uid="{84B62843-FBFC-40DE-ABA2-F091AE7BBF61}" uniqueName="17" name="type_code" queryTableFieldId="17" dataDxfId="96"/>
    <tableColumn id="18" xr3:uid="{5620BB98-17F4-4062-86D9-749CC5A19D0A}" uniqueName="18" name="material_name_bg" queryTableFieldId="18" dataDxfId="95"/>
    <tableColumn id="19" xr3:uid="{BC739BD3-A59F-42EE-BB3B-ABEC4A899A31}" uniqueName="19" name="process_cut" queryTableFieldId="19" dataDxfId="94"/>
    <tableColumn id="20" xr3:uid="{B8F948FE-4916-4E56-9D0F-390CD14EA8F2}" uniqueName="20" name="process_mill" queryTableFieldId="20" dataDxfId="93"/>
    <tableColumn id="21" xr3:uid="{C8DF7C96-C5A3-4EC3-AC0D-7C5DB41901F5}" uniqueName="21" name="is_assembly" queryTableFieldId="21" dataDxfId="92"/>
    <tableColumn id="22" xr3:uid="{33921AAA-A4DB-421E-A4BD-6B5E811328F0}" uniqueName="22" name="price_offer_num" queryTableFieldId="22" dataDxfId="91"/>
    <tableColumn id="23" xr3:uid="{52DF3859-2A02-4890-B482-C6D850F16120}" uniqueName="23" name="dimension_x_g" queryTableFieldId="23"/>
    <tableColumn id="24" xr3:uid="{19E42F4C-A986-4C16-9273-4247441D7881}" uniqueName="24" name="dimension_y_g" queryTableFieldId="24"/>
    <tableColumn id="25" xr3:uid="{C6F3689A-3E8C-4334-9378-8D89FBFE5AEE}" uniqueName="25" name="dimension_z_g" queryTableFieldId="25"/>
    <tableColumn id="26" xr3:uid="{CEB419A5-621F-4CAA-AE0E-4B345ABFCD2C}" uniqueName="26" name="qty_per_group" queryTableFieldId="26"/>
    <tableColumn id="27" xr3:uid="{9C3B42A5-CC08-44D7-BF91-0E42751B6A83}" uniqueName="27" name="id2" queryTableFieldId="27"/>
    <tableColumn id="28" xr3:uid="{53209B38-4283-48F9-938F-250DAFC6D10F}" uniqueName="28" name="project_name" queryTableFieldId="28" dataDxfId="90"/>
    <tableColumn id="30" xr3:uid="{7942C94C-9FB5-4D1E-8F34-A50FA80F0ABB}" uniqueName="30" name="CUT" queryTableFieldId="29"/>
    <tableColumn id="31" xr3:uid="{E8813CF6-5FC3-4948-A46D-EBCBB24B919C}" uniqueName="31" name="CNC" queryTableFieldId="30"/>
    <tableColumn id="32" xr3:uid="{7426B186-E0B0-4125-956B-CE8A37411FB5}" uniqueName="32" name="ASSY" queryTableFieldId="31"/>
    <tableColumn id="33" xr3:uid="{471663A7-4D6D-4000-8C22-27520FFCEE05}" uniqueName="33" name="QC" queryTableFieldId="32"/>
    <tableColumn id="34" xr3:uid="{A65931A3-62B9-4A73-97DF-7774C6DC6A2C}" uniqueName="34" name="PACK" queryTableFieldId="3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B168A7-DA07-46A3-A532-A09B55FBFB2C}" name="Query4" displayName="Query4" ref="A1:P97" tableType="queryTable" totalsRowShown="0">
  <autoFilter ref="A1:P97" xr:uid="{A4B168A7-DA07-46A3-A532-A09B55FBFB2C}">
    <filterColumn colId="3">
      <filters>
        <filter val="7247781230"/>
      </filters>
    </filterColumn>
  </autoFilter>
  <tableColumns count="16">
    <tableColumn id="10" xr3:uid="{E4FBB96B-10E0-46C8-85DA-4EB70AB3448C}" uniqueName="10" name="job_order_id" queryTableFieldId="1"/>
    <tableColumn id="2" xr3:uid="{FD988967-ED39-4B2F-ACD1-B829FB1C5DE1}" uniqueName="2" name="job_order_number" queryTableFieldId="2" dataDxfId="89"/>
    <tableColumn id="16" xr3:uid="{842A2415-BD0A-4728-8859-A179E3C56CC8}" uniqueName="16" name="ma_number" queryTableFieldId="17" dataDxfId="39"/>
    <tableColumn id="3" xr3:uid="{F7A51EC4-22BB-408D-970E-852593915564}" uniqueName="3" name="name" queryTableFieldId="3" dataDxfId="88"/>
    <tableColumn id="1" xr3:uid="{97EF1D4E-36B9-4C8E-A3BB-C9FFD15A0ABF}" uniqueName="1" name="type_id" queryTableFieldId="10"/>
    <tableColumn id="4" xr3:uid="{CFCBB49E-E575-4FE8-9E5F-7EDDE0E32329}" uniqueName="4" name="batch_id" queryTableFieldId="4"/>
    <tableColumn id="5" xr3:uid="{3E7CD0B3-081B-4344-84DF-344B7032858A}" uniqueName="5" name="quantity" queryTableFieldId="5"/>
    <tableColumn id="6" xr3:uid="{409C7375-D7FE-4255-94C7-241752073D69}" uniqueName="6" name="cut" queryTableFieldId="6" dataDxfId="87"/>
    <tableColumn id="7" xr3:uid="{8B746011-817D-4F6A-9108-ED3B3D7CD1FC}" uniqueName="7" name="cnc" queryTableFieldId="7" dataDxfId="86"/>
    <tableColumn id="8" xr3:uid="{96A9E89A-CC24-40B5-8C8E-F4E448FE932A}" uniqueName="8" name="assembly" queryTableFieldId="8" dataDxfId="85"/>
    <tableColumn id="9" xr3:uid="{8898690F-4FCF-4C08-AE1E-1D91AF10BADF}" uniqueName="9" name="qc" queryTableFieldId="9" dataDxfId="84"/>
    <tableColumn id="11" xr3:uid="{ACB16892-1AED-4769-8599-2668AA778F6B}" uniqueName="11" name="branch" queryTableFieldId="12" dataDxfId="83"/>
    <tableColumn id="12" xr3:uid="{D68B8B18-9CAF-4126-881C-D48A3E0667D8}" uniqueName="12" name="qty branch" queryTableFieldId="13" dataDxfId="82"/>
    <tableColumn id="14" xr3:uid="{D9CCEDB7-9A79-405B-8760-3FFBA228340F}" uniqueName="14" name="qty branch x15" queryTableFieldId="15" dataDxfId="81">
      <calculatedColumnFormula>Query4[[#This Row],[qty branch]]*15</calculatedColumnFormula>
    </tableColumn>
    <tableColumn id="15" xr3:uid="{30E0322D-DC71-457F-93E7-F1E1C0543E1F}" uniqueName="15" name="toatal in JO" queryTableFieldId="16" dataDxfId="80">
      <calculatedColumnFormula>Query4[[#This Row],[quantity]]-Query4[[#This Row],[qty branch x15]]</calculatedColumnFormula>
    </tableColumn>
    <tableColumn id="13" xr3:uid="{7F40FFBF-2600-450A-9EBF-CC719B6816FA}" uniqueName="13" name="position" queryTableFieldId="14" dataDxfId="7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08B66F6-F2E1-44CA-9FD0-8B6E1E616A11}" name="Query5" displayName="Query5" ref="A1:K9" tableType="queryTable" totalsRowShown="0">
  <autoFilter ref="A1:K9" xr:uid="{508B66F6-F2E1-44CA-9FD0-8B6E1E616A11}"/>
  <tableColumns count="11">
    <tableColumn id="10" xr3:uid="{682E51AC-1381-45A7-A7F0-A02AE5FCEE15}" uniqueName="10" name="job_order_id" queryTableFieldId="1" dataDxfId="78"/>
    <tableColumn id="2" xr3:uid="{DC095590-FA91-414D-8B91-A18BB0638F1D}" uniqueName="2" name="job_order_number" queryTableFieldId="2" dataDxfId="77"/>
    <tableColumn id="11" xr3:uid="{D1E42C9B-992B-4523-B29B-7A9A52689F62}" uniqueName="11" name="ma_number" queryTableFieldId="12" dataDxfId="38"/>
    <tableColumn id="3" xr3:uid="{0783BC99-94FA-43CD-B5F8-AE2F6C6B2F27}" uniqueName="3" name="name" queryTableFieldId="3" dataDxfId="76"/>
    <tableColumn id="1" xr3:uid="{B13390FD-4080-4E3A-B266-97E4E5B71BCB}" uniqueName="1" name="type_id" queryTableFieldId="10"/>
    <tableColumn id="4" xr3:uid="{E234E4B5-DE5C-4734-A143-7A9BC89AAE03}" uniqueName="4" name="batch_id" queryTableFieldId="4" dataDxfId="75"/>
    <tableColumn id="5" xr3:uid="{3392A6AC-610E-4835-982D-114E39729615}" uniqueName="5" name="quantity" queryTableFieldId="5" dataDxfId="74"/>
    <tableColumn id="6" xr3:uid="{239FEC6D-D3D6-4E5D-909E-D070C87BEBED}" uniqueName="6" name="cut" queryTableFieldId="6" dataDxfId="73"/>
    <tableColumn id="7" xr3:uid="{C03747BB-3E0D-4652-B767-01BE4308170A}" uniqueName="7" name="cnc" queryTableFieldId="7" dataDxfId="72"/>
    <tableColumn id="8" xr3:uid="{599369EB-335A-4AC8-B66E-1B4EA8BF0ED5}" uniqueName="8" name="assembly" queryTableFieldId="8" dataDxfId="71"/>
    <tableColumn id="9" xr3:uid="{55C0FFE2-9992-4165-849C-D868F40C8E66}" uniqueName="9" name="qc" queryTableFieldId="9" dataDxfId="7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9E5BE4-3314-481D-B5D9-FBDB974CBE79}" name="engine_progress" displayName="engine_progress" ref="A1:K49" tableType="queryTable" totalsRowShown="0">
  <autoFilter ref="A1:K49" xr:uid="{A19E5BE4-3314-481D-B5D9-FBDB974CBE79}">
    <filterColumn colId="10">
      <filters>
        <filter val="not passed"/>
      </filters>
    </filterColumn>
  </autoFilter>
  <tableColumns count="11">
    <tableColumn id="10" xr3:uid="{13F7F363-4BE4-452F-AF38-D110D6BB07D5}" uniqueName="10" name="job_order_id" queryTableFieldId="1" dataDxfId="69"/>
    <tableColumn id="2" xr3:uid="{753C74AF-830B-44BA-B76F-D8E8A77BCD02}" uniqueName="2" name="job_order_number" queryTableFieldId="2" dataDxfId="68"/>
    <tableColumn id="1" xr3:uid="{112B40DA-565D-4F73-9E61-67DAA3AF15CB}" uniqueName="1" name="ma_number" queryTableFieldId="12" dataDxfId="1"/>
    <tableColumn id="3" xr3:uid="{B4784CC7-492F-4242-B08C-F13763CA9D2F}" uniqueName="3" name="name" queryTableFieldId="3" dataDxfId="67"/>
    <tableColumn id="11" xr3:uid="{77B6BA71-C9CE-40BC-A2FA-C2880DD05A79}" uniqueName="11" name="type_id" queryTableFieldId="10"/>
    <tableColumn id="4" xr3:uid="{2936B6E6-4921-4D6C-889E-7EEDEDDB1A0D}" uniqueName="4" name="batch_id" queryTableFieldId="4" dataDxfId="66"/>
    <tableColumn id="5" xr3:uid="{6FC7D44E-CEC9-443F-B25C-809F88A96C24}" uniqueName="5" name="quantity" queryTableFieldId="5" dataDxfId="65"/>
    <tableColumn id="6" xr3:uid="{6F374A7C-A27B-4DCE-9A55-E015291AD57F}" uniqueName="6" name="cut" queryTableFieldId="6" dataDxfId="64"/>
    <tableColumn id="7" xr3:uid="{970671A7-2EB6-4ED7-9298-D7477CCE5889}" uniqueName="7" name="cnc" queryTableFieldId="7" dataDxfId="63"/>
    <tableColumn id="8" xr3:uid="{3CEEF5A0-2DCD-4AF7-B0D9-2543B7CD49A3}" uniqueName="8" name="assembly" queryTableFieldId="8" dataDxfId="62"/>
    <tableColumn id="9" xr3:uid="{F2197A82-0C97-4C08-8697-53152CFF8AD4}" uniqueName="9" name="qc" queryTableFieldId="9" dataDxfId="6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309"/>
  <sheetViews>
    <sheetView zoomScaleNormal="100" workbookViewId="0">
      <selection activeCell="B306" sqref="B306"/>
    </sheetView>
  </sheetViews>
  <sheetFormatPr defaultRowHeight="14.4" x14ac:dyDescent="0.3"/>
  <cols>
    <col min="1" max="1" width="18.77734375" customWidth="1"/>
    <col min="2" max="2" width="65.109375" style="1" customWidth="1"/>
    <col min="3" max="3" width="38.88671875" customWidth="1"/>
    <col min="4" max="4" width="24" customWidth="1"/>
    <col min="5" max="5" width="29.88671875" customWidth="1"/>
    <col min="6" max="6" width="12.5546875" customWidth="1"/>
    <col min="7" max="7" width="15.33203125" customWidth="1"/>
    <col min="8" max="8" width="15.44140625" customWidth="1"/>
    <col min="9" max="9" width="13.109375" customWidth="1"/>
    <col min="10" max="10" width="12.44140625" customWidth="1"/>
    <col min="11" max="11" width="14.33203125" customWidth="1"/>
    <col min="12" max="12" width="16.6640625" customWidth="1"/>
    <col min="13" max="15" width="14.33203125" customWidth="1"/>
    <col min="16" max="16" width="15.6640625" customWidth="1"/>
    <col min="17" max="17" width="18.21875" customWidth="1"/>
    <col min="18" max="20" width="15.6640625" customWidth="1"/>
    <col min="21" max="21" width="19.109375" customWidth="1"/>
    <col min="22" max="22" width="17.109375" customWidth="1"/>
    <col min="23" max="23" width="10.5546875" customWidth="1"/>
    <col min="24" max="24" width="8.88671875" customWidth="1"/>
    <col min="25" max="26" width="20.33203125" customWidth="1"/>
    <col min="27" max="27" width="13.6640625" customWidth="1"/>
    <col min="28" max="28" width="8.88671875" customWidth="1"/>
    <col min="29" max="29" width="40.21875" bestFit="1" customWidth="1"/>
    <col min="30" max="30" width="11" bestFit="1" customWidth="1"/>
  </cols>
  <sheetData>
    <row r="1" spans="1:31" ht="15" thickBot="1" x14ac:dyDescent="0.35">
      <c r="A1" t="s">
        <v>0</v>
      </c>
      <c r="B1" t="s">
        <v>1</v>
      </c>
      <c r="C1" t="s">
        <v>916</v>
      </c>
      <c r="D1" t="s">
        <v>16</v>
      </c>
      <c r="E1" t="s">
        <v>2</v>
      </c>
      <c r="F1" t="s">
        <v>3</v>
      </c>
      <c r="G1" t="s">
        <v>61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48</v>
      </c>
      <c r="N1" t="s">
        <v>41</v>
      </c>
      <c r="O1" t="s">
        <v>93</v>
      </c>
      <c r="P1" t="s">
        <v>94</v>
      </c>
      <c r="Q1" t="s">
        <v>861</v>
      </c>
      <c r="R1" t="s">
        <v>862</v>
      </c>
      <c r="S1" t="s">
        <v>863</v>
      </c>
      <c r="T1" t="s">
        <v>864</v>
      </c>
      <c r="U1" t="s">
        <v>860</v>
      </c>
      <c r="V1" t="s">
        <v>522</v>
      </c>
      <c r="W1" t="s">
        <v>9</v>
      </c>
      <c r="X1" t="s">
        <v>23</v>
      </c>
      <c r="Y1" t="s">
        <v>24</v>
      </c>
      <c r="Z1" t="s">
        <v>12</v>
      </c>
      <c r="AA1" s="72" t="s">
        <v>339</v>
      </c>
      <c r="AB1" s="72" t="s">
        <v>1531</v>
      </c>
      <c r="AC1" s="73" t="s">
        <v>1500</v>
      </c>
      <c r="AD1" s="73" t="s">
        <v>1501</v>
      </c>
      <c r="AE1" t="s">
        <v>1533</v>
      </c>
    </row>
    <row r="2" spans="1:31" hidden="1" x14ac:dyDescent="0.3">
      <c r="A2" t="s">
        <v>95</v>
      </c>
      <c r="B2" s="1">
        <v>7075231830</v>
      </c>
      <c r="C2" s="1" t="s">
        <v>741</v>
      </c>
      <c r="D2" t="s">
        <v>357</v>
      </c>
      <c r="F2" t="b">
        <v>0</v>
      </c>
      <c r="I2">
        <v>1</v>
      </c>
      <c r="J2">
        <v>90</v>
      </c>
      <c r="K2">
        <v>90</v>
      </c>
      <c r="L2">
        <v>65</v>
      </c>
      <c r="M2" t="s">
        <v>69</v>
      </c>
      <c r="N2" t="s">
        <v>33</v>
      </c>
      <c r="O2" t="b">
        <v>1</v>
      </c>
      <c r="Y2">
        <f t="shared" ref="Y2:Y67" si="0">IFERROR(AB2*AA2,0)</f>
        <v>0</v>
      </c>
      <c r="AA2" s="3" t="str">
        <f t="shared" ref="AA2:AA68" si="1">AD2</f>
        <v/>
      </c>
      <c r="AB2" s="3">
        <v>28</v>
      </c>
      <c r="AC2" t="str">
        <f>IFERROR(VLOOKUP(B2,vlookup!$A$16:$A$150,1,FALSE),"")</f>
        <v/>
      </c>
      <c r="AD2" t="str">
        <f>IFERROR(VLOOKUP(B2,vlookup!$A$16:$G$150,11,FALSE),"")</f>
        <v/>
      </c>
    </row>
    <row r="3" spans="1:31" hidden="1" x14ac:dyDescent="0.3">
      <c r="A3" t="s">
        <v>96</v>
      </c>
      <c r="B3" s="1">
        <v>7075231930</v>
      </c>
      <c r="C3" s="1" t="s">
        <v>1102</v>
      </c>
      <c r="D3" t="s">
        <v>357</v>
      </c>
      <c r="F3" t="b">
        <v>0</v>
      </c>
      <c r="I3">
        <v>1</v>
      </c>
      <c r="J3">
        <v>83</v>
      </c>
      <c r="K3">
        <v>57</v>
      </c>
      <c r="L3">
        <v>77</v>
      </c>
      <c r="M3" t="s">
        <v>69</v>
      </c>
      <c r="N3" t="s">
        <v>33</v>
      </c>
      <c r="O3" t="b">
        <v>1</v>
      </c>
      <c r="X3">
        <v>19</v>
      </c>
      <c r="Y3">
        <f t="shared" si="0"/>
        <v>0</v>
      </c>
      <c r="Z3" t="s">
        <v>1624</v>
      </c>
      <c r="AA3" s="3" t="str">
        <f t="shared" si="1"/>
        <v/>
      </c>
      <c r="AB3" s="3">
        <v>28</v>
      </c>
      <c r="AC3">
        <f>IFERROR(VLOOKUP(B3,vlookup!$A$16:$A$150,1,FALSE),"")</f>
        <v>7075231930</v>
      </c>
      <c r="AD3" t="str">
        <f>IFERROR(VLOOKUP(B3,vlookup!$A$16:$G$150,11,FALSE),"")</f>
        <v/>
      </c>
    </row>
    <row r="4" spans="1:31" hidden="1" x14ac:dyDescent="0.3">
      <c r="A4" t="s">
        <v>97</v>
      </c>
      <c r="B4" s="1">
        <v>7075236930</v>
      </c>
      <c r="C4" s="1" t="s">
        <v>911</v>
      </c>
      <c r="D4" t="s">
        <v>357</v>
      </c>
      <c r="F4" t="b">
        <v>0</v>
      </c>
      <c r="I4">
        <v>1</v>
      </c>
      <c r="J4">
        <v>60</v>
      </c>
      <c r="K4">
        <v>43</v>
      </c>
      <c r="L4">
        <v>65</v>
      </c>
      <c r="M4" t="s">
        <v>69</v>
      </c>
      <c r="N4" t="s">
        <v>33</v>
      </c>
      <c r="O4" t="b">
        <v>1</v>
      </c>
      <c r="Y4">
        <f t="shared" si="0"/>
        <v>0</v>
      </c>
      <c r="AA4" s="3" t="str">
        <f t="shared" si="1"/>
        <v/>
      </c>
      <c r="AB4" s="3">
        <v>28</v>
      </c>
      <c r="AC4" t="str">
        <f>IFERROR(VLOOKUP(B4,vlookup!$A$16:$A$150,1,FALSE),"")</f>
        <v/>
      </c>
      <c r="AD4" t="str">
        <f>IFERROR(VLOOKUP(B4,vlookup!$A$16:$G$150,11,FALSE),"")</f>
        <v/>
      </c>
    </row>
    <row r="5" spans="1:31" hidden="1" x14ac:dyDescent="0.3">
      <c r="A5" t="s">
        <v>98</v>
      </c>
      <c r="B5" s="1">
        <v>7075244730</v>
      </c>
      <c r="C5" s="1"/>
      <c r="D5" t="s">
        <v>357</v>
      </c>
      <c r="F5" t="b">
        <v>0</v>
      </c>
      <c r="I5">
        <v>1</v>
      </c>
      <c r="J5">
        <v>60</v>
      </c>
      <c r="K5">
        <v>37</v>
      </c>
      <c r="L5">
        <v>60</v>
      </c>
      <c r="M5" t="s">
        <v>69</v>
      </c>
      <c r="N5" t="s">
        <v>33</v>
      </c>
      <c r="O5" t="b">
        <v>1</v>
      </c>
      <c r="Y5">
        <f t="shared" si="0"/>
        <v>0</v>
      </c>
      <c r="AA5" s="3" t="str">
        <f t="shared" si="1"/>
        <v/>
      </c>
      <c r="AB5" s="3">
        <v>28</v>
      </c>
      <c r="AC5">
        <f>IFERROR(VLOOKUP(B5,vlookup!$A$16:$A$150,1,FALSE),"")</f>
        <v>7075244730</v>
      </c>
      <c r="AD5" t="str">
        <f>IFERROR(VLOOKUP(B5,vlookup!$A$16:$G$150,11,FALSE),"")</f>
        <v/>
      </c>
    </row>
    <row r="6" spans="1:31" hidden="1" x14ac:dyDescent="0.3">
      <c r="A6" t="s">
        <v>99</v>
      </c>
      <c r="B6" s="1">
        <v>71186354</v>
      </c>
      <c r="C6" s="1"/>
      <c r="D6" t="s">
        <v>357</v>
      </c>
      <c r="F6" t="b">
        <v>0</v>
      </c>
      <c r="I6">
        <v>1</v>
      </c>
      <c r="J6">
        <v>48</v>
      </c>
      <c r="K6">
        <v>43</v>
      </c>
      <c r="L6">
        <v>51</v>
      </c>
      <c r="M6" t="s">
        <v>68</v>
      </c>
      <c r="N6" t="s">
        <v>33</v>
      </c>
      <c r="O6" t="b">
        <v>1</v>
      </c>
      <c r="X6">
        <v>19</v>
      </c>
      <c r="Y6">
        <f t="shared" si="0"/>
        <v>0</v>
      </c>
      <c r="Z6" t="s">
        <v>1624</v>
      </c>
      <c r="AA6" s="3" t="str">
        <f t="shared" si="1"/>
        <v/>
      </c>
      <c r="AB6" s="3">
        <v>28</v>
      </c>
      <c r="AC6">
        <f>IFERROR(VLOOKUP(B6,vlookup!$A$16:$A$150,1,FALSE),"")</f>
        <v>71186354</v>
      </c>
      <c r="AD6" t="str">
        <f>IFERROR(VLOOKUP(B6,vlookup!$A$16:$G$150,11,FALSE),"")</f>
        <v/>
      </c>
    </row>
    <row r="7" spans="1:31" hidden="1" x14ac:dyDescent="0.3">
      <c r="A7" t="s">
        <v>100</v>
      </c>
      <c r="B7" s="1" t="s">
        <v>233</v>
      </c>
      <c r="C7" s="1"/>
      <c r="D7" t="s">
        <v>357</v>
      </c>
      <c r="F7" t="b">
        <v>0</v>
      </c>
      <c r="I7">
        <v>1</v>
      </c>
      <c r="J7">
        <v>64</v>
      </c>
      <c r="K7">
        <v>50</v>
      </c>
      <c r="L7">
        <v>75</v>
      </c>
      <c r="M7" t="s">
        <v>69</v>
      </c>
      <c r="N7" t="s">
        <v>33</v>
      </c>
      <c r="O7" t="b">
        <v>1</v>
      </c>
      <c r="Y7">
        <f t="shared" si="0"/>
        <v>0</v>
      </c>
      <c r="AA7" s="3" t="str">
        <f t="shared" si="1"/>
        <v/>
      </c>
      <c r="AB7" s="3">
        <v>28</v>
      </c>
      <c r="AC7" t="str">
        <f>IFERROR(VLOOKUP(B7,vlookup!$A$16:$A$150,1,FALSE),"")</f>
        <v>7118641830+7173344320</v>
      </c>
      <c r="AD7" t="str">
        <f>IFERROR(VLOOKUP(B7,vlookup!$A$16:$G$150,11,FALSE),"")</f>
        <v/>
      </c>
    </row>
    <row r="8" spans="1:31" hidden="1" x14ac:dyDescent="0.3">
      <c r="A8" t="s">
        <v>101</v>
      </c>
      <c r="B8" s="1" t="s">
        <v>623</v>
      </c>
      <c r="C8" s="1"/>
      <c r="D8" t="s">
        <v>357</v>
      </c>
      <c r="F8" t="b">
        <v>0</v>
      </c>
      <c r="I8">
        <v>1</v>
      </c>
      <c r="J8">
        <v>73</v>
      </c>
      <c r="K8">
        <v>74</v>
      </c>
      <c r="L8">
        <v>65</v>
      </c>
      <c r="M8" t="s">
        <v>68</v>
      </c>
      <c r="N8" t="s">
        <v>33</v>
      </c>
      <c r="O8" t="b">
        <v>1</v>
      </c>
      <c r="Y8">
        <f t="shared" si="0"/>
        <v>0</v>
      </c>
      <c r="AA8" s="3" t="str">
        <f t="shared" si="1"/>
        <v/>
      </c>
      <c r="AB8" s="3">
        <v>28</v>
      </c>
      <c r="AC8" t="str">
        <f>IFERROR(VLOOKUP(B8,vlookup!$A$16:$A$150,1,FALSE),"")</f>
        <v>71186683+7173344320</v>
      </c>
      <c r="AD8" t="str">
        <f>IFERROR(VLOOKUP(B8,vlookup!$A$16:$G$150,11,FALSE),"")</f>
        <v/>
      </c>
    </row>
    <row r="9" spans="1:31" hidden="1" x14ac:dyDescent="0.3">
      <c r="A9" t="s">
        <v>102</v>
      </c>
      <c r="B9" s="1">
        <v>7118670020</v>
      </c>
      <c r="C9" s="1"/>
      <c r="D9" t="s">
        <v>357</v>
      </c>
      <c r="F9" t="b">
        <v>0</v>
      </c>
      <c r="I9">
        <v>1</v>
      </c>
      <c r="J9">
        <v>50</v>
      </c>
      <c r="K9">
        <v>47</v>
      </c>
      <c r="L9">
        <v>51</v>
      </c>
      <c r="M9" t="s">
        <v>73</v>
      </c>
      <c r="N9" t="s">
        <v>33</v>
      </c>
      <c r="O9" t="b">
        <v>1</v>
      </c>
      <c r="X9">
        <v>19</v>
      </c>
      <c r="Y9">
        <f t="shared" si="0"/>
        <v>0</v>
      </c>
      <c r="Z9" t="s">
        <v>1624</v>
      </c>
      <c r="AA9" s="3" t="str">
        <f t="shared" si="1"/>
        <v/>
      </c>
      <c r="AB9" s="3">
        <v>28</v>
      </c>
      <c r="AC9">
        <f>IFERROR(VLOOKUP(B9,vlookup!$A$16:$A$150,1,FALSE),"")</f>
        <v>7118670020</v>
      </c>
      <c r="AD9" t="str">
        <f>IFERROR(VLOOKUP(B9,vlookup!$A$16:$G$150,11,FALSE),"")</f>
        <v/>
      </c>
    </row>
    <row r="10" spans="1:31" hidden="1" x14ac:dyDescent="0.3">
      <c r="A10" t="s">
        <v>103</v>
      </c>
      <c r="B10" s="1" t="s">
        <v>1543</v>
      </c>
      <c r="C10" s="1"/>
      <c r="D10" t="s">
        <v>357</v>
      </c>
      <c r="F10" t="b">
        <v>0</v>
      </c>
      <c r="I10">
        <v>1</v>
      </c>
      <c r="J10">
        <v>56</v>
      </c>
      <c r="K10">
        <v>48</v>
      </c>
      <c r="L10">
        <v>50</v>
      </c>
      <c r="M10" t="s">
        <v>73</v>
      </c>
      <c r="N10" t="s">
        <v>33</v>
      </c>
      <c r="O10" t="b">
        <v>1</v>
      </c>
      <c r="Y10">
        <f t="shared" si="0"/>
        <v>0</v>
      </c>
      <c r="AA10" s="3" t="str">
        <f t="shared" si="1"/>
        <v/>
      </c>
      <c r="AB10" s="3">
        <v>28</v>
      </c>
      <c r="AC10" t="str">
        <f>IFERROR(VLOOKUP(B10,vlookup!$A$16:$A$150,1,FALSE),"")</f>
        <v>7119101830+7274131020</v>
      </c>
      <c r="AD10" t="str">
        <f>IFERROR(VLOOKUP(B10,vlookup!$A$16:$G$150,11,FALSE),"")</f>
        <v/>
      </c>
    </row>
    <row r="11" spans="1:31" hidden="1" x14ac:dyDescent="0.3">
      <c r="A11" t="s">
        <v>104</v>
      </c>
      <c r="B11" s="1" t="s">
        <v>235</v>
      </c>
      <c r="C11" s="1"/>
      <c r="D11" t="s">
        <v>357</v>
      </c>
      <c r="F11" t="b">
        <v>0</v>
      </c>
      <c r="I11">
        <v>1</v>
      </c>
      <c r="J11">
        <v>57</v>
      </c>
      <c r="K11">
        <v>48</v>
      </c>
      <c r="L11">
        <v>50</v>
      </c>
      <c r="M11" t="s">
        <v>69</v>
      </c>
      <c r="N11" t="s">
        <v>33</v>
      </c>
      <c r="O11" t="b">
        <v>1</v>
      </c>
      <c r="V11" t="b">
        <v>1</v>
      </c>
      <c r="Y11">
        <f t="shared" si="0"/>
        <v>0</v>
      </c>
      <c r="AA11" s="3" t="str">
        <f t="shared" si="1"/>
        <v/>
      </c>
      <c r="AB11" s="3">
        <v>28</v>
      </c>
      <c r="AC11" t="str">
        <f>IFERROR(VLOOKUP(B11,vlookup!$A$16:$A$150,1,FALSE),"")</f>
        <v>7119127830+7234894130A</v>
      </c>
      <c r="AD11" t="str">
        <f>IFERROR(VLOOKUP(B11,vlookup!$A$16:$G$150,11,FALSE),"")</f>
        <v/>
      </c>
    </row>
    <row r="12" spans="1:31" hidden="1" x14ac:dyDescent="0.3">
      <c r="A12" t="s">
        <v>105</v>
      </c>
      <c r="B12" s="1">
        <v>7119131530</v>
      </c>
      <c r="C12" s="1"/>
      <c r="D12" t="s">
        <v>357</v>
      </c>
      <c r="F12" t="b">
        <v>0</v>
      </c>
      <c r="I12">
        <v>1</v>
      </c>
      <c r="J12">
        <v>42</v>
      </c>
      <c r="K12">
        <v>34</v>
      </c>
      <c r="L12">
        <v>42</v>
      </c>
      <c r="M12" t="s">
        <v>69</v>
      </c>
      <c r="N12" t="s">
        <v>33</v>
      </c>
      <c r="O12" t="b">
        <v>1</v>
      </c>
      <c r="X12">
        <v>19</v>
      </c>
      <c r="Y12">
        <f t="shared" si="0"/>
        <v>0</v>
      </c>
      <c r="Z12" t="s">
        <v>1624</v>
      </c>
      <c r="AA12" s="3" t="str">
        <f t="shared" si="1"/>
        <v/>
      </c>
      <c r="AB12" s="3">
        <v>28</v>
      </c>
      <c r="AC12">
        <f>IFERROR(VLOOKUP(B12,vlookup!$A$16:$A$150,1,FALSE),"")</f>
        <v>7119131530</v>
      </c>
      <c r="AD12" t="str">
        <f>IFERROR(VLOOKUP(B12,vlookup!$A$16:$G$150,11,FALSE),"")</f>
        <v/>
      </c>
    </row>
    <row r="13" spans="1:31" hidden="1" x14ac:dyDescent="0.3">
      <c r="A13" t="s">
        <v>106</v>
      </c>
      <c r="B13" s="1" t="s">
        <v>629</v>
      </c>
      <c r="C13" s="1"/>
      <c r="D13" t="s">
        <v>357</v>
      </c>
      <c r="F13" t="b">
        <v>0</v>
      </c>
      <c r="I13">
        <v>1</v>
      </c>
      <c r="J13">
        <v>90</v>
      </c>
      <c r="K13">
        <v>50</v>
      </c>
      <c r="L13">
        <v>52</v>
      </c>
      <c r="M13" t="s">
        <v>68</v>
      </c>
      <c r="N13" t="s">
        <v>33</v>
      </c>
      <c r="O13" t="b">
        <v>1</v>
      </c>
      <c r="V13" t="b">
        <v>1</v>
      </c>
      <c r="Y13">
        <f t="shared" si="0"/>
        <v>0</v>
      </c>
      <c r="AA13" s="3" t="str">
        <f t="shared" si="1"/>
        <v/>
      </c>
      <c r="AB13" s="3">
        <v>28</v>
      </c>
      <c r="AC13" t="str">
        <f>IFERROR(VLOOKUP(B13,vlookup!$A$16:$A$150,1,FALSE),"")</f>
        <v>7119140530+7119140640+72741359</v>
      </c>
      <c r="AD13" t="str">
        <f>IFERROR(VLOOKUP(B13,vlookup!$A$16:$G$150,11,FALSE),"")</f>
        <v/>
      </c>
    </row>
    <row r="14" spans="1:31" hidden="1" x14ac:dyDescent="0.3">
      <c r="A14" t="s">
        <v>107</v>
      </c>
      <c r="B14" s="1">
        <v>7119146730</v>
      </c>
      <c r="C14" s="1"/>
      <c r="D14" t="s">
        <v>357</v>
      </c>
      <c r="F14" t="b">
        <v>0</v>
      </c>
      <c r="I14">
        <v>1</v>
      </c>
      <c r="J14">
        <v>42</v>
      </c>
      <c r="K14">
        <v>38</v>
      </c>
      <c r="L14">
        <v>42</v>
      </c>
      <c r="M14" t="s">
        <v>69</v>
      </c>
      <c r="N14" t="s">
        <v>33</v>
      </c>
      <c r="O14" t="b">
        <v>1</v>
      </c>
      <c r="Y14">
        <f t="shared" si="0"/>
        <v>0</v>
      </c>
      <c r="AA14" s="3" t="str">
        <f t="shared" si="1"/>
        <v/>
      </c>
      <c r="AB14" s="3">
        <v>28</v>
      </c>
      <c r="AC14">
        <f>IFERROR(VLOOKUP(B14,vlookup!$A$16:$A$150,1,FALSE),"")</f>
        <v>7119146730</v>
      </c>
      <c r="AD14" t="str">
        <f>IFERROR(VLOOKUP(B14,vlookup!$A$16:$G$150,11,FALSE),"")</f>
        <v/>
      </c>
    </row>
    <row r="15" spans="1:31" hidden="1" x14ac:dyDescent="0.3">
      <c r="A15" t="s">
        <v>108</v>
      </c>
      <c r="B15" s="1">
        <v>71191993</v>
      </c>
      <c r="C15" s="1"/>
      <c r="D15" t="s">
        <v>357</v>
      </c>
      <c r="F15" t="b">
        <v>0</v>
      </c>
      <c r="I15">
        <v>1</v>
      </c>
      <c r="J15">
        <v>42</v>
      </c>
      <c r="K15">
        <v>35</v>
      </c>
      <c r="L15">
        <v>44</v>
      </c>
      <c r="M15" t="s">
        <v>68</v>
      </c>
      <c r="N15" t="s">
        <v>33</v>
      </c>
      <c r="O15" t="b">
        <v>1</v>
      </c>
      <c r="X15">
        <v>19</v>
      </c>
      <c r="Y15">
        <f t="shared" si="0"/>
        <v>0</v>
      </c>
      <c r="Z15" t="s">
        <v>1624</v>
      </c>
      <c r="AA15" s="3" t="str">
        <f t="shared" si="1"/>
        <v/>
      </c>
      <c r="AB15" s="3">
        <v>28</v>
      </c>
      <c r="AC15">
        <f>IFERROR(VLOOKUP(B15,vlookup!$A$16:$A$150,1,FALSE),"")</f>
        <v>71191993</v>
      </c>
      <c r="AD15" t="str">
        <f>IFERROR(VLOOKUP(B15,vlookup!$A$16:$G$150,11,FALSE),"")</f>
        <v/>
      </c>
    </row>
    <row r="16" spans="1:31" hidden="1" x14ac:dyDescent="0.3">
      <c r="A16" t="s">
        <v>109</v>
      </c>
      <c r="B16" s="1">
        <v>71196180</v>
      </c>
      <c r="C16" s="1"/>
      <c r="D16" t="s">
        <v>357</v>
      </c>
      <c r="F16" t="b">
        <v>0</v>
      </c>
      <c r="I16">
        <v>1</v>
      </c>
      <c r="J16">
        <v>40</v>
      </c>
      <c r="K16">
        <v>40</v>
      </c>
      <c r="L16">
        <v>52</v>
      </c>
      <c r="M16" t="s">
        <v>68</v>
      </c>
      <c r="N16" t="s">
        <v>33</v>
      </c>
      <c r="O16" t="b">
        <v>1</v>
      </c>
      <c r="Y16">
        <f t="shared" si="0"/>
        <v>0</v>
      </c>
      <c r="AA16" s="3" t="str">
        <f t="shared" si="1"/>
        <v/>
      </c>
      <c r="AB16" s="3">
        <v>28</v>
      </c>
      <c r="AC16" t="str">
        <f>IFERROR(VLOOKUP(B16,vlookup!$A$16:$A$150,1,FALSE),"")</f>
        <v/>
      </c>
      <c r="AD16" t="str">
        <f>IFERROR(VLOOKUP(B16,vlookup!$A$16:$G$150,11,FALSE),"")</f>
        <v/>
      </c>
    </row>
    <row r="17" spans="1:30" hidden="1" x14ac:dyDescent="0.3">
      <c r="A17" t="s">
        <v>110</v>
      </c>
      <c r="B17" s="1" t="s">
        <v>859</v>
      </c>
      <c r="C17" s="1"/>
      <c r="D17" t="s">
        <v>357</v>
      </c>
      <c r="F17" t="b">
        <v>0</v>
      </c>
      <c r="I17">
        <v>1</v>
      </c>
      <c r="J17">
        <v>82</v>
      </c>
      <c r="K17">
        <v>77</v>
      </c>
      <c r="L17">
        <v>52</v>
      </c>
      <c r="M17" t="s">
        <v>68</v>
      </c>
      <c r="N17" t="s">
        <v>33</v>
      </c>
      <c r="O17" t="b">
        <v>1</v>
      </c>
      <c r="Y17">
        <f t="shared" si="0"/>
        <v>0</v>
      </c>
      <c r="AA17" s="3" t="str">
        <f t="shared" si="1"/>
        <v/>
      </c>
      <c r="AB17" s="3">
        <v>28</v>
      </c>
      <c r="AC17" t="str">
        <f>IFERROR(VLOOKUP(B17,vlookup!$A$16:$A$150,1,FALSE),"")</f>
        <v/>
      </c>
      <c r="AD17" t="str">
        <f>IFERROR(VLOOKUP(B17,vlookup!$A$16:$G$150,11,FALSE),"")</f>
        <v/>
      </c>
    </row>
    <row r="18" spans="1:30" hidden="1" x14ac:dyDescent="0.3">
      <c r="A18" t="s">
        <v>111</v>
      </c>
      <c r="B18" s="1">
        <v>7119639830</v>
      </c>
      <c r="C18" s="1"/>
      <c r="D18" t="s">
        <v>357</v>
      </c>
      <c r="F18" t="b">
        <v>0</v>
      </c>
      <c r="I18">
        <v>1</v>
      </c>
      <c r="J18">
        <v>46</v>
      </c>
      <c r="K18">
        <v>40</v>
      </c>
      <c r="L18">
        <v>48</v>
      </c>
      <c r="M18" t="s">
        <v>69</v>
      </c>
      <c r="N18" t="s">
        <v>33</v>
      </c>
      <c r="O18" t="b">
        <v>1</v>
      </c>
      <c r="Y18">
        <f t="shared" si="0"/>
        <v>0</v>
      </c>
      <c r="AA18" s="3" t="str">
        <f t="shared" si="1"/>
        <v/>
      </c>
      <c r="AB18" s="3">
        <v>28</v>
      </c>
      <c r="AC18">
        <f>IFERROR(VLOOKUP(B18,vlookup!$A$16:$A$150,1,FALSE),"")</f>
        <v>7119639830</v>
      </c>
      <c r="AD18" t="str">
        <f>IFERROR(VLOOKUP(B18,vlookup!$A$16:$G$150,11,FALSE),"")</f>
        <v/>
      </c>
    </row>
    <row r="19" spans="1:30" hidden="1" x14ac:dyDescent="0.3">
      <c r="A19" t="s">
        <v>112</v>
      </c>
      <c r="B19" s="1">
        <v>71196401</v>
      </c>
      <c r="C19" s="1"/>
      <c r="D19" t="s">
        <v>357</v>
      </c>
      <c r="F19" t="b">
        <v>0</v>
      </c>
      <c r="I19">
        <v>1</v>
      </c>
      <c r="J19">
        <v>42</v>
      </c>
      <c r="K19">
        <v>39</v>
      </c>
      <c r="L19">
        <v>46</v>
      </c>
      <c r="M19" t="s">
        <v>68</v>
      </c>
      <c r="N19" t="s">
        <v>33</v>
      </c>
      <c r="O19" t="b">
        <v>1</v>
      </c>
      <c r="X19">
        <v>19</v>
      </c>
      <c r="Y19">
        <f t="shared" si="0"/>
        <v>0</v>
      </c>
      <c r="Z19" t="s">
        <v>1624</v>
      </c>
      <c r="AA19" s="3" t="str">
        <f t="shared" si="1"/>
        <v/>
      </c>
      <c r="AB19" s="3">
        <v>28</v>
      </c>
      <c r="AC19">
        <f>IFERROR(VLOOKUP(B19,vlookup!$A$16:$A$150,1,FALSE),"")</f>
        <v>71196401</v>
      </c>
      <c r="AD19" t="str">
        <f>IFERROR(VLOOKUP(B19,vlookup!$A$16:$G$150,11,FALSE),"")</f>
        <v/>
      </c>
    </row>
    <row r="20" spans="1:30" hidden="1" x14ac:dyDescent="0.3">
      <c r="A20" t="s">
        <v>113</v>
      </c>
      <c r="B20" s="1">
        <v>7119641970</v>
      </c>
      <c r="C20" s="1"/>
      <c r="D20" t="s">
        <v>357</v>
      </c>
      <c r="F20" t="b">
        <v>0</v>
      </c>
      <c r="I20">
        <v>1</v>
      </c>
      <c r="J20">
        <v>42</v>
      </c>
      <c r="K20">
        <v>36</v>
      </c>
      <c r="L20">
        <v>46</v>
      </c>
      <c r="M20" t="s">
        <v>74</v>
      </c>
      <c r="N20" t="s">
        <v>33</v>
      </c>
      <c r="O20" t="b">
        <v>1</v>
      </c>
      <c r="Y20">
        <f t="shared" si="0"/>
        <v>0</v>
      </c>
      <c r="AA20" s="3" t="str">
        <f t="shared" si="1"/>
        <v/>
      </c>
      <c r="AB20" s="3">
        <v>28</v>
      </c>
      <c r="AC20">
        <f>IFERROR(VLOOKUP(B20,vlookup!$A$16:$A$150,1,FALSE),"")</f>
        <v>7119641970</v>
      </c>
      <c r="AD20" t="str">
        <f>IFERROR(VLOOKUP(B20,vlookup!$A$16:$G$150,11,FALSE),"")</f>
        <v/>
      </c>
    </row>
    <row r="21" spans="1:30" hidden="1" x14ac:dyDescent="0.3">
      <c r="A21" t="s">
        <v>114</v>
      </c>
      <c r="B21" s="1">
        <v>71196506</v>
      </c>
      <c r="C21" s="1"/>
      <c r="D21" t="s">
        <v>357</v>
      </c>
      <c r="F21" t="b">
        <v>0</v>
      </c>
      <c r="I21">
        <v>1</v>
      </c>
      <c r="J21">
        <v>42</v>
      </c>
      <c r="K21">
        <v>33</v>
      </c>
      <c r="L21">
        <v>47</v>
      </c>
      <c r="M21" t="s">
        <v>68</v>
      </c>
      <c r="N21" t="s">
        <v>33</v>
      </c>
      <c r="O21" t="b">
        <v>1</v>
      </c>
      <c r="V21" t="b">
        <v>1</v>
      </c>
      <c r="Y21">
        <f t="shared" si="0"/>
        <v>0</v>
      </c>
      <c r="AA21" s="3" t="str">
        <f t="shared" si="1"/>
        <v/>
      </c>
      <c r="AB21" s="3">
        <v>28</v>
      </c>
      <c r="AC21">
        <f>IFERROR(VLOOKUP(B21,vlookup!$A$16:$A$150,1,FALSE),"")</f>
        <v>71196506</v>
      </c>
      <c r="AD21" t="str">
        <f>IFERROR(VLOOKUP(B21,vlookup!$A$16:$G$150,11,FALSE),"")</f>
        <v/>
      </c>
    </row>
    <row r="22" spans="1:30" hidden="1" x14ac:dyDescent="0.3">
      <c r="A22" t="s">
        <v>115</v>
      </c>
      <c r="B22" s="1" t="s">
        <v>237</v>
      </c>
      <c r="C22" s="1"/>
      <c r="D22" t="s">
        <v>357</v>
      </c>
      <c r="F22" t="b">
        <v>0</v>
      </c>
      <c r="I22">
        <v>1</v>
      </c>
      <c r="J22">
        <v>61</v>
      </c>
      <c r="K22">
        <v>50</v>
      </c>
      <c r="L22">
        <v>87</v>
      </c>
      <c r="M22" t="s">
        <v>68</v>
      </c>
      <c r="N22" t="s">
        <v>33</v>
      </c>
      <c r="O22" t="b">
        <v>1</v>
      </c>
      <c r="Y22">
        <f t="shared" si="0"/>
        <v>0</v>
      </c>
      <c r="AA22" s="3" t="str">
        <f t="shared" si="1"/>
        <v/>
      </c>
      <c r="AB22" s="3">
        <v>28</v>
      </c>
      <c r="AC22" t="str">
        <f>IFERROR(VLOOKUP(B22,vlookup!$A$16:$A$150,1,FALSE),"")</f>
        <v/>
      </c>
      <c r="AD22" t="str">
        <f>IFERROR(VLOOKUP(B22,vlookup!$A$16:$G$150,11,FALSE),"")</f>
        <v/>
      </c>
    </row>
    <row r="23" spans="1:30" hidden="1" x14ac:dyDescent="0.3">
      <c r="A23" t="s">
        <v>116</v>
      </c>
      <c r="B23" s="1">
        <v>7119668820</v>
      </c>
      <c r="C23" s="1"/>
      <c r="D23" t="s">
        <v>357</v>
      </c>
      <c r="F23" t="b">
        <v>0</v>
      </c>
      <c r="I23">
        <v>1</v>
      </c>
      <c r="J23">
        <v>40</v>
      </c>
      <c r="K23">
        <v>37</v>
      </c>
      <c r="L23">
        <v>52</v>
      </c>
      <c r="M23" t="s">
        <v>73</v>
      </c>
      <c r="N23" t="s">
        <v>33</v>
      </c>
      <c r="O23" t="b">
        <v>1</v>
      </c>
      <c r="Y23">
        <f t="shared" si="0"/>
        <v>0</v>
      </c>
      <c r="AA23" s="3" t="str">
        <f t="shared" si="1"/>
        <v/>
      </c>
      <c r="AB23" s="3">
        <v>28</v>
      </c>
      <c r="AC23">
        <f>IFERROR(VLOOKUP(B23,vlookup!$A$16:$A$150,1,FALSE),"")</f>
        <v>7119668820</v>
      </c>
      <c r="AD23" t="str">
        <f>IFERROR(VLOOKUP(B23,vlookup!$A$16:$G$150,11,FALSE),"")</f>
        <v/>
      </c>
    </row>
    <row r="24" spans="1:30" hidden="1" x14ac:dyDescent="0.3">
      <c r="A24" t="s">
        <v>117</v>
      </c>
      <c r="B24" s="1" t="s">
        <v>238</v>
      </c>
      <c r="C24" s="1"/>
      <c r="D24" t="s">
        <v>357</v>
      </c>
      <c r="F24" t="b">
        <v>0</v>
      </c>
      <c r="I24">
        <v>1</v>
      </c>
      <c r="J24">
        <v>55</v>
      </c>
      <c r="K24">
        <v>67</v>
      </c>
      <c r="L24">
        <v>52</v>
      </c>
      <c r="M24" t="s">
        <v>74</v>
      </c>
      <c r="N24" t="s">
        <v>33</v>
      </c>
      <c r="O24" t="b">
        <v>1</v>
      </c>
      <c r="Y24">
        <f t="shared" si="0"/>
        <v>0</v>
      </c>
      <c r="AA24" s="3" t="str">
        <f t="shared" si="1"/>
        <v/>
      </c>
      <c r="AB24" s="3">
        <v>28</v>
      </c>
      <c r="AC24" t="str">
        <f>IFERROR(VLOOKUP(B24,vlookup!$A$16:$A$150,1,FALSE),"")</f>
        <v>7119670830+7274290770A</v>
      </c>
      <c r="AD24" t="str">
        <f>IFERROR(VLOOKUP(B24,vlookup!$A$16:$G$150,11,FALSE),"")</f>
        <v/>
      </c>
    </row>
    <row r="25" spans="1:30" hidden="1" x14ac:dyDescent="0.3">
      <c r="A25" t="s">
        <v>118</v>
      </c>
      <c r="B25" s="1">
        <v>71196714</v>
      </c>
      <c r="C25" s="1"/>
      <c r="D25" t="s">
        <v>357</v>
      </c>
      <c r="F25" t="b">
        <v>0</v>
      </c>
      <c r="I25">
        <v>1</v>
      </c>
      <c r="J25">
        <v>45</v>
      </c>
      <c r="K25">
        <v>38</v>
      </c>
      <c r="L25">
        <v>59</v>
      </c>
      <c r="M25" t="s">
        <v>68</v>
      </c>
      <c r="N25" t="s">
        <v>33</v>
      </c>
      <c r="O25" t="b">
        <v>1</v>
      </c>
      <c r="Y25">
        <f t="shared" si="0"/>
        <v>0</v>
      </c>
      <c r="AA25" s="3" t="str">
        <f t="shared" si="1"/>
        <v/>
      </c>
      <c r="AB25" s="3">
        <v>28</v>
      </c>
      <c r="AC25">
        <f>IFERROR(VLOOKUP(B25,vlookup!$A$16:$A$150,1,FALSE),"")</f>
        <v>71196714</v>
      </c>
      <c r="AD25" t="str">
        <f>IFERROR(VLOOKUP(B25,vlookup!$A$16:$G$150,11,FALSE),"")</f>
        <v/>
      </c>
    </row>
    <row r="26" spans="1:30" hidden="1" x14ac:dyDescent="0.3">
      <c r="A26" t="s">
        <v>119</v>
      </c>
      <c r="B26" s="1" t="s">
        <v>239</v>
      </c>
      <c r="C26" s="1"/>
      <c r="D26" t="s">
        <v>357</v>
      </c>
      <c r="F26" t="b">
        <v>0</v>
      </c>
      <c r="I26">
        <v>1</v>
      </c>
      <c r="J26">
        <v>62</v>
      </c>
      <c r="K26">
        <v>67</v>
      </c>
      <c r="L26">
        <v>60</v>
      </c>
      <c r="M26" t="s">
        <v>69</v>
      </c>
      <c r="N26" t="s">
        <v>33</v>
      </c>
      <c r="O26" t="b">
        <v>1</v>
      </c>
      <c r="Y26">
        <f t="shared" si="0"/>
        <v>0</v>
      </c>
      <c r="AA26" s="3" t="str">
        <f t="shared" si="1"/>
        <v/>
      </c>
      <c r="AB26" s="3">
        <v>28</v>
      </c>
      <c r="AC26" t="str">
        <f>IFERROR(VLOOKUP(B26,vlookup!$A$16:$A$150,1,FALSE),"")</f>
        <v>7119648630+7274171430A</v>
      </c>
      <c r="AD26" t="str">
        <f>IFERROR(VLOOKUP(B26,vlookup!$A$16:$G$150,11,FALSE),"")</f>
        <v/>
      </c>
    </row>
    <row r="27" spans="1:30" hidden="1" x14ac:dyDescent="0.3">
      <c r="A27" t="s">
        <v>120</v>
      </c>
      <c r="B27" s="1">
        <v>71781405</v>
      </c>
      <c r="C27" s="1"/>
      <c r="D27" t="s">
        <v>357</v>
      </c>
      <c r="F27" t="b">
        <v>0</v>
      </c>
      <c r="I27">
        <v>1</v>
      </c>
      <c r="J27">
        <v>40</v>
      </c>
      <c r="K27">
        <v>39</v>
      </c>
      <c r="L27">
        <v>45</v>
      </c>
      <c r="M27" t="s">
        <v>68</v>
      </c>
      <c r="N27" t="s">
        <v>33</v>
      </c>
      <c r="O27" t="b">
        <v>1</v>
      </c>
      <c r="Y27">
        <f t="shared" si="0"/>
        <v>0</v>
      </c>
      <c r="AA27" s="3" t="str">
        <f t="shared" si="1"/>
        <v/>
      </c>
      <c r="AB27" s="3">
        <v>28</v>
      </c>
      <c r="AC27" t="str">
        <f>IFERROR(VLOOKUP(B27,vlookup!$A$16:$A$150,1,FALSE),"")</f>
        <v/>
      </c>
      <c r="AD27" t="str">
        <f>IFERROR(VLOOKUP(B27,vlookup!$A$16:$G$150,11,FALSE),"")</f>
        <v/>
      </c>
    </row>
    <row r="28" spans="1:30" hidden="1" x14ac:dyDescent="0.3">
      <c r="A28" t="s">
        <v>121</v>
      </c>
      <c r="B28" s="1" t="s">
        <v>240</v>
      </c>
      <c r="C28" s="1"/>
      <c r="D28" t="s">
        <v>357</v>
      </c>
      <c r="F28" t="b">
        <v>0</v>
      </c>
      <c r="I28">
        <v>1</v>
      </c>
      <c r="J28">
        <v>82</v>
      </c>
      <c r="K28">
        <v>77</v>
      </c>
      <c r="L28">
        <v>52</v>
      </c>
      <c r="M28" t="s">
        <v>68</v>
      </c>
      <c r="N28" t="s">
        <v>33</v>
      </c>
      <c r="O28" t="b">
        <v>1</v>
      </c>
      <c r="Y28">
        <f t="shared" si="0"/>
        <v>0</v>
      </c>
      <c r="AA28" s="3" t="str">
        <f t="shared" si="1"/>
        <v/>
      </c>
      <c r="AB28" s="3">
        <v>28</v>
      </c>
      <c r="AC28" t="str">
        <f>IFERROR(VLOOKUP(B28,vlookup!$A$16:$A$150,1,FALSE),"")</f>
        <v>7183288530+7183288630+72742612A</v>
      </c>
      <c r="AD28" t="str">
        <f>IFERROR(VLOOKUP(B28,vlookup!$A$16:$G$150,11,FALSE),"")</f>
        <v/>
      </c>
    </row>
    <row r="29" spans="1:30" hidden="1" x14ac:dyDescent="0.3">
      <c r="A29" t="s">
        <v>122</v>
      </c>
      <c r="B29" s="1" t="s">
        <v>655</v>
      </c>
      <c r="C29" s="1"/>
      <c r="D29" t="s">
        <v>357</v>
      </c>
      <c r="F29" t="b">
        <v>0</v>
      </c>
      <c r="I29">
        <v>1</v>
      </c>
      <c r="J29">
        <v>92</v>
      </c>
      <c r="K29">
        <v>75</v>
      </c>
      <c r="L29">
        <v>52</v>
      </c>
      <c r="M29" t="s">
        <v>68</v>
      </c>
      <c r="N29" t="s">
        <v>33</v>
      </c>
      <c r="O29" t="b">
        <v>1</v>
      </c>
      <c r="Y29">
        <f t="shared" si="0"/>
        <v>0</v>
      </c>
      <c r="AA29" s="3" t="str">
        <f t="shared" si="1"/>
        <v/>
      </c>
      <c r="AB29" s="3">
        <v>28</v>
      </c>
      <c r="AC29" t="str">
        <f>IFERROR(VLOOKUP(B29,vlookup!$A$16:$A$150,1,FALSE),"")</f>
        <v>7185173030+7185173130+72742608</v>
      </c>
      <c r="AD29" t="str">
        <f>IFERROR(VLOOKUP(B29,vlookup!$A$16:$G$150,11,FALSE),"")</f>
        <v/>
      </c>
    </row>
    <row r="30" spans="1:30" hidden="1" x14ac:dyDescent="0.3">
      <c r="A30" t="s">
        <v>123</v>
      </c>
      <c r="B30" s="1" t="s">
        <v>1566</v>
      </c>
      <c r="C30" s="1"/>
      <c r="D30" t="s">
        <v>357</v>
      </c>
      <c r="F30" t="b">
        <v>0</v>
      </c>
      <c r="I30">
        <v>1</v>
      </c>
      <c r="J30">
        <v>92</v>
      </c>
      <c r="K30">
        <v>68</v>
      </c>
      <c r="L30">
        <v>55</v>
      </c>
      <c r="M30" t="s">
        <v>74</v>
      </c>
      <c r="N30" t="s">
        <v>33</v>
      </c>
      <c r="O30" t="b">
        <v>1</v>
      </c>
      <c r="Y30">
        <f t="shared" si="0"/>
        <v>0</v>
      </c>
      <c r="AA30" s="3" t="str">
        <f t="shared" si="1"/>
        <v/>
      </c>
      <c r="AB30" s="3">
        <v>28</v>
      </c>
      <c r="AC30" t="str">
        <f>IFERROR(VLOOKUP(B30,vlookup!$A$16:$A$150,1,FALSE),"")</f>
        <v/>
      </c>
      <c r="AD30" t="str">
        <f>IFERROR(VLOOKUP(B30,vlookup!$A$16:$G$150,11,FALSE),"")</f>
        <v/>
      </c>
    </row>
    <row r="31" spans="1:30" hidden="1" x14ac:dyDescent="0.3">
      <c r="A31" t="s">
        <v>124</v>
      </c>
      <c r="B31" s="1" t="s">
        <v>242</v>
      </c>
      <c r="C31" s="1"/>
      <c r="D31" t="s">
        <v>357</v>
      </c>
      <c r="F31" t="b">
        <v>0</v>
      </c>
      <c r="I31">
        <v>1</v>
      </c>
      <c r="J31">
        <v>51</v>
      </c>
      <c r="K31">
        <v>51</v>
      </c>
      <c r="L31">
        <v>66</v>
      </c>
      <c r="M31" t="s">
        <v>68</v>
      </c>
      <c r="N31" t="s">
        <v>33</v>
      </c>
      <c r="O31" t="b">
        <v>1</v>
      </c>
      <c r="X31">
        <v>19</v>
      </c>
      <c r="Y31">
        <f t="shared" si="0"/>
        <v>0</v>
      </c>
      <c r="Z31" t="s">
        <v>1624</v>
      </c>
      <c r="AA31" s="3" t="str">
        <f t="shared" si="1"/>
        <v/>
      </c>
      <c r="AB31" s="3">
        <v>28</v>
      </c>
      <c r="AC31" t="str">
        <f>IFERROR(VLOOKUP(B31,vlookup!$A$16:$A$150,1,FALSE),"")</f>
        <v>71884821+7134425740</v>
      </c>
      <c r="AD31" t="str">
        <f>IFERROR(VLOOKUP(B31,vlookup!$A$16:$G$150,11,FALSE),"")</f>
        <v/>
      </c>
    </row>
    <row r="32" spans="1:30" hidden="1" x14ac:dyDescent="0.3">
      <c r="A32" t="s">
        <v>125</v>
      </c>
      <c r="B32" s="1" t="s">
        <v>243</v>
      </c>
      <c r="C32" s="1"/>
      <c r="D32" t="s">
        <v>357</v>
      </c>
      <c r="F32" t="b">
        <v>0</v>
      </c>
      <c r="I32">
        <v>1</v>
      </c>
      <c r="J32">
        <v>84</v>
      </c>
      <c r="K32">
        <v>78</v>
      </c>
      <c r="L32">
        <v>49</v>
      </c>
      <c r="M32" t="s">
        <v>69</v>
      </c>
      <c r="N32" t="s">
        <v>33</v>
      </c>
      <c r="O32" t="b">
        <v>1</v>
      </c>
      <c r="Y32">
        <f t="shared" si="0"/>
        <v>0</v>
      </c>
      <c r="AA32" s="3" t="str">
        <f t="shared" si="1"/>
        <v/>
      </c>
      <c r="AB32" s="3">
        <v>28</v>
      </c>
      <c r="AC32" t="str">
        <f>IFERROR(VLOOKUP(B32,vlookup!$A$16:$A$150,1,FALSE),"")</f>
        <v/>
      </c>
      <c r="AD32" t="str">
        <f>IFERROR(VLOOKUP(B32,vlookup!$A$16:$G$150,11,FALSE),"")</f>
        <v/>
      </c>
    </row>
    <row r="33" spans="1:30" hidden="1" x14ac:dyDescent="0.3">
      <c r="A33" t="s">
        <v>126</v>
      </c>
      <c r="B33" s="1" t="s">
        <v>243</v>
      </c>
      <c r="C33" s="1"/>
      <c r="D33" t="s">
        <v>357</v>
      </c>
      <c r="F33" t="b">
        <v>0</v>
      </c>
      <c r="I33">
        <v>1</v>
      </c>
      <c r="J33">
        <v>84</v>
      </c>
      <c r="K33">
        <v>78</v>
      </c>
      <c r="L33">
        <v>49</v>
      </c>
      <c r="M33" t="s">
        <v>69</v>
      </c>
      <c r="N33" t="s">
        <v>33</v>
      </c>
      <c r="O33" t="b">
        <v>1</v>
      </c>
      <c r="Y33">
        <f t="shared" si="0"/>
        <v>0</v>
      </c>
      <c r="AA33" s="3" t="str">
        <f t="shared" si="1"/>
        <v/>
      </c>
      <c r="AB33" s="3">
        <v>28</v>
      </c>
      <c r="AC33" t="str">
        <f>IFERROR(VLOOKUP(B33,vlookup!$A$16:$A$150,1,FALSE),"")</f>
        <v/>
      </c>
      <c r="AD33" t="str">
        <f>IFERROR(VLOOKUP(B33,vlookup!$A$16:$G$150,11,FALSE),"")</f>
        <v/>
      </c>
    </row>
    <row r="34" spans="1:30" hidden="1" x14ac:dyDescent="0.3">
      <c r="A34" t="s">
        <v>127</v>
      </c>
      <c r="B34" s="1">
        <v>7189663170</v>
      </c>
      <c r="C34" s="1"/>
      <c r="D34" t="s">
        <v>357</v>
      </c>
      <c r="F34" t="b">
        <v>0</v>
      </c>
      <c r="I34">
        <v>1</v>
      </c>
      <c r="J34">
        <v>44</v>
      </c>
      <c r="K34">
        <v>36</v>
      </c>
      <c r="L34">
        <v>46</v>
      </c>
      <c r="M34" t="s">
        <v>74</v>
      </c>
      <c r="N34" t="s">
        <v>33</v>
      </c>
      <c r="O34" t="b">
        <v>1</v>
      </c>
      <c r="Y34">
        <f t="shared" si="0"/>
        <v>0</v>
      </c>
      <c r="AA34" s="3" t="str">
        <f t="shared" si="1"/>
        <v/>
      </c>
      <c r="AB34" s="3">
        <v>28</v>
      </c>
      <c r="AC34">
        <f>IFERROR(VLOOKUP(B34,vlookup!$A$16:$A$150,1,FALSE),"")</f>
        <v>7189663170</v>
      </c>
      <c r="AD34" t="str">
        <f>IFERROR(VLOOKUP(B34,vlookup!$A$16:$G$150,11,FALSE),"")</f>
        <v/>
      </c>
    </row>
    <row r="35" spans="1:30" hidden="1" x14ac:dyDescent="0.3">
      <c r="A35" t="s">
        <v>855</v>
      </c>
      <c r="B35" s="1" t="s">
        <v>1548</v>
      </c>
      <c r="C35" s="1"/>
      <c r="D35" t="s">
        <v>357</v>
      </c>
      <c r="F35" t="b">
        <v>0</v>
      </c>
      <c r="I35">
        <v>1</v>
      </c>
      <c r="J35">
        <v>124</v>
      </c>
      <c r="K35">
        <v>76</v>
      </c>
      <c r="L35">
        <v>62</v>
      </c>
      <c r="M35" t="s">
        <v>68</v>
      </c>
      <c r="N35" t="s">
        <v>33</v>
      </c>
      <c r="O35" t="b">
        <v>1</v>
      </c>
      <c r="Y35">
        <f t="shared" si="0"/>
        <v>0</v>
      </c>
      <c r="AA35" s="3" t="str">
        <f t="shared" si="1"/>
        <v/>
      </c>
      <c r="AB35" s="3">
        <v>28</v>
      </c>
      <c r="AC35" t="str">
        <f>IFERROR(VLOOKUP(B35,vlookup!$A$16:$A$150,1,FALSE),"")</f>
        <v>7189811530+7289811830+72741554</v>
      </c>
      <c r="AD35" t="str">
        <f>IFERROR(VLOOKUP(B35,vlookup!$A$16:$G$150,11,FALSE),"")</f>
        <v/>
      </c>
    </row>
    <row r="36" spans="1:30" hidden="1" x14ac:dyDescent="0.3">
      <c r="A36" t="s">
        <v>128</v>
      </c>
      <c r="B36" s="1">
        <v>71899503</v>
      </c>
      <c r="C36" s="1"/>
      <c r="D36" t="s">
        <v>357</v>
      </c>
      <c r="F36" t="b">
        <v>0</v>
      </c>
      <c r="I36">
        <v>1</v>
      </c>
      <c r="J36">
        <v>40</v>
      </c>
      <c r="K36">
        <v>32</v>
      </c>
      <c r="L36">
        <v>47</v>
      </c>
      <c r="M36" t="s">
        <v>68</v>
      </c>
      <c r="N36" t="s">
        <v>33</v>
      </c>
      <c r="O36" t="b">
        <v>1</v>
      </c>
      <c r="X36">
        <v>19</v>
      </c>
      <c r="Y36">
        <f t="shared" si="0"/>
        <v>0</v>
      </c>
      <c r="Z36" t="s">
        <v>1624</v>
      </c>
      <c r="AA36" s="3" t="str">
        <f t="shared" si="1"/>
        <v/>
      </c>
      <c r="AB36" s="3">
        <v>28</v>
      </c>
      <c r="AC36">
        <f>IFERROR(VLOOKUP(B36,vlookup!$A$16:$A$150,1,FALSE),"")</f>
        <v>71899503</v>
      </c>
      <c r="AD36" t="str">
        <f>IFERROR(VLOOKUP(B36,vlookup!$A$16:$G$150,11,FALSE),"")</f>
        <v/>
      </c>
    </row>
    <row r="37" spans="1:30" hidden="1" x14ac:dyDescent="0.3">
      <c r="A37" t="s">
        <v>129</v>
      </c>
      <c r="B37" s="1">
        <v>7189982830</v>
      </c>
      <c r="C37" s="1"/>
      <c r="D37" t="s">
        <v>357</v>
      </c>
      <c r="F37" t="b">
        <v>0</v>
      </c>
      <c r="I37">
        <v>1</v>
      </c>
      <c r="J37">
        <v>42</v>
      </c>
      <c r="K37">
        <v>42</v>
      </c>
      <c r="L37">
        <v>51</v>
      </c>
      <c r="M37" t="s">
        <v>69</v>
      </c>
      <c r="N37" t="s">
        <v>33</v>
      </c>
      <c r="O37" t="b">
        <v>1</v>
      </c>
      <c r="Y37">
        <f t="shared" si="0"/>
        <v>0</v>
      </c>
      <c r="AA37" s="3" t="str">
        <f t="shared" si="1"/>
        <v/>
      </c>
      <c r="AB37" s="3">
        <v>28</v>
      </c>
      <c r="AC37">
        <f>IFERROR(VLOOKUP(B37,vlookup!$A$16:$A$150,1,FALSE),"")</f>
        <v>7189982830</v>
      </c>
      <c r="AD37" t="str">
        <f>IFERROR(VLOOKUP(B37,vlookup!$A$16:$G$150,11,FALSE),"")</f>
        <v/>
      </c>
    </row>
    <row r="38" spans="1:30" hidden="1" x14ac:dyDescent="0.3">
      <c r="A38" t="s">
        <v>130</v>
      </c>
      <c r="B38" s="1" t="s">
        <v>1064</v>
      </c>
      <c r="C38" s="1"/>
      <c r="D38" t="s">
        <v>357</v>
      </c>
      <c r="F38" t="b">
        <v>0</v>
      </c>
      <c r="I38">
        <v>1</v>
      </c>
      <c r="J38">
        <v>68</v>
      </c>
      <c r="K38">
        <v>65</v>
      </c>
      <c r="L38">
        <v>50</v>
      </c>
      <c r="M38" t="s">
        <v>73</v>
      </c>
      <c r="N38" t="s">
        <v>33</v>
      </c>
      <c r="O38" t="b">
        <v>1</v>
      </c>
      <c r="V38" t="b">
        <v>1</v>
      </c>
      <c r="Y38">
        <f t="shared" si="0"/>
        <v>0</v>
      </c>
      <c r="AA38" s="3" t="str">
        <f t="shared" si="1"/>
        <v/>
      </c>
      <c r="AB38" s="3">
        <v>28</v>
      </c>
      <c r="AC38" t="str">
        <f>IFERROR(VLOOKUP(B38,vlookup!$A$16:$A$150,1,FALSE),"")</f>
        <v>7189668330+7274135020A</v>
      </c>
      <c r="AD38" t="str">
        <f>IFERROR(VLOOKUP(B38,vlookup!$A$16:$G$150,11,FALSE),"")</f>
        <v/>
      </c>
    </row>
    <row r="39" spans="1:30" hidden="1" x14ac:dyDescent="0.3">
      <c r="A39" t="s">
        <v>131</v>
      </c>
      <c r="B39" s="1" t="s">
        <v>245</v>
      </c>
      <c r="C39" s="1"/>
      <c r="D39" t="s">
        <v>357</v>
      </c>
      <c r="F39" t="b">
        <v>0</v>
      </c>
      <c r="I39">
        <v>1</v>
      </c>
      <c r="J39">
        <v>68</v>
      </c>
      <c r="K39">
        <v>65</v>
      </c>
      <c r="L39">
        <v>52</v>
      </c>
      <c r="M39" t="s">
        <v>70</v>
      </c>
      <c r="N39" t="s">
        <v>33</v>
      </c>
      <c r="O39" t="b">
        <v>1</v>
      </c>
      <c r="V39" t="b">
        <v>1</v>
      </c>
      <c r="Y39">
        <f t="shared" si="0"/>
        <v>0</v>
      </c>
      <c r="AA39" s="3" t="str">
        <f t="shared" si="1"/>
        <v/>
      </c>
      <c r="AB39" s="3">
        <v>28</v>
      </c>
      <c r="AC39" t="str">
        <f>IFERROR(VLOOKUP(B39,vlookup!$A$16:$A$150,1,FALSE),"")</f>
        <v>7189668330+7274136090A</v>
      </c>
      <c r="AD39" t="str">
        <f>IFERROR(VLOOKUP(B39,vlookup!$A$16:$G$150,11,FALSE),"")</f>
        <v/>
      </c>
    </row>
    <row r="40" spans="1:30" hidden="1" x14ac:dyDescent="0.3">
      <c r="A40" t="s">
        <v>132</v>
      </c>
      <c r="B40" s="1" t="s">
        <v>246</v>
      </c>
      <c r="C40" s="1"/>
      <c r="D40" t="s">
        <v>357</v>
      </c>
      <c r="F40" t="b">
        <v>0</v>
      </c>
      <c r="I40">
        <v>1</v>
      </c>
      <c r="J40">
        <v>68</v>
      </c>
      <c r="K40">
        <v>65</v>
      </c>
      <c r="L40">
        <v>50</v>
      </c>
      <c r="M40" t="s">
        <v>72</v>
      </c>
      <c r="N40" t="s">
        <v>33</v>
      </c>
      <c r="O40" t="b">
        <v>1</v>
      </c>
      <c r="V40" t="b">
        <v>1</v>
      </c>
      <c r="Y40">
        <f t="shared" si="0"/>
        <v>0</v>
      </c>
      <c r="AA40" s="3" t="str">
        <f t="shared" si="1"/>
        <v/>
      </c>
      <c r="AB40" s="3">
        <v>28</v>
      </c>
      <c r="AC40" t="str">
        <f>IFERROR(VLOOKUP(B40,vlookup!$A$16:$A$150,1,FALSE),"")</f>
        <v>7189730210+7274146260A</v>
      </c>
      <c r="AD40" t="str">
        <f>IFERROR(VLOOKUP(B40,vlookup!$A$16:$G$150,11,FALSE),"")</f>
        <v/>
      </c>
    </row>
    <row r="41" spans="1:30" hidden="1" x14ac:dyDescent="0.3">
      <c r="A41" t="s">
        <v>133</v>
      </c>
      <c r="B41" s="1">
        <v>71980943</v>
      </c>
      <c r="C41" s="1"/>
      <c r="D41" t="s">
        <v>357</v>
      </c>
      <c r="F41" t="b">
        <v>0</v>
      </c>
      <c r="I41">
        <v>1</v>
      </c>
      <c r="J41">
        <v>42</v>
      </c>
      <c r="K41">
        <v>42</v>
      </c>
      <c r="L41">
        <v>46</v>
      </c>
      <c r="M41" t="s">
        <v>68</v>
      </c>
      <c r="N41" t="s">
        <v>33</v>
      </c>
      <c r="O41" t="b">
        <v>1</v>
      </c>
      <c r="Y41">
        <f t="shared" si="0"/>
        <v>0</v>
      </c>
      <c r="AA41" s="3" t="str">
        <f t="shared" si="1"/>
        <v/>
      </c>
      <c r="AB41" s="3">
        <v>28</v>
      </c>
      <c r="AC41" t="str">
        <f>IFERROR(VLOOKUP(B41,vlookup!$A$16:$A$150,1,FALSE),"")</f>
        <v/>
      </c>
      <c r="AD41" t="str">
        <f>IFERROR(VLOOKUP(B41,vlookup!$A$16:$G$150,11,FALSE),"")</f>
        <v/>
      </c>
    </row>
    <row r="42" spans="1:30" hidden="1" x14ac:dyDescent="0.3">
      <c r="A42" t="s">
        <v>134</v>
      </c>
      <c r="B42" s="1" t="s">
        <v>1549</v>
      </c>
      <c r="C42" s="1"/>
      <c r="D42" t="s">
        <v>357</v>
      </c>
      <c r="F42" t="b">
        <v>0</v>
      </c>
      <c r="I42">
        <v>1</v>
      </c>
      <c r="J42">
        <v>100</v>
      </c>
      <c r="K42">
        <v>57</v>
      </c>
      <c r="L42">
        <v>53</v>
      </c>
      <c r="M42" t="s">
        <v>68</v>
      </c>
      <c r="N42" t="s">
        <v>33</v>
      </c>
      <c r="O42" t="b">
        <v>1</v>
      </c>
      <c r="Y42">
        <f t="shared" si="0"/>
        <v>0</v>
      </c>
      <c r="AA42" s="3" t="str">
        <f t="shared" si="1"/>
        <v/>
      </c>
      <c r="AB42" s="3">
        <v>28</v>
      </c>
      <c r="AC42" t="str">
        <f>IFERROR(VLOOKUP(B42,vlookup!$A$16:$A$150,1,FALSE),"")</f>
        <v>7198277430+7198277530+72741954</v>
      </c>
      <c r="AD42" t="str">
        <f>IFERROR(VLOOKUP(B42,vlookup!$A$16:$G$150,11,FALSE),"")</f>
        <v/>
      </c>
    </row>
    <row r="43" spans="1:30" hidden="1" x14ac:dyDescent="0.3">
      <c r="A43" t="s">
        <v>854</v>
      </c>
      <c r="B43" s="1">
        <v>71986562</v>
      </c>
      <c r="C43" s="1"/>
      <c r="D43" t="s">
        <v>357</v>
      </c>
      <c r="F43" t="b">
        <v>0</v>
      </c>
      <c r="I43">
        <v>1</v>
      </c>
      <c r="J43">
        <v>44</v>
      </c>
      <c r="K43">
        <v>41</v>
      </c>
      <c r="L43">
        <v>48</v>
      </c>
      <c r="M43" t="s">
        <v>68</v>
      </c>
      <c r="N43" t="s">
        <v>33</v>
      </c>
      <c r="O43" t="b">
        <v>1</v>
      </c>
      <c r="Y43">
        <f t="shared" si="0"/>
        <v>0</v>
      </c>
      <c r="AA43" s="3" t="str">
        <f t="shared" si="1"/>
        <v/>
      </c>
      <c r="AB43" s="3">
        <v>28</v>
      </c>
      <c r="AC43">
        <f>IFERROR(VLOOKUP(B43,vlookup!$A$16:$A$150,1,FALSE),"")</f>
        <v>71986562</v>
      </c>
      <c r="AD43" t="str">
        <f>IFERROR(VLOOKUP(B43,vlookup!$A$16:$G$150,11,FALSE),"")</f>
        <v/>
      </c>
    </row>
    <row r="44" spans="1:30" hidden="1" x14ac:dyDescent="0.3">
      <c r="A44" t="s">
        <v>135</v>
      </c>
      <c r="B44" s="1" t="s">
        <v>248</v>
      </c>
      <c r="C44" s="1"/>
      <c r="D44" t="s">
        <v>357</v>
      </c>
      <c r="F44" t="b">
        <v>0</v>
      </c>
      <c r="I44">
        <v>1</v>
      </c>
      <c r="J44">
        <v>100</v>
      </c>
      <c r="K44">
        <v>75</v>
      </c>
      <c r="L44">
        <v>60</v>
      </c>
      <c r="M44" t="s">
        <v>70</v>
      </c>
      <c r="N44" t="s">
        <v>33</v>
      </c>
      <c r="O44" t="b">
        <v>1</v>
      </c>
      <c r="Y44">
        <f t="shared" si="0"/>
        <v>0</v>
      </c>
      <c r="AA44" s="3" t="str">
        <f t="shared" si="1"/>
        <v/>
      </c>
      <c r="AB44" s="3">
        <v>28</v>
      </c>
      <c r="AC44" t="str">
        <f>IFERROR(VLOOKUP(B44,vlookup!$A$16:$A$150,1,FALSE),"")</f>
        <v>7198762530+7198600430+7274261190A</v>
      </c>
      <c r="AD44" t="str">
        <f>IFERROR(VLOOKUP(B44,vlookup!$A$16:$G$150,11,FALSE),"")</f>
        <v/>
      </c>
    </row>
    <row r="45" spans="1:30" hidden="1" x14ac:dyDescent="0.3">
      <c r="A45" t="s">
        <v>136</v>
      </c>
      <c r="B45" s="1" t="s">
        <v>1550</v>
      </c>
      <c r="C45" s="1"/>
      <c r="D45" t="s">
        <v>357</v>
      </c>
      <c r="F45" t="b">
        <v>0</v>
      </c>
      <c r="I45">
        <v>1</v>
      </c>
      <c r="J45">
        <v>106</v>
      </c>
      <c r="K45">
        <v>74</v>
      </c>
      <c r="L45">
        <v>66</v>
      </c>
      <c r="M45" t="s">
        <v>68</v>
      </c>
      <c r="N45" t="s">
        <v>33</v>
      </c>
      <c r="O45" t="b">
        <v>1</v>
      </c>
      <c r="Y45">
        <f t="shared" si="0"/>
        <v>0</v>
      </c>
      <c r="AA45" s="3" t="str">
        <f t="shared" si="1"/>
        <v/>
      </c>
      <c r="AB45" s="3">
        <v>28</v>
      </c>
      <c r="AC45" t="str">
        <f>IFERROR(VLOOKUP(B45,vlookup!$A$16:$A$150,1,FALSE),"")</f>
        <v>7198774930+7198947430+72742908</v>
      </c>
      <c r="AD45" t="str">
        <f>IFERROR(VLOOKUP(B45,vlookup!$A$16:$G$150,11,FALSE),"")</f>
        <v/>
      </c>
    </row>
    <row r="46" spans="1:30" hidden="1" x14ac:dyDescent="0.3">
      <c r="A46" t="s">
        <v>137</v>
      </c>
      <c r="B46" s="1" t="s">
        <v>1551</v>
      </c>
      <c r="C46" s="1"/>
      <c r="D46" t="s">
        <v>357</v>
      </c>
      <c r="F46" t="b">
        <v>0</v>
      </c>
      <c r="I46">
        <v>1</v>
      </c>
      <c r="J46">
        <v>80</v>
      </c>
      <c r="K46">
        <v>45</v>
      </c>
      <c r="L46">
        <v>53</v>
      </c>
      <c r="M46" t="s">
        <v>68</v>
      </c>
      <c r="N46" t="s">
        <v>33</v>
      </c>
      <c r="O46" t="b">
        <v>1</v>
      </c>
      <c r="Y46">
        <f t="shared" si="0"/>
        <v>0</v>
      </c>
      <c r="AA46" s="3" t="str">
        <f t="shared" si="1"/>
        <v/>
      </c>
      <c r="AB46" s="3">
        <v>28</v>
      </c>
      <c r="AC46" t="str">
        <f>IFERROR(VLOOKUP(B46,vlookup!$A$16:$A$150,1,FALSE),"")</f>
        <v>71987958A</v>
      </c>
      <c r="AD46" t="str">
        <f>IFERROR(VLOOKUP(B46,vlookup!$A$16:$G$150,11,FALSE),"")</f>
        <v/>
      </c>
    </row>
    <row r="47" spans="1:30" hidden="1" x14ac:dyDescent="0.3">
      <c r="A47" t="s">
        <v>138</v>
      </c>
      <c r="B47" s="1">
        <v>7198796290</v>
      </c>
      <c r="C47" s="1"/>
      <c r="D47" t="s">
        <v>357</v>
      </c>
      <c r="F47" t="b">
        <v>0</v>
      </c>
      <c r="I47">
        <v>1</v>
      </c>
      <c r="J47">
        <v>41</v>
      </c>
      <c r="K47">
        <v>41</v>
      </c>
      <c r="L47">
        <v>42</v>
      </c>
      <c r="M47" t="s">
        <v>70</v>
      </c>
      <c r="N47" t="s">
        <v>33</v>
      </c>
      <c r="O47" t="b">
        <v>1</v>
      </c>
      <c r="X47">
        <v>19</v>
      </c>
      <c r="Y47">
        <f t="shared" si="0"/>
        <v>0</v>
      </c>
      <c r="Z47" t="s">
        <v>1624</v>
      </c>
      <c r="AA47" s="3" t="str">
        <f t="shared" si="1"/>
        <v/>
      </c>
      <c r="AB47" s="3">
        <v>28</v>
      </c>
      <c r="AC47">
        <f>IFERROR(VLOOKUP(B47,vlookup!$A$16:$A$150,1,FALSE),"")</f>
        <v>7198796290</v>
      </c>
      <c r="AD47" t="str">
        <f>IFERROR(VLOOKUP(B47,vlookup!$A$16:$G$150,11,FALSE),"")</f>
        <v/>
      </c>
    </row>
    <row r="48" spans="1:30" hidden="1" x14ac:dyDescent="0.3">
      <c r="A48" t="s">
        <v>139</v>
      </c>
      <c r="B48" s="1">
        <v>71988082</v>
      </c>
      <c r="C48" s="1"/>
      <c r="D48" t="s">
        <v>357</v>
      </c>
      <c r="F48" t="b">
        <v>0</v>
      </c>
      <c r="I48">
        <v>1</v>
      </c>
      <c r="J48">
        <v>40</v>
      </c>
      <c r="K48">
        <v>38</v>
      </c>
      <c r="L48">
        <v>40</v>
      </c>
      <c r="M48" t="s">
        <v>68</v>
      </c>
      <c r="N48" t="s">
        <v>33</v>
      </c>
      <c r="O48" t="b">
        <v>1</v>
      </c>
      <c r="X48">
        <v>19</v>
      </c>
      <c r="Y48">
        <f t="shared" si="0"/>
        <v>0</v>
      </c>
      <c r="Z48" t="s">
        <v>1624</v>
      </c>
      <c r="AA48" s="3" t="str">
        <f t="shared" si="1"/>
        <v/>
      </c>
      <c r="AB48" s="3">
        <v>28</v>
      </c>
      <c r="AC48">
        <f>IFERROR(VLOOKUP(B48,vlookup!$A$16:$A$150,1,FALSE),"")</f>
        <v>71988082</v>
      </c>
      <c r="AD48" t="str">
        <f>IFERROR(VLOOKUP(B48,vlookup!$A$16:$G$150,11,FALSE),"")</f>
        <v/>
      </c>
    </row>
    <row r="49" spans="1:30" hidden="1" x14ac:dyDescent="0.3">
      <c r="A49" t="s">
        <v>140</v>
      </c>
      <c r="B49" s="1" t="s">
        <v>756</v>
      </c>
      <c r="C49" s="1"/>
      <c r="D49" t="s">
        <v>357</v>
      </c>
      <c r="F49" t="b">
        <v>0</v>
      </c>
      <c r="I49">
        <v>1</v>
      </c>
      <c r="J49">
        <v>82</v>
      </c>
      <c r="K49">
        <v>57</v>
      </c>
      <c r="L49">
        <v>54</v>
      </c>
      <c r="M49" t="s">
        <v>69</v>
      </c>
      <c r="N49" t="s">
        <v>33</v>
      </c>
      <c r="O49" t="b">
        <v>1</v>
      </c>
      <c r="Y49">
        <f t="shared" si="0"/>
        <v>0</v>
      </c>
      <c r="AA49" s="3" t="str">
        <f t="shared" si="1"/>
        <v/>
      </c>
      <c r="AB49" s="3">
        <v>28</v>
      </c>
      <c r="AC49" t="str">
        <f>IFERROR(VLOOKUP(B49,vlookup!$A$16:$A$150,1,FALSE),"")</f>
        <v>7198809140+7274268930</v>
      </c>
      <c r="AD49" t="str">
        <f>IFERROR(VLOOKUP(B49,vlookup!$A$16:$G$150,11,FALSE),"")</f>
        <v/>
      </c>
    </row>
    <row r="50" spans="1:30" hidden="1" x14ac:dyDescent="0.3">
      <c r="A50" t="s">
        <v>141</v>
      </c>
      <c r="B50" s="1" t="s">
        <v>251</v>
      </c>
      <c r="C50" s="1"/>
      <c r="D50" t="s">
        <v>357</v>
      </c>
      <c r="F50" t="b">
        <v>0</v>
      </c>
      <c r="I50">
        <v>1</v>
      </c>
      <c r="J50">
        <v>68</v>
      </c>
      <c r="K50">
        <v>48</v>
      </c>
      <c r="L50">
        <v>51</v>
      </c>
      <c r="M50" t="s">
        <v>69</v>
      </c>
      <c r="N50" t="s">
        <v>33</v>
      </c>
      <c r="O50" t="b">
        <v>1</v>
      </c>
      <c r="Y50">
        <f t="shared" si="0"/>
        <v>0</v>
      </c>
      <c r="AA50" s="3" t="str">
        <f t="shared" si="1"/>
        <v/>
      </c>
      <c r="AB50" s="3">
        <v>28</v>
      </c>
      <c r="AC50" t="str">
        <f>IFERROR(VLOOKUP(B50,vlookup!$A$16:$A$150,1,FALSE),"")</f>
        <v/>
      </c>
      <c r="AD50" t="str">
        <f>IFERROR(VLOOKUP(B50,vlookup!$A$16:$G$150,11,FALSE),"")</f>
        <v/>
      </c>
    </row>
    <row r="51" spans="1:30" hidden="1" x14ac:dyDescent="0.3">
      <c r="A51" t="s">
        <v>142</v>
      </c>
      <c r="B51" s="1">
        <v>7198916130</v>
      </c>
      <c r="C51" s="1"/>
      <c r="D51" t="s">
        <v>357</v>
      </c>
      <c r="F51" t="b">
        <v>0</v>
      </c>
      <c r="I51">
        <v>1</v>
      </c>
      <c r="J51">
        <v>50</v>
      </c>
      <c r="K51">
        <v>32</v>
      </c>
      <c r="L51">
        <v>60</v>
      </c>
      <c r="M51" t="s">
        <v>69</v>
      </c>
      <c r="N51" t="s">
        <v>33</v>
      </c>
      <c r="O51" t="b">
        <v>1</v>
      </c>
      <c r="Y51">
        <f t="shared" si="0"/>
        <v>0</v>
      </c>
      <c r="AA51" s="3" t="str">
        <f t="shared" si="1"/>
        <v/>
      </c>
      <c r="AB51" s="3">
        <v>28</v>
      </c>
      <c r="AC51">
        <f>IFERROR(VLOOKUP(B51,vlookup!$A$16:$A$150,1,FALSE),"")</f>
        <v>7198916130</v>
      </c>
      <c r="AD51" t="str">
        <f>IFERROR(VLOOKUP(B51,vlookup!$A$16:$G$150,11,FALSE),"")</f>
        <v/>
      </c>
    </row>
    <row r="52" spans="1:30" hidden="1" x14ac:dyDescent="0.3">
      <c r="A52" t="s">
        <v>143</v>
      </c>
      <c r="B52" s="1">
        <v>71989162</v>
      </c>
      <c r="C52" s="1"/>
      <c r="D52" t="s">
        <v>357</v>
      </c>
      <c r="F52" t="b">
        <v>0</v>
      </c>
      <c r="I52">
        <v>1</v>
      </c>
      <c r="J52">
        <v>48</v>
      </c>
      <c r="K52">
        <v>48</v>
      </c>
      <c r="L52">
        <v>48</v>
      </c>
      <c r="M52" t="s">
        <v>68</v>
      </c>
      <c r="N52" t="s">
        <v>33</v>
      </c>
      <c r="O52" t="b">
        <v>1</v>
      </c>
      <c r="X52">
        <v>19</v>
      </c>
      <c r="Y52">
        <f t="shared" si="0"/>
        <v>0</v>
      </c>
      <c r="Z52" t="s">
        <v>1624</v>
      </c>
      <c r="AA52" s="3" t="str">
        <f t="shared" si="1"/>
        <v/>
      </c>
      <c r="AB52" s="3">
        <v>28</v>
      </c>
      <c r="AC52">
        <f>IFERROR(VLOOKUP(B52,vlookup!$A$16:$A$150,1,FALSE),"")</f>
        <v>71989162</v>
      </c>
      <c r="AD52" t="str">
        <f>IFERROR(VLOOKUP(B52,vlookup!$A$16:$G$150,11,FALSE),"")</f>
        <v/>
      </c>
    </row>
    <row r="53" spans="1:30" hidden="1" x14ac:dyDescent="0.3">
      <c r="A53" t="s">
        <v>144</v>
      </c>
      <c r="B53" s="1">
        <v>7198948560</v>
      </c>
      <c r="C53" s="1"/>
      <c r="D53" t="s">
        <v>357</v>
      </c>
      <c r="F53" t="b">
        <v>0</v>
      </c>
      <c r="I53">
        <v>1</v>
      </c>
      <c r="J53">
        <v>40</v>
      </c>
      <c r="K53">
        <v>39</v>
      </c>
      <c r="L53">
        <v>41</v>
      </c>
      <c r="M53" t="s">
        <v>72</v>
      </c>
      <c r="N53" t="s">
        <v>33</v>
      </c>
      <c r="O53" t="b">
        <v>1</v>
      </c>
      <c r="X53">
        <v>19</v>
      </c>
      <c r="Y53">
        <f t="shared" si="0"/>
        <v>0</v>
      </c>
      <c r="Z53" t="s">
        <v>1624</v>
      </c>
      <c r="AA53" s="3" t="str">
        <f t="shared" si="1"/>
        <v/>
      </c>
      <c r="AB53" s="3">
        <v>28</v>
      </c>
      <c r="AC53">
        <f>IFERROR(VLOOKUP(B53,vlookup!$A$16:$A$150,1,FALSE),"")</f>
        <v>7198948560</v>
      </c>
      <c r="AD53" t="str">
        <f>IFERROR(VLOOKUP(B53,vlookup!$A$16:$G$150,11,FALSE),"")</f>
        <v/>
      </c>
    </row>
    <row r="54" spans="1:30" hidden="1" x14ac:dyDescent="0.3">
      <c r="A54" t="s">
        <v>145</v>
      </c>
      <c r="B54" s="1">
        <v>7223686530</v>
      </c>
      <c r="C54" s="1"/>
      <c r="D54" t="s">
        <v>357</v>
      </c>
      <c r="F54" t="b">
        <v>0</v>
      </c>
      <c r="I54">
        <v>1</v>
      </c>
      <c r="J54">
        <v>41</v>
      </c>
      <c r="K54">
        <v>40</v>
      </c>
      <c r="L54">
        <v>73</v>
      </c>
      <c r="M54" t="s">
        <v>69</v>
      </c>
      <c r="N54" t="s">
        <v>33</v>
      </c>
      <c r="O54" t="b">
        <v>1</v>
      </c>
      <c r="Y54">
        <f t="shared" si="0"/>
        <v>0</v>
      </c>
      <c r="AA54" s="3" t="str">
        <f t="shared" si="1"/>
        <v/>
      </c>
      <c r="AB54" s="3">
        <v>28</v>
      </c>
      <c r="AC54">
        <f>IFERROR(VLOOKUP(B54,vlookup!$A$16:$A$150,1,FALSE),"")</f>
        <v>7223686530</v>
      </c>
      <c r="AD54" t="str">
        <f>IFERROR(VLOOKUP(B54,vlookup!$A$16:$G$150,11,FALSE),"")</f>
        <v/>
      </c>
    </row>
    <row r="55" spans="1:30" hidden="1" x14ac:dyDescent="0.3">
      <c r="A55" t="s">
        <v>146</v>
      </c>
      <c r="B55" s="1">
        <v>7271007030</v>
      </c>
      <c r="C55" s="1" t="s">
        <v>1538</v>
      </c>
      <c r="D55" t="s">
        <v>357</v>
      </c>
      <c r="F55" t="b">
        <v>1</v>
      </c>
      <c r="I55">
        <v>1</v>
      </c>
      <c r="X55">
        <v>19</v>
      </c>
      <c r="Y55">
        <f t="shared" si="0"/>
        <v>0</v>
      </c>
      <c r="Z55" t="s">
        <v>1624</v>
      </c>
      <c r="AA55" s="3" t="str">
        <f t="shared" si="1"/>
        <v/>
      </c>
      <c r="AB55" s="3">
        <v>28</v>
      </c>
      <c r="AC55">
        <f>IFERROR(VLOOKUP(B55,vlookup!$A$16:$A$150,1,FALSE),"")</f>
        <v>7271007030</v>
      </c>
      <c r="AD55" t="str">
        <f>IFERROR(VLOOKUP(B55,vlookup!$A$16:$G$150,11,FALSE),"")</f>
        <v/>
      </c>
    </row>
    <row r="56" spans="1:30" hidden="1" x14ac:dyDescent="0.3">
      <c r="A56" s="91"/>
      <c r="B56" s="1">
        <v>7271007030</v>
      </c>
      <c r="C56" s="92"/>
      <c r="D56" s="91"/>
      <c r="E56" s="91"/>
      <c r="F56" s="91"/>
      <c r="G56" s="91" t="s">
        <v>146</v>
      </c>
      <c r="H56" s="91" t="s">
        <v>1638</v>
      </c>
      <c r="I56" s="91">
        <v>1</v>
      </c>
      <c r="J56">
        <v>194</v>
      </c>
      <c r="K56">
        <v>131</v>
      </c>
      <c r="L56">
        <v>80</v>
      </c>
      <c r="M56" t="s">
        <v>68</v>
      </c>
      <c r="N56" t="s">
        <v>33</v>
      </c>
      <c r="O56" t="b">
        <v>1</v>
      </c>
      <c r="P56" s="91"/>
      <c r="Q56" s="91"/>
      <c r="R56" s="91"/>
      <c r="S56" s="91"/>
      <c r="T56" s="91"/>
      <c r="U56" s="91"/>
      <c r="V56" s="91"/>
      <c r="W56" s="91"/>
      <c r="X56" s="91"/>
      <c r="Y56" s="93">
        <f>IFERROR(AB56*AA56,0)</f>
        <v>0</v>
      </c>
      <c r="Z56" s="93"/>
      <c r="AA56" s="3"/>
      <c r="AB56" s="3"/>
    </row>
    <row r="57" spans="1:30" hidden="1" x14ac:dyDescent="0.3">
      <c r="A57" s="91"/>
      <c r="B57" s="1">
        <v>7271007030</v>
      </c>
      <c r="C57" s="92"/>
      <c r="D57" s="91"/>
      <c r="E57" s="91"/>
      <c r="F57" s="91"/>
      <c r="G57" s="91" t="s">
        <v>146</v>
      </c>
      <c r="H57" s="91" t="s">
        <v>1639</v>
      </c>
      <c r="I57" s="91">
        <v>1</v>
      </c>
      <c r="J57" s="91">
        <v>60</v>
      </c>
      <c r="K57" s="91">
        <v>27</v>
      </c>
      <c r="L57" s="91">
        <v>60</v>
      </c>
      <c r="M57" t="s">
        <v>68</v>
      </c>
      <c r="N57" t="s">
        <v>33</v>
      </c>
      <c r="O57" t="b">
        <v>1</v>
      </c>
      <c r="P57" s="91"/>
      <c r="Q57" s="91"/>
      <c r="R57" s="91"/>
      <c r="S57" s="91"/>
      <c r="T57" s="91"/>
      <c r="U57" s="91"/>
      <c r="V57" s="91"/>
      <c r="W57" s="91"/>
      <c r="X57" s="91"/>
      <c r="Y57" s="93">
        <f>IFERROR(AB57*AA57,0)</f>
        <v>0</v>
      </c>
      <c r="Z57" s="93"/>
      <c r="AA57" s="3"/>
      <c r="AB57" s="3"/>
    </row>
    <row r="58" spans="1:30" hidden="1" x14ac:dyDescent="0.3">
      <c r="A58" t="s">
        <v>148</v>
      </c>
      <c r="B58" s="1" t="s">
        <v>1065</v>
      </c>
      <c r="C58" s="1"/>
      <c r="D58" t="s">
        <v>357</v>
      </c>
      <c r="F58" t="b">
        <v>0</v>
      </c>
      <c r="I58">
        <v>1</v>
      </c>
      <c r="J58">
        <v>104</v>
      </c>
      <c r="K58">
        <v>84</v>
      </c>
      <c r="L58">
        <v>53</v>
      </c>
      <c r="M58" t="s">
        <v>70</v>
      </c>
      <c r="N58" t="s">
        <v>33</v>
      </c>
      <c r="O58" t="b">
        <v>1</v>
      </c>
      <c r="V58" t="b">
        <v>1</v>
      </c>
      <c r="Y58">
        <f t="shared" si="0"/>
        <v>0</v>
      </c>
      <c r="AA58" s="3" t="str">
        <f t="shared" si="1"/>
        <v/>
      </c>
      <c r="AB58" s="3">
        <v>28</v>
      </c>
      <c r="AC58" t="str">
        <f>IFERROR(VLOOKUP(B58,vlookup!$A$16:$A$150,1,FALSE),"")</f>
        <v>7289811630+7289811730+7274166590A</v>
      </c>
      <c r="AD58" t="str">
        <f>IFERROR(VLOOKUP(B58,vlookup!$A$16:$G$150,11,FALSE),"")</f>
        <v/>
      </c>
    </row>
    <row r="59" spans="1:30" hidden="1" x14ac:dyDescent="0.3">
      <c r="A59" t="s">
        <v>149</v>
      </c>
      <c r="B59" s="1">
        <v>7278246930</v>
      </c>
      <c r="C59" s="1"/>
      <c r="D59" t="s">
        <v>357</v>
      </c>
      <c r="F59" t="b">
        <v>0</v>
      </c>
      <c r="I59">
        <v>1</v>
      </c>
      <c r="J59">
        <v>48</v>
      </c>
      <c r="K59">
        <v>48</v>
      </c>
      <c r="L59">
        <v>63</v>
      </c>
      <c r="M59" t="s">
        <v>69</v>
      </c>
      <c r="N59" t="s">
        <v>33</v>
      </c>
      <c r="O59" t="b">
        <v>1</v>
      </c>
      <c r="Y59">
        <f t="shared" si="0"/>
        <v>0</v>
      </c>
      <c r="AA59" s="3" t="str">
        <f t="shared" si="1"/>
        <v/>
      </c>
      <c r="AB59" s="3">
        <v>28</v>
      </c>
      <c r="AC59">
        <f>IFERROR(VLOOKUP(B59,vlookup!$A$16:$A$150,1,FALSE),"")</f>
        <v>7278246930</v>
      </c>
      <c r="AD59" t="str">
        <f>IFERROR(VLOOKUP(B59,vlookup!$A$16:$G$150,11,FALSE),"")</f>
        <v/>
      </c>
    </row>
    <row r="60" spans="1:30" hidden="1" x14ac:dyDescent="0.3">
      <c r="A60" t="s">
        <v>150</v>
      </c>
      <c r="B60" s="1">
        <v>7283837230</v>
      </c>
      <c r="C60" s="1"/>
      <c r="D60" t="s">
        <v>357</v>
      </c>
      <c r="F60" t="b">
        <v>0</v>
      </c>
      <c r="I60">
        <v>1</v>
      </c>
      <c r="J60">
        <v>42</v>
      </c>
      <c r="K60">
        <v>37</v>
      </c>
      <c r="L60">
        <v>51</v>
      </c>
      <c r="M60" t="s">
        <v>69</v>
      </c>
      <c r="N60" t="s">
        <v>33</v>
      </c>
      <c r="O60" t="b">
        <v>1</v>
      </c>
      <c r="Y60">
        <f t="shared" si="0"/>
        <v>0</v>
      </c>
      <c r="AA60" s="3" t="str">
        <f t="shared" si="1"/>
        <v/>
      </c>
      <c r="AB60" s="3">
        <v>28</v>
      </c>
      <c r="AC60" t="str">
        <f>IFERROR(VLOOKUP(B60,vlookup!$A$16:$A$150,1,FALSE),"")</f>
        <v/>
      </c>
      <c r="AD60" t="str">
        <f>IFERROR(VLOOKUP(B60,vlookup!$A$16:$G$150,11,FALSE),"")</f>
        <v/>
      </c>
    </row>
    <row r="61" spans="1:30" hidden="1" x14ac:dyDescent="0.3">
      <c r="A61" t="s">
        <v>151</v>
      </c>
      <c r="B61" s="1" t="s">
        <v>1561</v>
      </c>
      <c r="C61" s="1"/>
      <c r="D61" t="s">
        <v>357</v>
      </c>
      <c r="F61" t="b">
        <v>0</v>
      </c>
      <c r="I61">
        <v>1</v>
      </c>
      <c r="J61">
        <v>102</v>
      </c>
      <c r="K61">
        <v>80</v>
      </c>
      <c r="L61">
        <v>67</v>
      </c>
      <c r="M61" t="s">
        <v>68</v>
      </c>
      <c r="N61" t="s">
        <v>33</v>
      </c>
      <c r="O61" t="b">
        <v>1</v>
      </c>
      <c r="V61" t="b">
        <v>1</v>
      </c>
      <c r="Y61">
        <f t="shared" si="0"/>
        <v>0</v>
      </c>
      <c r="AA61" s="3" t="str">
        <f t="shared" si="1"/>
        <v/>
      </c>
      <c r="AB61" s="3">
        <v>28</v>
      </c>
      <c r="AC61" t="str">
        <f>IFERROR(VLOOKUP(B61,vlookup!$A$16:$A$150,1,FALSE),"")</f>
        <v>7289811630+7289811730+72741551</v>
      </c>
      <c r="AD61" t="str">
        <f>IFERROR(VLOOKUP(B61,vlookup!$A$16:$G$150,11,FALSE),"")</f>
        <v/>
      </c>
    </row>
    <row r="62" spans="1:30" hidden="1" x14ac:dyDescent="0.3">
      <c r="A62" t="s">
        <v>152</v>
      </c>
      <c r="B62" s="1" t="s">
        <v>1562</v>
      </c>
      <c r="C62" s="1"/>
      <c r="D62" t="s">
        <v>357</v>
      </c>
      <c r="F62" t="b">
        <v>0</v>
      </c>
      <c r="I62">
        <v>1</v>
      </c>
      <c r="J62">
        <v>102</v>
      </c>
      <c r="K62">
        <v>80</v>
      </c>
      <c r="L62">
        <v>55</v>
      </c>
      <c r="M62" t="s">
        <v>73</v>
      </c>
      <c r="N62" t="s">
        <v>33</v>
      </c>
      <c r="O62" t="b">
        <v>1</v>
      </c>
      <c r="V62" t="b">
        <v>1</v>
      </c>
      <c r="Y62">
        <f t="shared" si="0"/>
        <v>0</v>
      </c>
      <c r="AA62" s="3" t="str">
        <f t="shared" si="1"/>
        <v/>
      </c>
      <c r="AB62" s="3">
        <v>28</v>
      </c>
      <c r="AC62" t="str">
        <f>IFERROR(VLOOKUP(B62,vlookup!$A$16:$A$150,1,FALSE),"")</f>
        <v>7289811630+7289811730+7274155220</v>
      </c>
      <c r="AD62" t="str">
        <f>IFERROR(VLOOKUP(B62,vlookup!$A$16:$G$150,11,FALSE),"")</f>
        <v/>
      </c>
    </row>
    <row r="63" spans="1:30" hidden="1" x14ac:dyDescent="0.3">
      <c r="A63" t="s">
        <v>153</v>
      </c>
      <c r="B63" s="1">
        <v>7289896430</v>
      </c>
      <c r="C63" s="1"/>
      <c r="D63" t="s">
        <v>357</v>
      </c>
      <c r="F63" t="b">
        <v>0</v>
      </c>
      <c r="I63">
        <v>1</v>
      </c>
      <c r="J63">
        <v>42</v>
      </c>
      <c r="K63">
        <v>45</v>
      </c>
      <c r="L63">
        <v>61</v>
      </c>
      <c r="M63" t="s">
        <v>69</v>
      </c>
      <c r="N63" t="s">
        <v>33</v>
      </c>
      <c r="O63" t="b">
        <v>1</v>
      </c>
      <c r="Y63">
        <f t="shared" si="0"/>
        <v>0</v>
      </c>
      <c r="AA63" s="3" t="str">
        <f t="shared" si="1"/>
        <v/>
      </c>
      <c r="AB63" s="3">
        <v>28</v>
      </c>
      <c r="AC63">
        <f>IFERROR(VLOOKUP(B63,vlookup!$A$16:$A$150,1,FALSE),"")</f>
        <v>7289896430</v>
      </c>
      <c r="AD63" t="str">
        <f>IFERROR(VLOOKUP(B63,vlookup!$A$16:$G$150,11,FALSE),"")</f>
        <v/>
      </c>
    </row>
    <row r="64" spans="1:30" hidden="1" x14ac:dyDescent="0.3">
      <c r="A64" t="s">
        <v>154</v>
      </c>
      <c r="B64" s="1">
        <v>72897304</v>
      </c>
      <c r="C64" s="1"/>
      <c r="D64" t="s">
        <v>357</v>
      </c>
      <c r="F64" t="b">
        <v>0</v>
      </c>
      <c r="I64">
        <v>1</v>
      </c>
      <c r="J64">
        <v>55</v>
      </c>
      <c r="K64">
        <v>65</v>
      </c>
      <c r="L64">
        <v>92</v>
      </c>
      <c r="M64" t="s">
        <v>68</v>
      </c>
      <c r="N64" t="s">
        <v>33</v>
      </c>
      <c r="O64" t="b">
        <v>1</v>
      </c>
      <c r="X64">
        <v>19</v>
      </c>
      <c r="Y64">
        <f t="shared" si="0"/>
        <v>0</v>
      </c>
      <c r="Z64" t="s">
        <v>1624</v>
      </c>
      <c r="AA64" s="3" t="str">
        <f t="shared" si="1"/>
        <v/>
      </c>
      <c r="AB64" s="3">
        <v>28</v>
      </c>
      <c r="AC64">
        <f>IFERROR(VLOOKUP(B64,vlookup!$A$16:$A$150,1,FALSE),"")</f>
        <v>72897304</v>
      </c>
      <c r="AD64" t="str">
        <f>IFERROR(VLOOKUP(B64,vlookup!$A$16:$G$150,11,FALSE),"")</f>
        <v/>
      </c>
    </row>
    <row r="65" spans="1:30" hidden="1" x14ac:dyDescent="0.3">
      <c r="A65" t="s">
        <v>155</v>
      </c>
      <c r="B65" s="1">
        <v>7297944190</v>
      </c>
      <c r="C65" s="1"/>
      <c r="D65" t="s">
        <v>357</v>
      </c>
      <c r="F65" t="b">
        <v>0</v>
      </c>
      <c r="I65">
        <v>1</v>
      </c>
      <c r="J65">
        <v>54</v>
      </c>
      <c r="K65">
        <v>51</v>
      </c>
      <c r="L65">
        <v>50</v>
      </c>
      <c r="M65" t="s">
        <v>70</v>
      </c>
      <c r="N65" t="s">
        <v>33</v>
      </c>
      <c r="O65" t="b">
        <v>1</v>
      </c>
      <c r="X65">
        <v>19</v>
      </c>
      <c r="Y65">
        <f t="shared" si="0"/>
        <v>0</v>
      </c>
      <c r="Z65" t="s">
        <v>1624</v>
      </c>
      <c r="AA65" s="3" t="str">
        <f t="shared" si="1"/>
        <v/>
      </c>
      <c r="AB65" s="3">
        <v>28</v>
      </c>
      <c r="AC65">
        <f>IFERROR(VLOOKUP(B65,vlookup!$A$16:$A$150,1,FALSE),"")</f>
        <v>7297944190</v>
      </c>
      <c r="AD65" t="str">
        <f>IFERROR(VLOOKUP(B65,vlookup!$A$16:$G$150,11,FALSE),"")</f>
        <v/>
      </c>
    </row>
    <row r="66" spans="1:30" hidden="1" x14ac:dyDescent="0.3">
      <c r="A66" t="s">
        <v>372</v>
      </c>
      <c r="B66" s="1">
        <v>72988085</v>
      </c>
      <c r="C66" s="1"/>
      <c r="D66" t="s">
        <v>357</v>
      </c>
      <c r="F66" t="b">
        <v>0</v>
      </c>
      <c r="I66">
        <v>1</v>
      </c>
      <c r="J66">
        <v>56</v>
      </c>
      <c r="K66">
        <v>41</v>
      </c>
      <c r="L66">
        <v>78</v>
      </c>
      <c r="M66" t="s">
        <v>68</v>
      </c>
      <c r="N66" t="s">
        <v>33</v>
      </c>
      <c r="O66" t="b">
        <v>1</v>
      </c>
      <c r="Y66">
        <f t="shared" si="0"/>
        <v>0</v>
      </c>
      <c r="AA66" s="3" t="str">
        <f t="shared" si="1"/>
        <v/>
      </c>
      <c r="AB66" s="3">
        <v>28</v>
      </c>
      <c r="AC66" t="str">
        <f>IFERROR(VLOOKUP(B66,vlookup!$A$16:$A$150,1,FALSE),"")</f>
        <v/>
      </c>
      <c r="AD66" t="str">
        <f>IFERROR(VLOOKUP(B66,vlookup!$A$16:$G$150,11,FALSE),"")</f>
        <v/>
      </c>
    </row>
    <row r="67" spans="1:30" hidden="1" x14ac:dyDescent="0.3">
      <c r="A67" t="s">
        <v>156</v>
      </c>
      <c r="B67" s="1" t="s">
        <v>255</v>
      </c>
      <c r="C67" s="1"/>
      <c r="D67" t="s">
        <v>357</v>
      </c>
      <c r="F67" t="b">
        <v>0</v>
      </c>
      <c r="I67">
        <v>1</v>
      </c>
      <c r="J67">
        <v>54</v>
      </c>
      <c r="K67">
        <v>54</v>
      </c>
      <c r="L67">
        <v>50</v>
      </c>
      <c r="M67" t="s">
        <v>68</v>
      </c>
      <c r="N67" t="s">
        <v>33</v>
      </c>
      <c r="O67" t="b">
        <v>1</v>
      </c>
      <c r="Y67">
        <f t="shared" si="0"/>
        <v>0</v>
      </c>
      <c r="AA67" s="3" t="str">
        <f t="shared" si="1"/>
        <v/>
      </c>
      <c r="AB67" s="3">
        <v>28</v>
      </c>
      <c r="AC67" t="str">
        <f>IFERROR(VLOOKUP(B67,vlookup!$A$16:$A$150,1,FALSE),"")</f>
        <v>A1729821302_EYELET V2</v>
      </c>
      <c r="AD67" t="str">
        <f>IFERROR(VLOOKUP(B67,vlookup!$A$16:$G$150,11,FALSE),"")</f>
        <v/>
      </c>
    </row>
    <row r="68" spans="1:30" hidden="1" x14ac:dyDescent="0.3">
      <c r="A68" t="s">
        <v>368</v>
      </c>
      <c r="B68" s="1" t="s">
        <v>256</v>
      </c>
      <c r="C68" s="1"/>
      <c r="D68" t="s">
        <v>357</v>
      </c>
      <c r="F68" t="b">
        <v>0</v>
      </c>
      <c r="I68">
        <v>1</v>
      </c>
      <c r="J68">
        <v>54</v>
      </c>
      <c r="K68">
        <v>54</v>
      </c>
      <c r="L68">
        <v>50</v>
      </c>
      <c r="M68" t="s">
        <v>68</v>
      </c>
      <c r="N68" t="s">
        <v>33</v>
      </c>
      <c r="O68" t="b">
        <v>1</v>
      </c>
      <c r="Y68">
        <f t="shared" ref="Y68:Y131" si="2">IFERROR(AB68*AA68,0)</f>
        <v>0</v>
      </c>
      <c r="AA68" s="3" t="str">
        <f t="shared" si="1"/>
        <v/>
      </c>
      <c r="AB68" s="3">
        <v>28</v>
      </c>
      <c r="AC68" t="str">
        <f>IFERROR(VLOOKUP(B68,vlookup!$A$16:$A$150,1,FALSE),"")</f>
        <v/>
      </c>
      <c r="AD68" t="str">
        <f>IFERROR(VLOOKUP(B68,vlookup!$A$16:$G$150,11,FALSE),"")</f>
        <v/>
      </c>
    </row>
    <row r="69" spans="1:30" hidden="1" x14ac:dyDescent="0.3">
      <c r="A69" t="s">
        <v>157</v>
      </c>
      <c r="B69" s="1" t="s">
        <v>257</v>
      </c>
      <c r="C69" s="1"/>
      <c r="D69" t="s">
        <v>357</v>
      </c>
      <c r="F69" t="b">
        <v>0</v>
      </c>
      <c r="I69">
        <v>1</v>
      </c>
      <c r="J69">
        <v>54</v>
      </c>
      <c r="K69">
        <v>54</v>
      </c>
      <c r="L69">
        <v>50</v>
      </c>
      <c r="M69" t="s">
        <v>68</v>
      </c>
      <c r="N69" t="s">
        <v>33</v>
      </c>
      <c r="O69" t="b">
        <v>1</v>
      </c>
      <c r="Y69">
        <f t="shared" si="2"/>
        <v>0</v>
      </c>
      <c r="AA69" s="3" t="str">
        <f t="shared" ref="AA69:AA132" si="3">AD69</f>
        <v/>
      </c>
      <c r="AB69" s="3">
        <v>28</v>
      </c>
      <c r="AC69" t="str">
        <f>IFERROR(VLOOKUP(B69,vlookup!$A$16:$A$150,1,FALSE),"")</f>
        <v/>
      </c>
      <c r="AD69" t="str">
        <f>IFERROR(VLOOKUP(B69,vlookup!$A$16:$G$150,11,FALSE),"")</f>
        <v/>
      </c>
    </row>
    <row r="70" spans="1:30" hidden="1" x14ac:dyDescent="0.3">
      <c r="A70" t="s">
        <v>158</v>
      </c>
      <c r="B70" s="1" t="s">
        <v>1563</v>
      </c>
      <c r="C70" s="1" t="s">
        <v>258</v>
      </c>
      <c r="D70" t="s">
        <v>357</v>
      </c>
      <c r="F70" t="b">
        <v>0</v>
      </c>
      <c r="I70">
        <v>1</v>
      </c>
      <c r="J70">
        <v>54</v>
      </c>
      <c r="K70">
        <v>54</v>
      </c>
      <c r="L70">
        <v>50</v>
      </c>
      <c r="M70" t="s">
        <v>68</v>
      </c>
      <c r="N70" t="s">
        <v>33</v>
      </c>
      <c r="O70" t="b">
        <v>1</v>
      </c>
      <c r="X70">
        <v>19</v>
      </c>
      <c r="Y70">
        <f t="shared" si="2"/>
        <v>0</v>
      </c>
      <c r="Z70" t="s">
        <v>1624</v>
      </c>
      <c r="AA70" s="3" t="str">
        <f t="shared" si="3"/>
        <v/>
      </c>
      <c r="AB70" s="3">
        <v>28</v>
      </c>
      <c r="AC70" t="str">
        <f>IFERROR(VLOOKUP(B70,vlookup!$A$16:$A$150,1,FALSE),"")</f>
        <v>A1729821302_EYELET V4_3</v>
      </c>
      <c r="AD70" t="str">
        <f>IFERROR(VLOOKUP(B70,vlookup!$A$16:$G$150,11,FALSE),"")</f>
        <v/>
      </c>
    </row>
    <row r="71" spans="1:30" hidden="1" x14ac:dyDescent="0.3">
      <c r="A71" t="s">
        <v>159</v>
      </c>
      <c r="B71" s="1" t="s">
        <v>700</v>
      </c>
      <c r="C71" s="1"/>
      <c r="D71" t="s">
        <v>357</v>
      </c>
      <c r="F71" t="b">
        <v>0</v>
      </c>
      <c r="I71">
        <v>1</v>
      </c>
      <c r="J71">
        <v>40</v>
      </c>
      <c r="K71">
        <v>37</v>
      </c>
      <c r="L71">
        <v>46</v>
      </c>
      <c r="M71" t="s">
        <v>68</v>
      </c>
      <c r="N71" t="s">
        <v>33</v>
      </c>
      <c r="O71" t="b">
        <v>1</v>
      </c>
      <c r="X71">
        <v>19</v>
      </c>
      <c r="Y71">
        <f t="shared" si="2"/>
        <v>0</v>
      </c>
      <c r="Z71" t="s">
        <v>1624</v>
      </c>
      <c r="AA71" s="3" t="str">
        <f t="shared" si="3"/>
        <v/>
      </c>
      <c r="AB71" s="3">
        <v>28</v>
      </c>
      <c r="AC71" t="str">
        <f>IFERROR(VLOOKUP(B71,vlookup!$A$16:$A$150,1,FALSE),"")</f>
        <v>ASSY_123024542</v>
      </c>
      <c r="AD71" t="str">
        <f>IFERROR(VLOOKUP(B71,vlookup!$A$16:$G$150,11,FALSE),"")</f>
        <v/>
      </c>
    </row>
    <row r="72" spans="1:30" hidden="1" x14ac:dyDescent="0.3">
      <c r="A72" t="s">
        <v>160</v>
      </c>
      <c r="B72" s="1" t="s">
        <v>259</v>
      </c>
      <c r="C72" s="1"/>
      <c r="D72" t="s">
        <v>357</v>
      </c>
      <c r="F72" t="b">
        <v>0</v>
      </c>
      <c r="I72">
        <v>1</v>
      </c>
      <c r="J72">
        <v>40</v>
      </c>
      <c r="K72">
        <v>34</v>
      </c>
      <c r="L72">
        <v>44</v>
      </c>
      <c r="M72" t="s">
        <v>69</v>
      </c>
      <c r="N72" t="s">
        <v>33</v>
      </c>
      <c r="O72" t="b">
        <v>1</v>
      </c>
      <c r="Y72">
        <f t="shared" si="2"/>
        <v>0</v>
      </c>
      <c r="AA72" s="3" t="str">
        <f t="shared" si="3"/>
        <v/>
      </c>
      <c r="AB72" s="3">
        <v>28</v>
      </c>
      <c r="AC72" t="str">
        <f>IFERROR(VLOOKUP(B72,vlookup!$A$16:$A$150,1,FALSE),"")</f>
        <v>ASSY_123024541</v>
      </c>
      <c r="AD72" t="str">
        <f>IFERROR(VLOOKUP(B72,vlookup!$A$16:$G$150,11,FALSE),"")</f>
        <v/>
      </c>
    </row>
    <row r="73" spans="1:30" hidden="1" x14ac:dyDescent="0.3">
      <c r="A73" t="s">
        <v>161</v>
      </c>
      <c r="B73" s="1" t="s">
        <v>260</v>
      </c>
      <c r="C73" s="1"/>
      <c r="D73" t="s">
        <v>357</v>
      </c>
      <c r="F73" t="b">
        <v>0</v>
      </c>
      <c r="I73">
        <v>1</v>
      </c>
      <c r="J73">
        <v>49</v>
      </c>
      <c r="K73">
        <v>33</v>
      </c>
      <c r="L73">
        <v>44</v>
      </c>
      <c r="M73" t="s">
        <v>68</v>
      </c>
      <c r="N73" t="s">
        <v>33</v>
      </c>
      <c r="O73" t="b">
        <v>1</v>
      </c>
      <c r="Y73">
        <f t="shared" si="2"/>
        <v>0</v>
      </c>
      <c r="AA73" s="3" t="str">
        <f t="shared" si="3"/>
        <v/>
      </c>
      <c r="AB73" s="3">
        <v>28</v>
      </c>
      <c r="AC73" t="str">
        <f>IFERROR(VLOOKUP(B73,vlookup!$A$16:$A$150,1,FALSE),"")</f>
        <v>ASSY_59Z063DC0B</v>
      </c>
      <c r="AD73" t="str">
        <f>IFERROR(VLOOKUP(B73,vlookup!$A$16:$G$150,11,FALSE),"")</f>
        <v/>
      </c>
    </row>
    <row r="74" spans="1:30" hidden="1" x14ac:dyDescent="0.3">
      <c r="A74" t="s">
        <v>162</v>
      </c>
      <c r="B74" s="1" t="s">
        <v>261</v>
      </c>
      <c r="C74" s="1"/>
      <c r="D74" t="s">
        <v>357</v>
      </c>
      <c r="F74" t="b">
        <v>0</v>
      </c>
      <c r="I74">
        <v>1</v>
      </c>
      <c r="J74">
        <v>49</v>
      </c>
      <c r="K74">
        <v>34</v>
      </c>
      <c r="L74">
        <v>44</v>
      </c>
      <c r="M74" t="s">
        <v>70</v>
      </c>
      <c r="N74" t="s">
        <v>33</v>
      </c>
      <c r="O74" t="b">
        <v>1</v>
      </c>
      <c r="X74">
        <v>19</v>
      </c>
      <c r="Y74">
        <f t="shared" si="2"/>
        <v>0</v>
      </c>
      <c r="Z74" t="s">
        <v>1624</v>
      </c>
      <c r="AA74" s="3" t="str">
        <f t="shared" si="3"/>
        <v/>
      </c>
      <c r="AB74" s="3">
        <v>28</v>
      </c>
      <c r="AC74" t="str">
        <f>IFERROR(VLOOKUP(B74,vlookup!$A$16:$A$150,1,FALSE),"")</f>
        <v>ASSY_59Z063DC0C</v>
      </c>
      <c r="AD74" t="str">
        <f>IFERROR(VLOOKUP(B74,vlookup!$A$16:$G$150,11,FALSE),"")</f>
        <v/>
      </c>
    </row>
    <row r="75" spans="1:30" hidden="1" x14ac:dyDescent="0.3">
      <c r="A75" t="s">
        <v>163</v>
      </c>
      <c r="B75" s="1" t="s">
        <v>1066</v>
      </c>
      <c r="C75" s="1"/>
      <c r="D75" t="s">
        <v>357</v>
      </c>
      <c r="F75" t="b">
        <v>0</v>
      </c>
      <c r="I75">
        <v>1</v>
      </c>
      <c r="J75">
        <v>45</v>
      </c>
      <c r="K75">
        <v>37</v>
      </c>
      <c r="L75">
        <v>46</v>
      </c>
      <c r="M75" t="s">
        <v>72</v>
      </c>
      <c r="N75" t="s">
        <v>33</v>
      </c>
      <c r="O75" t="b">
        <v>1</v>
      </c>
      <c r="X75">
        <v>19</v>
      </c>
      <c r="Y75">
        <f t="shared" si="2"/>
        <v>0</v>
      </c>
      <c r="Z75" t="s">
        <v>1624</v>
      </c>
      <c r="AA75" s="3" t="str">
        <f t="shared" si="3"/>
        <v/>
      </c>
      <c r="AB75" s="3">
        <v>28</v>
      </c>
      <c r="AC75" t="str">
        <f>IFERROR(VLOOKUP(B75,vlookup!$A$16:$A$150,1,FALSE),"")</f>
        <v>ASSY_AMZ005000E/ASSY_AMZ005DC0E</v>
      </c>
      <c r="AD75" t="str">
        <f>IFERROR(VLOOKUP(B75,vlookup!$A$16:$G$150,11,FALSE),"")</f>
        <v/>
      </c>
    </row>
    <row r="76" spans="1:30" hidden="1" x14ac:dyDescent="0.3">
      <c r="A76" t="s">
        <v>164</v>
      </c>
      <c r="B76" s="1" t="s">
        <v>262</v>
      </c>
      <c r="C76" s="1"/>
      <c r="D76" t="s">
        <v>357</v>
      </c>
      <c r="F76" t="b">
        <v>0</v>
      </c>
      <c r="I76">
        <v>1</v>
      </c>
      <c r="J76">
        <v>45</v>
      </c>
      <c r="K76">
        <v>37</v>
      </c>
      <c r="L76">
        <v>46</v>
      </c>
      <c r="M76" t="s">
        <v>70</v>
      </c>
      <c r="N76" t="s">
        <v>33</v>
      </c>
      <c r="O76" t="b">
        <v>1</v>
      </c>
      <c r="X76">
        <v>19</v>
      </c>
      <c r="Y76">
        <f t="shared" si="2"/>
        <v>0</v>
      </c>
      <c r="Z76" t="s">
        <v>1624</v>
      </c>
      <c r="AA76" s="3" t="str">
        <f t="shared" si="3"/>
        <v/>
      </c>
      <c r="AB76" s="3">
        <v>28</v>
      </c>
      <c r="AC76" t="str">
        <f>IFERROR(VLOOKUP(B76,vlookup!$A$16:$A$150,1,FALSE),"")</f>
        <v>ASSY_AMZ005DC0C</v>
      </c>
      <c r="AD76" t="str">
        <f>IFERROR(VLOOKUP(B76,vlookup!$A$16:$G$150,11,FALSE),"")</f>
        <v/>
      </c>
    </row>
    <row r="77" spans="1:30" hidden="1" x14ac:dyDescent="0.3">
      <c r="A77" t="s">
        <v>165</v>
      </c>
      <c r="B77" s="1" t="s">
        <v>263</v>
      </c>
      <c r="C77" s="1"/>
      <c r="D77" t="s">
        <v>357</v>
      </c>
      <c r="F77" t="b">
        <v>0</v>
      </c>
      <c r="I77">
        <v>1</v>
      </c>
      <c r="J77">
        <v>45</v>
      </c>
      <c r="K77">
        <v>37</v>
      </c>
      <c r="L77">
        <v>46</v>
      </c>
      <c r="M77" t="s">
        <v>73</v>
      </c>
      <c r="N77" t="s">
        <v>33</v>
      </c>
      <c r="O77" t="b">
        <v>1</v>
      </c>
      <c r="X77">
        <v>19</v>
      </c>
      <c r="Y77">
        <f t="shared" si="2"/>
        <v>0</v>
      </c>
      <c r="Z77" t="s">
        <v>1624</v>
      </c>
      <c r="AA77" s="3" t="str">
        <f t="shared" si="3"/>
        <v/>
      </c>
      <c r="AB77" s="3">
        <v>28</v>
      </c>
      <c r="AC77" t="str">
        <f>IFERROR(VLOOKUP(B77,vlookup!$A$16:$A$150,1,FALSE),"")</f>
        <v>ASSY_AMZ005DC0D</v>
      </c>
      <c r="AD77" t="str">
        <f>IFERROR(VLOOKUP(B77,vlookup!$A$16:$G$150,11,FALSE),"")</f>
        <v/>
      </c>
    </row>
    <row r="78" spans="1:30" hidden="1" x14ac:dyDescent="0.3">
      <c r="A78" t="s">
        <v>166</v>
      </c>
      <c r="B78" s="1" t="s">
        <v>1067</v>
      </c>
      <c r="C78" s="1"/>
      <c r="D78" t="s">
        <v>357</v>
      </c>
      <c r="F78" t="b">
        <v>0</v>
      </c>
      <c r="I78">
        <v>1</v>
      </c>
      <c r="J78">
        <v>45</v>
      </c>
      <c r="K78">
        <v>40</v>
      </c>
      <c r="L78">
        <v>46</v>
      </c>
      <c r="M78" t="s">
        <v>71</v>
      </c>
      <c r="N78" t="s">
        <v>33</v>
      </c>
      <c r="O78" t="b">
        <v>1</v>
      </c>
      <c r="X78">
        <v>19</v>
      </c>
      <c r="Y78">
        <f t="shared" si="2"/>
        <v>0</v>
      </c>
      <c r="Z78" t="s">
        <v>1624</v>
      </c>
      <c r="AA78" s="3" t="str">
        <f t="shared" si="3"/>
        <v/>
      </c>
      <c r="AB78" s="3">
        <v>28</v>
      </c>
      <c r="AC78" t="str">
        <f>IFERROR(VLOOKUP(B78,vlookup!$A$16:$A$150,1,FALSE),"")</f>
        <v>ASSY_AMZ005000F/ASSY_AMZ005DC0F</v>
      </c>
      <c r="AD78" t="str">
        <f>IFERROR(VLOOKUP(B78,vlookup!$A$16:$G$150,11,FALSE),"")</f>
        <v/>
      </c>
    </row>
    <row r="79" spans="1:30" hidden="1" x14ac:dyDescent="0.3">
      <c r="A79" t="s">
        <v>167</v>
      </c>
      <c r="B79" s="1" t="s">
        <v>264</v>
      </c>
      <c r="C79" s="1"/>
      <c r="D79" t="s">
        <v>357</v>
      </c>
      <c r="F79" t="b">
        <v>0</v>
      </c>
      <c r="I79">
        <v>1</v>
      </c>
      <c r="J79">
        <v>45</v>
      </c>
      <c r="K79">
        <v>40</v>
      </c>
      <c r="L79">
        <v>46</v>
      </c>
      <c r="M79" t="s">
        <v>68</v>
      </c>
      <c r="N79" t="s">
        <v>33</v>
      </c>
      <c r="O79" t="b">
        <v>1</v>
      </c>
      <c r="Y79">
        <f t="shared" si="2"/>
        <v>0</v>
      </c>
      <c r="AA79" s="3" t="str">
        <f t="shared" si="3"/>
        <v/>
      </c>
      <c r="AB79" s="3">
        <v>28</v>
      </c>
      <c r="AC79" t="str">
        <f>IFERROR(VLOOKUP(B79,vlookup!$A$16:$A$150,1,FALSE),"")</f>
        <v/>
      </c>
      <c r="AD79" t="str">
        <f>IFERROR(VLOOKUP(B79,vlookup!$A$16:$G$150,11,FALSE),"")</f>
        <v/>
      </c>
    </row>
    <row r="80" spans="1:30" hidden="1" x14ac:dyDescent="0.3">
      <c r="A80" t="s">
        <v>168</v>
      </c>
      <c r="B80" s="1" t="s">
        <v>265</v>
      </c>
      <c r="C80" s="1"/>
      <c r="D80" t="s">
        <v>357</v>
      </c>
      <c r="F80" t="b">
        <v>0</v>
      </c>
      <c r="I80">
        <v>1</v>
      </c>
      <c r="J80">
        <v>45</v>
      </c>
      <c r="K80">
        <v>36</v>
      </c>
      <c r="L80">
        <v>50</v>
      </c>
      <c r="M80" t="s">
        <v>68</v>
      </c>
      <c r="N80" t="s">
        <v>33</v>
      </c>
      <c r="O80" t="b">
        <v>1</v>
      </c>
      <c r="X80">
        <v>19</v>
      </c>
      <c r="Y80">
        <f t="shared" si="2"/>
        <v>0</v>
      </c>
      <c r="Z80" t="s">
        <v>1624</v>
      </c>
      <c r="AA80" s="3" t="str">
        <f t="shared" si="3"/>
        <v/>
      </c>
      <c r="AB80" s="3">
        <v>28</v>
      </c>
      <c r="AC80" t="str">
        <f>IFERROR(VLOOKUP(B80,vlookup!$A$16:$A$150,1,FALSE),"")</f>
        <v>ASSY_AMZ040C00B</v>
      </c>
      <c r="AD80" t="str">
        <f>IFERROR(VLOOKUP(B80,vlookup!$A$16:$G$150,11,FALSE),"")</f>
        <v/>
      </c>
    </row>
    <row r="81" spans="1:30" hidden="1" x14ac:dyDescent="0.3">
      <c r="A81" t="s">
        <v>169</v>
      </c>
      <c r="B81" s="1" t="s">
        <v>266</v>
      </c>
      <c r="C81" s="1"/>
      <c r="D81" t="s">
        <v>357</v>
      </c>
      <c r="F81" t="b">
        <v>0</v>
      </c>
      <c r="I81">
        <v>1</v>
      </c>
      <c r="J81">
        <v>45</v>
      </c>
      <c r="K81">
        <v>36</v>
      </c>
      <c r="L81">
        <v>50</v>
      </c>
      <c r="M81" t="s">
        <v>70</v>
      </c>
      <c r="N81" t="s">
        <v>33</v>
      </c>
      <c r="O81" t="b">
        <v>1</v>
      </c>
      <c r="Y81">
        <f t="shared" si="2"/>
        <v>0</v>
      </c>
      <c r="AA81" s="3" t="str">
        <f t="shared" si="3"/>
        <v/>
      </c>
      <c r="AB81" s="3">
        <v>28</v>
      </c>
      <c r="AC81" t="str">
        <f>IFERROR(VLOOKUP(B81,vlookup!$A$16:$A$150,1,FALSE),"")</f>
        <v/>
      </c>
      <c r="AD81" t="str">
        <f>IFERROR(VLOOKUP(B81,vlookup!$A$16:$G$150,11,FALSE),"")</f>
        <v/>
      </c>
    </row>
    <row r="82" spans="1:30" hidden="1" x14ac:dyDescent="0.3">
      <c r="A82" t="s">
        <v>170</v>
      </c>
      <c r="B82" s="1" t="s">
        <v>267</v>
      </c>
      <c r="C82" s="1"/>
      <c r="D82" t="s">
        <v>357</v>
      </c>
      <c r="F82" t="b">
        <v>0</v>
      </c>
      <c r="I82">
        <v>1</v>
      </c>
      <c r="J82">
        <v>45</v>
      </c>
      <c r="K82">
        <v>36</v>
      </c>
      <c r="L82">
        <v>50</v>
      </c>
      <c r="M82" t="s">
        <v>73</v>
      </c>
      <c r="N82" t="s">
        <v>33</v>
      </c>
      <c r="O82" t="b">
        <v>1</v>
      </c>
      <c r="X82">
        <v>19</v>
      </c>
      <c r="Y82">
        <f t="shared" si="2"/>
        <v>0</v>
      </c>
      <c r="Z82" t="s">
        <v>1624</v>
      </c>
      <c r="AA82" s="3" t="str">
        <f t="shared" si="3"/>
        <v/>
      </c>
      <c r="AB82" s="3">
        <v>28</v>
      </c>
      <c r="AC82" t="str">
        <f>IFERROR(VLOOKUP(B82,vlookup!$A$16:$A$150,1,FALSE),"")</f>
        <v>ASSY_AMZ040C00D</v>
      </c>
      <c r="AD82" t="str">
        <f>IFERROR(VLOOKUP(B82,vlookup!$A$16:$G$150,11,FALSE),"")</f>
        <v/>
      </c>
    </row>
    <row r="83" spans="1:30" hidden="1" x14ac:dyDescent="0.3">
      <c r="A83" t="s">
        <v>171</v>
      </c>
      <c r="B83" s="1" t="s">
        <v>268</v>
      </c>
      <c r="C83" s="1"/>
      <c r="D83" t="s">
        <v>357</v>
      </c>
      <c r="F83" t="b">
        <v>0</v>
      </c>
      <c r="I83">
        <v>1</v>
      </c>
      <c r="J83">
        <v>45</v>
      </c>
      <c r="K83">
        <v>36</v>
      </c>
      <c r="L83">
        <v>50</v>
      </c>
      <c r="M83" t="s">
        <v>72</v>
      </c>
      <c r="N83" t="s">
        <v>33</v>
      </c>
      <c r="O83" t="b">
        <v>1</v>
      </c>
      <c r="Y83">
        <f t="shared" si="2"/>
        <v>0</v>
      </c>
      <c r="AA83" s="3" t="str">
        <f t="shared" si="3"/>
        <v/>
      </c>
      <c r="AB83" s="3">
        <v>28</v>
      </c>
      <c r="AC83" t="str">
        <f>IFERROR(VLOOKUP(B83,vlookup!$A$16:$A$150,1,FALSE),"")</f>
        <v>ASSY_AMZ040C00E</v>
      </c>
      <c r="AD83" t="str">
        <f>IFERROR(VLOOKUP(B83,vlookup!$A$16:$G$150,11,FALSE),"")</f>
        <v/>
      </c>
    </row>
    <row r="84" spans="1:30" hidden="1" x14ac:dyDescent="0.3">
      <c r="A84" t="s">
        <v>172</v>
      </c>
      <c r="B84" s="1" t="s">
        <v>269</v>
      </c>
      <c r="C84" s="1"/>
      <c r="D84" t="s">
        <v>357</v>
      </c>
      <c r="F84" t="b">
        <v>0</v>
      </c>
      <c r="I84">
        <v>1</v>
      </c>
      <c r="J84">
        <v>42</v>
      </c>
      <c r="K84">
        <v>37</v>
      </c>
      <c r="L84">
        <v>43</v>
      </c>
      <c r="M84" t="s">
        <v>74</v>
      </c>
      <c r="N84" t="s">
        <v>33</v>
      </c>
      <c r="O84" t="b">
        <v>1</v>
      </c>
      <c r="Y84">
        <f t="shared" si="2"/>
        <v>0</v>
      </c>
      <c r="AA84" s="3" t="str">
        <f t="shared" si="3"/>
        <v/>
      </c>
      <c r="AB84" s="3">
        <v>28</v>
      </c>
      <c r="AC84" t="str">
        <f>IFERROR(VLOOKUP(B84,vlookup!$A$16:$A$150,1,FALSE),"")</f>
        <v>ASSY_CA288A15199XXX</v>
      </c>
      <c r="AD84" t="str">
        <f>IFERROR(VLOOKUP(B84,vlookup!$A$16:$G$150,11,FALSE),"")</f>
        <v/>
      </c>
    </row>
    <row r="85" spans="1:30" hidden="1" x14ac:dyDescent="0.3">
      <c r="A85" t="s">
        <v>173</v>
      </c>
      <c r="B85" s="1" t="s">
        <v>270</v>
      </c>
      <c r="C85" s="1"/>
      <c r="D85" t="s">
        <v>357</v>
      </c>
      <c r="F85" t="b">
        <v>0</v>
      </c>
      <c r="I85">
        <v>1</v>
      </c>
      <c r="J85">
        <v>42</v>
      </c>
      <c r="K85">
        <v>37</v>
      </c>
      <c r="L85">
        <v>43</v>
      </c>
      <c r="M85" t="s">
        <v>74</v>
      </c>
      <c r="N85" t="s">
        <v>33</v>
      </c>
      <c r="O85" t="b">
        <v>1</v>
      </c>
      <c r="Y85">
        <f t="shared" si="2"/>
        <v>0</v>
      </c>
      <c r="AA85" s="3" t="str">
        <f t="shared" si="3"/>
        <v/>
      </c>
      <c r="AB85" s="3">
        <v>28</v>
      </c>
      <c r="AC85" t="str">
        <f>IFERROR(VLOOKUP(B85,vlookup!$A$16:$A$150,1,FALSE),"")</f>
        <v>ASSY_CA288A25199XXX</v>
      </c>
      <c r="AD85" t="str">
        <f>IFERROR(VLOOKUP(B85,vlookup!$A$16:$G$150,11,FALSE),"")</f>
        <v/>
      </c>
    </row>
    <row r="86" spans="1:30" hidden="1" x14ac:dyDescent="0.3">
      <c r="A86" t="s">
        <v>174</v>
      </c>
      <c r="B86" s="1" t="s">
        <v>271</v>
      </c>
      <c r="C86" s="1"/>
      <c r="D86" t="s">
        <v>357</v>
      </c>
      <c r="F86" t="b">
        <v>0</v>
      </c>
      <c r="I86">
        <v>1</v>
      </c>
      <c r="J86">
        <v>42</v>
      </c>
      <c r="K86">
        <v>37</v>
      </c>
      <c r="L86">
        <v>43</v>
      </c>
      <c r="M86" t="s">
        <v>74</v>
      </c>
      <c r="N86" t="s">
        <v>33</v>
      </c>
      <c r="O86" t="b">
        <v>1</v>
      </c>
      <c r="Y86">
        <f t="shared" si="2"/>
        <v>0</v>
      </c>
      <c r="AA86" s="3" t="str">
        <f t="shared" si="3"/>
        <v/>
      </c>
      <c r="AB86" s="3">
        <v>28</v>
      </c>
      <c r="AC86" t="str">
        <f>IFERROR(VLOOKUP(B86,vlookup!$A$16:$A$150,1,FALSE),"")</f>
        <v/>
      </c>
      <c r="AD86" t="str">
        <f>IFERROR(VLOOKUP(B86,vlookup!$A$16:$G$150,11,FALSE),"")</f>
        <v/>
      </c>
    </row>
    <row r="87" spans="1:30" hidden="1" x14ac:dyDescent="0.3">
      <c r="A87" t="s">
        <v>175</v>
      </c>
      <c r="B87" s="1" t="s">
        <v>272</v>
      </c>
      <c r="C87" s="1"/>
      <c r="D87" t="s">
        <v>357</v>
      </c>
      <c r="F87" t="b">
        <v>0</v>
      </c>
      <c r="I87">
        <v>1</v>
      </c>
      <c r="J87">
        <v>44</v>
      </c>
      <c r="K87">
        <v>41</v>
      </c>
      <c r="L87">
        <v>50</v>
      </c>
      <c r="M87" t="s">
        <v>74</v>
      </c>
      <c r="N87" t="s">
        <v>33</v>
      </c>
      <c r="O87" t="b">
        <v>1</v>
      </c>
      <c r="Y87">
        <f t="shared" si="2"/>
        <v>0</v>
      </c>
      <c r="AA87" s="3" t="str">
        <f t="shared" si="3"/>
        <v/>
      </c>
      <c r="AB87" s="3">
        <v>28</v>
      </c>
      <c r="AC87" t="str">
        <f>IFERROR(VLOOKUP(B87,vlookup!$A$16:$A$150,1,FALSE),"")</f>
        <v>ASSY_CA288B1519XXXX</v>
      </c>
      <c r="AD87" t="str">
        <f>IFERROR(VLOOKUP(B87,vlookup!$A$16:$G$150,11,FALSE),"")</f>
        <v/>
      </c>
    </row>
    <row r="88" spans="1:30" hidden="1" x14ac:dyDescent="0.3">
      <c r="A88" t="s">
        <v>176</v>
      </c>
      <c r="B88" s="1" t="s">
        <v>273</v>
      </c>
      <c r="C88" s="1"/>
      <c r="D88" t="s">
        <v>357</v>
      </c>
      <c r="F88" t="b">
        <v>0</v>
      </c>
      <c r="I88">
        <v>1</v>
      </c>
      <c r="J88">
        <v>44</v>
      </c>
      <c r="K88">
        <v>38</v>
      </c>
      <c r="L88">
        <v>47</v>
      </c>
      <c r="M88" t="s">
        <v>70</v>
      </c>
      <c r="N88" t="s">
        <v>33</v>
      </c>
      <c r="O88" t="b">
        <v>1</v>
      </c>
      <c r="Y88">
        <f t="shared" si="2"/>
        <v>0</v>
      </c>
      <c r="AA88" s="3" t="str">
        <f t="shared" si="3"/>
        <v/>
      </c>
      <c r="AB88" s="3">
        <v>28</v>
      </c>
      <c r="AC88" t="str">
        <f>IFERROR(VLOOKUP(B88,vlookup!$A$16:$A$150,1,FALSE),"")</f>
        <v>ASSY_D4Z001DC0C</v>
      </c>
      <c r="AD88" t="str">
        <f>IFERROR(VLOOKUP(B88,vlookup!$A$16:$G$150,11,FALSE),"")</f>
        <v/>
      </c>
    </row>
    <row r="89" spans="1:30" hidden="1" x14ac:dyDescent="0.3">
      <c r="A89" t="s">
        <v>177</v>
      </c>
      <c r="B89" s="1" t="s">
        <v>765</v>
      </c>
      <c r="C89" s="1"/>
      <c r="D89" t="s">
        <v>357</v>
      </c>
      <c r="F89" t="b">
        <v>0</v>
      </c>
      <c r="I89">
        <v>1</v>
      </c>
      <c r="J89">
        <v>39</v>
      </c>
      <c r="K89">
        <v>39</v>
      </c>
      <c r="L89">
        <v>53</v>
      </c>
      <c r="M89" t="s">
        <v>68</v>
      </c>
      <c r="N89" t="s">
        <v>33</v>
      </c>
      <c r="O89" t="b">
        <v>1</v>
      </c>
      <c r="X89">
        <v>19</v>
      </c>
      <c r="Y89">
        <f t="shared" si="2"/>
        <v>0</v>
      </c>
      <c r="Z89" t="s">
        <v>1624</v>
      </c>
      <c r="AA89" s="3" t="str">
        <f t="shared" si="3"/>
        <v/>
      </c>
      <c r="AB89" s="3">
        <v>28</v>
      </c>
      <c r="AC89" t="str">
        <f>IFERROR(VLOOKUP(B89,vlookup!$A$16:$A$150,1,FALSE),"")</f>
        <v>ASSY_D4K2RE1D5A5BDC/ASSY_D4K2RE1D5A5B</v>
      </c>
      <c r="AD89" t="str">
        <f>IFERROR(VLOOKUP(B89,vlookup!$A$16:$G$150,11,FALSE),"")</f>
        <v/>
      </c>
    </row>
    <row r="90" spans="1:30" hidden="1" x14ac:dyDescent="0.3">
      <c r="A90" t="s">
        <v>178</v>
      </c>
      <c r="B90" s="1">
        <v>7178270480</v>
      </c>
      <c r="C90" s="1" t="s">
        <v>914</v>
      </c>
      <c r="D90" t="s">
        <v>357</v>
      </c>
      <c r="F90" t="b">
        <v>0</v>
      </c>
      <c r="I90">
        <v>1</v>
      </c>
      <c r="J90">
        <v>83</v>
      </c>
      <c r="K90">
        <v>62</v>
      </c>
      <c r="L90">
        <v>58</v>
      </c>
      <c r="M90" t="s">
        <v>71</v>
      </c>
      <c r="N90" t="s">
        <v>33</v>
      </c>
      <c r="O90" t="b">
        <v>1</v>
      </c>
      <c r="Y90">
        <f t="shared" si="2"/>
        <v>0</v>
      </c>
      <c r="AA90" s="3" t="str">
        <f t="shared" si="3"/>
        <v/>
      </c>
      <c r="AB90" s="3">
        <v>28</v>
      </c>
      <c r="AC90">
        <f>IFERROR(VLOOKUP(B90,vlookup!$A$16:$A$150,1,FALSE),"")</f>
        <v>7178270480</v>
      </c>
      <c r="AD90" t="str">
        <f>IFERROR(VLOOKUP(B90,vlookup!$A$16:$G$150,11,FALSE),"")</f>
        <v/>
      </c>
    </row>
    <row r="91" spans="1:30" hidden="1" x14ac:dyDescent="0.3">
      <c r="A91" t="s">
        <v>179</v>
      </c>
      <c r="B91" s="1">
        <v>7075226730</v>
      </c>
      <c r="C91" s="1" t="s">
        <v>915</v>
      </c>
      <c r="D91" t="s">
        <v>357</v>
      </c>
      <c r="F91" t="b">
        <v>0</v>
      </c>
      <c r="I91">
        <v>1</v>
      </c>
      <c r="J91">
        <v>75</v>
      </c>
      <c r="K91">
        <v>32</v>
      </c>
      <c r="L91">
        <v>70</v>
      </c>
      <c r="M91" t="s">
        <v>69</v>
      </c>
      <c r="N91" t="s">
        <v>33</v>
      </c>
      <c r="O91" t="b">
        <v>1</v>
      </c>
      <c r="Y91">
        <f t="shared" si="2"/>
        <v>0</v>
      </c>
      <c r="AA91" s="3" t="str">
        <f t="shared" si="3"/>
        <v/>
      </c>
      <c r="AB91" s="3">
        <v>28</v>
      </c>
      <c r="AC91" t="str">
        <f>IFERROR(VLOOKUP(B91,vlookup!$A$16:$A$150,1,FALSE),"")</f>
        <v/>
      </c>
      <c r="AD91" t="str">
        <f>IFERROR(VLOOKUP(B91,vlookup!$A$16:$G$150,11,FALSE),"")</f>
        <v/>
      </c>
    </row>
    <row r="92" spans="1:30" hidden="1" x14ac:dyDescent="0.3">
      <c r="A92" t="s">
        <v>180</v>
      </c>
      <c r="B92" s="1" t="s">
        <v>275</v>
      </c>
      <c r="C92" s="1"/>
      <c r="D92" t="s">
        <v>357</v>
      </c>
      <c r="F92" t="b">
        <v>0</v>
      </c>
      <c r="I92">
        <v>1</v>
      </c>
      <c r="J92">
        <v>40</v>
      </c>
      <c r="K92">
        <v>31</v>
      </c>
      <c r="L92">
        <v>58</v>
      </c>
      <c r="M92" t="s">
        <v>68</v>
      </c>
      <c r="N92" t="s">
        <v>33</v>
      </c>
      <c r="O92" t="b">
        <v>1</v>
      </c>
      <c r="Y92">
        <f t="shared" si="2"/>
        <v>0</v>
      </c>
      <c r="AA92" s="3" t="str">
        <f t="shared" si="3"/>
        <v/>
      </c>
      <c r="AB92" s="3">
        <v>28</v>
      </c>
      <c r="AC92" t="str">
        <f>IFERROR(VLOOKUP(B92,vlookup!$A$16:$A$150,1,FALSE),"")</f>
        <v/>
      </c>
      <c r="AD92" t="str">
        <f>IFERROR(VLOOKUP(B92,vlookup!$A$16:$G$150,11,FALSE),"")</f>
        <v/>
      </c>
    </row>
    <row r="93" spans="1:30" hidden="1" x14ac:dyDescent="0.3">
      <c r="A93" t="s">
        <v>181</v>
      </c>
      <c r="B93" s="1" t="s">
        <v>275</v>
      </c>
      <c r="C93" s="1"/>
      <c r="D93" t="s">
        <v>357</v>
      </c>
      <c r="F93" t="b">
        <v>0</v>
      </c>
      <c r="I93">
        <v>1</v>
      </c>
      <c r="J93">
        <v>52</v>
      </c>
      <c r="K93">
        <v>36</v>
      </c>
      <c r="L93">
        <v>47</v>
      </c>
      <c r="M93" t="s">
        <v>69</v>
      </c>
      <c r="N93" t="s">
        <v>33</v>
      </c>
      <c r="O93" t="b">
        <v>1</v>
      </c>
      <c r="Y93">
        <f t="shared" si="2"/>
        <v>0</v>
      </c>
      <c r="AA93" s="3" t="str">
        <f t="shared" si="3"/>
        <v/>
      </c>
      <c r="AB93" s="3">
        <v>28</v>
      </c>
      <c r="AC93" t="str">
        <f>IFERROR(VLOOKUP(B93,vlookup!$A$16:$A$150,1,FALSE),"")</f>
        <v/>
      </c>
      <c r="AD93" t="str">
        <f>IFERROR(VLOOKUP(B93,vlookup!$A$16:$G$150,11,FALSE),"")</f>
        <v/>
      </c>
    </row>
    <row r="94" spans="1:30" hidden="1" x14ac:dyDescent="0.3">
      <c r="A94" t="s">
        <v>182</v>
      </c>
      <c r="B94" s="1" t="s">
        <v>276</v>
      </c>
      <c r="C94" s="1"/>
      <c r="D94" t="s">
        <v>357</v>
      </c>
      <c r="F94" t="b">
        <v>0</v>
      </c>
      <c r="I94">
        <v>1</v>
      </c>
      <c r="J94">
        <v>40</v>
      </c>
      <c r="K94">
        <v>33</v>
      </c>
      <c r="L94">
        <v>52</v>
      </c>
      <c r="M94" t="s">
        <v>73</v>
      </c>
      <c r="N94" t="s">
        <v>33</v>
      </c>
      <c r="O94" t="b">
        <v>1</v>
      </c>
      <c r="Y94">
        <f t="shared" si="2"/>
        <v>0</v>
      </c>
      <c r="AA94" s="3" t="str">
        <f t="shared" si="3"/>
        <v/>
      </c>
      <c r="AB94" s="3">
        <v>28</v>
      </c>
      <c r="AC94" t="str">
        <f>IFERROR(VLOOKUP(B94,vlookup!$A$16:$A$150,1,FALSE),"")</f>
        <v>ASSY_59Z006-T00D</v>
      </c>
      <c r="AD94" t="str">
        <f>IFERROR(VLOOKUP(B94,vlookup!$A$16:$G$150,11,FALSE),"")</f>
        <v/>
      </c>
    </row>
    <row r="95" spans="1:30" hidden="1" x14ac:dyDescent="0.3">
      <c r="A95" t="s">
        <v>183</v>
      </c>
      <c r="B95" s="1" t="s">
        <v>277</v>
      </c>
      <c r="C95" s="1"/>
      <c r="D95" t="s">
        <v>357</v>
      </c>
      <c r="F95" t="b">
        <v>0</v>
      </c>
      <c r="I95">
        <v>1</v>
      </c>
      <c r="J95">
        <v>97</v>
      </c>
      <c r="K95">
        <v>100</v>
      </c>
      <c r="L95">
        <v>65</v>
      </c>
      <c r="M95" t="s">
        <v>74</v>
      </c>
      <c r="N95" t="s">
        <v>33</v>
      </c>
      <c r="O95" t="b">
        <v>1</v>
      </c>
      <c r="Y95">
        <f t="shared" si="2"/>
        <v>0</v>
      </c>
      <c r="AA95" s="3" t="str">
        <f t="shared" si="3"/>
        <v/>
      </c>
      <c r="AB95" s="3">
        <v>28</v>
      </c>
      <c r="AC95" t="str">
        <f>IFERROR(VLOOKUP(B95,vlookup!$A$16:$A$150,1,FALSE),"")</f>
        <v>7187903970+7187904070</v>
      </c>
      <c r="AD95" t="str">
        <f>IFERROR(VLOOKUP(B95,vlookup!$A$16:$G$150,11,FALSE),"")</f>
        <v/>
      </c>
    </row>
    <row r="96" spans="1:30" hidden="1" x14ac:dyDescent="0.3">
      <c r="A96" t="s">
        <v>184</v>
      </c>
      <c r="B96" s="1" t="s">
        <v>278</v>
      </c>
      <c r="C96" s="1"/>
      <c r="D96" t="s">
        <v>357</v>
      </c>
      <c r="E96" t="s">
        <v>376</v>
      </c>
      <c r="F96" t="b">
        <v>0</v>
      </c>
      <c r="I96">
        <v>1</v>
      </c>
      <c r="J96">
        <v>120</v>
      </c>
      <c r="K96">
        <v>100</v>
      </c>
      <c r="L96">
        <v>70</v>
      </c>
      <c r="M96" t="s">
        <v>68</v>
      </c>
      <c r="N96" t="s">
        <v>33</v>
      </c>
      <c r="O96" t="b">
        <v>1</v>
      </c>
      <c r="Y96">
        <f t="shared" si="2"/>
        <v>0</v>
      </c>
      <c r="AA96" s="3" t="str">
        <f t="shared" si="3"/>
        <v/>
      </c>
      <c r="AB96" s="3">
        <v>28</v>
      </c>
      <c r="AC96" t="str">
        <f>IFERROR(VLOOKUP(B96,vlookup!$A$16:$A$150,1,FALSE),"")</f>
        <v/>
      </c>
      <c r="AD96" t="str">
        <f>IFERROR(VLOOKUP(B96,vlookup!$A$16:$G$150,11,FALSE),"")</f>
        <v/>
      </c>
    </row>
    <row r="97" spans="1:30" hidden="1" x14ac:dyDescent="0.3">
      <c r="A97" t="s">
        <v>185</v>
      </c>
      <c r="B97" s="1">
        <v>7009741102</v>
      </c>
      <c r="C97" s="1"/>
      <c r="D97" t="s">
        <v>357</v>
      </c>
      <c r="F97" t="b">
        <v>0</v>
      </c>
      <c r="I97">
        <v>1</v>
      </c>
      <c r="J97">
        <v>43</v>
      </c>
      <c r="K97">
        <v>40</v>
      </c>
      <c r="L97">
        <v>50</v>
      </c>
      <c r="M97" t="s">
        <v>68</v>
      </c>
      <c r="N97" t="s">
        <v>33</v>
      </c>
      <c r="O97" t="b">
        <v>1</v>
      </c>
      <c r="Y97">
        <f t="shared" si="2"/>
        <v>0</v>
      </c>
      <c r="AA97" s="3" t="str">
        <f t="shared" si="3"/>
        <v/>
      </c>
      <c r="AB97" s="3">
        <v>28</v>
      </c>
      <c r="AC97" t="str">
        <f>IFERROR(VLOOKUP(B97,vlookup!$A$16:$A$150,1,FALSE),"")</f>
        <v/>
      </c>
      <c r="AD97" t="str">
        <f>IFERROR(VLOOKUP(B97,vlookup!$A$16:$G$150,11,FALSE),"")</f>
        <v/>
      </c>
    </row>
    <row r="98" spans="1:30" hidden="1" x14ac:dyDescent="0.3">
      <c r="A98" t="s">
        <v>370</v>
      </c>
      <c r="B98" s="1" t="s">
        <v>279</v>
      </c>
      <c r="C98" s="1"/>
      <c r="D98" t="s">
        <v>357</v>
      </c>
      <c r="F98" t="b">
        <v>0</v>
      </c>
      <c r="I98">
        <v>1</v>
      </c>
      <c r="J98">
        <v>61</v>
      </c>
      <c r="K98">
        <v>50</v>
      </c>
      <c r="L98">
        <v>87</v>
      </c>
      <c r="M98" t="s">
        <v>68</v>
      </c>
      <c r="N98" t="s">
        <v>33</v>
      </c>
      <c r="O98" t="b">
        <v>1</v>
      </c>
      <c r="Y98">
        <f t="shared" si="2"/>
        <v>0</v>
      </c>
      <c r="AA98" s="3" t="str">
        <f t="shared" si="3"/>
        <v/>
      </c>
      <c r="AB98" s="3">
        <v>28</v>
      </c>
      <c r="AC98" t="str">
        <f>IFERROR(VLOOKUP(B98,vlookup!$A$16:$A$150,1,FALSE),"")</f>
        <v/>
      </c>
      <c r="AD98" t="str">
        <f>IFERROR(VLOOKUP(B98,vlookup!$A$16:$G$150,11,FALSE),"")</f>
        <v/>
      </c>
    </row>
    <row r="99" spans="1:30" hidden="1" x14ac:dyDescent="0.3">
      <c r="A99" t="s">
        <v>186</v>
      </c>
      <c r="B99" s="1">
        <v>7289063430</v>
      </c>
      <c r="C99" s="1"/>
      <c r="D99" t="s">
        <v>357</v>
      </c>
      <c r="F99" t="b">
        <v>0</v>
      </c>
      <c r="I99">
        <v>1</v>
      </c>
      <c r="J99">
        <v>54</v>
      </c>
      <c r="K99">
        <v>44</v>
      </c>
      <c r="L99">
        <v>47</v>
      </c>
      <c r="M99" t="s">
        <v>69</v>
      </c>
      <c r="N99" t="s">
        <v>33</v>
      </c>
      <c r="O99" t="b">
        <v>1</v>
      </c>
      <c r="Y99">
        <f t="shared" si="2"/>
        <v>0</v>
      </c>
      <c r="AA99" s="3" t="str">
        <f t="shared" si="3"/>
        <v/>
      </c>
      <c r="AB99" s="3">
        <v>28</v>
      </c>
      <c r="AC99" t="str">
        <f>IFERROR(VLOOKUP(B99,vlookup!$A$16:$A$150,1,FALSE),"")</f>
        <v/>
      </c>
      <c r="AD99" t="str">
        <f>IFERROR(VLOOKUP(B99,vlookup!$A$16:$G$150,11,FALSE),"")</f>
        <v/>
      </c>
    </row>
    <row r="100" spans="1:30" hidden="1" x14ac:dyDescent="0.3">
      <c r="A100" t="s">
        <v>187</v>
      </c>
      <c r="B100" s="1" t="s">
        <v>280</v>
      </c>
      <c r="C100" s="1"/>
      <c r="D100" t="s">
        <v>357</v>
      </c>
      <c r="F100" t="b">
        <v>0</v>
      </c>
      <c r="I100">
        <v>1</v>
      </c>
      <c r="J100">
        <v>80</v>
      </c>
      <c r="K100">
        <v>60</v>
      </c>
      <c r="L100">
        <v>58</v>
      </c>
      <c r="M100" t="s">
        <v>69</v>
      </c>
      <c r="N100" t="s">
        <v>33</v>
      </c>
      <c r="O100" t="b">
        <v>1</v>
      </c>
      <c r="Y100">
        <f t="shared" si="2"/>
        <v>0</v>
      </c>
      <c r="AA100" s="3" t="str">
        <f t="shared" si="3"/>
        <v/>
      </c>
      <c r="AB100" s="3">
        <v>28</v>
      </c>
      <c r="AC100" t="str">
        <f>IFERROR(VLOOKUP(B100,vlookup!$A$16:$A$150,1,FALSE),"")</f>
        <v/>
      </c>
      <c r="AD100" t="str">
        <f>IFERROR(VLOOKUP(B100,vlookup!$A$16:$G$150,11,FALSE),"")</f>
        <v/>
      </c>
    </row>
    <row r="101" spans="1:30" hidden="1" x14ac:dyDescent="0.3">
      <c r="A101" t="s">
        <v>188</v>
      </c>
      <c r="B101" s="1" t="s">
        <v>702</v>
      </c>
      <c r="C101" s="1"/>
      <c r="D101" t="s">
        <v>357</v>
      </c>
      <c r="F101" t="b">
        <v>0</v>
      </c>
      <c r="I101">
        <v>1</v>
      </c>
      <c r="J101">
        <v>40</v>
      </c>
      <c r="K101">
        <v>33</v>
      </c>
      <c r="L101">
        <v>52</v>
      </c>
      <c r="M101" t="s">
        <v>68</v>
      </c>
      <c r="N101" t="s">
        <v>33</v>
      </c>
      <c r="O101" t="b">
        <v>1</v>
      </c>
      <c r="Y101">
        <f t="shared" si="2"/>
        <v>0</v>
      </c>
      <c r="AA101" s="3" t="str">
        <f t="shared" si="3"/>
        <v/>
      </c>
      <c r="AB101" s="3">
        <v>28</v>
      </c>
      <c r="AC101" t="str">
        <f>IFERROR(VLOOKUP(B101,vlookup!$A$16:$A$150,1,FALSE),"")</f>
        <v/>
      </c>
      <c r="AD101" t="str">
        <f>IFERROR(VLOOKUP(B101,vlookup!$A$16:$G$150,11,FALSE),"")</f>
        <v/>
      </c>
    </row>
    <row r="102" spans="1:30" hidden="1" x14ac:dyDescent="0.3">
      <c r="A102" t="s">
        <v>189</v>
      </c>
      <c r="B102" s="1" t="s">
        <v>281</v>
      </c>
      <c r="C102" s="1"/>
      <c r="D102" t="s">
        <v>357</v>
      </c>
      <c r="F102" t="b">
        <v>0</v>
      </c>
      <c r="I102">
        <v>1</v>
      </c>
      <c r="J102">
        <v>40</v>
      </c>
      <c r="K102">
        <v>35</v>
      </c>
      <c r="L102">
        <v>52</v>
      </c>
      <c r="M102" t="s">
        <v>72</v>
      </c>
      <c r="N102" t="s">
        <v>33</v>
      </c>
      <c r="O102" t="b">
        <v>1</v>
      </c>
      <c r="Y102">
        <f t="shared" si="2"/>
        <v>0</v>
      </c>
      <c r="AA102" s="3" t="str">
        <f t="shared" si="3"/>
        <v/>
      </c>
      <c r="AB102" s="3">
        <v>28</v>
      </c>
      <c r="AC102" t="str">
        <f>IFERROR(VLOOKUP(B102,vlookup!$A$16:$A$150,1,FALSE),"")</f>
        <v/>
      </c>
      <c r="AD102" t="str">
        <f>IFERROR(VLOOKUP(B102,vlookup!$A$16:$G$150,11,FALSE),"")</f>
        <v/>
      </c>
    </row>
    <row r="103" spans="1:30" hidden="1" x14ac:dyDescent="0.3">
      <c r="A103" t="s">
        <v>190</v>
      </c>
      <c r="B103" s="1" t="s">
        <v>735</v>
      </c>
      <c r="C103" s="1"/>
      <c r="D103" t="s">
        <v>357</v>
      </c>
      <c r="F103" t="b">
        <v>0</v>
      </c>
      <c r="I103">
        <v>1</v>
      </c>
      <c r="J103">
        <v>45</v>
      </c>
      <c r="K103">
        <v>40</v>
      </c>
      <c r="L103">
        <v>46</v>
      </c>
      <c r="M103" t="s">
        <v>73</v>
      </c>
      <c r="N103" t="s">
        <v>33</v>
      </c>
      <c r="O103" t="b">
        <v>1</v>
      </c>
      <c r="X103">
        <v>19</v>
      </c>
      <c r="Y103">
        <f t="shared" si="2"/>
        <v>0</v>
      </c>
      <c r="Z103" t="s">
        <v>1624</v>
      </c>
      <c r="AA103" s="3" t="str">
        <f t="shared" si="3"/>
        <v/>
      </c>
      <c r="AB103" s="3">
        <v>28</v>
      </c>
      <c r="AC103" t="str">
        <f>IFERROR(VLOOKUP(B103,vlookup!$A$16:$A$150,1,FALSE),"")</f>
        <v>ASSY_D4Z001DC0D</v>
      </c>
      <c r="AD103" t="str">
        <f>IFERROR(VLOOKUP(B103,vlookup!$A$16:$G$150,11,FALSE),"")</f>
        <v/>
      </c>
    </row>
    <row r="104" spans="1:30" hidden="1" x14ac:dyDescent="0.3">
      <c r="A104" t="s">
        <v>191</v>
      </c>
      <c r="B104" s="1" t="s">
        <v>282</v>
      </c>
      <c r="C104" s="1"/>
      <c r="D104" t="s">
        <v>357</v>
      </c>
      <c r="F104" t="b">
        <v>0</v>
      </c>
      <c r="I104">
        <v>1</v>
      </c>
      <c r="J104">
        <v>45</v>
      </c>
      <c r="K104">
        <v>35</v>
      </c>
      <c r="L104">
        <v>47</v>
      </c>
      <c r="M104" t="s">
        <v>73</v>
      </c>
      <c r="N104" t="s">
        <v>33</v>
      </c>
      <c r="O104" t="b">
        <v>1</v>
      </c>
      <c r="Y104">
        <f t="shared" si="2"/>
        <v>0</v>
      </c>
      <c r="AA104" s="3" t="str">
        <f t="shared" si="3"/>
        <v/>
      </c>
      <c r="AB104" s="3">
        <v>28</v>
      </c>
      <c r="AC104" t="str">
        <f>IFERROR(VLOOKUP(B104,vlookup!$A$16:$A$150,1,FALSE),"")</f>
        <v>ASSY_D4Z002DC0D</v>
      </c>
      <c r="AD104" t="str">
        <f>IFERROR(VLOOKUP(B104,vlookup!$A$16:$G$150,11,FALSE),"")</f>
        <v/>
      </c>
    </row>
    <row r="105" spans="1:30" hidden="1" x14ac:dyDescent="0.3">
      <c r="A105" t="s">
        <v>192</v>
      </c>
      <c r="B105" s="1">
        <v>7047135830</v>
      </c>
      <c r="C105" s="1"/>
      <c r="D105" t="s">
        <v>360</v>
      </c>
      <c r="F105" t="b">
        <v>0</v>
      </c>
      <c r="I105">
        <v>1</v>
      </c>
      <c r="J105">
        <v>31</v>
      </c>
      <c r="K105">
        <v>20</v>
      </c>
      <c r="L105">
        <v>55</v>
      </c>
      <c r="M105" t="s">
        <v>69</v>
      </c>
      <c r="N105" t="s">
        <v>33</v>
      </c>
      <c r="O105" t="b">
        <v>1</v>
      </c>
      <c r="Y105">
        <f t="shared" si="2"/>
        <v>0</v>
      </c>
      <c r="AA105" s="3" t="str">
        <f t="shared" si="3"/>
        <v/>
      </c>
      <c r="AB105" s="3">
        <v>28</v>
      </c>
      <c r="AC105" t="str">
        <f>IFERROR(VLOOKUP(B105,vlookup!$A$16:$A$150,1,FALSE),"")</f>
        <v/>
      </c>
      <c r="AD105" t="str">
        <f>IFERROR(VLOOKUP(B105,vlookup!$A$16:$G$150,11,FALSE),"")</f>
        <v/>
      </c>
    </row>
    <row r="106" spans="1:30" x14ac:dyDescent="0.3">
      <c r="A106" t="s">
        <v>1670</v>
      </c>
      <c r="B106" s="1">
        <v>7047186030</v>
      </c>
      <c r="C106" s="1"/>
      <c r="D106" t="s">
        <v>360</v>
      </c>
      <c r="E106" t="s">
        <v>294</v>
      </c>
      <c r="F106" t="b">
        <v>0</v>
      </c>
      <c r="I106">
        <v>1</v>
      </c>
      <c r="J106">
        <v>35</v>
      </c>
      <c r="K106">
        <v>20</v>
      </c>
      <c r="L106">
        <v>47</v>
      </c>
      <c r="M106" t="s">
        <v>69</v>
      </c>
      <c r="N106" t="s">
        <v>33</v>
      </c>
      <c r="O106" t="b">
        <v>1</v>
      </c>
      <c r="Q106" t="b">
        <v>1</v>
      </c>
      <c r="R106">
        <v>105</v>
      </c>
      <c r="S106">
        <v>35</v>
      </c>
      <c r="T106">
        <v>47</v>
      </c>
      <c r="U106">
        <v>5</v>
      </c>
      <c r="X106">
        <v>19</v>
      </c>
      <c r="Y106">
        <f t="shared" si="2"/>
        <v>0</v>
      </c>
      <c r="Z106" t="s">
        <v>1624</v>
      </c>
      <c r="AA106" s="3" t="str">
        <f t="shared" si="3"/>
        <v/>
      </c>
      <c r="AB106" s="3">
        <v>28</v>
      </c>
      <c r="AC106">
        <f>IFERROR(VLOOKUP(B106,vlookup!$A$16:$A$150,1,FALSE),"")</f>
        <v>7047186030</v>
      </c>
      <c r="AD106" t="str">
        <f>IFERROR(VLOOKUP(B106,vlookup!$A$16:$G$150,11,FALSE),"")</f>
        <v/>
      </c>
    </row>
    <row r="107" spans="1:30" hidden="1" x14ac:dyDescent="0.3">
      <c r="A107" t="s">
        <v>194</v>
      </c>
      <c r="B107" s="1">
        <v>7047273930</v>
      </c>
      <c r="C107" s="1"/>
      <c r="D107" t="s">
        <v>360</v>
      </c>
      <c r="F107" t="b">
        <v>0</v>
      </c>
      <c r="I107">
        <v>1</v>
      </c>
      <c r="J107">
        <v>34</v>
      </c>
      <c r="K107">
        <v>20</v>
      </c>
      <c r="L107">
        <v>50</v>
      </c>
      <c r="M107" t="s">
        <v>69</v>
      </c>
      <c r="N107" t="s">
        <v>33</v>
      </c>
      <c r="O107" t="b">
        <v>1</v>
      </c>
      <c r="Y107">
        <f t="shared" si="2"/>
        <v>0</v>
      </c>
      <c r="AA107" s="3" t="str">
        <f t="shared" si="3"/>
        <v/>
      </c>
      <c r="AB107" s="3">
        <v>28</v>
      </c>
      <c r="AC107" t="str">
        <f>IFERROR(VLOOKUP(B107,vlookup!$A$16:$A$150,1,FALSE),"")</f>
        <v/>
      </c>
      <c r="AD107" t="str">
        <f>IFERROR(VLOOKUP(B107,vlookup!$A$16:$G$150,11,FALSE),"")</f>
        <v/>
      </c>
    </row>
    <row r="108" spans="1:30" hidden="1" x14ac:dyDescent="0.3">
      <c r="A108" t="s">
        <v>195</v>
      </c>
      <c r="B108" s="1">
        <v>7047305630</v>
      </c>
      <c r="C108" s="1"/>
      <c r="D108" t="s">
        <v>360</v>
      </c>
      <c r="F108" t="b">
        <v>0</v>
      </c>
      <c r="I108">
        <v>1</v>
      </c>
      <c r="J108">
        <v>37</v>
      </c>
      <c r="K108">
        <v>30</v>
      </c>
      <c r="L108">
        <v>45</v>
      </c>
      <c r="M108" t="s">
        <v>69</v>
      </c>
      <c r="N108" t="s">
        <v>33</v>
      </c>
      <c r="O108" t="b">
        <v>1</v>
      </c>
      <c r="Y108">
        <f t="shared" si="2"/>
        <v>0</v>
      </c>
      <c r="AA108" s="3" t="str">
        <f t="shared" si="3"/>
        <v/>
      </c>
      <c r="AB108" s="3">
        <v>28</v>
      </c>
      <c r="AC108" t="str">
        <f>IFERROR(VLOOKUP(B108,vlookup!$A$16:$A$150,1,FALSE),"")</f>
        <v/>
      </c>
      <c r="AD108" t="str">
        <f>IFERROR(VLOOKUP(B108,vlookup!$A$16:$G$150,11,FALSE),"")</f>
        <v/>
      </c>
    </row>
    <row r="109" spans="1:30" hidden="1" x14ac:dyDescent="0.3">
      <c r="A109" t="s">
        <v>196</v>
      </c>
      <c r="B109" s="1">
        <v>7052161430</v>
      </c>
      <c r="C109" s="1"/>
      <c r="D109" t="s">
        <v>360</v>
      </c>
      <c r="F109" t="b">
        <v>0</v>
      </c>
      <c r="I109">
        <v>1</v>
      </c>
      <c r="J109">
        <v>34</v>
      </c>
      <c r="K109">
        <v>25</v>
      </c>
      <c r="L109">
        <v>50</v>
      </c>
      <c r="M109" t="s">
        <v>69</v>
      </c>
      <c r="N109" t="s">
        <v>33</v>
      </c>
      <c r="O109" t="b">
        <v>1</v>
      </c>
      <c r="Y109">
        <f t="shared" si="2"/>
        <v>0</v>
      </c>
      <c r="AA109" s="3" t="str">
        <f t="shared" si="3"/>
        <v/>
      </c>
      <c r="AB109" s="3">
        <v>28</v>
      </c>
      <c r="AC109" t="str">
        <f>IFERROR(VLOOKUP(B109,vlookup!$A$16:$A$150,1,FALSE),"")</f>
        <v/>
      </c>
      <c r="AD109" t="str">
        <f>IFERROR(VLOOKUP(B109,vlookup!$A$16:$G$150,11,FALSE),"")</f>
        <v/>
      </c>
    </row>
    <row r="110" spans="1:30" hidden="1" x14ac:dyDescent="0.3">
      <c r="A110" t="s">
        <v>197</v>
      </c>
      <c r="B110" s="1">
        <v>7047178330</v>
      </c>
      <c r="C110" s="1"/>
      <c r="D110" t="s">
        <v>360</v>
      </c>
      <c r="F110" t="b">
        <v>0</v>
      </c>
      <c r="I110">
        <v>1</v>
      </c>
      <c r="J110">
        <v>30</v>
      </c>
      <c r="K110">
        <v>20</v>
      </c>
      <c r="L110">
        <v>48</v>
      </c>
      <c r="M110" t="s">
        <v>69</v>
      </c>
      <c r="N110" t="s">
        <v>33</v>
      </c>
      <c r="O110" t="b">
        <v>1</v>
      </c>
      <c r="Y110">
        <f t="shared" si="2"/>
        <v>0</v>
      </c>
      <c r="AA110" s="3" t="str">
        <f t="shared" si="3"/>
        <v/>
      </c>
      <c r="AB110" s="3">
        <v>28</v>
      </c>
      <c r="AC110" t="str">
        <f>IFERROR(VLOOKUP(B110,vlookup!$A$16:$A$150,1,FALSE),"")</f>
        <v/>
      </c>
      <c r="AD110" t="str">
        <f>IFERROR(VLOOKUP(B110,vlookup!$A$16:$G$150,11,FALSE),"")</f>
        <v/>
      </c>
    </row>
    <row r="111" spans="1:30" hidden="1" x14ac:dyDescent="0.3">
      <c r="A111" t="s">
        <v>198</v>
      </c>
      <c r="B111" s="1">
        <v>7147882430</v>
      </c>
      <c r="C111" s="1"/>
      <c r="D111" t="s">
        <v>360</v>
      </c>
      <c r="E111" t="s">
        <v>295</v>
      </c>
      <c r="F111" t="b">
        <v>0</v>
      </c>
      <c r="I111">
        <v>1</v>
      </c>
      <c r="J111">
        <v>35</v>
      </c>
      <c r="K111">
        <v>26</v>
      </c>
      <c r="L111">
        <v>40</v>
      </c>
      <c r="M111" t="s">
        <v>69</v>
      </c>
      <c r="N111" t="s">
        <v>33</v>
      </c>
      <c r="O111" t="b">
        <v>1</v>
      </c>
      <c r="Q111" t="b">
        <v>1</v>
      </c>
      <c r="R111">
        <v>138</v>
      </c>
      <c r="S111">
        <v>35</v>
      </c>
      <c r="T111">
        <v>40</v>
      </c>
      <c r="U111">
        <v>5</v>
      </c>
      <c r="X111">
        <v>19</v>
      </c>
      <c r="Y111">
        <f t="shared" si="2"/>
        <v>0</v>
      </c>
      <c r="Z111" t="s">
        <v>1624</v>
      </c>
      <c r="AA111" s="3" t="str">
        <f t="shared" si="3"/>
        <v/>
      </c>
      <c r="AB111" s="3">
        <v>28</v>
      </c>
      <c r="AC111">
        <f>IFERROR(VLOOKUP(B111,vlookup!$A$16:$A$150,1,FALSE),"")</f>
        <v>7147882430</v>
      </c>
      <c r="AD111" t="str">
        <f>IFERROR(VLOOKUP(B111,vlookup!$A$16:$G$150,11,FALSE),"")</f>
        <v/>
      </c>
    </row>
    <row r="112" spans="1:30" hidden="1" x14ac:dyDescent="0.3">
      <c r="A112" t="s">
        <v>199</v>
      </c>
      <c r="B112" s="1">
        <v>7247075530</v>
      </c>
      <c r="C112" s="1"/>
      <c r="D112" t="s">
        <v>360</v>
      </c>
      <c r="F112" t="b">
        <v>0</v>
      </c>
      <c r="I112">
        <v>1</v>
      </c>
      <c r="J112">
        <v>34</v>
      </c>
      <c r="K112">
        <v>26</v>
      </c>
      <c r="L112">
        <v>50</v>
      </c>
      <c r="M112" t="s">
        <v>69</v>
      </c>
      <c r="N112" t="s">
        <v>33</v>
      </c>
      <c r="O112" t="b">
        <v>1</v>
      </c>
      <c r="Y112">
        <f t="shared" si="2"/>
        <v>0</v>
      </c>
      <c r="AA112" s="3" t="str">
        <f t="shared" si="3"/>
        <v/>
      </c>
      <c r="AB112" s="3">
        <v>28</v>
      </c>
      <c r="AC112" t="str">
        <f>IFERROR(VLOOKUP(B112,vlookup!$A$16:$A$150,1,FALSE),"")</f>
        <v/>
      </c>
      <c r="AD112" t="str">
        <f>IFERROR(VLOOKUP(B112,vlookup!$A$16:$G$150,11,FALSE),"")</f>
        <v/>
      </c>
    </row>
    <row r="113" spans="1:30" hidden="1" x14ac:dyDescent="0.3">
      <c r="A113" t="s">
        <v>200</v>
      </c>
      <c r="B113" s="1">
        <v>7247374530</v>
      </c>
      <c r="C113" s="1"/>
      <c r="D113" t="s">
        <v>360</v>
      </c>
      <c r="F113" t="b">
        <v>0</v>
      </c>
      <c r="I113">
        <v>1</v>
      </c>
      <c r="J113">
        <v>36</v>
      </c>
      <c r="K113">
        <v>26</v>
      </c>
      <c r="L113">
        <v>49</v>
      </c>
      <c r="M113" t="s">
        <v>69</v>
      </c>
      <c r="N113" t="s">
        <v>33</v>
      </c>
      <c r="O113" t="b">
        <v>1</v>
      </c>
      <c r="Y113">
        <f t="shared" si="2"/>
        <v>0</v>
      </c>
      <c r="AA113" s="3" t="str">
        <f t="shared" si="3"/>
        <v/>
      </c>
      <c r="AB113" s="3">
        <v>28</v>
      </c>
      <c r="AC113" t="str">
        <f>IFERROR(VLOOKUP(B113,vlookup!$A$16:$A$150,1,FALSE),"")</f>
        <v/>
      </c>
      <c r="AD113" t="str">
        <f>IFERROR(VLOOKUP(B113,vlookup!$A$16:$G$150,11,FALSE),"")</f>
        <v/>
      </c>
    </row>
    <row r="114" spans="1:30" hidden="1" x14ac:dyDescent="0.3">
      <c r="A114" t="s">
        <v>201</v>
      </c>
      <c r="B114" s="1">
        <v>7247374930</v>
      </c>
      <c r="C114" s="1"/>
      <c r="D114" t="s">
        <v>360</v>
      </c>
      <c r="F114" t="b">
        <v>0</v>
      </c>
      <c r="I114">
        <v>1</v>
      </c>
      <c r="J114">
        <v>36</v>
      </c>
      <c r="K114">
        <v>26</v>
      </c>
      <c r="L114">
        <v>48</v>
      </c>
      <c r="M114" t="s">
        <v>69</v>
      </c>
      <c r="N114" t="s">
        <v>33</v>
      </c>
      <c r="O114" t="b">
        <v>1</v>
      </c>
      <c r="Y114">
        <f t="shared" si="2"/>
        <v>0</v>
      </c>
      <c r="AA114" s="3" t="str">
        <f t="shared" si="3"/>
        <v/>
      </c>
      <c r="AB114" s="3">
        <v>28</v>
      </c>
      <c r="AC114" t="str">
        <f>IFERROR(VLOOKUP(B114,vlookup!$A$16:$A$150,1,FALSE),"")</f>
        <v/>
      </c>
      <c r="AD114" t="str">
        <f>IFERROR(VLOOKUP(B114,vlookup!$A$16:$G$150,11,FALSE),"")</f>
        <v/>
      </c>
    </row>
    <row r="115" spans="1:30" hidden="1" x14ac:dyDescent="0.3">
      <c r="A115" t="s">
        <v>202</v>
      </c>
      <c r="B115" s="1">
        <v>7247760830</v>
      </c>
      <c r="C115" s="1"/>
      <c r="D115" t="s">
        <v>360</v>
      </c>
      <c r="F115" t="b">
        <v>0</v>
      </c>
      <c r="I115">
        <v>1</v>
      </c>
      <c r="J115">
        <v>35</v>
      </c>
      <c r="K115">
        <v>35</v>
      </c>
      <c r="L115">
        <v>61</v>
      </c>
      <c r="M115" t="s">
        <v>69</v>
      </c>
      <c r="N115" t="s">
        <v>33</v>
      </c>
      <c r="O115" t="b">
        <v>1</v>
      </c>
      <c r="Y115">
        <f t="shared" si="2"/>
        <v>0</v>
      </c>
      <c r="AA115" s="3" t="str">
        <f t="shared" si="3"/>
        <v/>
      </c>
      <c r="AB115" s="3">
        <v>28</v>
      </c>
      <c r="AC115" t="str">
        <f>IFERROR(VLOOKUP(B115,vlookup!$A$16:$A$150,1,FALSE),"")</f>
        <v/>
      </c>
      <c r="AD115" t="str">
        <f>IFERROR(VLOOKUP(B115,vlookup!$A$16:$G$150,11,FALSE),"")</f>
        <v/>
      </c>
    </row>
    <row r="116" spans="1:30" hidden="1" x14ac:dyDescent="0.3">
      <c r="A116" t="s">
        <v>203</v>
      </c>
      <c r="B116" s="1">
        <v>7247760930</v>
      </c>
      <c r="C116" s="1"/>
      <c r="D116" t="s">
        <v>360</v>
      </c>
      <c r="F116" t="b">
        <v>0</v>
      </c>
      <c r="I116">
        <v>1</v>
      </c>
      <c r="J116">
        <v>36</v>
      </c>
      <c r="K116">
        <v>26</v>
      </c>
      <c r="L116">
        <v>50</v>
      </c>
      <c r="M116" t="s">
        <v>69</v>
      </c>
      <c r="N116" t="s">
        <v>33</v>
      </c>
      <c r="O116" t="b">
        <v>1</v>
      </c>
      <c r="Y116">
        <f t="shared" si="2"/>
        <v>0</v>
      </c>
      <c r="AA116" s="3" t="str">
        <f t="shared" si="3"/>
        <v/>
      </c>
      <c r="AB116" s="3">
        <v>28</v>
      </c>
      <c r="AC116" t="str">
        <f>IFERROR(VLOOKUP(B116,vlookup!$A$16:$A$150,1,FALSE),"")</f>
        <v/>
      </c>
      <c r="AD116" t="str">
        <f>IFERROR(VLOOKUP(B116,vlookup!$A$16:$G$150,11,FALSE),"")</f>
        <v/>
      </c>
    </row>
    <row r="117" spans="1:30" hidden="1" x14ac:dyDescent="0.3">
      <c r="A117" t="s">
        <v>204</v>
      </c>
      <c r="B117" s="1">
        <v>7247761330</v>
      </c>
      <c r="C117" s="1"/>
      <c r="D117" t="s">
        <v>360</v>
      </c>
      <c r="E117" t="s">
        <v>1175</v>
      </c>
      <c r="F117" t="b">
        <v>0</v>
      </c>
      <c r="I117">
        <v>1</v>
      </c>
      <c r="J117">
        <v>30</v>
      </c>
      <c r="K117">
        <v>30</v>
      </c>
      <c r="L117">
        <v>48</v>
      </c>
      <c r="M117" t="s">
        <v>69</v>
      </c>
      <c r="N117" t="s">
        <v>33</v>
      </c>
      <c r="O117" t="b">
        <v>1</v>
      </c>
      <c r="Q117" t="b">
        <v>1</v>
      </c>
      <c r="R117">
        <v>123</v>
      </c>
      <c r="S117">
        <v>30</v>
      </c>
      <c r="T117">
        <v>48</v>
      </c>
      <c r="U117">
        <v>4</v>
      </c>
      <c r="Y117">
        <f t="shared" si="2"/>
        <v>0</v>
      </c>
      <c r="AA117" s="3" t="str">
        <f t="shared" si="3"/>
        <v/>
      </c>
      <c r="AB117" s="3">
        <v>28</v>
      </c>
      <c r="AC117" t="str">
        <f>IFERROR(VLOOKUP(B117,vlookup!$A$16:$A$150,1,FALSE),"")</f>
        <v/>
      </c>
      <c r="AD117" t="str">
        <f>IFERROR(VLOOKUP(B117,vlookup!$A$16:$G$150,11,FALSE),"")</f>
        <v/>
      </c>
    </row>
    <row r="118" spans="1:30" hidden="1" x14ac:dyDescent="0.3">
      <c r="A118" t="s">
        <v>205</v>
      </c>
      <c r="B118" s="1">
        <v>7247764130</v>
      </c>
      <c r="C118" s="1"/>
      <c r="D118" t="s">
        <v>360</v>
      </c>
      <c r="F118" t="b">
        <v>0</v>
      </c>
      <c r="I118">
        <v>1</v>
      </c>
      <c r="J118">
        <v>36</v>
      </c>
      <c r="K118">
        <v>26</v>
      </c>
      <c r="L118">
        <v>50</v>
      </c>
      <c r="M118" t="s">
        <v>69</v>
      </c>
      <c r="N118" t="s">
        <v>33</v>
      </c>
      <c r="O118" t="b">
        <v>1</v>
      </c>
      <c r="Y118">
        <f t="shared" si="2"/>
        <v>0</v>
      </c>
      <c r="AA118" s="3" t="str">
        <f t="shared" si="3"/>
        <v/>
      </c>
      <c r="AB118" s="3">
        <v>28</v>
      </c>
      <c r="AC118" t="str">
        <f>IFERROR(VLOOKUP(B118,vlookup!$A$16:$A$150,1,FALSE),"")</f>
        <v/>
      </c>
      <c r="AD118" t="str">
        <f>IFERROR(VLOOKUP(B118,vlookup!$A$16:$G$150,11,FALSE),"")</f>
        <v/>
      </c>
    </row>
    <row r="119" spans="1:30" hidden="1" x14ac:dyDescent="0.3">
      <c r="A119" t="s">
        <v>206</v>
      </c>
      <c r="B119" s="1">
        <v>7247776330</v>
      </c>
      <c r="C119" s="1"/>
      <c r="D119" t="s">
        <v>360</v>
      </c>
      <c r="F119" t="b">
        <v>0</v>
      </c>
      <c r="I119">
        <v>1</v>
      </c>
      <c r="J119">
        <v>36</v>
      </c>
      <c r="K119">
        <v>25</v>
      </c>
      <c r="L119">
        <v>49</v>
      </c>
      <c r="M119" t="s">
        <v>69</v>
      </c>
      <c r="N119" t="s">
        <v>33</v>
      </c>
      <c r="O119" t="b">
        <v>1</v>
      </c>
      <c r="Y119">
        <f t="shared" si="2"/>
        <v>0</v>
      </c>
      <c r="AA119" s="3" t="str">
        <f t="shared" si="3"/>
        <v/>
      </c>
      <c r="AB119" s="3">
        <v>28</v>
      </c>
      <c r="AC119" t="str">
        <f>IFERROR(VLOOKUP(B119,vlookup!$A$16:$A$150,1,FALSE),"")</f>
        <v/>
      </c>
      <c r="AD119" t="str">
        <f>IFERROR(VLOOKUP(B119,vlookup!$A$16:$G$150,11,FALSE),"")</f>
        <v/>
      </c>
    </row>
    <row r="120" spans="1:30" hidden="1" x14ac:dyDescent="0.3">
      <c r="A120" t="s">
        <v>207</v>
      </c>
      <c r="B120" s="1">
        <v>7247781230</v>
      </c>
      <c r="C120" s="1"/>
      <c r="D120" t="s">
        <v>360</v>
      </c>
      <c r="F120" t="b">
        <v>0</v>
      </c>
      <c r="I120">
        <v>1</v>
      </c>
      <c r="J120">
        <v>39</v>
      </c>
      <c r="K120">
        <v>30</v>
      </c>
      <c r="L120">
        <v>45</v>
      </c>
      <c r="M120" t="s">
        <v>69</v>
      </c>
      <c r="N120" t="s">
        <v>33</v>
      </c>
      <c r="O120" t="b">
        <v>1</v>
      </c>
      <c r="X120">
        <v>18</v>
      </c>
      <c r="Y120">
        <v>36</v>
      </c>
      <c r="Z120" t="s">
        <v>1623</v>
      </c>
      <c r="AA120" s="3" t="str">
        <f t="shared" si="3"/>
        <v/>
      </c>
      <c r="AB120" s="3">
        <v>28</v>
      </c>
      <c r="AC120" t="str">
        <f>IFERROR(VLOOKUP(B120,vlookup!$A$16:$A$150,1,FALSE),"")</f>
        <v/>
      </c>
      <c r="AD120" t="str">
        <f>IFERROR(VLOOKUP(B120,vlookup!$A$16:$G$150,11,FALSE),"")</f>
        <v/>
      </c>
    </row>
    <row r="121" spans="1:30" hidden="1" x14ac:dyDescent="0.3">
      <c r="A121" t="s">
        <v>208</v>
      </c>
      <c r="B121" s="1">
        <v>7247781730</v>
      </c>
      <c r="C121" s="1"/>
      <c r="D121" t="s">
        <v>360</v>
      </c>
      <c r="F121" t="b">
        <v>0</v>
      </c>
      <c r="I121">
        <v>1</v>
      </c>
      <c r="J121">
        <v>38</v>
      </c>
      <c r="K121">
        <v>35</v>
      </c>
      <c r="L121">
        <v>40</v>
      </c>
      <c r="M121" t="s">
        <v>69</v>
      </c>
      <c r="N121" t="s">
        <v>33</v>
      </c>
      <c r="O121" t="b">
        <v>1</v>
      </c>
      <c r="X121">
        <v>19</v>
      </c>
      <c r="Y121">
        <f t="shared" si="2"/>
        <v>0</v>
      </c>
      <c r="Z121" t="s">
        <v>1624</v>
      </c>
      <c r="AA121" s="3" t="str">
        <f t="shared" si="3"/>
        <v/>
      </c>
      <c r="AB121" s="3">
        <v>28</v>
      </c>
      <c r="AC121">
        <f>IFERROR(VLOOKUP(B121,vlookup!$A$16:$A$150,1,FALSE),"")</f>
        <v>7247781730</v>
      </c>
      <c r="AD121" t="str">
        <f>IFERROR(VLOOKUP(B121,vlookup!$A$16:$G$150,11,FALSE),"")</f>
        <v/>
      </c>
    </row>
    <row r="122" spans="1:30" hidden="1" x14ac:dyDescent="0.3">
      <c r="A122" t="s">
        <v>209</v>
      </c>
      <c r="B122" s="1">
        <v>7247787730</v>
      </c>
      <c r="C122" s="1"/>
      <c r="D122" t="s">
        <v>360</v>
      </c>
      <c r="F122" t="b">
        <v>0</v>
      </c>
      <c r="I122">
        <v>1</v>
      </c>
      <c r="J122">
        <v>36</v>
      </c>
      <c r="K122">
        <v>28</v>
      </c>
      <c r="L122">
        <v>42</v>
      </c>
      <c r="M122" t="s">
        <v>69</v>
      </c>
      <c r="N122" t="s">
        <v>33</v>
      </c>
      <c r="O122" t="b">
        <v>1</v>
      </c>
      <c r="Y122">
        <f t="shared" si="2"/>
        <v>0</v>
      </c>
      <c r="AA122" s="3" t="str">
        <f t="shared" si="3"/>
        <v/>
      </c>
      <c r="AB122" s="3">
        <v>28</v>
      </c>
      <c r="AC122" t="str">
        <f>IFERROR(VLOOKUP(B122,vlookup!$A$16:$A$150,1,FALSE),"")</f>
        <v/>
      </c>
      <c r="AD122" t="str">
        <f>IFERROR(VLOOKUP(B122,vlookup!$A$16:$G$150,11,FALSE),"")</f>
        <v/>
      </c>
    </row>
    <row r="123" spans="1:30" hidden="1" x14ac:dyDescent="0.3">
      <c r="A123" t="s">
        <v>210</v>
      </c>
      <c r="B123" s="1">
        <v>72478572</v>
      </c>
      <c r="C123" s="1"/>
      <c r="D123" t="s">
        <v>360</v>
      </c>
      <c r="F123" t="b">
        <v>0</v>
      </c>
      <c r="I123">
        <v>1</v>
      </c>
      <c r="J123">
        <v>34</v>
      </c>
      <c r="K123">
        <v>20</v>
      </c>
      <c r="L123">
        <v>55</v>
      </c>
      <c r="M123" t="s">
        <v>69</v>
      </c>
      <c r="N123" t="s">
        <v>33</v>
      </c>
      <c r="O123" t="b">
        <v>1</v>
      </c>
      <c r="Y123">
        <f t="shared" si="2"/>
        <v>0</v>
      </c>
      <c r="AA123" s="3" t="str">
        <f t="shared" si="3"/>
        <v/>
      </c>
      <c r="AB123" s="3">
        <v>28</v>
      </c>
      <c r="AC123" t="str">
        <f>IFERROR(VLOOKUP(B123,vlookup!$A$16:$A$150,1,FALSE),"")</f>
        <v/>
      </c>
      <c r="AD123" t="str">
        <f>IFERROR(VLOOKUP(B123,vlookup!$A$16:$G$150,11,FALSE),"")</f>
        <v/>
      </c>
    </row>
    <row r="124" spans="1:30" hidden="1" x14ac:dyDescent="0.3">
      <c r="A124" t="s">
        <v>211</v>
      </c>
      <c r="B124" s="1">
        <v>7252726530</v>
      </c>
      <c r="C124" s="1"/>
      <c r="D124" t="s">
        <v>360</v>
      </c>
      <c r="F124" t="b">
        <v>0</v>
      </c>
      <c r="I124">
        <v>1</v>
      </c>
      <c r="J124">
        <v>37</v>
      </c>
      <c r="K124">
        <v>35</v>
      </c>
      <c r="L124">
        <v>60</v>
      </c>
      <c r="M124" t="s">
        <v>69</v>
      </c>
      <c r="N124" t="s">
        <v>33</v>
      </c>
      <c r="O124" t="b">
        <v>1</v>
      </c>
      <c r="X124">
        <v>19</v>
      </c>
      <c r="Y124">
        <f t="shared" si="2"/>
        <v>0</v>
      </c>
      <c r="Z124" t="s">
        <v>1624</v>
      </c>
      <c r="AA124" s="3" t="str">
        <f t="shared" si="3"/>
        <v/>
      </c>
      <c r="AB124" s="3">
        <v>28</v>
      </c>
      <c r="AC124">
        <f>IFERROR(VLOOKUP(B124,vlookup!$A$16:$A$150,1,FALSE),"")</f>
        <v>7252726530</v>
      </c>
      <c r="AD124" t="str">
        <f>IFERROR(VLOOKUP(B124,vlookup!$A$16:$G$150,11,FALSE),"")</f>
        <v/>
      </c>
    </row>
    <row r="125" spans="1:30" hidden="1" x14ac:dyDescent="0.3">
      <c r="A125" t="s">
        <v>378</v>
      </c>
      <c r="B125" s="1">
        <v>7252735930</v>
      </c>
      <c r="C125" s="1"/>
      <c r="D125" t="s">
        <v>360</v>
      </c>
      <c r="F125" t="b">
        <v>0</v>
      </c>
      <c r="I125">
        <v>1</v>
      </c>
      <c r="J125">
        <v>50</v>
      </c>
      <c r="K125">
        <v>20</v>
      </c>
      <c r="L125">
        <v>50</v>
      </c>
      <c r="M125" t="s">
        <v>69</v>
      </c>
      <c r="N125" t="s">
        <v>33</v>
      </c>
      <c r="O125" t="b">
        <v>1</v>
      </c>
      <c r="Y125">
        <f t="shared" si="2"/>
        <v>0</v>
      </c>
      <c r="AA125" s="3" t="str">
        <f t="shared" si="3"/>
        <v/>
      </c>
      <c r="AB125" s="3">
        <v>28</v>
      </c>
      <c r="AC125" t="str">
        <f>IFERROR(VLOOKUP(B125,vlookup!$A$16:$A$150,1,FALSE),"")</f>
        <v/>
      </c>
      <c r="AD125" t="str">
        <f>IFERROR(VLOOKUP(B125,vlookup!$A$16:$G$150,11,FALSE),"")</f>
        <v/>
      </c>
    </row>
    <row r="126" spans="1:30" hidden="1" x14ac:dyDescent="0.3">
      <c r="A126" t="s">
        <v>366</v>
      </c>
      <c r="B126" s="1">
        <v>7252779130</v>
      </c>
      <c r="C126" s="1"/>
      <c r="D126" t="s">
        <v>360</v>
      </c>
      <c r="E126" t="s">
        <v>296</v>
      </c>
      <c r="F126" t="b">
        <v>0</v>
      </c>
      <c r="I126">
        <v>1</v>
      </c>
      <c r="J126">
        <v>44</v>
      </c>
      <c r="K126">
        <v>30</v>
      </c>
      <c r="L126">
        <v>40</v>
      </c>
      <c r="M126" t="s">
        <v>69</v>
      </c>
      <c r="N126" t="s">
        <v>33</v>
      </c>
      <c r="O126" t="b">
        <v>1</v>
      </c>
      <c r="Q126" t="b">
        <v>1</v>
      </c>
      <c r="R126">
        <v>160</v>
      </c>
      <c r="S126">
        <v>45</v>
      </c>
      <c r="T126">
        <v>40</v>
      </c>
      <c r="U126">
        <v>5</v>
      </c>
      <c r="X126">
        <v>19</v>
      </c>
      <c r="Y126">
        <f t="shared" si="2"/>
        <v>0</v>
      </c>
      <c r="Z126" t="s">
        <v>1624</v>
      </c>
      <c r="AA126" s="3" t="str">
        <f t="shared" si="3"/>
        <v/>
      </c>
      <c r="AB126" s="3">
        <v>28</v>
      </c>
      <c r="AC126">
        <f>IFERROR(VLOOKUP(B126,vlookup!$A$16:$A$150,1,FALSE),"")</f>
        <v>7252779130</v>
      </c>
      <c r="AD126" t="str">
        <f>IFERROR(VLOOKUP(B126,vlookup!$A$16:$G$150,11,FALSE),"")</f>
        <v/>
      </c>
    </row>
    <row r="127" spans="1:30" hidden="1" x14ac:dyDescent="0.3">
      <c r="A127" t="s">
        <v>1669</v>
      </c>
      <c r="B127" s="1">
        <v>7252785330</v>
      </c>
      <c r="C127" s="1">
        <v>7247075530</v>
      </c>
      <c r="D127" t="s">
        <v>360</v>
      </c>
      <c r="E127" t="s">
        <v>297</v>
      </c>
      <c r="F127" t="b">
        <v>0</v>
      </c>
      <c r="I127">
        <v>1</v>
      </c>
      <c r="J127">
        <v>36</v>
      </c>
      <c r="K127">
        <v>26</v>
      </c>
      <c r="L127">
        <v>47</v>
      </c>
      <c r="M127" t="s">
        <v>69</v>
      </c>
      <c r="N127" t="s">
        <v>33</v>
      </c>
      <c r="O127" t="b">
        <v>1</v>
      </c>
      <c r="Q127" t="b">
        <v>1</v>
      </c>
      <c r="R127">
        <v>138</v>
      </c>
      <c r="S127">
        <v>36</v>
      </c>
      <c r="T127">
        <v>47</v>
      </c>
      <c r="U127">
        <v>5</v>
      </c>
      <c r="X127">
        <v>19</v>
      </c>
      <c r="Y127">
        <f t="shared" si="2"/>
        <v>0</v>
      </c>
      <c r="Z127" t="s">
        <v>1624</v>
      </c>
      <c r="AA127" s="3" t="str">
        <f t="shared" si="3"/>
        <v/>
      </c>
      <c r="AB127" s="3">
        <v>28</v>
      </c>
      <c r="AC127">
        <f>IFERROR(VLOOKUP(B127,vlookup!$A$16:$A$150,1,FALSE),"")</f>
        <v>7252785330</v>
      </c>
      <c r="AD127" t="str">
        <f>IFERROR(VLOOKUP(B127,vlookup!$A$16:$G$150,11,FALSE),"")</f>
        <v/>
      </c>
    </row>
    <row r="128" spans="1:30" hidden="1" x14ac:dyDescent="0.3">
      <c r="A128" t="s">
        <v>212</v>
      </c>
      <c r="B128" s="1">
        <v>7252815130</v>
      </c>
      <c r="C128" s="1"/>
      <c r="D128" t="s">
        <v>360</v>
      </c>
      <c r="E128" t="s">
        <v>1640</v>
      </c>
      <c r="F128" t="b">
        <v>0</v>
      </c>
      <c r="I128">
        <v>1</v>
      </c>
      <c r="J128">
        <v>44</v>
      </c>
      <c r="K128">
        <v>30</v>
      </c>
      <c r="L128">
        <v>40</v>
      </c>
      <c r="M128" t="s">
        <v>69</v>
      </c>
      <c r="N128" t="s">
        <v>33</v>
      </c>
      <c r="O128" t="b">
        <v>1</v>
      </c>
      <c r="Q128" t="b">
        <v>1</v>
      </c>
      <c r="R128">
        <v>126</v>
      </c>
      <c r="S128">
        <v>45</v>
      </c>
      <c r="T128">
        <v>40</v>
      </c>
      <c r="U128">
        <v>4</v>
      </c>
      <c r="X128">
        <v>19</v>
      </c>
      <c r="Y128">
        <f t="shared" si="2"/>
        <v>0</v>
      </c>
      <c r="Z128" t="s">
        <v>1624</v>
      </c>
      <c r="AA128" s="3" t="str">
        <f t="shared" si="3"/>
        <v/>
      </c>
      <c r="AB128" s="3">
        <v>28</v>
      </c>
      <c r="AC128">
        <f>IFERROR(VLOOKUP(B128,vlookup!$A$16:$A$150,1,FALSE),"")</f>
        <v>7252815130</v>
      </c>
      <c r="AD128" t="str">
        <f>IFERROR(VLOOKUP(B128,vlookup!$A$16:$G$150,11,FALSE),"")</f>
        <v/>
      </c>
    </row>
    <row r="129" spans="1:30" hidden="1" x14ac:dyDescent="0.3">
      <c r="A129" t="s">
        <v>214</v>
      </c>
      <c r="B129" s="1">
        <v>7252832130</v>
      </c>
      <c r="C129" s="1"/>
      <c r="D129" t="s">
        <v>360</v>
      </c>
      <c r="F129" t="b">
        <v>0</v>
      </c>
      <c r="I129">
        <v>1</v>
      </c>
      <c r="J129">
        <v>39</v>
      </c>
      <c r="K129">
        <v>30</v>
      </c>
      <c r="L129">
        <v>49</v>
      </c>
      <c r="M129" t="s">
        <v>69</v>
      </c>
      <c r="N129" t="s">
        <v>33</v>
      </c>
      <c r="O129" t="b">
        <v>1</v>
      </c>
      <c r="Y129">
        <f t="shared" si="2"/>
        <v>0</v>
      </c>
      <c r="AA129" s="3" t="str">
        <f t="shared" si="3"/>
        <v/>
      </c>
      <c r="AB129" s="3">
        <v>28</v>
      </c>
      <c r="AC129" t="str">
        <f>IFERROR(VLOOKUP(B129,vlookup!$A$16:$A$150,1,FALSE),"")</f>
        <v/>
      </c>
      <c r="AD129" t="str">
        <f>IFERROR(VLOOKUP(B129,vlookup!$A$16:$G$150,11,FALSE),"")</f>
        <v/>
      </c>
    </row>
    <row r="130" spans="1:30" hidden="1" x14ac:dyDescent="0.3">
      <c r="A130" t="s">
        <v>215</v>
      </c>
      <c r="B130" s="1">
        <v>7298331130</v>
      </c>
      <c r="C130" s="1"/>
      <c r="D130" t="s">
        <v>357</v>
      </c>
      <c r="F130" t="b">
        <v>0</v>
      </c>
      <c r="I130">
        <v>1</v>
      </c>
      <c r="J130">
        <v>74</v>
      </c>
      <c r="K130">
        <v>56</v>
      </c>
      <c r="L130">
        <v>73</v>
      </c>
      <c r="M130" t="s">
        <v>69</v>
      </c>
      <c r="N130" t="s">
        <v>33</v>
      </c>
      <c r="O130" t="b">
        <v>1</v>
      </c>
      <c r="Y130">
        <f t="shared" si="2"/>
        <v>0</v>
      </c>
      <c r="AA130" s="3" t="str">
        <f t="shared" si="3"/>
        <v/>
      </c>
      <c r="AB130" s="3">
        <v>28</v>
      </c>
      <c r="AC130" t="str">
        <f>IFERROR(VLOOKUP(B130,vlookup!$A$16:$A$150,1,FALSE),"")</f>
        <v/>
      </c>
      <c r="AD130" t="str">
        <f>IFERROR(VLOOKUP(B130,vlookup!$A$16:$G$150,11,FALSE),"")</f>
        <v/>
      </c>
    </row>
    <row r="131" spans="1:30" hidden="1" x14ac:dyDescent="0.3">
      <c r="A131" t="s">
        <v>216</v>
      </c>
      <c r="B131" s="1" t="s">
        <v>284</v>
      </c>
      <c r="C131" s="1"/>
      <c r="D131" t="s">
        <v>357</v>
      </c>
      <c r="F131" t="b">
        <v>0</v>
      </c>
      <c r="I131">
        <v>1</v>
      </c>
      <c r="J131">
        <v>46</v>
      </c>
      <c r="K131">
        <v>45</v>
      </c>
      <c r="L131">
        <v>62</v>
      </c>
      <c r="M131" t="s">
        <v>69</v>
      </c>
      <c r="N131" t="s">
        <v>33</v>
      </c>
      <c r="O131" t="b">
        <v>1</v>
      </c>
      <c r="Y131">
        <f t="shared" si="2"/>
        <v>0</v>
      </c>
      <c r="AA131" s="3" t="str">
        <f t="shared" si="3"/>
        <v/>
      </c>
      <c r="AB131" s="3">
        <v>28</v>
      </c>
      <c r="AC131" t="str">
        <f>IFERROR(VLOOKUP(B131,vlookup!$A$16:$A$150,1,FALSE),"")</f>
        <v/>
      </c>
      <c r="AD131" t="str">
        <f>IFERROR(VLOOKUP(B131,vlookup!$A$16:$G$150,11,FALSE),"")</f>
        <v/>
      </c>
    </row>
    <row r="132" spans="1:30" hidden="1" x14ac:dyDescent="0.3">
      <c r="A132" t="s">
        <v>217</v>
      </c>
      <c r="B132" s="1">
        <v>71196350</v>
      </c>
      <c r="C132" s="1"/>
      <c r="D132" t="s">
        <v>357</v>
      </c>
      <c r="F132" t="b">
        <v>0</v>
      </c>
      <c r="I132">
        <v>1</v>
      </c>
      <c r="J132">
        <v>40</v>
      </c>
      <c r="K132">
        <v>35</v>
      </c>
      <c r="L132">
        <v>50</v>
      </c>
      <c r="M132" t="s">
        <v>68</v>
      </c>
      <c r="N132" t="s">
        <v>33</v>
      </c>
      <c r="O132" t="b">
        <v>1</v>
      </c>
      <c r="Y132">
        <f t="shared" ref="Y132:Y195" si="4">IFERROR(AB132*AA132,0)</f>
        <v>0</v>
      </c>
      <c r="AA132" s="3" t="str">
        <f t="shared" si="3"/>
        <v/>
      </c>
      <c r="AB132" s="3">
        <v>28</v>
      </c>
      <c r="AC132" t="str">
        <f>IFERROR(VLOOKUP(B132,vlookup!$A$16:$A$150,1,FALSE),"")</f>
        <v/>
      </c>
      <c r="AD132" t="str">
        <f>IFERROR(VLOOKUP(B132,vlookup!$A$16:$G$150,11,FALSE),"")</f>
        <v/>
      </c>
    </row>
    <row r="133" spans="1:30" hidden="1" x14ac:dyDescent="0.3">
      <c r="A133" t="s">
        <v>367</v>
      </c>
      <c r="B133" s="1" t="s">
        <v>286</v>
      </c>
      <c r="C133" s="1"/>
      <c r="D133" t="s">
        <v>357</v>
      </c>
      <c r="F133" t="b">
        <v>0</v>
      </c>
      <c r="I133">
        <v>1</v>
      </c>
      <c r="J133">
        <v>66</v>
      </c>
      <c r="K133">
        <v>66</v>
      </c>
      <c r="L133">
        <v>66</v>
      </c>
      <c r="M133" t="s">
        <v>69</v>
      </c>
      <c r="N133" t="s">
        <v>33</v>
      </c>
      <c r="O133" t="b">
        <v>1</v>
      </c>
      <c r="Y133">
        <f t="shared" si="4"/>
        <v>0</v>
      </c>
      <c r="AA133" s="3" t="str">
        <f t="shared" ref="AA133:AA196" si="5">AD133</f>
        <v/>
      </c>
      <c r="AB133" s="3">
        <v>28</v>
      </c>
      <c r="AC133" t="str">
        <f>IFERROR(VLOOKUP(B133,vlookup!$A$16:$A$150,1,FALSE),"")</f>
        <v/>
      </c>
      <c r="AD133" t="str">
        <f>IFERROR(VLOOKUP(B133,vlookup!$A$16:$G$150,11,FALSE),"")</f>
        <v/>
      </c>
    </row>
    <row r="134" spans="1:30" hidden="1" x14ac:dyDescent="0.3">
      <c r="A134" t="s">
        <v>220</v>
      </c>
      <c r="B134" s="1">
        <v>72191763</v>
      </c>
      <c r="C134" s="1"/>
      <c r="D134" t="s">
        <v>357</v>
      </c>
      <c r="F134" t="b">
        <v>0</v>
      </c>
      <c r="I134">
        <v>1</v>
      </c>
      <c r="J134">
        <v>42</v>
      </c>
      <c r="K134">
        <v>40</v>
      </c>
      <c r="L134">
        <v>65</v>
      </c>
      <c r="M134" t="s">
        <v>69</v>
      </c>
      <c r="N134" t="s">
        <v>33</v>
      </c>
      <c r="O134" t="b">
        <v>1</v>
      </c>
      <c r="Y134">
        <f t="shared" si="4"/>
        <v>0</v>
      </c>
      <c r="AA134" s="3" t="str">
        <f t="shared" si="5"/>
        <v/>
      </c>
      <c r="AB134" s="3">
        <v>28</v>
      </c>
      <c r="AC134" t="str">
        <f>IFERROR(VLOOKUP(B134,vlookup!$A$16:$A$150,1,FALSE),"")</f>
        <v/>
      </c>
      <c r="AD134" t="str">
        <f>IFERROR(VLOOKUP(B134,vlookup!$A$16:$G$150,11,FALSE),"")</f>
        <v/>
      </c>
    </row>
    <row r="135" spans="1:30" hidden="1" x14ac:dyDescent="0.3">
      <c r="A135" t="s">
        <v>221</v>
      </c>
      <c r="B135" s="1" t="s">
        <v>287</v>
      </c>
      <c r="C135" s="1"/>
      <c r="D135" t="s">
        <v>357</v>
      </c>
      <c r="F135" t="b">
        <v>0</v>
      </c>
      <c r="I135">
        <v>1</v>
      </c>
      <c r="J135">
        <v>105</v>
      </c>
      <c r="K135">
        <v>53</v>
      </c>
      <c r="L135">
        <v>53</v>
      </c>
      <c r="M135" t="s">
        <v>68</v>
      </c>
      <c r="N135" t="s">
        <v>33</v>
      </c>
      <c r="O135" t="b">
        <v>1</v>
      </c>
      <c r="Y135">
        <f t="shared" si="4"/>
        <v>0</v>
      </c>
      <c r="AA135" s="3" t="str">
        <f t="shared" si="5"/>
        <v/>
      </c>
      <c r="AB135" s="3">
        <v>28</v>
      </c>
      <c r="AC135" t="str">
        <f>IFERROR(VLOOKUP(B135,vlookup!$A$16:$A$150,1,FALSE),"")</f>
        <v/>
      </c>
      <c r="AD135" t="str">
        <f>IFERROR(VLOOKUP(B135,vlookup!$A$16:$G$150,11,FALSE),"")</f>
        <v/>
      </c>
    </row>
    <row r="136" spans="1:30" hidden="1" x14ac:dyDescent="0.3">
      <c r="A136" t="s">
        <v>218</v>
      </c>
      <c r="B136" s="1" t="s">
        <v>285</v>
      </c>
      <c r="C136" s="1"/>
      <c r="D136" t="s">
        <v>357</v>
      </c>
      <c r="F136" t="b">
        <v>0</v>
      </c>
      <c r="I136">
        <v>1</v>
      </c>
      <c r="J136">
        <v>64</v>
      </c>
      <c r="K136">
        <v>53</v>
      </c>
      <c r="L136">
        <v>87</v>
      </c>
      <c r="M136" t="s">
        <v>70</v>
      </c>
      <c r="N136" t="s">
        <v>33</v>
      </c>
      <c r="O136" t="b">
        <v>1</v>
      </c>
      <c r="Y136">
        <f t="shared" si="4"/>
        <v>0</v>
      </c>
      <c r="AA136" s="3" t="str">
        <f t="shared" si="5"/>
        <v/>
      </c>
      <c r="AB136" s="3">
        <v>28</v>
      </c>
      <c r="AC136" t="str">
        <f>IFERROR(VLOOKUP(B136,vlookup!$A$16:$A$150,1,FALSE),"")</f>
        <v/>
      </c>
      <c r="AD136" t="str">
        <f>IFERROR(VLOOKUP(B136,vlookup!$A$16:$G$150,11,FALSE),"")</f>
        <v/>
      </c>
    </row>
    <row r="137" spans="1:30" hidden="1" x14ac:dyDescent="0.3">
      <c r="A137" t="s">
        <v>369</v>
      </c>
      <c r="B137" s="1" t="s">
        <v>288</v>
      </c>
      <c r="C137" s="1"/>
      <c r="D137" t="s">
        <v>357</v>
      </c>
      <c r="F137" t="b">
        <v>0</v>
      </c>
      <c r="I137">
        <v>1</v>
      </c>
      <c r="J137">
        <v>64</v>
      </c>
      <c r="K137">
        <v>53</v>
      </c>
      <c r="L137">
        <v>87</v>
      </c>
      <c r="M137" t="s">
        <v>70</v>
      </c>
      <c r="N137" t="s">
        <v>33</v>
      </c>
      <c r="O137" t="b">
        <v>1</v>
      </c>
      <c r="Y137">
        <f t="shared" si="4"/>
        <v>0</v>
      </c>
      <c r="AA137" s="3" t="str">
        <f t="shared" si="5"/>
        <v/>
      </c>
      <c r="AB137" s="3">
        <v>28</v>
      </c>
      <c r="AC137" t="str">
        <f>IFERROR(VLOOKUP(B137,vlookup!$A$16:$A$150,1,FALSE),"")</f>
        <v/>
      </c>
      <c r="AD137" t="str">
        <f>IFERROR(VLOOKUP(B137,vlookup!$A$16:$G$150,11,FALSE),"")</f>
        <v/>
      </c>
    </row>
    <row r="138" spans="1:30" hidden="1" x14ac:dyDescent="0.3">
      <c r="A138" t="s">
        <v>222</v>
      </c>
      <c r="B138" s="1">
        <v>71781227</v>
      </c>
      <c r="C138" s="1"/>
      <c r="D138" t="s">
        <v>357</v>
      </c>
      <c r="F138" t="b">
        <v>0</v>
      </c>
      <c r="I138">
        <v>1</v>
      </c>
      <c r="J138">
        <v>40</v>
      </c>
      <c r="K138">
        <v>40</v>
      </c>
      <c r="L138">
        <v>49</v>
      </c>
      <c r="M138" t="s">
        <v>68</v>
      </c>
      <c r="N138" t="s">
        <v>33</v>
      </c>
      <c r="O138" t="b">
        <v>1</v>
      </c>
      <c r="Y138">
        <f t="shared" si="4"/>
        <v>0</v>
      </c>
      <c r="AA138" s="3" t="str">
        <f t="shared" si="5"/>
        <v/>
      </c>
      <c r="AB138" s="3">
        <v>28</v>
      </c>
      <c r="AC138">
        <f>IFERROR(VLOOKUP(B138,vlookup!$A$16:$A$150,1,FALSE),"")</f>
        <v>71781227</v>
      </c>
      <c r="AD138" t="str">
        <f>IFERROR(VLOOKUP(B138,vlookup!$A$16:$G$150,11,FALSE),"")</f>
        <v/>
      </c>
    </row>
    <row r="139" spans="1:30" hidden="1" x14ac:dyDescent="0.3">
      <c r="A139" t="s">
        <v>223</v>
      </c>
      <c r="B139" s="1">
        <v>71979512</v>
      </c>
      <c r="C139" s="1"/>
      <c r="D139" t="s">
        <v>357</v>
      </c>
      <c r="F139" t="b">
        <v>0</v>
      </c>
      <c r="I139">
        <v>1</v>
      </c>
      <c r="J139">
        <v>80</v>
      </c>
      <c r="K139">
        <v>45</v>
      </c>
      <c r="L139">
        <v>66</v>
      </c>
      <c r="M139" t="s">
        <v>68</v>
      </c>
      <c r="N139" t="s">
        <v>33</v>
      </c>
      <c r="O139" t="b">
        <v>1</v>
      </c>
      <c r="Y139">
        <f t="shared" si="4"/>
        <v>0</v>
      </c>
      <c r="AA139" s="3" t="str">
        <f t="shared" si="5"/>
        <v/>
      </c>
      <c r="AB139" s="3">
        <v>28</v>
      </c>
      <c r="AC139">
        <f>IFERROR(VLOOKUP(B139,vlookup!$A$16:$A$150,1,FALSE),"")</f>
        <v>71979512</v>
      </c>
      <c r="AD139" t="str">
        <f>IFERROR(VLOOKUP(B139,vlookup!$A$16:$G$150,11,FALSE),"")</f>
        <v/>
      </c>
    </row>
    <row r="140" spans="1:30" hidden="1" x14ac:dyDescent="0.3">
      <c r="A140" t="s">
        <v>224</v>
      </c>
      <c r="B140" s="1">
        <v>7183753630</v>
      </c>
      <c r="C140" s="1"/>
      <c r="D140" t="s">
        <v>357</v>
      </c>
      <c r="F140" t="b">
        <v>0</v>
      </c>
      <c r="I140">
        <v>1</v>
      </c>
      <c r="J140">
        <v>41</v>
      </c>
      <c r="K140">
        <v>38</v>
      </c>
      <c r="L140">
        <v>48</v>
      </c>
      <c r="M140" t="s">
        <v>69</v>
      </c>
      <c r="N140" t="s">
        <v>33</v>
      </c>
      <c r="O140" t="b">
        <v>1</v>
      </c>
      <c r="Y140">
        <f t="shared" si="4"/>
        <v>0</v>
      </c>
      <c r="AA140" s="3" t="str">
        <f t="shared" si="5"/>
        <v/>
      </c>
      <c r="AB140" s="3">
        <v>28</v>
      </c>
      <c r="AC140">
        <f>IFERROR(VLOOKUP(B140,vlookup!$A$16:$A$150,1,FALSE),"")</f>
        <v>7183753630</v>
      </c>
      <c r="AD140" t="str">
        <f>IFERROR(VLOOKUP(B140,vlookup!$A$16:$G$150,11,FALSE),"")</f>
        <v/>
      </c>
    </row>
    <row r="141" spans="1:30" hidden="1" x14ac:dyDescent="0.3">
      <c r="A141" t="s">
        <v>225</v>
      </c>
      <c r="B141" s="1">
        <v>72186417</v>
      </c>
      <c r="C141" s="1"/>
      <c r="D141" t="s">
        <v>357</v>
      </c>
      <c r="F141" t="b">
        <v>0</v>
      </c>
      <c r="I141">
        <v>1</v>
      </c>
      <c r="J141">
        <v>60</v>
      </c>
      <c r="K141">
        <v>38</v>
      </c>
      <c r="L141">
        <v>49</v>
      </c>
      <c r="M141" t="s">
        <v>68</v>
      </c>
      <c r="N141" t="s">
        <v>33</v>
      </c>
      <c r="O141" t="b">
        <v>1</v>
      </c>
      <c r="Y141">
        <f t="shared" si="4"/>
        <v>0</v>
      </c>
      <c r="AA141" s="3" t="str">
        <f t="shared" si="5"/>
        <v/>
      </c>
      <c r="AB141" s="3">
        <v>28</v>
      </c>
      <c r="AC141" t="str">
        <f>IFERROR(VLOOKUP(B141,vlookup!$A$16:$A$150,1,FALSE),"")</f>
        <v/>
      </c>
      <c r="AD141" t="str">
        <f>IFERROR(VLOOKUP(B141,vlookup!$A$16:$G$150,11,FALSE),"")</f>
        <v/>
      </c>
    </row>
    <row r="142" spans="1:30" hidden="1" x14ac:dyDescent="0.3">
      <c r="A142" t="s">
        <v>226</v>
      </c>
      <c r="B142" s="1" t="s">
        <v>1547</v>
      </c>
      <c r="C142" s="1"/>
      <c r="D142" t="s">
        <v>357</v>
      </c>
      <c r="F142" t="b">
        <v>0</v>
      </c>
      <c r="I142">
        <v>1</v>
      </c>
      <c r="J142">
        <v>65</v>
      </c>
      <c r="K142">
        <v>58</v>
      </c>
      <c r="L142">
        <v>52</v>
      </c>
      <c r="M142" t="s">
        <v>68</v>
      </c>
      <c r="N142" t="s">
        <v>33</v>
      </c>
      <c r="O142" t="b">
        <v>1</v>
      </c>
      <c r="Y142">
        <f t="shared" si="4"/>
        <v>0</v>
      </c>
      <c r="AA142" s="3" t="str">
        <f t="shared" si="5"/>
        <v/>
      </c>
      <c r="AB142" s="3">
        <v>28</v>
      </c>
      <c r="AC142" t="str">
        <f>IFERROR(VLOOKUP(B142,vlookup!$A$16:$A$150,1,FALSE),"")</f>
        <v>7189482930+72741357</v>
      </c>
      <c r="AD142" t="str">
        <f>IFERROR(VLOOKUP(B142,vlookup!$A$16:$G$150,11,FALSE),"")</f>
        <v/>
      </c>
    </row>
    <row r="143" spans="1:30" hidden="1" x14ac:dyDescent="0.3">
      <c r="A143" t="s">
        <v>227</v>
      </c>
      <c r="B143" s="1">
        <v>7271262590</v>
      </c>
      <c r="C143" s="1"/>
      <c r="D143" t="s">
        <v>357</v>
      </c>
      <c r="F143" t="b">
        <v>0</v>
      </c>
      <c r="I143">
        <v>1</v>
      </c>
      <c r="J143">
        <v>85</v>
      </c>
      <c r="K143">
        <v>62</v>
      </c>
      <c r="L143">
        <v>57</v>
      </c>
      <c r="M143" t="s">
        <v>70</v>
      </c>
      <c r="N143" t="s">
        <v>33</v>
      </c>
      <c r="O143" t="b">
        <v>1</v>
      </c>
      <c r="Y143">
        <f t="shared" si="4"/>
        <v>0</v>
      </c>
      <c r="AA143" s="3" t="str">
        <f t="shared" si="5"/>
        <v/>
      </c>
      <c r="AB143" s="3">
        <v>28</v>
      </c>
      <c r="AC143" t="str">
        <f>IFERROR(VLOOKUP(B143,vlookup!$A$16:$A$150,1,FALSE),"")</f>
        <v/>
      </c>
      <c r="AD143" t="str">
        <f>IFERROR(VLOOKUP(B143,vlookup!$A$16:$G$150,11,FALSE),"")</f>
        <v/>
      </c>
    </row>
    <row r="144" spans="1:30" hidden="1" x14ac:dyDescent="0.3">
      <c r="A144" t="s">
        <v>371</v>
      </c>
      <c r="B144" s="1" t="s">
        <v>707</v>
      </c>
      <c r="C144" s="1"/>
      <c r="D144" t="s">
        <v>357</v>
      </c>
      <c r="F144" t="b">
        <v>0</v>
      </c>
      <c r="I144">
        <v>1</v>
      </c>
      <c r="J144">
        <v>49</v>
      </c>
      <c r="K144">
        <v>32</v>
      </c>
      <c r="L144">
        <v>44</v>
      </c>
      <c r="M144" t="s">
        <v>69</v>
      </c>
      <c r="N144" t="s">
        <v>33</v>
      </c>
      <c r="O144" t="b">
        <v>1</v>
      </c>
      <c r="X144">
        <v>19</v>
      </c>
      <c r="Y144">
        <f t="shared" si="4"/>
        <v>0</v>
      </c>
      <c r="Z144" t="s">
        <v>1624</v>
      </c>
      <c r="AA144" s="3" t="str">
        <f t="shared" si="5"/>
        <v/>
      </c>
      <c r="AB144" s="3">
        <v>28</v>
      </c>
      <c r="AC144" t="str">
        <f>IFERROR(VLOOKUP(B144,vlookup!$A$16:$A$150,1,FALSE),"")</f>
        <v>ASSY_59Z063DC0A</v>
      </c>
      <c r="AD144" t="str">
        <f>IFERROR(VLOOKUP(B144,vlookup!$A$16:$G$150,11,FALSE),"")</f>
        <v/>
      </c>
    </row>
    <row r="145" spans="1:30" hidden="1" x14ac:dyDescent="0.3">
      <c r="A145" t="s">
        <v>228</v>
      </c>
      <c r="B145" s="1" t="s">
        <v>291</v>
      </c>
      <c r="C145" s="1"/>
      <c r="D145" t="s">
        <v>357</v>
      </c>
      <c r="F145" t="b">
        <v>0</v>
      </c>
      <c r="I145">
        <v>1</v>
      </c>
      <c r="J145">
        <v>47</v>
      </c>
      <c r="K145">
        <v>41</v>
      </c>
      <c r="L145">
        <v>54</v>
      </c>
      <c r="M145" t="s">
        <v>70</v>
      </c>
      <c r="N145" t="s">
        <v>33</v>
      </c>
      <c r="O145" t="b">
        <v>1</v>
      </c>
      <c r="Y145">
        <f t="shared" si="4"/>
        <v>0</v>
      </c>
      <c r="AA145" s="3" t="str">
        <f t="shared" si="5"/>
        <v/>
      </c>
      <c r="AB145" s="3">
        <v>28</v>
      </c>
      <c r="AC145" t="str">
        <f>IFERROR(VLOOKUP(B145,vlookup!$A$16:$A$150,1,FALSE),"")</f>
        <v>ASSY_E6Z017DC1C</v>
      </c>
      <c r="AD145" t="str">
        <f>IFERROR(VLOOKUP(B145,vlookup!$A$16:$G$150,11,FALSE),"")</f>
        <v/>
      </c>
    </row>
    <row r="146" spans="1:30" hidden="1" x14ac:dyDescent="0.3">
      <c r="A146" t="s">
        <v>229</v>
      </c>
      <c r="B146" s="1">
        <v>7119141030</v>
      </c>
      <c r="C146" s="1"/>
      <c r="D146" t="s">
        <v>357</v>
      </c>
      <c r="F146" t="b">
        <v>0</v>
      </c>
      <c r="I146">
        <v>1</v>
      </c>
      <c r="J146">
        <v>42</v>
      </c>
      <c r="K146">
        <v>35</v>
      </c>
      <c r="L146">
        <v>44</v>
      </c>
      <c r="M146" t="s">
        <v>69</v>
      </c>
      <c r="N146" t="s">
        <v>33</v>
      </c>
      <c r="O146" t="b">
        <v>1</v>
      </c>
      <c r="Y146">
        <f t="shared" si="4"/>
        <v>0</v>
      </c>
      <c r="AA146" s="3" t="str">
        <f t="shared" si="5"/>
        <v/>
      </c>
      <c r="AB146" s="3">
        <v>28</v>
      </c>
      <c r="AC146" t="str">
        <f>IFERROR(VLOOKUP(B146,vlookup!$A$16:$A$150,1,FALSE),"")</f>
        <v/>
      </c>
      <c r="AD146" t="str">
        <f>IFERROR(VLOOKUP(B146,vlookup!$A$16:$G$150,11,FALSE),"")</f>
        <v/>
      </c>
    </row>
    <row r="147" spans="1:30" hidden="1" x14ac:dyDescent="0.3">
      <c r="A147" t="s">
        <v>230</v>
      </c>
      <c r="B147" s="1" t="s">
        <v>292</v>
      </c>
      <c r="C147" s="1"/>
      <c r="D147" t="s">
        <v>357</v>
      </c>
      <c r="F147" t="b">
        <v>0</v>
      </c>
      <c r="I147">
        <v>1</v>
      </c>
      <c r="J147">
        <v>70</v>
      </c>
      <c r="K147">
        <v>45</v>
      </c>
      <c r="L147">
        <v>52</v>
      </c>
      <c r="M147" t="s">
        <v>68</v>
      </c>
      <c r="N147" t="s">
        <v>33</v>
      </c>
      <c r="O147" t="b">
        <v>1</v>
      </c>
      <c r="V147" t="b">
        <v>1</v>
      </c>
      <c r="Y147">
        <f t="shared" si="4"/>
        <v>0</v>
      </c>
      <c r="AA147" s="3" t="str">
        <f t="shared" si="5"/>
        <v/>
      </c>
      <c r="AB147" s="3">
        <v>28</v>
      </c>
      <c r="AC147" t="str">
        <f>IFERROR(VLOOKUP(B147,vlookup!$A$16:$A$150,1,FALSE),"")</f>
        <v/>
      </c>
      <c r="AD147" t="str">
        <f>IFERROR(VLOOKUP(B147,vlookup!$A$16:$G$150,11,FALSE),"")</f>
        <v/>
      </c>
    </row>
    <row r="148" spans="1:30" hidden="1" x14ac:dyDescent="0.3">
      <c r="A148" t="s">
        <v>231</v>
      </c>
      <c r="B148" s="1" t="s">
        <v>960</v>
      </c>
      <c r="C148" s="1"/>
      <c r="D148" t="s">
        <v>357</v>
      </c>
      <c r="F148" t="b">
        <v>0</v>
      </c>
      <c r="I148">
        <v>1</v>
      </c>
      <c r="J148">
        <v>55</v>
      </c>
      <c r="K148">
        <v>40</v>
      </c>
      <c r="L148">
        <v>50</v>
      </c>
      <c r="M148" t="s">
        <v>68</v>
      </c>
      <c r="N148" t="s">
        <v>33</v>
      </c>
      <c r="O148" t="b">
        <v>1</v>
      </c>
      <c r="Y148">
        <f t="shared" si="4"/>
        <v>0</v>
      </c>
      <c r="AA148" s="3" t="str">
        <f t="shared" si="5"/>
        <v/>
      </c>
      <c r="AB148" s="3">
        <v>28</v>
      </c>
      <c r="AC148" t="str">
        <f>IFERROR(VLOOKUP(B148,vlookup!$A$16:$A$150,1,FALSE),"")</f>
        <v>A1729821302_EYELET V1</v>
      </c>
      <c r="AD148" t="str">
        <f>IFERROR(VLOOKUP(B148,vlookup!$A$16:$G$150,11,FALSE),"")</f>
        <v/>
      </c>
    </row>
    <row r="149" spans="1:30" hidden="1" x14ac:dyDescent="0.3">
      <c r="A149" t="s">
        <v>340</v>
      </c>
      <c r="B149" s="9">
        <v>7075226830</v>
      </c>
      <c r="C149" s="9" t="s">
        <v>912</v>
      </c>
      <c r="D149" t="s">
        <v>357</v>
      </c>
      <c r="F149" t="b">
        <v>0</v>
      </c>
      <c r="I149">
        <v>1</v>
      </c>
      <c r="J149">
        <v>60</v>
      </c>
      <c r="K149">
        <v>43</v>
      </c>
      <c r="L149">
        <v>65</v>
      </c>
      <c r="M149" t="s">
        <v>69</v>
      </c>
      <c r="N149" t="s">
        <v>33</v>
      </c>
      <c r="O149" t="b">
        <v>1</v>
      </c>
      <c r="Y149">
        <f t="shared" si="4"/>
        <v>0</v>
      </c>
      <c r="AA149" s="3" t="str">
        <f t="shared" si="5"/>
        <v/>
      </c>
      <c r="AB149" s="3">
        <v>28</v>
      </c>
      <c r="AC149" t="str">
        <f>IFERROR(VLOOKUP(B149,vlookup!$A$16:$A$150,1,FALSE),"")</f>
        <v/>
      </c>
      <c r="AD149" t="str">
        <f>IFERROR(VLOOKUP(B149,vlookup!$A$16:$G$150,11,FALSE),"")</f>
        <v/>
      </c>
    </row>
    <row r="150" spans="1:30" hidden="1" x14ac:dyDescent="0.3">
      <c r="A150" t="s">
        <v>219</v>
      </c>
      <c r="B150" s="9" t="s">
        <v>362</v>
      </c>
      <c r="C150" s="9"/>
      <c r="D150" t="s">
        <v>357</v>
      </c>
      <c r="F150" t="b">
        <v>0</v>
      </c>
      <c r="I150">
        <v>1</v>
      </c>
      <c r="J150">
        <v>66</v>
      </c>
      <c r="K150">
        <v>66</v>
      </c>
      <c r="L150">
        <v>66</v>
      </c>
      <c r="M150" t="s">
        <v>69</v>
      </c>
      <c r="N150" t="s">
        <v>33</v>
      </c>
      <c r="O150" t="b">
        <v>1</v>
      </c>
      <c r="Y150">
        <f t="shared" si="4"/>
        <v>0</v>
      </c>
      <c r="AA150" s="3" t="str">
        <f t="shared" si="5"/>
        <v/>
      </c>
      <c r="AB150" s="3">
        <v>28</v>
      </c>
      <c r="AC150" t="str">
        <f>IFERROR(VLOOKUP(B150,vlookup!$A$16:$A$150,1,FALSE),"")</f>
        <v/>
      </c>
      <c r="AD150" t="str">
        <f>IFERROR(VLOOKUP(B150,vlookup!$A$16:$G$150,11,FALSE),"")</f>
        <v/>
      </c>
    </row>
    <row r="151" spans="1:30" hidden="1" x14ac:dyDescent="0.3">
      <c r="A151" t="s">
        <v>379</v>
      </c>
      <c r="B151" s="1" t="s">
        <v>374</v>
      </c>
      <c r="C151" s="1"/>
      <c r="D151" t="s">
        <v>357</v>
      </c>
      <c r="F151" t="b">
        <v>0</v>
      </c>
      <c r="I151">
        <v>1</v>
      </c>
      <c r="J151">
        <v>40</v>
      </c>
      <c r="K151">
        <v>35</v>
      </c>
      <c r="L151">
        <v>52</v>
      </c>
      <c r="M151" t="s">
        <v>70</v>
      </c>
      <c r="N151" t="s">
        <v>33</v>
      </c>
      <c r="O151" t="b">
        <v>1</v>
      </c>
      <c r="Y151">
        <f t="shared" si="4"/>
        <v>0</v>
      </c>
      <c r="AA151" s="3" t="str">
        <f t="shared" si="5"/>
        <v/>
      </c>
      <c r="AB151" s="3">
        <v>28</v>
      </c>
      <c r="AC151" t="str">
        <f>IFERROR(VLOOKUP(B151,vlookup!$A$16:$A$150,1,FALSE),"")</f>
        <v>ASSY_59Z006T00C</v>
      </c>
      <c r="AD151" t="str">
        <f>IFERROR(VLOOKUP(B151,vlookup!$A$16:$G$150,11,FALSE),"")</f>
        <v/>
      </c>
    </row>
    <row r="152" spans="1:30" hidden="1" x14ac:dyDescent="0.3">
      <c r="A152" t="s">
        <v>382</v>
      </c>
      <c r="B152" s="1" t="s">
        <v>381</v>
      </c>
      <c r="C152" s="1" t="s">
        <v>1116</v>
      </c>
      <c r="D152" t="s">
        <v>357</v>
      </c>
      <c r="F152" t="b">
        <v>0</v>
      </c>
      <c r="I152">
        <v>1</v>
      </c>
      <c r="J152">
        <v>45</v>
      </c>
      <c r="K152">
        <v>35</v>
      </c>
      <c r="L152">
        <v>42</v>
      </c>
      <c r="M152" t="s">
        <v>72</v>
      </c>
      <c r="N152" t="s">
        <v>33</v>
      </c>
      <c r="O152" t="b">
        <v>1</v>
      </c>
      <c r="Y152">
        <f t="shared" si="4"/>
        <v>0</v>
      </c>
      <c r="AA152" s="3" t="str">
        <f t="shared" si="5"/>
        <v/>
      </c>
      <c r="AB152" s="3">
        <v>28</v>
      </c>
      <c r="AC152" t="str">
        <f>IFERROR(VLOOKUP(B152,vlookup!$A$16:$A$150,1,FALSE),"")</f>
        <v/>
      </c>
      <c r="AD152" t="str">
        <f>IFERROR(VLOOKUP(B152,vlookup!$A$16:$G$150,11,FALSE),"")</f>
        <v/>
      </c>
    </row>
    <row r="153" spans="1:30" hidden="1" x14ac:dyDescent="0.3">
      <c r="A153" t="s">
        <v>343</v>
      </c>
      <c r="B153" s="9" t="s">
        <v>363</v>
      </c>
      <c r="C153" s="9"/>
      <c r="D153" t="s">
        <v>357</v>
      </c>
      <c r="F153" t="b">
        <v>0</v>
      </c>
      <c r="I153">
        <v>1</v>
      </c>
      <c r="J153">
        <v>60</v>
      </c>
      <c r="K153">
        <v>40</v>
      </c>
      <c r="L153">
        <v>50</v>
      </c>
      <c r="M153" t="s">
        <v>70</v>
      </c>
      <c r="N153" t="s">
        <v>33</v>
      </c>
      <c r="O153" t="b">
        <v>1</v>
      </c>
      <c r="Y153">
        <f t="shared" si="4"/>
        <v>0</v>
      </c>
      <c r="AA153" s="3" t="str">
        <f t="shared" si="5"/>
        <v/>
      </c>
      <c r="AB153" s="3">
        <v>28</v>
      </c>
      <c r="AC153" t="str">
        <f>IFERROR(VLOOKUP(B153,vlookup!$A$16:$A$150,1,FALSE),"")</f>
        <v/>
      </c>
      <c r="AD153" t="str">
        <f>IFERROR(VLOOKUP(B153,vlookup!$A$16:$G$150,11,FALSE),"")</f>
        <v/>
      </c>
    </row>
    <row r="154" spans="1:30" hidden="1" x14ac:dyDescent="0.3">
      <c r="A154" t="s">
        <v>375</v>
      </c>
      <c r="B154" s="1" t="s">
        <v>364</v>
      </c>
      <c r="C154" s="1"/>
      <c r="D154" t="s">
        <v>357</v>
      </c>
      <c r="F154" t="b">
        <v>0</v>
      </c>
      <c r="I154">
        <v>1</v>
      </c>
      <c r="J154">
        <v>81</v>
      </c>
      <c r="K154">
        <v>60</v>
      </c>
      <c r="L154">
        <v>54</v>
      </c>
      <c r="M154" t="s">
        <v>69</v>
      </c>
      <c r="N154" t="s">
        <v>33</v>
      </c>
      <c r="O154" t="b">
        <v>1</v>
      </c>
      <c r="Y154">
        <f t="shared" si="4"/>
        <v>0</v>
      </c>
      <c r="AA154" s="3" t="str">
        <f t="shared" si="5"/>
        <v/>
      </c>
      <c r="AB154" s="3">
        <v>28</v>
      </c>
      <c r="AC154" t="str">
        <f>IFERROR(VLOOKUP(B154,vlookup!$A$16:$A$150,1,FALSE),"")</f>
        <v/>
      </c>
      <c r="AD154" t="str">
        <f>IFERROR(VLOOKUP(B154,vlookup!$A$16:$G$150,11,FALSE),"")</f>
        <v/>
      </c>
    </row>
    <row r="155" spans="1:30" hidden="1" x14ac:dyDescent="0.3">
      <c r="A155" t="s">
        <v>380</v>
      </c>
      <c r="B155" s="1">
        <v>7047275330</v>
      </c>
      <c r="C155" s="1"/>
      <c r="D155" t="s">
        <v>360</v>
      </c>
      <c r="F155" t="b">
        <v>0</v>
      </c>
      <c r="I155">
        <v>1</v>
      </c>
      <c r="J155">
        <v>41</v>
      </c>
      <c r="K155">
        <v>30</v>
      </c>
      <c r="L155">
        <v>40</v>
      </c>
      <c r="M155" t="s">
        <v>69</v>
      </c>
      <c r="N155" t="s">
        <v>33</v>
      </c>
      <c r="O155" t="b">
        <v>1</v>
      </c>
      <c r="Y155">
        <f t="shared" si="4"/>
        <v>0</v>
      </c>
      <c r="AA155" s="3" t="str">
        <f t="shared" si="5"/>
        <v/>
      </c>
      <c r="AB155" s="3">
        <v>28</v>
      </c>
      <c r="AC155" t="str">
        <f>IFERROR(VLOOKUP(B155,vlookup!$A$16:$A$150,1,FALSE),"")</f>
        <v/>
      </c>
      <c r="AD155" t="str">
        <f>IFERROR(VLOOKUP(B155,vlookup!$A$16:$G$150,11,FALSE),"")</f>
        <v/>
      </c>
    </row>
    <row r="156" spans="1:30" hidden="1" x14ac:dyDescent="0.3">
      <c r="A156" t="s">
        <v>345</v>
      </c>
      <c r="B156" s="1" t="s">
        <v>365</v>
      </c>
      <c r="C156" s="1"/>
      <c r="D156" t="s">
        <v>357</v>
      </c>
      <c r="F156" t="b">
        <v>0</v>
      </c>
      <c r="I156">
        <v>1</v>
      </c>
      <c r="J156">
        <v>65</v>
      </c>
      <c r="K156">
        <v>58</v>
      </c>
      <c r="L156">
        <v>50</v>
      </c>
      <c r="M156" t="s">
        <v>70</v>
      </c>
      <c r="N156" t="s">
        <v>33</v>
      </c>
      <c r="O156" t="b">
        <v>1</v>
      </c>
      <c r="Y156">
        <f t="shared" si="4"/>
        <v>0</v>
      </c>
      <c r="AA156" s="3" t="str">
        <f t="shared" si="5"/>
        <v/>
      </c>
      <c r="AB156" s="3">
        <v>28</v>
      </c>
      <c r="AC156" t="str">
        <f>IFERROR(VLOOKUP(B156,vlookup!$A$16:$A$150,1,FALSE),"")</f>
        <v/>
      </c>
      <c r="AD156" t="str">
        <f>IFERROR(VLOOKUP(B156,vlookup!$A$16:$G$150,11,FALSE),"")</f>
        <v/>
      </c>
    </row>
    <row r="157" spans="1:30" hidden="1" x14ac:dyDescent="0.3">
      <c r="A157" t="s">
        <v>147</v>
      </c>
      <c r="B157" s="1">
        <v>7271007230</v>
      </c>
      <c r="C157" s="1" t="s">
        <v>745</v>
      </c>
      <c r="D157" t="s">
        <v>357</v>
      </c>
      <c r="F157" t="b">
        <v>1</v>
      </c>
      <c r="I157">
        <v>1</v>
      </c>
      <c r="Y157">
        <f t="shared" si="4"/>
        <v>0</v>
      </c>
      <c r="AA157" s="3" t="str">
        <f t="shared" si="5"/>
        <v/>
      </c>
      <c r="AB157" s="3">
        <v>28</v>
      </c>
      <c r="AC157">
        <f>IFERROR(VLOOKUP(B157,vlookup!$A$16:$A$150,1,FALSE),"")</f>
        <v>7271007230</v>
      </c>
      <c r="AD157" t="str">
        <f>IFERROR(VLOOKUP(B157,vlookup!$A$16:$G$150,11,FALSE),"")</f>
        <v/>
      </c>
    </row>
    <row r="158" spans="1:30" hidden="1" x14ac:dyDescent="0.3">
      <c r="B158" s="1">
        <v>7271007230</v>
      </c>
      <c r="C158" s="1"/>
      <c r="G158" t="s">
        <v>147</v>
      </c>
      <c r="H158" t="s">
        <v>524</v>
      </c>
      <c r="I158">
        <v>1</v>
      </c>
      <c r="J158">
        <v>185</v>
      </c>
      <c r="K158">
        <v>136</v>
      </c>
      <c r="L158">
        <v>60</v>
      </c>
      <c r="M158" t="s">
        <v>68</v>
      </c>
      <c r="N158" t="s">
        <v>33</v>
      </c>
      <c r="O158" t="b">
        <v>1</v>
      </c>
      <c r="Y158">
        <f t="shared" si="4"/>
        <v>0</v>
      </c>
      <c r="AA158" s="3" t="str">
        <f t="shared" si="5"/>
        <v/>
      </c>
      <c r="AB158" s="3">
        <v>28</v>
      </c>
      <c r="AC158">
        <f>IFERROR(VLOOKUP(B158,vlookup!$A$16:$A$150,1,FALSE),"")</f>
        <v>7271007230</v>
      </c>
      <c r="AD158" t="str">
        <f>IFERROR(VLOOKUP(B158,vlookup!$A$16:$G$150,11,FALSE),"")</f>
        <v/>
      </c>
    </row>
    <row r="159" spans="1:30" hidden="1" x14ac:dyDescent="0.3">
      <c r="B159" s="1">
        <v>7271007230</v>
      </c>
      <c r="C159" s="1"/>
      <c r="G159" t="s">
        <v>147</v>
      </c>
      <c r="H159" t="s">
        <v>525</v>
      </c>
      <c r="I159">
        <v>1</v>
      </c>
      <c r="J159">
        <v>131</v>
      </c>
      <c r="K159">
        <v>20</v>
      </c>
      <c r="L159">
        <v>25</v>
      </c>
      <c r="M159" t="s">
        <v>68</v>
      </c>
      <c r="N159" t="s">
        <v>33</v>
      </c>
      <c r="O159" t="b">
        <v>1</v>
      </c>
      <c r="Y159">
        <f t="shared" si="4"/>
        <v>0</v>
      </c>
      <c r="AA159" s="3" t="str">
        <f t="shared" si="5"/>
        <v/>
      </c>
      <c r="AB159" s="3">
        <v>28</v>
      </c>
      <c r="AC159">
        <f>IFERROR(VLOOKUP(B159,vlookup!$A$16:$A$150,1,FALSE),"")</f>
        <v>7271007230</v>
      </c>
      <c r="AD159" t="str">
        <f>IFERROR(VLOOKUP(B159,vlookup!$A$16:$G$150,11,FALSE),"")</f>
        <v/>
      </c>
    </row>
    <row r="160" spans="1:30" hidden="1" x14ac:dyDescent="0.3">
      <c r="B160" s="1">
        <v>7271007230</v>
      </c>
      <c r="C160" s="1"/>
      <c r="G160" t="s">
        <v>147</v>
      </c>
      <c r="H160" t="s">
        <v>526</v>
      </c>
      <c r="I160">
        <v>1</v>
      </c>
      <c r="J160">
        <v>174</v>
      </c>
      <c r="K160">
        <v>20</v>
      </c>
      <c r="L160">
        <v>25</v>
      </c>
      <c r="M160" t="s">
        <v>68</v>
      </c>
      <c r="N160" t="s">
        <v>33</v>
      </c>
      <c r="O160" t="b">
        <v>1</v>
      </c>
      <c r="Y160">
        <f t="shared" si="4"/>
        <v>0</v>
      </c>
      <c r="AA160" s="3" t="str">
        <f t="shared" si="5"/>
        <v/>
      </c>
      <c r="AB160" s="3">
        <v>28</v>
      </c>
      <c r="AC160">
        <f>IFERROR(VLOOKUP(B160,vlookup!$A$16:$A$150,1,FALSE),"")</f>
        <v>7271007230</v>
      </c>
      <c r="AD160" t="str">
        <f>IFERROR(VLOOKUP(B160,vlookup!$A$16:$G$150,11,FALSE),"")</f>
        <v/>
      </c>
    </row>
    <row r="161" spans="1:30" hidden="1" x14ac:dyDescent="0.3">
      <c r="B161" s="1">
        <v>7271007230</v>
      </c>
      <c r="C161" s="1"/>
      <c r="G161" t="s">
        <v>147</v>
      </c>
      <c r="H161" t="s">
        <v>527</v>
      </c>
      <c r="I161">
        <v>1</v>
      </c>
      <c r="J161">
        <v>131</v>
      </c>
      <c r="K161">
        <v>20</v>
      </c>
      <c r="L161">
        <v>25</v>
      </c>
      <c r="M161" t="s">
        <v>68</v>
      </c>
      <c r="N161" t="s">
        <v>33</v>
      </c>
      <c r="O161" t="b">
        <v>1</v>
      </c>
      <c r="Y161">
        <f t="shared" si="4"/>
        <v>0</v>
      </c>
      <c r="AA161" s="3" t="str">
        <f t="shared" si="5"/>
        <v/>
      </c>
      <c r="AB161" s="3">
        <v>28</v>
      </c>
      <c r="AC161">
        <f>IFERROR(VLOOKUP(B161,vlookup!$A$16:$A$150,1,FALSE),"")</f>
        <v>7271007230</v>
      </c>
      <c r="AD161" t="str">
        <f>IFERROR(VLOOKUP(B161,vlookup!$A$16:$G$150,11,FALSE),"")</f>
        <v/>
      </c>
    </row>
    <row r="162" spans="1:30" hidden="1" x14ac:dyDescent="0.3">
      <c r="B162" s="1">
        <v>7271007230</v>
      </c>
      <c r="C162" s="1"/>
      <c r="G162" t="s">
        <v>147</v>
      </c>
      <c r="H162" t="s">
        <v>528</v>
      </c>
      <c r="I162">
        <v>1</v>
      </c>
      <c r="J162">
        <v>51</v>
      </c>
      <c r="K162">
        <v>32</v>
      </c>
      <c r="L162">
        <v>80</v>
      </c>
      <c r="M162" t="s">
        <v>68</v>
      </c>
      <c r="N162" t="s">
        <v>33</v>
      </c>
      <c r="O162" t="b">
        <v>1</v>
      </c>
      <c r="Y162">
        <f t="shared" si="4"/>
        <v>0</v>
      </c>
      <c r="AA162" s="3" t="str">
        <f t="shared" si="5"/>
        <v/>
      </c>
      <c r="AB162" s="3">
        <v>28</v>
      </c>
      <c r="AC162">
        <f>IFERROR(VLOOKUP(B162,vlookup!$A$16:$A$150,1,FALSE),"")</f>
        <v>7271007230</v>
      </c>
      <c r="AD162" t="str">
        <f>IFERROR(VLOOKUP(B162,vlookup!$A$16:$G$150,11,FALSE),"")</f>
        <v/>
      </c>
    </row>
    <row r="163" spans="1:30" hidden="1" x14ac:dyDescent="0.3">
      <c r="A163" t="s">
        <v>377</v>
      </c>
      <c r="B163" s="1" t="s">
        <v>666</v>
      </c>
      <c r="C163" s="1"/>
      <c r="D163" t="s">
        <v>357</v>
      </c>
      <c r="F163" t="b">
        <v>1</v>
      </c>
      <c r="I163">
        <v>1</v>
      </c>
      <c r="Y163">
        <f t="shared" si="4"/>
        <v>0</v>
      </c>
      <c r="AA163" s="3" t="str">
        <f t="shared" si="5"/>
        <v/>
      </c>
      <c r="AB163" s="3">
        <v>28</v>
      </c>
      <c r="AC163" t="str">
        <f>IFERROR(VLOOKUP(B163,vlookup!$A$16:$A$150,1,FALSE),"")</f>
        <v>7198762530+7198600430+72743034</v>
      </c>
      <c r="AD163" t="str">
        <f>IFERROR(VLOOKUP(B163,vlookup!$A$16:$G$150,11,FALSE),"")</f>
        <v/>
      </c>
    </row>
    <row r="164" spans="1:30" hidden="1" x14ac:dyDescent="0.3">
      <c r="B164" s="1" t="s">
        <v>666</v>
      </c>
      <c r="C164" s="1"/>
      <c r="G164" t="s">
        <v>377</v>
      </c>
      <c r="H164" t="s">
        <v>850</v>
      </c>
      <c r="I164">
        <v>1</v>
      </c>
      <c r="J164">
        <v>111</v>
      </c>
      <c r="K164">
        <v>39</v>
      </c>
      <c r="L164">
        <v>56</v>
      </c>
      <c r="M164" t="s">
        <v>69</v>
      </c>
      <c r="N164" t="s">
        <v>33</v>
      </c>
      <c r="P164" t="b">
        <v>1</v>
      </c>
      <c r="Y164">
        <f t="shared" si="4"/>
        <v>0</v>
      </c>
      <c r="AA164" s="3" t="str">
        <f t="shared" si="5"/>
        <v/>
      </c>
      <c r="AB164" s="3">
        <v>28</v>
      </c>
      <c r="AC164" t="str">
        <f>IFERROR(VLOOKUP(B164,vlookup!$A$16:$A$150,1,FALSE),"")</f>
        <v>7198762530+7198600430+72743034</v>
      </c>
      <c r="AD164" t="str">
        <f>IFERROR(VLOOKUP(B164,vlookup!$A$16:$G$150,11,FALSE),"")</f>
        <v/>
      </c>
    </row>
    <row r="165" spans="1:30" hidden="1" x14ac:dyDescent="0.3">
      <c r="B165" s="1" t="s">
        <v>666</v>
      </c>
      <c r="C165" s="1"/>
      <c r="G165" t="s">
        <v>377</v>
      </c>
      <c r="H165" t="s">
        <v>851</v>
      </c>
      <c r="I165">
        <v>1</v>
      </c>
      <c r="J165">
        <v>111</v>
      </c>
      <c r="K165">
        <v>37</v>
      </c>
      <c r="L165">
        <v>56</v>
      </c>
      <c r="M165" t="s">
        <v>69</v>
      </c>
      <c r="N165" t="s">
        <v>33</v>
      </c>
      <c r="P165" t="b">
        <v>1</v>
      </c>
      <c r="Y165">
        <f t="shared" si="4"/>
        <v>0</v>
      </c>
      <c r="AA165" s="3" t="str">
        <f t="shared" si="5"/>
        <v/>
      </c>
      <c r="AB165" s="3">
        <v>28</v>
      </c>
      <c r="AC165" t="str">
        <f>IFERROR(VLOOKUP(B165,vlookup!$A$16:$A$150,1,FALSE),"")</f>
        <v>7198762530+7198600430+72743034</v>
      </c>
      <c r="AD165" t="str">
        <f>IFERROR(VLOOKUP(B165,vlookup!$A$16:$G$150,11,FALSE),"")</f>
        <v/>
      </c>
    </row>
    <row r="166" spans="1:30" hidden="1" x14ac:dyDescent="0.3">
      <c r="B166" s="1" t="s">
        <v>666</v>
      </c>
      <c r="C166" s="1"/>
      <c r="G166" t="s">
        <v>377</v>
      </c>
      <c r="H166" t="s">
        <v>852</v>
      </c>
      <c r="I166">
        <v>1</v>
      </c>
      <c r="J166">
        <v>111</v>
      </c>
      <c r="K166">
        <v>47</v>
      </c>
      <c r="L166">
        <v>56</v>
      </c>
      <c r="M166" t="s">
        <v>68</v>
      </c>
      <c r="N166" t="s">
        <v>33</v>
      </c>
      <c r="P166" t="b">
        <v>1</v>
      </c>
      <c r="Y166">
        <f t="shared" si="4"/>
        <v>0</v>
      </c>
      <c r="AA166" s="3" t="str">
        <f t="shared" si="5"/>
        <v/>
      </c>
      <c r="AB166" s="3">
        <v>28</v>
      </c>
      <c r="AC166" t="str">
        <f>IFERROR(VLOOKUP(B166,vlookup!$A$16:$A$150,1,FALSE),"")</f>
        <v>7198762530+7198600430+72743034</v>
      </c>
      <c r="AD166" t="str">
        <f>IFERROR(VLOOKUP(B166,vlookup!$A$16:$G$150,11,FALSE),"")</f>
        <v/>
      </c>
    </row>
    <row r="167" spans="1:30" hidden="1" x14ac:dyDescent="0.3">
      <c r="A167" t="s">
        <v>872</v>
      </c>
      <c r="B167" s="1">
        <v>7003293002</v>
      </c>
      <c r="C167" s="1"/>
      <c r="D167" t="s">
        <v>357</v>
      </c>
      <c r="F167" t="b">
        <v>0</v>
      </c>
      <c r="I167">
        <v>1</v>
      </c>
      <c r="J167">
        <v>60</v>
      </c>
      <c r="K167">
        <v>39</v>
      </c>
      <c r="L167">
        <v>45</v>
      </c>
      <c r="M167" t="s">
        <v>68</v>
      </c>
      <c r="N167" t="s">
        <v>33</v>
      </c>
      <c r="O167" t="b">
        <v>1</v>
      </c>
      <c r="Y167">
        <f t="shared" si="4"/>
        <v>0</v>
      </c>
      <c r="AA167" s="3" t="str">
        <f t="shared" si="5"/>
        <v/>
      </c>
      <c r="AB167" s="3">
        <v>28</v>
      </c>
      <c r="AC167" t="str">
        <f>IFERROR(VLOOKUP(B167,vlookup!$A$16:$A$150,1,FALSE),"")</f>
        <v/>
      </c>
      <c r="AD167" t="str">
        <f>IFERROR(VLOOKUP(B167,vlookup!$A$16:$G$150,11,FALSE),"")</f>
        <v/>
      </c>
    </row>
    <row r="168" spans="1:30" hidden="1" x14ac:dyDescent="0.3">
      <c r="A168" t="s">
        <v>873</v>
      </c>
      <c r="B168" s="1">
        <v>7003789102</v>
      </c>
      <c r="C168" s="1"/>
      <c r="D168" t="s">
        <v>357</v>
      </c>
      <c r="F168" t="b">
        <v>0</v>
      </c>
      <c r="I168">
        <v>1</v>
      </c>
      <c r="J168">
        <v>53</v>
      </c>
      <c r="K168">
        <v>46</v>
      </c>
      <c r="L168">
        <v>49</v>
      </c>
      <c r="M168" t="s">
        <v>68</v>
      </c>
      <c r="N168" t="s">
        <v>33</v>
      </c>
      <c r="O168" t="b">
        <v>1</v>
      </c>
      <c r="Y168">
        <f t="shared" si="4"/>
        <v>0</v>
      </c>
      <c r="AA168" s="3" t="str">
        <f t="shared" si="5"/>
        <v/>
      </c>
      <c r="AB168" s="3">
        <v>28</v>
      </c>
      <c r="AC168" t="str">
        <f>IFERROR(VLOOKUP(B168,vlookup!$A$16:$A$150,1,FALSE),"")</f>
        <v/>
      </c>
      <c r="AD168" t="str">
        <f>IFERROR(VLOOKUP(B168,vlookup!$A$16:$G$150,11,FALSE),"")</f>
        <v/>
      </c>
    </row>
    <row r="169" spans="1:30" hidden="1" x14ac:dyDescent="0.3">
      <c r="A169" t="s">
        <v>874</v>
      </c>
      <c r="B169" s="1">
        <v>7003803702</v>
      </c>
      <c r="C169" s="1"/>
      <c r="D169" t="s">
        <v>357</v>
      </c>
      <c r="F169" t="b">
        <v>0</v>
      </c>
      <c r="I169">
        <v>1</v>
      </c>
      <c r="J169">
        <v>45</v>
      </c>
      <c r="K169">
        <v>42</v>
      </c>
      <c r="L169">
        <v>45</v>
      </c>
      <c r="M169" t="s">
        <v>68</v>
      </c>
      <c r="N169" t="s">
        <v>33</v>
      </c>
      <c r="O169" t="b">
        <v>1</v>
      </c>
      <c r="Y169">
        <f t="shared" si="4"/>
        <v>0</v>
      </c>
      <c r="AA169" s="3" t="str">
        <f t="shared" si="5"/>
        <v/>
      </c>
      <c r="AB169" s="3">
        <v>28</v>
      </c>
      <c r="AC169" t="str">
        <f>IFERROR(VLOOKUP(B169,vlookup!$A$16:$A$150,1,FALSE),"")</f>
        <v/>
      </c>
      <c r="AD169" t="str">
        <f>IFERROR(VLOOKUP(B169,vlookup!$A$16:$G$150,11,FALSE),"")</f>
        <v/>
      </c>
    </row>
    <row r="170" spans="1:30" hidden="1" x14ac:dyDescent="0.3">
      <c r="A170" t="s">
        <v>875</v>
      </c>
      <c r="B170" s="1">
        <v>7003827402</v>
      </c>
      <c r="C170" s="1"/>
      <c r="D170" t="s">
        <v>357</v>
      </c>
      <c r="F170" t="b">
        <v>0</v>
      </c>
      <c r="I170">
        <v>1</v>
      </c>
      <c r="J170">
        <v>70</v>
      </c>
      <c r="K170">
        <v>46</v>
      </c>
      <c r="L170">
        <v>45</v>
      </c>
      <c r="M170" t="s">
        <v>68</v>
      </c>
      <c r="N170" t="s">
        <v>33</v>
      </c>
      <c r="O170" t="b">
        <v>1</v>
      </c>
      <c r="Y170">
        <f t="shared" si="4"/>
        <v>0</v>
      </c>
      <c r="AA170" s="3" t="str">
        <f t="shared" si="5"/>
        <v/>
      </c>
      <c r="AB170" s="3">
        <v>28</v>
      </c>
      <c r="AC170" t="str">
        <f>IFERROR(VLOOKUP(B170,vlookup!$A$16:$A$150,1,FALSE),"")</f>
        <v/>
      </c>
      <c r="AD170" t="str">
        <f>IFERROR(VLOOKUP(B170,vlookup!$A$16:$G$150,11,FALSE),"")</f>
        <v/>
      </c>
    </row>
    <row r="171" spans="1:30" hidden="1" x14ac:dyDescent="0.3">
      <c r="A171" t="s">
        <v>876</v>
      </c>
      <c r="B171" s="1">
        <v>7009630402</v>
      </c>
      <c r="C171" s="1"/>
      <c r="D171" t="s">
        <v>357</v>
      </c>
      <c r="F171" t="b">
        <v>0</v>
      </c>
      <c r="I171">
        <v>1</v>
      </c>
      <c r="J171">
        <v>55</v>
      </c>
      <c r="K171">
        <v>41</v>
      </c>
      <c r="L171">
        <v>45</v>
      </c>
      <c r="M171" t="s">
        <v>68</v>
      </c>
      <c r="N171" t="s">
        <v>33</v>
      </c>
      <c r="O171" t="b">
        <v>1</v>
      </c>
      <c r="Y171">
        <f t="shared" si="4"/>
        <v>0</v>
      </c>
      <c r="AA171" s="3" t="str">
        <f t="shared" si="5"/>
        <v/>
      </c>
      <c r="AB171" s="3">
        <v>28</v>
      </c>
      <c r="AC171" t="str">
        <f>IFERROR(VLOOKUP(B171,vlookup!$A$16:$A$150,1,FALSE),"")</f>
        <v/>
      </c>
      <c r="AD171" t="str">
        <f>IFERROR(VLOOKUP(B171,vlookup!$A$16:$G$150,11,FALSE),"")</f>
        <v/>
      </c>
    </row>
    <row r="172" spans="1:30" hidden="1" x14ac:dyDescent="0.3">
      <c r="A172" t="s">
        <v>877</v>
      </c>
      <c r="B172" s="1">
        <v>7009639402</v>
      </c>
      <c r="C172" s="1"/>
      <c r="D172" t="s">
        <v>357</v>
      </c>
      <c r="F172" t="b">
        <v>0</v>
      </c>
      <c r="I172">
        <v>1</v>
      </c>
      <c r="J172">
        <v>46</v>
      </c>
      <c r="K172">
        <v>36</v>
      </c>
      <c r="L172">
        <v>42</v>
      </c>
      <c r="M172" t="s">
        <v>68</v>
      </c>
      <c r="N172" t="s">
        <v>33</v>
      </c>
      <c r="O172" t="b">
        <v>1</v>
      </c>
      <c r="Y172">
        <f t="shared" si="4"/>
        <v>0</v>
      </c>
      <c r="AA172" s="3" t="str">
        <f t="shared" si="5"/>
        <v/>
      </c>
      <c r="AB172" s="3">
        <v>28</v>
      </c>
      <c r="AC172" t="str">
        <f>IFERROR(VLOOKUP(B172,vlookup!$A$16:$A$150,1,FALSE),"")</f>
        <v/>
      </c>
      <c r="AD172" t="str">
        <f>IFERROR(VLOOKUP(B172,vlookup!$A$16:$G$150,11,FALSE),"")</f>
        <v/>
      </c>
    </row>
    <row r="173" spans="1:30" hidden="1" x14ac:dyDescent="0.3">
      <c r="A173" t="s">
        <v>878</v>
      </c>
      <c r="B173" s="1">
        <v>7009741202</v>
      </c>
      <c r="C173" s="1"/>
      <c r="D173" t="s">
        <v>357</v>
      </c>
      <c r="F173" t="b">
        <v>0</v>
      </c>
      <c r="I173">
        <v>1</v>
      </c>
      <c r="J173">
        <v>41</v>
      </c>
      <c r="K173">
        <v>42</v>
      </c>
      <c r="L173">
        <v>45</v>
      </c>
      <c r="M173" t="s">
        <v>68</v>
      </c>
      <c r="N173" t="s">
        <v>33</v>
      </c>
      <c r="O173" t="b">
        <v>1</v>
      </c>
      <c r="Y173">
        <f t="shared" si="4"/>
        <v>0</v>
      </c>
      <c r="AA173" s="3" t="str">
        <f t="shared" si="5"/>
        <v/>
      </c>
      <c r="AB173" s="3">
        <v>28</v>
      </c>
      <c r="AC173" t="str">
        <f>IFERROR(VLOOKUP(B173,vlookup!$A$16:$A$150,1,FALSE),"")</f>
        <v/>
      </c>
      <c r="AD173" t="str">
        <f>IFERROR(VLOOKUP(B173,vlookup!$A$16:$G$150,11,FALSE),"")</f>
        <v/>
      </c>
    </row>
    <row r="174" spans="1:30" hidden="1" x14ac:dyDescent="0.3">
      <c r="A174" t="s">
        <v>879</v>
      </c>
      <c r="B174" s="1">
        <v>7009741502</v>
      </c>
      <c r="C174" s="1"/>
      <c r="D174" t="s">
        <v>357</v>
      </c>
      <c r="F174" t="b">
        <v>0</v>
      </c>
      <c r="I174">
        <v>1</v>
      </c>
      <c r="J174">
        <v>41</v>
      </c>
      <c r="K174">
        <v>42</v>
      </c>
      <c r="L174">
        <v>45</v>
      </c>
      <c r="M174" t="s">
        <v>68</v>
      </c>
      <c r="N174" t="s">
        <v>33</v>
      </c>
      <c r="O174" t="b">
        <v>1</v>
      </c>
      <c r="Y174">
        <f t="shared" si="4"/>
        <v>0</v>
      </c>
      <c r="AA174" s="3" t="str">
        <f t="shared" si="5"/>
        <v/>
      </c>
      <c r="AB174" s="3">
        <v>28</v>
      </c>
      <c r="AC174" t="str">
        <f>IFERROR(VLOOKUP(B174,vlookup!$A$16:$A$150,1,FALSE),"")</f>
        <v/>
      </c>
      <c r="AD174" t="str">
        <f>IFERROR(VLOOKUP(B174,vlookup!$A$16:$G$150,11,FALSE),"")</f>
        <v/>
      </c>
    </row>
    <row r="175" spans="1:30" hidden="1" x14ac:dyDescent="0.3">
      <c r="A175" t="s">
        <v>880</v>
      </c>
      <c r="B175" s="1">
        <v>7009741602</v>
      </c>
      <c r="C175" s="1"/>
      <c r="D175" t="s">
        <v>357</v>
      </c>
      <c r="F175" t="b">
        <v>0</v>
      </c>
      <c r="I175">
        <v>1</v>
      </c>
      <c r="J175">
        <v>41</v>
      </c>
      <c r="K175">
        <v>42</v>
      </c>
      <c r="L175">
        <v>45</v>
      </c>
      <c r="M175" t="s">
        <v>68</v>
      </c>
      <c r="N175" t="s">
        <v>33</v>
      </c>
      <c r="O175" t="b">
        <v>1</v>
      </c>
      <c r="Y175">
        <f t="shared" si="4"/>
        <v>0</v>
      </c>
      <c r="AA175" s="3" t="str">
        <f t="shared" si="5"/>
        <v/>
      </c>
      <c r="AB175" s="3">
        <v>28</v>
      </c>
      <c r="AC175" t="str">
        <f>IFERROR(VLOOKUP(B175,vlookup!$A$16:$A$150,1,FALSE),"")</f>
        <v/>
      </c>
      <c r="AD175" t="str">
        <f>IFERROR(VLOOKUP(B175,vlookup!$A$16:$G$150,11,FALSE),"")</f>
        <v/>
      </c>
    </row>
    <row r="176" spans="1:30" hidden="1" x14ac:dyDescent="0.3">
      <c r="A176" t="s">
        <v>881</v>
      </c>
      <c r="B176" s="1">
        <v>7003803502</v>
      </c>
      <c r="C176" s="1"/>
      <c r="D176" t="s">
        <v>357</v>
      </c>
      <c r="F176" t="b">
        <v>0</v>
      </c>
      <c r="I176">
        <v>1</v>
      </c>
      <c r="J176">
        <v>45</v>
      </c>
      <c r="K176">
        <v>46</v>
      </c>
      <c r="L176">
        <v>46</v>
      </c>
      <c r="M176" t="s">
        <v>68</v>
      </c>
      <c r="N176" t="s">
        <v>33</v>
      </c>
      <c r="O176" t="b">
        <v>1</v>
      </c>
      <c r="Y176">
        <f t="shared" si="4"/>
        <v>0</v>
      </c>
      <c r="AA176" s="3" t="str">
        <f t="shared" si="5"/>
        <v/>
      </c>
      <c r="AB176" s="3">
        <v>28</v>
      </c>
      <c r="AC176" t="str">
        <f>IFERROR(VLOOKUP(B176,vlookup!$A$16:$A$150,1,FALSE),"")</f>
        <v/>
      </c>
      <c r="AD176" t="str">
        <f>IFERROR(VLOOKUP(B176,vlookup!$A$16:$G$150,11,FALSE),"")</f>
        <v/>
      </c>
    </row>
    <row r="177" spans="1:30" hidden="1" x14ac:dyDescent="0.3">
      <c r="A177" t="s">
        <v>882</v>
      </c>
      <c r="B177" s="1">
        <v>7219182630</v>
      </c>
      <c r="C177" s="1"/>
      <c r="D177" t="s">
        <v>357</v>
      </c>
      <c r="F177" t="b">
        <v>0</v>
      </c>
      <c r="I177">
        <v>1</v>
      </c>
      <c r="J177">
        <v>52</v>
      </c>
      <c r="K177">
        <v>46</v>
      </c>
      <c r="L177">
        <v>60</v>
      </c>
      <c r="M177" t="s">
        <v>69</v>
      </c>
      <c r="N177" t="s">
        <v>33</v>
      </c>
      <c r="O177" t="b">
        <v>1</v>
      </c>
      <c r="Y177">
        <f t="shared" si="4"/>
        <v>0</v>
      </c>
      <c r="AA177" s="3" t="str">
        <f t="shared" si="5"/>
        <v/>
      </c>
      <c r="AB177" s="3">
        <v>28</v>
      </c>
      <c r="AC177" t="str">
        <f>IFERROR(VLOOKUP(B177,vlookup!$A$16:$A$150,1,FALSE),"")</f>
        <v/>
      </c>
      <c r="AD177" t="str">
        <f>IFERROR(VLOOKUP(B177,vlookup!$A$16:$G$150,11,FALSE),"")</f>
        <v/>
      </c>
    </row>
    <row r="178" spans="1:30" hidden="1" x14ac:dyDescent="0.3">
      <c r="A178" t="s">
        <v>883</v>
      </c>
      <c r="B178" s="1">
        <v>7219622130</v>
      </c>
      <c r="C178" s="1"/>
      <c r="D178" t="s">
        <v>357</v>
      </c>
      <c r="F178" t="b">
        <v>0</v>
      </c>
      <c r="I178">
        <v>1</v>
      </c>
      <c r="J178">
        <v>47</v>
      </c>
      <c r="K178">
        <v>39</v>
      </c>
      <c r="L178">
        <v>50</v>
      </c>
      <c r="M178" t="s">
        <v>69</v>
      </c>
      <c r="N178" t="s">
        <v>33</v>
      </c>
      <c r="O178" t="b">
        <v>1</v>
      </c>
      <c r="Y178">
        <f t="shared" si="4"/>
        <v>0</v>
      </c>
      <c r="AA178" s="3" t="str">
        <f t="shared" si="5"/>
        <v/>
      </c>
      <c r="AB178" s="3">
        <v>28</v>
      </c>
      <c r="AC178" t="str">
        <f>IFERROR(VLOOKUP(B178,vlookup!$A$16:$A$150,1,FALSE),"")</f>
        <v/>
      </c>
      <c r="AD178" t="str">
        <f>IFERROR(VLOOKUP(B178,vlookup!$A$16:$G$150,11,FALSE),"")</f>
        <v/>
      </c>
    </row>
    <row r="179" spans="1:30" hidden="1" x14ac:dyDescent="0.3">
      <c r="A179" t="s">
        <v>884</v>
      </c>
      <c r="B179" s="1">
        <v>7219632030</v>
      </c>
      <c r="C179" s="1"/>
      <c r="D179" t="s">
        <v>357</v>
      </c>
      <c r="F179" t="b">
        <v>0</v>
      </c>
      <c r="I179">
        <v>1</v>
      </c>
      <c r="J179">
        <v>43</v>
      </c>
      <c r="K179">
        <v>41</v>
      </c>
      <c r="L179">
        <v>54</v>
      </c>
      <c r="M179" t="s">
        <v>69</v>
      </c>
      <c r="N179" t="s">
        <v>33</v>
      </c>
      <c r="O179" t="b">
        <v>1</v>
      </c>
      <c r="Y179">
        <f t="shared" si="4"/>
        <v>0</v>
      </c>
      <c r="AA179" s="3" t="str">
        <f t="shared" si="5"/>
        <v/>
      </c>
      <c r="AB179" s="3">
        <v>28</v>
      </c>
      <c r="AC179" t="str">
        <f>IFERROR(VLOOKUP(B179,vlookup!$A$16:$A$150,1,FALSE),"")</f>
        <v/>
      </c>
      <c r="AD179" t="str">
        <f>IFERROR(VLOOKUP(B179,vlookup!$A$16:$G$150,11,FALSE),"")</f>
        <v/>
      </c>
    </row>
    <row r="180" spans="1:30" hidden="1" x14ac:dyDescent="0.3">
      <c r="A180" t="s">
        <v>909</v>
      </c>
      <c r="B180" s="1">
        <v>7219632230</v>
      </c>
      <c r="C180" s="1"/>
      <c r="D180" t="s">
        <v>357</v>
      </c>
      <c r="F180" t="b">
        <v>0</v>
      </c>
      <c r="I180">
        <v>1</v>
      </c>
      <c r="J180">
        <v>47</v>
      </c>
      <c r="K180">
        <v>46</v>
      </c>
      <c r="L180">
        <v>50</v>
      </c>
      <c r="M180" t="s">
        <v>69</v>
      </c>
      <c r="N180" t="s">
        <v>33</v>
      </c>
      <c r="O180" t="b">
        <v>1</v>
      </c>
      <c r="Y180">
        <f t="shared" si="4"/>
        <v>0</v>
      </c>
      <c r="AA180" s="3" t="str">
        <f t="shared" si="5"/>
        <v/>
      </c>
      <c r="AB180" s="3">
        <v>28</v>
      </c>
      <c r="AC180" t="str">
        <f>IFERROR(VLOOKUP(B180,vlookup!$A$16:$A$150,1,FALSE),"")</f>
        <v/>
      </c>
      <c r="AD180" t="str">
        <f>IFERROR(VLOOKUP(B180,vlookup!$A$16:$G$150,11,FALSE),"")</f>
        <v/>
      </c>
    </row>
    <row r="181" spans="1:30" hidden="1" x14ac:dyDescent="0.3">
      <c r="A181" t="s">
        <v>885</v>
      </c>
      <c r="B181" s="1">
        <v>7219648530</v>
      </c>
      <c r="C181" s="1"/>
      <c r="D181" t="s">
        <v>357</v>
      </c>
      <c r="F181" t="b">
        <v>0</v>
      </c>
      <c r="I181">
        <v>1</v>
      </c>
      <c r="J181">
        <v>47</v>
      </c>
      <c r="K181">
        <v>39</v>
      </c>
      <c r="L181">
        <v>50</v>
      </c>
      <c r="M181" t="s">
        <v>69</v>
      </c>
      <c r="N181" t="s">
        <v>33</v>
      </c>
      <c r="O181" t="b">
        <v>1</v>
      </c>
      <c r="Y181">
        <f t="shared" si="4"/>
        <v>0</v>
      </c>
      <c r="AA181" s="3" t="str">
        <f t="shared" si="5"/>
        <v/>
      </c>
      <c r="AB181" s="3">
        <v>28</v>
      </c>
      <c r="AC181" t="str">
        <f>IFERROR(VLOOKUP(B181,vlookup!$A$16:$A$150,1,FALSE),"")</f>
        <v/>
      </c>
      <c r="AD181" t="str">
        <f>IFERROR(VLOOKUP(B181,vlookup!$A$16:$G$150,11,FALSE),"")</f>
        <v/>
      </c>
    </row>
    <row r="182" spans="1:30" hidden="1" x14ac:dyDescent="0.3">
      <c r="A182" t="s">
        <v>886</v>
      </c>
      <c r="B182" s="1">
        <v>7219652330</v>
      </c>
      <c r="C182" s="1"/>
      <c r="D182" t="s">
        <v>357</v>
      </c>
      <c r="F182" t="b">
        <v>0</v>
      </c>
      <c r="I182">
        <v>1</v>
      </c>
      <c r="J182">
        <v>48</v>
      </c>
      <c r="K182">
        <v>37</v>
      </c>
      <c r="L182">
        <v>60</v>
      </c>
      <c r="M182" t="s">
        <v>69</v>
      </c>
      <c r="N182" t="s">
        <v>33</v>
      </c>
      <c r="O182" t="b">
        <v>1</v>
      </c>
      <c r="Y182">
        <f t="shared" si="4"/>
        <v>0</v>
      </c>
      <c r="AA182" s="3" t="str">
        <f t="shared" si="5"/>
        <v/>
      </c>
      <c r="AB182" s="3">
        <v>28</v>
      </c>
      <c r="AC182" t="str">
        <f>IFERROR(VLOOKUP(B182,vlookup!$A$16:$A$150,1,FALSE),"")</f>
        <v/>
      </c>
      <c r="AD182" t="str">
        <f>IFERROR(VLOOKUP(B182,vlookup!$A$16:$G$150,11,FALSE),"")</f>
        <v/>
      </c>
    </row>
    <row r="183" spans="1:30" hidden="1" x14ac:dyDescent="0.3">
      <c r="A183" t="s">
        <v>910</v>
      </c>
      <c r="B183" s="1" t="s">
        <v>907</v>
      </c>
      <c r="C183" s="1"/>
      <c r="D183" t="s">
        <v>357</v>
      </c>
      <c r="F183" t="b">
        <v>0</v>
      </c>
      <c r="I183">
        <v>1</v>
      </c>
      <c r="J183">
        <v>115</v>
      </c>
      <c r="K183">
        <v>81</v>
      </c>
      <c r="L183">
        <v>66</v>
      </c>
      <c r="M183" t="s">
        <v>69</v>
      </c>
      <c r="N183" t="s">
        <v>33</v>
      </c>
      <c r="O183" t="b">
        <v>1</v>
      </c>
      <c r="Y183">
        <f t="shared" si="4"/>
        <v>0</v>
      </c>
      <c r="AA183" s="3" t="str">
        <f t="shared" si="5"/>
        <v/>
      </c>
      <c r="AB183" s="3">
        <v>28</v>
      </c>
      <c r="AC183" t="str">
        <f>IFERROR(VLOOKUP(B183,vlookup!$A$16:$A$150,1,FALSE),"")</f>
        <v/>
      </c>
      <c r="AD183" t="str">
        <f>IFERROR(VLOOKUP(B183,vlookup!$A$16:$G$150,11,FALSE),"")</f>
        <v/>
      </c>
    </row>
    <row r="184" spans="1:30" hidden="1" x14ac:dyDescent="0.3">
      <c r="A184" t="s">
        <v>922</v>
      </c>
      <c r="B184" s="1">
        <v>7278099530</v>
      </c>
      <c r="C184" s="1"/>
      <c r="D184" t="s">
        <v>357</v>
      </c>
      <c r="F184" t="b">
        <v>0</v>
      </c>
      <c r="I184">
        <v>1</v>
      </c>
      <c r="J184">
        <v>45</v>
      </c>
      <c r="K184">
        <v>40</v>
      </c>
      <c r="L184">
        <v>50</v>
      </c>
      <c r="M184" t="s">
        <v>69</v>
      </c>
      <c r="N184" t="s">
        <v>33</v>
      </c>
      <c r="O184" t="b">
        <v>1</v>
      </c>
      <c r="Y184">
        <f t="shared" si="4"/>
        <v>0</v>
      </c>
      <c r="AA184" s="3" t="str">
        <f t="shared" si="5"/>
        <v/>
      </c>
      <c r="AB184" s="3">
        <v>28</v>
      </c>
      <c r="AC184" t="str">
        <f>IFERROR(VLOOKUP(B184,vlookup!$A$16:$A$150,1,FALSE),"")</f>
        <v/>
      </c>
      <c r="AD184" t="str">
        <f>IFERROR(VLOOKUP(B184,vlookup!$A$16:$G$150,11,FALSE),"")</f>
        <v/>
      </c>
    </row>
    <row r="185" spans="1:30" hidden="1" x14ac:dyDescent="0.3">
      <c r="A185" t="s">
        <v>888</v>
      </c>
      <c r="B185" s="1">
        <v>7278258330</v>
      </c>
      <c r="C185" s="1"/>
      <c r="D185" t="s">
        <v>357</v>
      </c>
      <c r="F185" t="b">
        <v>0</v>
      </c>
      <c r="I185">
        <v>1</v>
      </c>
      <c r="J185">
        <v>47</v>
      </c>
      <c r="K185">
        <v>47</v>
      </c>
      <c r="L185">
        <v>70</v>
      </c>
      <c r="M185" t="s">
        <v>69</v>
      </c>
      <c r="N185" t="s">
        <v>33</v>
      </c>
      <c r="O185" t="b">
        <v>1</v>
      </c>
      <c r="Y185">
        <f t="shared" si="4"/>
        <v>0</v>
      </c>
      <c r="AA185" s="3" t="str">
        <f t="shared" si="5"/>
        <v/>
      </c>
      <c r="AB185" s="3">
        <v>28</v>
      </c>
      <c r="AC185" t="str">
        <f>IFERROR(VLOOKUP(B185,vlookup!$A$16:$A$150,1,FALSE),"")</f>
        <v/>
      </c>
      <c r="AD185" t="str">
        <f>IFERROR(VLOOKUP(B185,vlookup!$A$16:$G$150,11,FALSE),"")</f>
        <v/>
      </c>
    </row>
    <row r="186" spans="1:30" hidden="1" x14ac:dyDescent="0.3">
      <c r="A186" t="s">
        <v>919</v>
      </c>
      <c r="B186" s="1">
        <v>7289059730</v>
      </c>
      <c r="C186" s="1"/>
      <c r="D186" t="s">
        <v>357</v>
      </c>
      <c r="F186" t="b">
        <v>0</v>
      </c>
      <c r="I186">
        <v>1</v>
      </c>
      <c r="J186">
        <v>46</v>
      </c>
      <c r="K186">
        <v>44</v>
      </c>
      <c r="L186">
        <v>75</v>
      </c>
      <c r="M186" t="s">
        <v>69</v>
      </c>
      <c r="N186" t="s">
        <v>33</v>
      </c>
      <c r="O186" t="b">
        <v>1</v>
      </c>
      <c r="Y186">
        <f t="shared" si="4"/>
        <v>0</v>
      </c>
      <c r="AA186" s="3" t="str">
        <f t="shared" si="5"/>
        <v/>
      </c>
      <c r="AB186" s="3">
        <v>28</v>
      </c>
      <c r="AC186" t="str">
        <f>IFERROR(VLOOKUP(B186,vlookup!$A$16:$A$150,1,FALSE),"")</f>
        <v/>
      </c>
      <c r="AD186" t="str">
        <f>IFERROR(VLOOKUP(B186,vlookup!$A$16:$G$150,11,FALSE),"")</f>
        <v/>
      </c>
    </row>
    <row r="187" spans="1:30" hidden="1" x14ac:dyDescent="0.3">
      <c r="A187" t="s">
        <v>889</v>
      </c>
      <c r="B187" s="1">
        <v>7289063730</v>
      </c>
      <c r="C187" s="1"/>
      <c r="D187" t="s">
        <v>357</v>
      </c>
      <c r="F187" t="b">
        <v>0</v>
      </c>
      <c r="I187">
        <v>1</v>
      </c>
      <c r="J187">
        <v>44</v>
      </c>
      <c r="K187">
        <v>43</v>
      </c>
      <c r="L187">
        <v>47</v>
      </c>
      <c r="M187" t="s">
        <v>69</v>
      </c>
      <c r="N187" t="s">
        <v>33</v>
      </c>
      <c r="O187" t="b">
        <v>1</v>
      </c>
      <c r="Y187">
        <f t="shared" si="4"/>
        <v>0</v>
      </c>
      <c r="AA187" s="3" t="str">
        <f t="shared" si="5"/>
        <v/>
      </c>
      <c r="AB187" s="3">
        <v>28</v>
      </c>
      <c r="AC187" t="str">
        <f>IFERROR(VLOOKUP(B187,vlookup!$A$16:$A$150,1,FALSE),"")</f>
        <v/>
      </c>
      <c r="AD187" t="str">
        <f>IFERROR(VLOOKUP(B187,vlookup!$A$16:$G$150,11,FALSE),"")</f>
        <v/>
      </c>
    </row>
    <row r="188" spans="1:30" hidden="1" x14ac:dyDescent="0.3">
      <c r="A188" t="s">
        <v>890</v>
      </c>
      <c r="B188" s="1">
        <v>72893837</v>
      </c>
      <c r="C188" s="1"/>
      <c r="D188" t="s">
        <v>357</v>
      </c>
      <c r="F188" t="b">
        <v>0</v>
      </c>
      <c r="I188">
        <v>1</v>
      </c>
      <c r="J188">
        <v>48</v>
      </c>
      <c r="K188">
        <v>40</v>
      </c>
      <c r="L188">
        <v>52</v>
      </c>
      <c r="M188" t="s">
        <v>69</v>
      </c>
      <c r="N188" t="s">
        <v>33</v>
      </c>
      <c r="O188" t="b">
        <v>1</v>
      </c>
      <c r="Y188">
        <f t="shared" si="4"/>
        <v>0</v>
      </c>
      <c r="AA188" s="3" t="str">
        <f t="shared" si="5"/>
        <v/>
      </c>
      <c r="AB188" s="3">
        <v>28</v>
      </c>
      <c r="AC188" t="str">
        <f>IFERROR(VLOOKUP(B188,vlookup!$A$16:$A$150,1,FALSE),"")</f>
        <v/>
      </c>
      <c r="AD188" t="str">
        <f>IFERROR(VLOOKUP(B188,vlookup!$A$16:$G$150,11,FALSE),"")</f>
        <v/>
      </c>
    </row>
    <row r="189" spans="1:30" hidden="1" x14ac:dyDescent="0.3">
      <c r="A189" t="s">
        <v>891</v>
      </c>
      <c r="B189" s="1">
        <v>7289405130</v>
      </c>
      <c r="C189" s="1"/>
      <c r="D189" t="s">
        <v>357</v>
      </c>
      <c r="F189" t="b">
        <v>0</v>
      </c>
      <c r="I189">
        <v>1</v>
      </c>
      <c r="J189">
        <v>45</v>
      </c>
      <c r="K189">
        <v>44</v>
      </c>
      <c r="L189">
        <v>47</v>
      </c>
      <c r="M189" t="s">
        <v>69</v>
      </c>
      <c r="N189" t="s">
        <v>33</v>
      </c>
      <c r="O189" t="b">
        <v>1</v>
      </c>
      <c r="Y189">
        <f t="shared" si="4"/>
        <v>0</v>
      </c>
      <c r="AA189" s="3" t="str">
        <f t="shared" si="5"/>
        <v/>
      </c>
      <c r="AB189" s="3">
        <v>28</v>
      </c>
      <c r="AC189" t="str">
        <f>IFERROR(VLOOKUP(B189,vlookup!$A$16:$A$150,1,FALSE),"")</f>
        <v/>
      </c>
      <c r="AD189" t="str">
        <f>IFERROR(VLOOKUP(B189,vlookup!$A$16:$G$150,11,FALSE),"")</f>
        <v/>
      </c>
    </row>
    <row r="190" spans="1:30" hidden="1" x14ac:dyDescent="0.3">
      <c r="A190" t="s">
        <v>892</v>
      </c>
      <c r="B190" s="1">
        <v>7289405830</v>
      </c>
      <c r="C190" s="1"/>
      <c r="D190" t="s">
        <v>357</v>
      </c>
      <c r="F190" t="b">
        <v>0</v>
      </c>
      <c r="I190">
        <v>1</v>
      </c>
      <c r="J190">
        <v>45</v>
      </c>
      <c r="K190">
        <v>40</v>
      </c>
      <c r="L190">
        <v>47</v>
      </c>
      <c r="M190" t="s">
        <v>69</v>
      </c>
      <c r="N190" t="s">
        <v>33</v>
      </c>
      <c r="O190" t="b">
        <v>1</v>
      </c>
      <c r="Y190">
        <f t="shared" si="4"/>
        <v>0</v>
      </c>
      <c r="AA190" s="3" t="str">
        <f t="shared" si="5"/>
        <v/>
      </c>
      <c r="AB190" s="3">
        <v>28</v>
      </c>
      <c r="AC190">
        <f>IFERROR(VLOOKUP(B190,vlookup!$A$16:$A$150,1,FALSE),"")</f>
        <v>7289405830</v>
      </c>
      <c r="AD190" t="str">
        <f>IFERROR(VLOOKUP(B190,vlookup!$A$16:$G$150,11,FALSE),"")</f>
        <v/>
      </c>
    </row>
    <row r="191" spans="1:30" hidden="1" x14ac:dyDescent="0.3">
      <c r="A191" t="s">
        <v>893</v>
      </c>
      <c r="B191" s="1">
        <v>7289464330</v>
      </c>
      <c r="C191" s="1"/>
      <c r="D191" t="s">
        <v>357</v>
      </c>
      <c r="F191" t="b">
        <v>0</v>
      </c>
      <c r="I191">
        <v>1</v>
      </c>
      <c r="J191">
        <v>50</v>
      </c>
      <c r="K191">
        <v>38</v>
      </c>
      <c r="L191">
        <v>52</v>
      </c>
      <c r="M191" t="s">
        <v>70</v>
      </c>
      <c r="N191" t="s">
        <v>33</v>
      </c>
      <c r="O191" t="b">
        <v>1</v>
      </c>
      <c r="Y191">
        <f t="shared" si="4"/>
        <v>0</v>
      </c>
      <c r="AA191" s="3" t="str">
        <f t="shared" si="5"/>
        <v/>
      </c>
      <c r="AB191" s="3">
        <v>28</v>
      </c>
      <c r="AC191" t="str">
        <f>IFERROR(VLOOKUP(B191,vlookup!$A$16:$A$150,1,FALSE),"")</f>
        <v/>
      </c>
      <c r="AD191" t="str">
        <f>IFERROR(VLOOKUP(B191,vlookup!$A$16:$G$150,11,FALSE),"")</f>
        <v/>
      </c>
    </row>
    <row r="192" spans="1:30" hidden="1" x14ac:dyDescent="0.3">
      <c r="A192" t="s">
        <v>894</v>
      </c>
      <c r="B192" s="1">
        <v>72895381</v>
      </c>
      <c r="C192" s="1"/>
      <c r="D192" t="s">
        <v>357</v>
      </c>
      <c r="F192" t="b">
        <v>0</v>
      </c>
      <c r="I192">
        <v>1</v>
      </c>
      <c r="J192">
        <v>44</v>
      </c>
      <c r="K192">
        <v>45</v>
      </c>
      <c r="L192">
        <v>78</v>
      </c>
      <c r="M192" t="s">
        <v>68</v>
      </c>
      <c r="N192" t="s">
        <v>33</v>
      </c>
      <c r="O192" t="b">
        <v>1</v>
      </c>
      <c r="Y192">
        <f t="shared" si="4"/>
        <v>0</v>
      </c>
      <c r="AA192" s="3" t="str">
        <f t="shared" si="5"/>
        <v/>
      </c>
      <c r="AB192" s="3">
        <v>28</v>
      </c>
      <c r="AC192" t="str">
        <f>IFERROR(VLOOKUP(B192,vlookup!$A$16:$A$150,1,FALSE),"")</f>
        <v/>
      </c>
      <c r="AD192" t="str">
        <f>IFERROR(VLOOKUP(B192,vlookup!$A$16:$G$150,11,FALSE),"")</f>
        <v/>
      </c>
    </row>
    <row r="193" spans="1:30" hidden="1" x14ac:dyDescent="0.3">
      <c r="A193" t="s">
        <v>895</v>
      </c>
      <c r="B193" s="1">
        <v>7289734390</v>
      </c>
      <c r="C193" s="1"/>
      <c r="D193" t="s">
        <v>357</v>
      </c>
      <c r="F193" t="b">
        <v>0</v>
      </c>
      <c r="I193">
        <v>1</v>
      </c>
      <c r="J193">
        <v>45</v>
      </c>
      <c r="K193">
        <v>40</v>
      </c>
      <c r="L193">
        <v>50</v>
      </c>
      <c r="M193" t="s">
        <v>70</v>
      </c>
      <c r="N193" t="s">
        <v>33</v>
      </c>
      <c r="O193" t="b">
        <v>1</v>
      </c>
      <c r="Y193">
        <f t="shared" si="4"/>
        <v>0</v>
      </c>
      <c r="AA193" s="3" t="str">
        <f t="shared" si="5"/>
        <v/>
      </c>
      <c r="AB193" s="3">
        <v>28</v>
      </c>
      <c r="AC193" t="str">
        <f>IFERROR(VLOOKUP(B193,vlookup!$A$16:$A$150,1,FALSE),"")</f>
        <v/>
      </c>
      <c r="AD193" t="str">
        <f>IFERROR(VLOOKUP(B193,vlookup!$A$16:$G$150,11,FALSE),"")</f>
        <v/>
      </c>
    </row>
    <row r="194" spans="1:30" hidden="1" x14ac:dyDescent="0.3">
      <c r="A194" t="s">
        <v>896</v>
      </c>
      <c r="B194" s="1">
        <v>7289921730</v>
      </c>
      <c r="C194" s="1"/>
      <c r="D194" t="s">
        <v>357</v>
      </c>
      <c r="F194" t="b">
        <v>0</v>
      </c>
      <c r="I194">
        <v>1</v>
      </c>
      <c r="J194">
        <v>47</v>
      </c>
      <c r="K194">
        <v>51</v>
      </c>
      <c r="L194">
        <v>80</v>
      </c>
      <c r="M194" t="s">
        <v>69</v>
      </c>
      <c r="N194" t="s">
        <v>33</v>
      </c>
      <c r="O194" t="b">
        <v>1</v>
      </c>
      <c r="Y194">
        <f t="shared" si="4"/>
        <v>0</v>
      </c>
      <c r="AA194" s="3" t="str">
        <f t="shared" si="5"/>
        <v/>
      </c>
      <c r="AB194" s="3">
        <v>28</v>
      </c>
      <c r="AC194" t="str">
        <f>IFERROR(VLOOKUP(B194,vlookup!$A$16:$A$150,1,FALSE),"")</f>
        <v/>
      </c>
      <c r="AD194" t="str">
        <f>IFERROR(VLOOKUP(B194,vlookup!$A$16:$G$150,11,FALSE),"")</f>
        <v/>
      </c>
    </row>
    <row r="195" spans="1:30" hidden="1" x14ac:dyDescent="0.3">
      <c r="A195" t="s">
        <v>897</v>
      </c>
      <c r="B195" s="1">
        <v>72980475</v>
      </c>
      <c r="C195" s="1"/>
      <c r="D195" t="s">
        <v>357</v>
      </c>
      <c r="F195" t="b">
        <v>0</v>
      </c>
      <c r="I195">
        <v>1</v>
      </c>
      <c r="J195">
        <v>40</v>
      </c>
      <c r="K195">
        <v>34</v>
      </c>
      <c r="L195">
        <v>48</v>
      </c>
      <c r="M195" t="s">
        <v>68</v>
      </c>
      <c r="N195" t="s">
        <v>33</v>
      </c>
      <c r="O195" t="b">
        <v>1</v>
      </c>
      <c r="Y195">
        <f t="shared" si="4"/>
        <v>0</v>
      </c>
      <c r="AA195" s="3" t="str">
        <f t="shared" si="5"/>
        <v/>
      </c>
      <c r="AB195" s="3">
        <v>28</v>
      </c>
      <c r="AC195" t="str">
        <f>IFERROR(VLOOKUP(B195,vlookup!$A$16:$A$150,1,FALSE),"")</f>
        <v/>
      </c>
      <c r="AD195" t="str">
        <f>IFERROR(VLOOKUP(B195,vlookup!$A$16:$G$150,11,FALSE),"")</f>
        <v/>
      </c>
    </row>
    <row r="196" spans="1:30" x14ac:dyDescent="0.3">
      <c r="A196" t="s">
        <v>898</v>
      </c>
      <c r="B196" s="1" t="s">
        <v>759</v>
      </c>
      <c r="C196" s="1"/>
      <c r="D196" t="s">
        <v>357</v>
      </c>
      <c r="F196" t="b">
        <v>0</v>
      </c>
      <c r="I196">
        <v>1</v>
      </c>
      <c r="J196">
        <v>52</v>
      </c>
      <c r="K196">
        <v>60</v>
      </c>
      <c r="L196">
        <v>56</v>
      </c>
      <c r="M196" t="s">
        <v>72</v>
      </c>
      <c r="N196" t="s">
        <v>33</v>
      </c>
      <c r="O196" t="b">
        <v>1</v>
      </c>
      <c r="Y196">
        <f t="shared" ref="Y196:Y259" si="6">IFERROR(AB196*AA196,0)</f>
        <v>0</v>
      </c>
      <c r="AA196" s="3" t="str">
        <f t="shared" si="5"/>
        <v/>
      </c>
      <c r="AB196" s="3">
        <v>28</v>
      </c>
      <c r="AC196" t="str">
        <f>IFERROR(VLOOKUP(B196,vlookup!$A$16:$A$150,1,FALSE),"")</f>
        <v/>
      </c>
      <c r="AD196" t="str">
        <f>IFERROR(VLOOKUP(B196,vlookup!$A$16:$G$150,11,FALSE),"")</f>
        <v/>
      </c>
    </row>
    <row r="197" spans="1:30" hidden="1" x14ac:dyDescent="0.3">
      <c r="A197" t="s">
        <v>899</v>
      </c>
      <c r="B197" s="1">
        <v>7298677930</v>
      </c>
      <c r="C197" s="1"/>
      <c r="D197" t="s">
        <v>357</v>
      </c>
      <c r="F197" t="b">
        <v>0</v>
      </c>
      <c r="I197">
        <v>1</v>
      </c>
      <c r="J197">
        <v>44</v>
      </c>
      <c r="K197">
        <v>42</v>
      </c>
      <c r="L197">
        <v>50</v>
      </c>
      <c r="M197" t="s">
        <v>69</v>
      </c>
      <c r="N197" t="s">
        <v>33</v>
      </c>
      <c r="O197" t="b">
        <v>1</v>
      </c>
      <c r="Y197">
        <f t="shared" si="6"/>
        <v>0</v>
      </c>
      <c r="AA197" s="3" t="str">
        <f t="shared" ref="AA197:AA260" si="7">AD197</f>
        <v/>
      </c>
      <c r="AB197" s="3">
        <v>28</v>
      </c>
      <c r="AC197" t="str">
        <f>IFERROR(VLOOKUP(B197,vlookup!$A$16:$A$150,1,FALSE),"")</f>
        <v/>
      </c>
      <c r="AD197" t="str">
        <f>IFERROR(VLOOKUP(B197,vlookup!$A$16:$G$150,11,FALSE),"")</f>
        <v/>
      </c>
    </row>
    <row r="198" spans="1:30" hidden="1" x14ac:dyDescent="0.3">
      <c r="A198" t="s">
        <v>900</v>
      </c>
      <c r="B198" s="1">
        <v>7298761730</v>
      </c>
      <c r="C198" s="1"/>
      <c r="D198" t="s">
        <v>357</v>
      </c>
      <c r="F198" t="b">
        <v>0</v>
      </c>
      <c r="I198">
        <v>1</v>
      </c>
      <c r="J198">
        <v>44</v>
      </c>
      <c r="K198">
        <v>42</v>
      </c>
      <c r="L198">
        <v>50</v>
      </c>
      <c r="M198" t="s">
        <v>69</v>
      </c>
      <c r="N198" t="s">
        <v>33</v>
      </c>
      <c r="O198" t="b">
        <v>1</v>
      </c>
      <c r="Y198">
        <f t="shared" si="6"/>
        <v>0</v>
      </c>
      <c r="AA198" s="3" t="str">
        <f t="shared" si="7"/>
        <v/>
      </c>
      <c r="AB198" s="3">
        <v>28</v>
      </c>
      <c r="AC198" t="str">
        <f>IFERROR(VLOOKUP(B198,vlookup!$A$16:$A$150,1,FALSE),"")</f>
        <v/>
      </c>
      <c r="AD198" t="str">
        <f>IFERROR(VLOOKUP(B198,vlookup!$A$16:$G$150,11,FALSE),"")</f>
        <v/>
      </c>
    </row>
    <row r="199" spans="1:30" hidden="1" x14ac:dyDescent="0.3">
      <c r="A199" t="s">
        <v>901</v>
      </c>
      <c r="B199" s="1">
        <v>7298912930</v>
      </c>
      <c r="C199" s="1"/>
      <c r="D199" t="s">
        <v>357</v>
      </c>
      <c r="F199" t="b">
        <v>0</v>
      </c>
      <c r="I199">
        <v>1</v>
      </c>
      <c r="J199">
        <v>48</v>
      </c>
      <c r="K199">
        <v>45</v>
      </c>
      <c r="L199">
        <v>58</v>
      </c>
      <c r="M199" t="s">
        <v>69</v>
      </c>
      <c r="N199" t="s">
        <v>33</v>
      </c>
      <c r="O199" t="b">
        <v>1</v>
      </c>
      <c r="Y199">
        <f t="shared" si="6"/>
        <v>0</v>
      </c>
      <c r="AA199" s="3" t="str">
        <f t="shared" si="7"/>
        <v/>
      </c>
      <c r="AB199" s="3">
        <v>28</v>
      </c>
      <c r="AC199" t="str">
        <f>IFERROR(VLOOKUP(B199,vlookup!$A$16:$A$150,1,FALSE),"")</f>
        <v/>
      </c>
      <c r="AD199" t="str">
        <f>IFERROR(VLOOKUP(B199,vlookup!$A$16:$G$150,11,FALSE),"")</f>
        <v/>
      </c>
    </row>
    <row r="200" spans="1:30" hidden="1" x14ac:dyDescent="0.3">
      <c r="A200" t="s">
        <v>958</v>
      </c>
      <c r="B200" s="1">
        <v>7298913330</v>
      </c>
      <c r="C200" s="1"/>
      <c r="D200" t="s">
        <v>357</v>
      </c>
      <c r="F200" t="b">
        <v>0</v>
      </c>
      <c r="I200">
        <v>1</v>
      </c>
      <c r="J200">
        <v>44</v>
      </c>
      <c r="K200">
        <v>42</v>
      </c>
      <c r="L200">
        <v>51</v>
      </c>
      <c r="M200" t="s">
        <v>69</v>
      </c>
      <c r="N200" t="s">
        <v>33</v>
      </c>
      <c r="O200" t="b">
        <v>1</v>
      </c>
      <c r="Y200">
        <f t="shared" si="6"/>
        <v>0</v>
      </c>
      <c r="AA200" s="3" t="str">
        <f t="shared" si="7"/>
        <v/>
      </c>
      <c r="AB200" s="3">
        <v>28</v>
      </c>
      <c r="AC200" t="str">
        <f>IFERROR(VLOOKUP(B200,vlookup!$A$16:$A$150,1,FALSE),"")</f>
        <v/>
      </c>
      <c r="AD200" t="str">
        <f>IFERROR(VLOOKUP(B200,vlookup!$A$16:$G$150,11,FALSE),"")</f>
        <v/>
      </c>
    </row>
    <row r="201" spans="1:30" hidden="1" x14ac:dyDescent="0.3">
      <c r="A201" t="s">
        <v>903</v>
      </c>
      <c r="B201" s="1">
        <v>7298948930</v>
      </c>
      <c r="C201" s="1" t="s">
        <v>924</v>
      </c>
      <c r="D201" t="s">
        <v>357</v>
      </c>
      <c r="F201" t="b">
        <v>0</v>
      </c>
      <c r="I201">
        <v>1</v>
      </c>
      <c r="J201">
        <v>44</v>
      </c>
      <c r="K201">
        <v>41</v>
      </c>
      <c r="L201">
        <v>50</v>
      </c>
      <c r="M201" t="s">
        <v>69</v>
      </c>
      <c r="N201" t="s">
        <v>33</v>
      </c>
      <c r="O201" t="b">
        <v>1</v>
      </c>
      <c r="Y201">
        <f t="shared" si="6"/>
        <v>0</v>
      </c>
      <c r="AA201" s="3" t="str">
        <f t="shared" si="7"/>
        <v/>
      </c>
      <c r="AB201" s="3">
        <v>28</v>
      </c>
      <c r="AC201">
        <f>IFERROR(VLOOKUP(B201,vlookup!$A$16:$A$150,1,FALSE),"")</f>
        <v>7298948930</v>
      </c>
      <c r="AD201" t="str">
        <f>IFERROR(VLOOKUP(B201,vlookup!$A$16:$G$150,11,FALSE),"")</f>
        <v/>
      </c>
    </row>
    <row r="202" spans="1:30" hidden="1" x14ac:dyDescent="0.3">
      <c r="A202" t="s">
        <v>925</v>
      </c>
      <c r="B202" s="1">
        <v>7298949030</v>
      </c>
      <c r="C202" s="1"/>
      <c r="D202" t="s">
        <v>357</v>
      </c>
      <c r="F202" t="b">
        <v>0</v>
      </c>
      <c r="I202">
        <v>1</v>
      </c>
      <c r="J202">
        <v>44</v>
      </c>
      <c r="K202">
        <v>42</v>
      </c>
      <c r="L202">
        <v>50</v>
      </c>
      <c r="M202" t="s">
        <v>69</v>
      </c>
      <c r="N202" t="s">
        <v>33</v>
      </c>
      <c r="O202" t="b">
        <v>1</v>
      </c>
      <c r="Y202">
        <f t="shared" si="6"/>
        <v>0</v>
      </c>
      <c r="AA202" s="3" t="str">
        <f t="shared" si="7"/>
        <v/>
      </c>
      <c r="AB202" s="3">
        <v>28</v>
      </c>
      <c r="AC202">
        <f>IFERROR(VLOOKUP(B202,vlookup!$A$16:$A$150,1,FALSE),"")</f>
        <v>7298949030</v>
      </c>
      <c r="AD202" t="str">
        <f>IFERROR(VLOOKUP(B202,vlookup!$A$16:$G$150,11,FALSE),"")</f>
        <v/>
      </c>
    </row>
    <row r="203" spans="1:30" hidden="1" x14ac:dyDescent="0.3">
      <c r="A203" t="s">
        <v>905</v>
      </c>
      <c r="B203" s="1" t="s">
        <v>697</v>
      </c>
      <c r="C203" s="1"/>
      <c r="D203" t="s">
        <v>357</v>
      </c>
      <c r="F203" t="b">
        <v>0</v>
      </c>
      <c r="I203">
        <v>1</v>
      </c>
      <c r="J203">
        <v>52</v>
      </c>
      <c r="K203">
        <v>41</v>
      </c>
      <c r="L203">
        <v>50</v>
      </c>
      <c r="M203" t="s">
        <v>69</v>
      </c>
      <c r="N203" t="s">
        <v>33</v>
      </c>
      <c r="O203" t="b">
        <v>1</v>
      </c>
      <c r="Y203">
        <f t="shared" si="6"/>
        <v>0</v>
      </c>
      <c r="AA203" s="3" t="str">
        <f t="shared" si="7"/>
        <v/>
      </c>
      <c r="AB203" s="3">
        <v>28</v>
      </c>
      <c r="AC203" t="str">
        <f>IFERROR(VLOOKUP(B203,vlookup!$A$16:$A$150,1,FALSE),"")</f>
        <v/>
      </c>
      <c r="AD203" t="str">
        <f>IFERROR(VLOOKUP(B203,vlookup!$A$16:$G$150,11,FALSE),"")</f>
        <v/>
      </c>
    </row>
    <row r="204" spans="1:30" hidden="1" x14ac:dyDescent="0.3">
      <c r="A204" t="s">
        <v>906</v>
      </c>
      <c r="B204" s="1" t="s">
        <v>764</v>
      </c>
      <c r="C204" s="1"/>
      <c r="D204" t="s">
        <v>357</v>
      </c>
      <c r="F204" t="b">
        <v>0</v>
      </c>
      <c r="I204">
        <v>1</v>
      </c>
      <c r="J204">
        <v>53</v>
      </c>
      <c r="K204">
        <v>36</v>
      </c>
      <c r="L204">
        <v>45</v>
      </c>
      <c r="M204" t="s">
        <v>71</v>
      </c>
      <c r="N204" t="s">
        <v>33</v>
      </c>
      <c r="O204" t="b">
        <v>1</v>
      </c>
      <c r="Y204">
        <f t="shared" si="6"/>
        <v>0</v>
      </c>
      <c r="AA204" s="3" t="str">
        <f t="shared" si="7"/>
        <v/>
      </c>
      <c r="AB204" s="3">
        <v>28</v>
      </c>
      <c r="AC204" t="str">
        <f>IFERROR(VLOOKUP(B204,vlookup!$A$16:$A$150,1,FALSE),"")</f>
        <v/>
      </c>
      <c r="AD204" t="str">
        <f>IFERROR(VLOOKUP(B204,vlookup!$A$16:$G$150,11,FALSE),"")</f>
        <v/>
      </c>
    </row>
    <row r="205" spans="1:30" hidden="1" x14ac:dyDescent="0.3">
      <c r="A205" t="s">
        <v>908</v>
      </c>
      <c r="B205" s="1">
        <v>7003292202</v>
      </c>
      <c r="C205" s="1"/>
      <c r="D205" t="s">
        <v>357</v>
      </c>
      <c r="F205" t="b">
        <v>0</v>
      </c>
      <c r="I205">
        <v>1</v>
      </c>
      <c r="J205">
        <v>60</v>
      </c>
      <c r="K205">
        <v>39</v>
      </c>
      <c r="L205">
        <v>45</v>
      </c>
      <c r="M205" t="s">
        <v>68</v>
      </c>
      <c r="N205" t="s">
        <v>33</v>
      </c>
      <c r="O205" t="b">
        <v>1</v>
      </c>
      <c r="Y205">
        <f t="shared" si="6"/>
        <v>0</v>
      </c>
      <c r="AA205" s="3" t="str">
        <f t="shared" si="7"/>
        <v/>
      </c>
      <c r="AB205" s="3">
        <v>28</v>
      </c>
      <c r="AC205" t="str">
        <f>IFERROR(VLOOKUP(B205,vlookup!$A$16:$A$150,1,FALSE),"")</f>
        <v/>
      </c>
      <c r="AD205" t="str">
        <f>IFERROR(VLOOKUP(B205,vlookup!$A$16:$G$150,11,FALSE),"")</f>
        <v/>
      </c>
    </row>
    <row r="206" spans="1:30" x14ac:dyDescent="0.3">
      <c r="A206" t="s">
        <v>920</v>
      </c>
      <c r="B206" s="1">
        <v>7118605030</v>
      </c>
      <c r="C206" s="1"/>
      <c r="D206" t="s">
        <v>357</v>
      </c>
      <c r="F206" t="b">
        <v>0</v>
      </c>
      <c r="I206">
        <v>1</v>
      </c>
      <c r="J206">
        <v>46</v>
      </c>
      <c r="K206">
        <v>40</v>
      </c>
      <c r="L206">
        <v>48</v>
      </c>
      <c r="M206" t="s">
        <v>69</v>
      </c>
      <c r="N206" t="s">
        <v>33</v>
      </c>
      <c r="O206" t="b">
        <v>1</v>
      </c>
      <c r="Y206">
        <f t="shared" si="6"/>
        <v>0</v>
      </c>
      <c r="AA206" s="3" t="str">
        <f t="shared" si="7"/>
        <v/>
      </c>
      <c r="AB206" s="3">
        <v>28</v>
      </c>
      <c r="AC206" t="str">
        <f>IFERROR(VLOOKUP(B206,vlookup!$A$16:$A$150,1,FALSE),"")</f>
        <v/>
      </c>
      <c r="AD206" t="str">
        <f>IFERROR(VLOOKUP(B206,vlookup!$A$16:$G$150,11,FALSE),"")</f>
        <v/>
      </c>
    </row>
    <row r="207" spans="1:30" hidden="1" x14ac:dyDescent="0.3">
      <c r="A207" t="s">
        <v>923</v>
      </c>
      <c r="B207" s="1">
        <v>7289042870</v>
      </c>
      <c r="C207" s="1"/>
      <c r="D207" t="s">
        <v>357</v>
      </c>
      <c r="F207" t="b">
        <v>0</v>
      </c>
      <c r="I207">
        <v>1</v>
      </c>
      <c r="J207">
        <v>45</v>
      </c>
      <c r="K207">
        <v>45</v>
      </c>
      <c r="L207">
        <v>52</v>
      </c>
      <c r="M207" t="s">
        <v>74</v>
      </c>
      <c r="N207" t="s">
        <v>33</v>
      </c>
      <c r="O207" t="b">
        <v>1</v>
      </c>
      <c r="Y207">
        <f t="shared" si="6"/>
        <v>0</v>
      </c>
      <c r="AA207" s="3" t="str">
        <f t="shared" si="7"/>
        <v/>
      </c>
      <c r="AB207" s="3">
        <v>28</v>
      </c>
      <c r="AC207" t="str">
        <f>IFERROR(VLOOKUP(B207,vlookup!$A$16:$A$150,1,FALSE),"")</f>
        <v/>
      </c>
      <c r="AD207" t="str">
        <f>IFERROR(VLOOKUP(B207,vlookup!$A$16:$G$150,11,FALSE),"")</f>
        <v/>
      </c>
    </row>
    <row r="208" spans="1:30" hidden="1" x14ac:dyDescent="0.3">
      <c r="A208" t="s">
        <v>926</v>
      </c>
      <c r="B208" s="1" t="s">
        <v>679</v>
      </c>
      <c r="C208" s="1"/>
      <c r="D208" t="s">
        <v>357</v>
      </c>
      <c r="F208" t="b">
        <v>0</v>
      </c>
      <c r="I208">
        <v>1</v>
      </c>
      <c r="J208">
        <v>38</v>
      </c>
      <c r="K208">
        <v>37</v>
      </c>
      <c r="L208">
        <v>69</v>
      </c>
      <c r="M208" t="s">
        <v>69</v>
      </c>
      <c r="N208" t="s">
        <v>33</v>
      </c>
      <c r="O208" t="b">
        <v>1</v>
      </c>
      <c r="Y208">
        <f t="shared" si="6"/>
        <v>0</v>
      </c>
      <c r="AA208" s="3" t="str">
        <f t="shared" si="7"/>
        <v/>
      </c>
      <c r="AB208" s="3">
        <v>28</v>
      </c>
      <c r="AC208" t="str">
        <f>IFERROR(VLOOKUP(B208,vlookup!$A$16:$A$150,1,FALSE),"")</f>
        <v/>
      </c>
      <c r="AD208" t="str">
        <f>IFERROR(VLOOKUP(B208,vlookup!$A$16:$G$150,11,FALSE),"")</f>
        <v/>
      </c>
    </row>
    <row r="209" spans="1:30" hidden="1" x14ac:dyDescent="0.3">
      <c r="A209" t="s">
        <v>927</v>
      </c>
      <c r="B209" s="1" t="s">
        <v>762</v>
      </c>
      <c r="C209" s="1"/>
      <c r="D209" t="s">
        <v>357</v>
      </c>
      <c r="F209" t="b">
        <v>0</v>
      </c>
      <c r="I209">
        <v>1</v>
      </c>
      <c r="J209">
        <v>39</v>
      </c>
      <c r="K209">
        <v>34</v>
      </c>
      <c r="L209">
        <v>52</v>
      </c>
      <c r="M209" t="s">
        <v>70</v>
      </c>
      <c r="N209" t="s">
        <v>33</v>
      </c>
      <c r="O209" t="b">
        <v>1</v>
      </c>
      <c r="Y209">
        <f t="shared" si="6"/>
        <v>0</v>
      </c>
      <c r="AA209" s="3" t="str">
        <f t="shared" si="7"/>
        <v/>
      </c>
      <c r="AB209" s="3">
        <v>28</v>
      </c>
      <c r="AC209" t="str">
        <f>IFERROR(VLOOKUP(B209,vlookup!$A$16:$A$150,1,FALSE),"")</f>
        <v/>
      </c>
      <c r="AD209" t="str">
        <f>IFERROR(VLOOKUP(B209,vlookup!$A$16:$G$150,11,FALSE),"")</f>
        <v/>
      </c>
    </row>
    <row r="210" spans="1:30" hidden="1" x14ac:dyDescent="0.3">
      <c r="A210" t="s">
        <v>928</v>
      </c>
      <c r="B210" s="1">
        <v>7289689230</v>
      </c>
      <c r="C210" s="1"/>
      <c r="D210" t="s">
        <v>357</v>
      </c>
      <c r="F210" t="b">
        <v>0</v>
      </c>
      <c r="I210">
        <v>1</v>
      </c>
      <c r="J210">
        <v>47</v>
      </c>
      <c r="K210">
        <v>40</v>
      </c>
      <c r="L210">
        <v>50</v>
      </c>
      <c r="M210" t="s">
        <v>69</v>
      </c>
      <c r="N210" t="s">
        <v>33</v>
      </c>
      <c r="O210" t="b">
        <v>1</v>
      </c>
      <c r="Y210">
        <f t="shared" si="6"/>
        <v>0</v>
      </c>
      <c r="AA210" s="3" t="str">
        <f t="shared" si="7"/>
        <v/>
      </c>
      <c r="AB210" s="3">
        <v>28</v>
      </c>
      <c r="AC210" t="str">
        <f>IFERROR(VLOOKUP(B210,vlookup!$A$16:$A$150,1,FALSE),"")</f>
        <v/>
      </c>
      <c r="AD210" t="str">
        <f>IFERROR(VLOOKUP(B210,vlookup!$A$16:$G$150,11,FALSE),"")</f>
        <v/>
      </c>
    </row>
    <row r="211" spans="1:30" hidden="1" x14ac:dyDescent="0.3">
      <c r="A211" t="s">
        <v>929</v>
      </c>
      <c r="B211" s="1">
        <v>7009748202</v>
      </c>
      <c r="C211" s="1"/>
      <c r="D211" t="s">
        <v>357</v>
      </c>
      <c r="F211" t="b">
        <v>0</v>
      </c>
      <c r="I211">
        <v>1</v>
      </c>
      <c r="J211">
        <v>50</v>
      </c>
      <c r="K211">
        <v>42</v>
      </c>
      <c r="L211">
        <v>45</v>
      </c>
      <c r="M211" t="s">
        <v>68</v>
      </c>
      <c r="N211" t="s">
        <v>33</v>
      </c>
      <c r="O211" t="b">
        <v>1</v>
      </c>
      <c r="Y211">
        <f t="shared" si="6"/>
        <v>0</v>
      </c>
      <c r="AA211" s="3" t="str">
        <f t="shared" si="7"/>
        <v/>
      </c>
      <c r="AB211" s="3">
        <v>28</v>
      </c>
      <c r="AC211" t="str">
        <f>IFERROR(VLOOKUP(B211,vlookup!$A$16:$A$150,1,FALSE),"")</f>
        <v/>
      </c>
      <c r="AD211" t="str">
        <f>IFERROR(VLOOKUP(B211,vlookup!$A$16:$G$150,11,FALSE),"")</f>
        <v/>
      </c>
    </row>
    <row r="212" spans="1:30" hidden="1" x14ac:dyDescent="0.3">
      <c r="A212" t="s">
        <v>930</v>
      </c>
      <c r="B212" s="1">
        <v>7298913530</v>
      </c>
      <c r="C212" s="1"/>
      <c r="D212" t="s">
        <v>357</v>
      </c>
      <c r="F212" t="b">
        <v>0</v>
      </c>
      <c r="I212">
        <v>1</v>
      </c>
      <c r="J212">
        <v>48</v>
      </c>
      <c r="K212">
        <v>45</v>
      </c>
      <c r="L212">
        <v>63</v>
      </c>
      <c r="M212" t="s">
        <v>69</v>
      </c>
      <c r="N212" t="s">
        <v>33</v>
      </c>
      <c r="O212" t="b">
        <v>1</v>
      </c>
      <c r="Y212">
        <f t="shared" si="6"/>
        <v>0</v>
      </c>
      <c r="AA212" s="3" t="str">
        <f t="shared" si="7"/>
        <v/>
      </c>
      <c r="AB212" s="3">
        <v>28</v>
      </c>
      <c r="AC212" t="str">
        <f>IFERROR(VLOOKUP(B212,vlookup!$A$16:$A$150,1,FALSE),"")</f>
        <v/>
      </c>
      <c r="AD212" t="str">
        <f>IFERROR(VLOOKUP(B212,vlookup!$A$16:$G$150,11,FALSE),"")</f>
        <v/>
      </c>
    </row>
    <row r="213" spans="1:30" hidden="1" x14ac:dyDescent="0.3">
      <c r="A213" t="s">
        <v>931</v>
      </c>
      <c r="B213" s="1">
        <v>7119665630</v>
      </c>
      <c r="C213" s="1"/>
      <c r="D213" t="s">
        <v>357</v>
      </c>
      <c r="F213" t="b">
        <v>0</v>
      </c>
      <c r="I213">
        <v>1</v>
      </c>
      <c r="J213">
        <v>46</v>
      </c>
      <c r="K213">
        <v>32</v>
      </c>
      <c r="L213">
        <v>49</v>
      </c>
      <c r="M213" t="s">
        <v>69</v>
      </c>
      <c r="N213" t="s">
        <v>33</v>
      </c>
      <c r="O213" t="b">
        <v>1</v>
      </c>
      <c r="Y213">
        <f t="shared" si="6"/>
        <v>0</v>
      </c>
      <c r="AA213" s="3" t="str">
        <f t="shared" si="7"/>
        <v/>
      </c>
      <c r="AB213" s="3">
        <v>28</v>
      </c>
      <c r="AC213" t="str">
        <f>IFERROR(VLOOKUP(B213,vlookup!$A$16:$A$150,1,FALSE),"")</f>
        <v/>
      </c>
      <c r="AD213" t="str">
        <f>IFERROR(VLOOKUP(B213,vlookup!$A$16:$G$150,11,FALSE),"")</f>
        <v/>
      </c>
    </row>
    <row r="214" spans="1:30" hidden="1" x14ac:dyDescent="0.3">
      <c r="A214" t="s">
        <v>932</v>
      </c>
      <c r="B214" s="1">
        <v>7119637880</v>
      </c>
      <c r="C214" s="1"/>
      <c r="D214" t="s">
        <v>357</v>
      </c>
      <c r="F214" t="b">
        <v>0</v>
      </c>
      <c r="I214">
        <v>1</v>
      </c>
      <c r="J214">
        <v>42</v>
      </c>
      <c r="K214">
        <v>41</v>
      </c>
      <c r="L214">
        <v>47</v>
      </c>
      <c r="M214" t="s">
        <v>71</v>
      </c>
      <c r="N214" t="s">
        <v>33</v>
      </c>
      <c r="O214" t="b">
        <v>1</v>
      </c>
      <c r="Y214">
        <f t="shared" si="6"/>
        <v>0</v>
      </c>
      <c r="AA214" s="3" t="str">
        <f t="shared" si="7"/>
        <v/>
      </c>
      <c r="AB214" s="3">
        <v>28</v>
      </c>
      <c r="AC214" t="str">
        <f>IFERROR(VLOOKUP(B214,vlookup!$A$16:$A$150,1,FALSE),"")</f>
        <v/>
      </c>
      <c r="AD214" t="str">
        <f>IFERROR(VLOOKUP(B214,vlookup!$A$16:$G$150,11,FALSE),"")</f>
        <v/>
      </c>
    </row>
    <row r="215" spans="1:30" hidden="1" x14ac:dyDescent="0.3">
      <c r="A215" t="s">
        <v>933</v>
      </c>
      <c r="B215" s="1">
        <v>7198600430</v>
      </c>
      <c r="C215" s="1"/>
      <c r="D215" t="s">
        <v>357</v>
      </c>
      <c r="F215" t="b">
        <v>0</v>
      </c>
      <c r="I215">
        <v>1</v>
      </c>
      <c r="J215">
        <v>91</v>
      </c>
      <c r="K215">
        <v>41</v>
      </c>
      <c r="L215">
        <v>54</v>
      </c>
      <c r="M215" t="s">
        <v>69</v>
      </c>
      <c r="N215" t="s">
        <v>33</v>
      </c>
      <c r="O215" t="b">
        <v>1</v>
      </c>
      <c r="Y215">
        <f t="shared" si="6"/>
        <v>0</v>
      </c>
      <c r="AA215" s="3" t="str">
        <f t="shared" si="7"/>
        <v/>
      </c>
      <c r="AB215" s="3">
        <v>28</v>
      </c>
      <c r="AC215" t="str">
        <f>IFERROR(VLOOKUP(B215,vlookup!$A$16:$A$150,1,FALSE),"")</f>
        <v/>
      </c>
      <c r="AD215" t="str">
        <f>IFERROR(VLOOKUP(B215,vlookup!$A$16:$G$150,11,FALSE),"")</f>
        <v/>
      </c>
    </row>
    <row r="216" spans="1:30" hidden="1" x14ac:dyDescent="0.3">
      <c r="A216" t="s">
        <v>934</v>
      </c>
      <c r="B216" s="1">
        <v>7287065830</v>
      </c>
      <c r="C216" s="1"/>
      <c r="D216" t="s">
        <v>357</v>
      </c>
      <c r="F216" t="b">
        <v>0</v>
      </c>
      <c r="I216">
        <v>1</v>
      </c>
      <c r="J216">
        <v>42</v>
      </c>
      <c r="K216">
        <v>46</v>
      </c>
      <c r="L216">
        <v>56</v>
      </c>
      <c r="M216" t="s">
        <v>69</v>
      </c>
      <c r="N216" t="s">
        <v>33</v>
      </c>
      <c r="O216" t="b">
        <v>1</v>
      </c>
      <c r="Y216">
        <f t="shared" si="6"/>
        <v>0</v>
      </c>
      <c r="AA216" s="3" t="str">
        <f t="shared" si="7"/>
        <v/>
      </c>
      <c r="AB216" s="3">
        <v>28</v>
      </c>
      <c r="AC216" t="str">
        <f>IFERROR(VLOOKUP(B216,vlookup!$A$16:$A$150,1,FALSE),"")</f>
        <v/>
      </c>
      <c r="AD216" t="str">
        <f>IFERROR(VLOOKUP(B216,vlookup!$A$16:$G$150,11,FALSE),"")</f>
        <v/>
      </c>
    </row>
    <row r="217" spans="1:30" hidden="1" x14ac:dyDescent="0.3">
      <c r="A217" t="s">
        <v>935</v>
      </c>
      <c r="B217" s="1" t="s">
        <v>936</v>
      </c>
      <c r="C217" s="1"/>
      <c r="D217" t="s">
        <v>357</v>
      </c>
      <c r="F217" t="b">
        <v>0</v>
      </c>
      <c r="I217">
        <v>1</v>
      </c>
      <c r="J217">
        <v>92</v>
      </c>
      <c r="K217">
        <v>75</v>
      </c>
      <c r="L217">
        <v>52</v>
      </c>
      <c r="M217" t="s">
        <v>68</v>
      </c>
      <c r="N217" t="s">
        <v>33</v>
      </c>
      <c r="O217" t="b">
        <v>1</v>
      </c>
      <c r="Y217">
        <f t="shared" si="6"/>
        <v>0</v>
      </c>
      <c r="AA217" s="3" t="str">
        <f t="shared" si="7"/>
        <v/>
      </c>
      <c r="AB217" s="3">
        <v>28</v>
      </c>
      <c r="AC217" t="str">
        <f>IFERROR(VLOOKUP(B217,vlookup!$A$16:$A$150,1,FALSE),"")</f>
        <v/>
      </c>
      <c r="AD217" t="str">
        <f>IFERROR(VLOOKUP(B217,vlookup!$A$16:$G$150,11,FALSE),"")</f>
        <v/>
      </c>
    </row>
    <row r="218" spans="1:30" hidden="1" x14ac:dyDescent="0.3">
      <c r="A218" t="s">
        <v>962</v>
      </c>
      <c r="B218" s="1">
        <v>7035990830</v>
      </c>
      <c r="C218" s="1"/>
      <c r="D218" t="s">
        <v>357</v>
      </c>
      <c r="F218" t="b">
        <v>0</v>
      </c>
      <c r="I218">
        <v>1</v>
      </c>
      <c r="J218">
        <v>85</v>
      </c>
      <c r="K218">
        <v>48</v>
      </c>
      <c r="L218">
        <v>63</v>
      </c>
      <c r="M218" t="s">
        <v>69</v>
      </c>
      <c r="N218" t="s">
        <v>33</v>
      </c>
      <c r="O218" t="b">
        <v>1</v>
      </c>
      <c r="Y218">
        <f t="shared" si="6"/>
        <v>0</v>
      </c>
      <c r="AA218" s="3" t="str">
        <f t="shared" si="7"/>
        <v/>
      </c>
      <c r="AB218" s="3">
        <v>28</v>
      </c>
      <c r="AC218" t="str">
        <f>IFERROR(VLOOKUP(B218,vlookup!$A$16:$A$150,1,FALSE),"")</f>
        <v/>
      </c>
      <c r="AD218" t="str">
        <f>IFERROR(VLOOKUP(B218,vlookup!$A$16:$G$150,11,FALSE),"")</f>
        <v/>
      </c>
    </row>
    <row r="219" spans="1:30" hidden="1" x14ac:dyDescent="0.3">
      <c r="A219" t="s">
        <v>963</v>
      </c>
      <c r="B219" s="1" t="s">
        <v>758</v>
      </c>
      <c r="C219" s="1"/>
      <c r="D219" t="s">
        <v>357</v>
      </c>
      <c r="F219" t="b">
        <v>0</v>
      </c>
      <c r="I219">
        <v>1</v>
      </c>
      <c r="J219">
        <v>105</v>
      </c>
      <c r="K219">
        <v>65</v>
      </c>
      <c r="L219">
        <v>68</v>
      </c>
      <c r="M219" t="s">
        <v>69</v>
      </c>
      <c r="N219" t="s">
        <v>33</v>
      </c>
      <c r="O219" t="b">
        <v>1</v>
      </c>
      <c r="Y219">
        <f t="shared" si="6"/>
        <v>0</v>
      </c>
      <c r="AA219" s="3" t="str">
        <f t="shared" si="7"/>
        <v/>
      </c>
      <c r="AB219" s="3">
        <v>28</v>
      </c>
      <c r="AC219" t="str">
        <f>IFERROR(VLOOKUP(B219,vlookup!$A$16:$A$150,1,FALSE),"")</f>
        <v/>
      </c>
      <c r="AD219" t="str">
        <f>IFERROR(VLOOKUP(B219,vlookup!$A$16:$G$150,11,FALSE),"")</f>
        <v/>
      </c>
    </row>
    <row r="220" spans="1:30" hidden="1" x14ac:dyDescent="0.3">
      <c r="A220" t="s">
        <v>964</v>
      </c>
      <c r="B220" s="1">
        <v>7247781630</v>
      </c>
      <c r="C220" s="1"/>
      <c r="D220" t="s">
        <v>360</v>
      </c>
      <c r="E220" t="s">
        <v>965</v>
      </c>
      <c r="F220" t="b">
        <v>0</v>
      </c>
      <c r="I220">
        <v>1</v>
      </c>
      <c r="J220">
        <v>39</v>
      </c>
      <c r="K220">
        <v>34</v>
      </c>
      <c r="L220">
        <v>48</v>
      </c>
      <c r="M220" t="s">
        <v>69</v>
      </c>
      <c r="N220" t="s">
        <v>33</v>
      </c>
      <c r="O220" t="b">
        <v>1</v>
      </c>
      <c r="Y220">
        <f t="shared" si="6"/>
        <v>0</v>
      </c>
      <c r="AA220" s="3" t="str">
        <f t="shared" si="7"/>
        <v/>
      </c>
      <c r="AB220" s="3">
        <v>28</v>
      </c>
      <c r="AC220" t="str">
        <f>IFERROR(VLOOKUP(B220,vlookup!$A$16:$A$150,1,FALSE),"")</f>
        <v/>
      </c>
      <c r="AD220" t="str">
        <f>IFERROR(VLOOKUP(B220,vlookup!$A$16:$G$150,11,FALSE),"")</f>
        <v/>
      </c>
    </row>
    <row r="221" spans="1:30" hidden="1" x14ac:dyDescent="0.3">
      <c r="A221" t="s">
        <v>1204</v>
      </c>
      <c r="B221" s="1">
        <v>7035964930</v>
      </c>
      <c r="C221" s="1"/>
      <c r="D221" t="s">
        <v>357</v>
      </c>
      <c r="F221" t="b">
        <v>0</v>
      </c>
      <c r="I221">
        <v>1</v>
      </c>
      <c r="J221">
        <v>83</v>
      </c>
      <c r="K221">
        <v>60</v>
      </c>
      <c r="L221">
        <v>80</v>
      </c>
      <c r="M221" t="s">
        <v>69</v>
      </c>
      <c r="N221" t="s">
        <v>33</v>
      </c>
      <c r="O221" t="b">
        <v>1</v>
      </c>
      <c r="Y221">
        <f t="shared" si="6"/>
        <v>0</v>
      </c>
      <c r="AA221" s="3" t="str">
        <f t="shared" si="7"/>
        <v/>
      </c>
      <c r="AB221" s="3">
        <v>28</v>
      </c>
      <c r="AC221">
        <f>IFERROR(VLOOKUP(B221,vlookup!$A$16:$A$150,1,FALSE),"")</f>
        <v>7035964930</v>
      </c>
      <c r="AD221" t="str">
        <f>IFERROR(VLOOKUP(B221,vlookup!$A$16:$G$150,11,FALSE),"")</f>
        <v/>
      </c>
    </row>
    <row r="222" spans="1:30" hidden="1" x14ac:dyDescent="0.3">
      <c r="A222" t="s">
        <v>967</v>
      </c>
      <c r="B222" s="1">
        <v>7035990430</v>
      </c>
      <c r="C222" s="1" t="s">
        <v>966</v>
      </c>
      <c r="D222" t="s">
        <v>357</v>
      </c>
      <c r="F222" t="b">
        <v>0</v>
      </c>
      <c r="I222">
        <v>1</v>
      </c>
      <c r="J222">
        <v>65</v>
      </c>
      <c r="K222">
        <v>50</v>
      </c>
      <c r="L222">
        <v>70</v>
      </c>
      <c r="M222" t="s">
        <v>69</v>
      </c>
      <c r="N222" t="s">
        <v>33</v>
      </c>
      <c r="O222" t="b">
        <v>1</v>
      </c>
      <c r="X222">
        <v>19</v>
      </c>
      <c r="Y222">
        <f t="shared" si="6"/>
        <v>0</v>
      </c>
      <c r="Z222" t="s">
        <v>1624</v>
      </c>
      <c r="AA222" s="3" t="str">
        <f t="shared" si="7"/>
        <v/>
      </c>
      <c r="AB222" s="3">
        <v>28</v>
      </c>
      <c r="AC222">
        <f>IFERROR(VLOOKUP(B222,vlookup!$A$16:$A$150,1,FALSE),"")</f>
        <v>7035990430</v>
      </c>
      <c r="AD222" t="str">
        <f>IFERROR(VLOOKUP(B222,vlookup!$A$16:$G$150,11,FALSE),"")</f>
        <v/>
      </c>
    </row>
    <row r="223" spans="1:30" hidden="1" x14ac:dyDescent="0.3">
      <c r="A223" t="s">
        <v>968</v>
      </c>
      <c r="B223" s="1" t="s">
        <v>961</v>
      </c>
      <c r="C223" s="1"/>
      <c r="D223" t="s">
        <v>357</v>
      </c>
      <c r="F223" t="b">
        <v>0</v>
      </c>
      <c r="I223">
        <v>1</v>
      </c>
      <c r="J223">
        <v>102</v>
      </c>
      <c r="K223">
        <v>47</v>
      </c>
      <c r="L223">
        <v>57</v>
      </c>
      <c r="M223" t="s">
        <v>69</v>
      </c>
      <c r="N223" t="s">
        <v>33</v>
      </c>
      <c r="O223" t="b">
        <v>1</v>
      </c>
      <c r="Y223">
        <f t="shared" si="6"/>
        <v>0</v>
      </c>
      <c r="AA223" s="3" t="str">
        <f t="shared" si="7"/>
        <v/>
      </c>
      <c r="AB223" s="3">
        <v>28</v>
      </c>
      <c r="AC223" t="str">
        <f>IFERROR(VLOOKUP(B223,vlookup!$A$16:$A$150,1,FALSE),"")</f>
        <v/>
      </c>
      <c r="AD223" t="str">
        <f>IFERROR(VLOOKUP(B223,vlookup!$A$16:$G$150,11,FALSE),"")</f>
        <v/>
      </c>
    </row>
    <row r="224" spans="1:30" hidden="1" x14ac:dyDescent="0.3">
      <c r="A224" t="s">
        <v>1108</v>
      </c>
      <c r="B224" s="1">
        <v>6666666630</v>
      </c>
      <c r="C224" s="1"/>
      <c r="D224" t="s">
        <v>357</v>
      </c>
      <c r="E224" t="s">
        <v>1106</v>
      </c>
      <c r="F224" t="b">
        <v>0</v>
      </c>
      <c r="I224">
        <v>1</v>
      </c>
      <c r="J224">
        <v>66</v>
      </c>
      <c r="K224">
        <v>67</v>
      </c>
      <c r="L224">
        <v>68</v>
      </c>
      <c r="M224" t="s">
        <v>69</v>
      </c>
      <c r="N224" t="s">
        <v>33</v>
      </c>
      <c r="O224" t="b">
        <v>1</v>
      </c>
      <c r="Y224">
        <f t="shared" si="6"/>
        <v>0</v>
      </c>
      <c r="AA224" s="3" t="str">
        <f t="shared" si="7"/>
        <v/>
      </c>
      <c r="AB224" s="3">
        <v>28</v>
      </c>
      <c r="AC224" t="str">
        <f>IFERROR(VLOOKUP(B224,vlookup!$A$16:$A$150,1,FALSE),"")</f>
        <v/>
      </c>
      <c r="AD224" t="str">
        <f>IFERROR(VLOOKUP(B224,vlookup!$A$16:$G$150,11,FALSE),"")</f>
        <v/>
      </c>
    </row>
    <row r="225" spans="1:30" hidden="1" x14ac:dyDescent="0.3">
      <c r="A225" t="s">
        <v>1069</v>
      </c>
      <c r="B225" s="1" t="s">
        <v>1068</v>
      </c>
      <c r="C225" s="1"/>
      <c r="D225" t="s">
        <v>357</v>
      </c>
      <c r="F225" t="b">
        <v>0</v>
      </c>
      <c r="I225">
        <v>1</v>
      </c>
      <c r="J225">
        <v>45</v>
      </c>
      <c r="K225">
        <v>40</v>
      </c>
      <c r="L225">
        <v>46</v>
      </c>
      <c r="M225" t="s">
        <v>68</v>
      </c>
      <c r="N225" t="s">
        <v>33</v>
      </c>
      <c r="O225" t="b">
        <v>1</v>
      </c>
      <c r="Y225">
        <f t="shared" si="6"/>
        <v>0</v>
      </c>
      <c r="AA225" s="3" t="str">
        <f t="shared" si="7"/>
        <v/>
      </c>
      <c r="AB225" s="3">
        <v>28</v>
      </c>
      <c r="AC225" t="str">
        <f>IFERROR(VLOOKUP(B225,vlookup!$A$16:$A$150,1,FALSE),"")</f>
        <v>ASSY_AMZ005000B/ASSY_AMZ005DC0B</v>
      </c>
      <c r="AD225" t="str">
        <f>IFERROR(VLOOKUP(B225,vlookup!$A$16:$G$150,11,FALSE),"")</f>
        <v/>
      </c>
    </row>
    <row r="226" spans="1:30" hidden="1" x14ac:dyDescent="0.3">
      <c r="A226" t="s">
        <v>1070</v>
      </c>
      <c r="B226" s="1">
        <v>7235053630</v>
      </c>
      <c r="C226" s="1"/>
      <c r="D226" t="s">
        <v>357</v>
      </c>
      <c r="E226" t="s">
        <v>1229</v>
      </c>
      <c r="F226" t="b">
        <v>0</v>
      </c>
      <c r="I226">
        <v>1</v>
      </c>
      <c r="J226">
        <v>105</v>
      </c>
      <c r="K226">
        <v>63</v>
      </c>
      <c r="L226">
        <v>85</v>
      </c>
      <c r="M226" t="s">
        <v>69</v>
      </c>
      <c r="N226" t="s">
        <v>33</v>
      </c>
      <c r="O226" t="b">
        <v>1</v>
      </c>
      <c r="X226">
        <v>19</v>
      </c>
      <c r="Y226">
        <f t="shared" si="6"/>
        <v>0</v>
      </c>
      <c r="Z226" t="s">
        <v>1624</v>
      </c>
      <c r="AA226" s="3" t="str">
        <f t="shared" si="7"/>
        <v/>
      </c>
      <c r="AB226" s="3">
        <v>28</v>
      </c>
      <c r="AC226">
        <f>IFERROR(VLOOKUP(B226,vlookup!$A$16:$A$150,1,FALSE),"")</f>
        <v>7235053630</v>
      </c>
      <c r="AD226" t="str">
        <f>IFERROR(VLOOKUP(B226,vlookup!$A$16:$G$150,11,FALSE),"")</f>
        <v/>
      </c>
    </row>
    <row r="227" spans="1:30" hidden="1" x14ac:dyDescent="0.3">
      <c r="A227" t="s">
        <v>1071</v>
      </c>
      <c r="B227" s="1">
        <v>7235053630</v>
      </c>
      <c r="C227" s="1"/>
      <c r="D227" t="s">
        <v>357</v>
      </c>
      <c r="F227" t="b">
        <v>0</v>
      </c>
      <c r="I227">
        <v>1</v>
      </c>
      <c r="J227">
        <v>105</v>
      </c>
      <c r="K227">
        <v>63</v>
      </c>
      <c r="L227">
        <v>85</v>
      </c>
      <c r="M227" t="s">
        <v>69</v>
      </c>
      <c r="N227" t="s">
        <v>33</v>
      </c>
      <c r="O227" t="b">
        <v>1</v>
      </c>
      <c r="Y227">
        <f t="shared" si="6"/>
        <v>0</v>
      </c>
      <c r="AA227" s="3" t="str">
        <f t="shared" si="7"/>
        <v/>
      </c>
      <c r="AB227" s="3">
        <v>28</v>
      </c>
      <c r="AC227">
        <f>IFERROR(VLOOKUP(B227,vlookup!$A$16:$A$150,1,FALSE),"")</f>
        <v>7235053630</v>
      </c>
      <c r="AD227" t="str">
        <f>IFERROR(VLOOKUP(B227,vlookup!$A$16:$G$150,11,FALSE),"")</f>
        <v/>
      </c>
    </row>
    <row r="228" spans="1:30" hidden="1" x14ac:dyDescent="0.3">
      <c r="A228" t="s">
        <v>1072</v>
      </c>
      <c r="B228" s="1">
        <v>7235053630</v>
      </c>
      <c r="C228" s="1"/>
      <c r="D228" t="s">
        <v>357</v>
      </c>
      <c r="E228" t="s">
        <v>1229</v>
      </c>
      <c r="F228" t="b">
        <v>0</v>
      </c>
      <c r="I228">
        <v>1</v>
      </c>
      <c r="J228">
        <v>105</v>
      </c>
      <c r="K228">
        <v>71</v>
      </c>
      <c r="L228">
        <v>85</v>
      </c>
      <c r="M228" t="s">
        <v>69</v>
      </c>
      <c r="N228" t="s">
        <v>33</v>
      </c>
      <c r="O228" t="b">
        <v>1</v>
      </c>
      <c r="X228">
        <v>19</v>
      </c>
      <c r="Y228">
        <f t="shared" si="6"/>
        <v>0</v>
      </c>
      <c r="Z228" t="s">
        <v>1624</v>
      </c>
      <c r="AA228" s="3" t="str">
        <f t="shared" si="7"/>
        <v/>
      </c>
      <c r="AB228" s="3">
        <v>28</v>
      </c>
      <c r="AC228">
        <f>IFERROR(VLOOKUP(B228,vlookup!$A$16:$A$150,1,FALSE),"")</f>
        <v>7235053630</v>
      </c>
      <c r="AD228" t="str">
        <f>IFERROR(VLOOKUP(B228,vlookup!$A$16:$G$150,11,FALSE),"")</f>
        <v/>
      </c>
    </row>
    <row r="229" spans="1:30" hidden="1" x14ac:dyDescent="0.3">
      <c r="A229" t="s">
        <v>1073</v>
      </c>
      <c r="B229" s="1">
        <v>7235053630</v>
      </c>
      <c r="C229" s="1"/>
      <c r="D229" t="s">
        <v>357</v>
      </c>
      <c r="F229" t="b">
        <v>0</v>
      </c>
      <c r="I229">
        <v>1</v>
      </c>
      <c r="J229">
        <v>105</v>
      </c>
      <c r="K229">
        <v>71</v>
      </c>
      <c r="L229">
        <v>85</v>
      </c>
      <c r="M229" t="s">
        <v>69</v>
      </c>
      <c r="N229" t="s">
        <v>33</v>
      </c>
      <c r="O229" t="b">
        <v>1</v>
      </c>
      <c r="Y229">
        <f t="shared" si="6"/>
        <v>0</v>
      </c>
      <c r="AA229" s="3" t="str">
        <f t="shared" si="7"/>
        <v/>
      </c>
      <c r="AB229" s="3">
        <v>28</v>
      </c>
      <c r="AC229">
        <f>IFERROR(VLOOKUP(B229,vlookup!$A$16:$A$150,1,FALSE),"")</f>
        <v>7235053630</v>
      </c>
      <c r="AD229" t="str">
        <f>IFERROR(VLOOKUP(B229,vlookup!$A$16:$G$150,11,FALSE),"")</f>
        <v/>
      </c>
    </row>
    <row r="230" spans="1:30" hidden="1" x14ac:dyDescent="0.3">
      <c r="A230" t="s">
        <v>1088</v>
      </c>
      <c r="B230" s="1" t="s">
        <v>711</v>
      </c>
      <c r="C230" s="1"/>
      <c r="D230" t="s">
        <v>357</v>
      </c>
      <c r="F230" t="b">
        <v>0</v>
      </c>
      <c r="I230">
        <v>1</v>
      </c>
      <c r="J230">
        <v>49</v>
      </c>
      <c r="K230">
        <v>34</v>
      </c>
      <c r="L230">
        <v>44</v>
      </c>
      <c r="M230" t="s">
        <v>71</v>
      </c>
      <c r="N230" t="s">
        <v>33</v>
      </c>
      <c r="O230" t="b">
        <v>1</v>
      </c>
      <c r="X230">
        <v>19</v>
      </c>
      <c r="Y230">
        <f t="shared" si="6"/>
        <v>0</v>
      </c>
      <c r="Z230" t="s">
        <v>1624</v>
      </c>
      <c r="AA230" s="3" t="str">
        <f t="shared" si="7"/>
        <v/>
      </c>
      <c r="AB230" s="3">
        <v>28</v>
      </c>
      <c r="AC230" t="str">
        <f>IFERROR(VLOOKUP(B230,vlookup!$A$16:$A$150,1,FALSE),"")</f>
        <v>ASSY_59Z063DC0F</v>
      </c>
      <c r="AD230" t="str">
        <f>IFERROR(VLOOKUP(B230,vlookup!$A$16:$G$150,11,FALSE),"")</f>
        <v/>
      </c>
    </row>
    <row r="231" spans="1:30" hidden="1" x14ac:dyDescent="0.3">
      <c r="A231" t="s">
        <v>1537</v>
      </c>
      <c r="B231" s="1" t="s">
        <v>1504</v>
      </c>
      <c r="C231" s="1"/>
      <c r="D231" t="s">
        <v>357</v>
      </c>
      <c r="E231" t="s">
        <v>1105</v>
      </c>
      <c r="F231" t="b">
        <v>0</v>
      </c>
      <c r="I231">
        <v>1</v>
      </c>
      <c r="N231" t="s">
        <v>33</v>
      </c>
      <c r="O231" t="b">
        <v>1</v>
      </c>
      <c r="Y231">
        <f t="shared" si="6"/>
        <v>0</v>
      </c>
      <c r="AA231" s="3" t="str">
        <f t="shared" si="7"/>
        <v/>
      </c>
      <c r="AB231" s="3">
        <v>28</v>
      </c>
      <c r="AC231" t="str">
        <f>IFERROR(VLOOKUP(B231,vlookup!$A$16:$A$150,1,FALSE),"")</f>
        <v>ASSY_123024501+ASSY_023024521</v>
      </c>
      <c r="AD231" t="str">
        <f>IFERROR(VLOOKUP(B231,vlookup!$A$16:$G$150,11,FALSE),"")</f>
        <v/>
      </c>
    </row>
    <row r="232" spans="1:30" hidden="1" x14ac:dyDescent="0.3">
      <c r="A232" t="s">
        <v>1091</v>
      </c>
      <c r="B232" s="1">
        <v>7003756102</v>
      </c>
      <c r="C232" s="1"/>
      <c r="D232" t="s">
        <v>357</v>
      </c>
      <c r="F232" t="b">
        <v>0</v>
      </c>
      <c r="I232">
        <v>1</v>
      </c>
      <c r="J232">
        <v>60</v>
      </c>
      <c r="K232">
        <v>42</v>
      </c>
      <c r="L232">
        <v>45</v>
      </c>
      <c r="M232" t="s">
        <v>68</v>
      </c>
      <c r="N232" t="s">
        <v>33</v>
      </c>
      <c r="O232" t="b">
        <v>1</v>
      </c>
      <c r="X232">
        <v>19</v>
      </c>
      <c r="Y232">
        <f t="shared" si="6"/>
        <v>0</v>
      </c>
      <c r="Z232" t="s">
        <v>1624</v>
      </c>
      <c r="AA232" s="3" t="str">
        <f t="shared" si="7"/>
        <v/>
      </c>
      <c r="AB232" s="3">
        <v>28</v>
      </c>
      <c r="AC232">
        <f>IFERROR(VLOOKUP(B232,vlookup!$A$16:$A$150,1,FALSE),"")</f>
        <v>7003756102</v>
      </c>
      <c r="AD232" t="str">
        <f>IFERROR(VLOOKUP(B232,vlookup!$A$16:$G$150,11,FALSE),"")</f>
        <v/>
      </c>
    </row>
    <row r="233" spans="1:30" hidden="1" x14ac:dyDescent="0.3">
      <c r="A233" t="s">
        <v>1092</v>
      </c>
      <c r="B233" s="1">
        <v>7119163630</v>
      </c>
      <c r="C233" s="1"/>
      <c r="D233" t="s">
        <v>357</v>
      </c>
      <c r="F233" t="b">
        <v>0</v>
      </c>
      <c r="I233">
        <v>1</v>
      </c>
      <c r="J233">
        <v>42</v>
      </c>
      <c r="K233">
        <v>35</v>
      </c>
      <c r="L233">
        <v>42</v>
      </c>
      <c r="M233" t="s">
        <v>69</v>
      </c>
      <c r="N233" t="s">
        <v>33</v>
      </c>
      <c r="O233" t="b">
        <v>1</v>
      </c>
      <c r="Y233">
        <f t="shared" si="6"/>
        <v>0</v>
      </c>
      <c r="AA233" s="3" t="str">
        <f t="shared" si="7"/>
        <v/>
      </c>
      <c r="AB233" s="3">
        <v>28</v>
      </c>
      <c r="AC233">
        <f>IFERROR(VLOOKUP(B233,vlookup!$A$16:$A$150,1,FALSE),"")</f>
        <v>7119163630</v>
      </c>
      <c r="AD233" t="str">
        <f>IFERROR(VLOOKUP(B233,vlookup!$A$16:$G$150,11,FALSE),"")</f>
        <v/>
      </c>
    </row>
    <row r="234" spans="1:30" hidden="1" x14ac:dyDescent="0.3">
      <c r="A234" t="s">
        <v>1095</v>
      </c>
      <c r="B234" s="1">
        <v>7047135830</v>
      </c>
      <c r="C234" s="1" t="s">
        <v>1093</v>
      </c>
      <c r="D234" t="s">
        <v>360</v>
      </c>
      <c r="E234" t="s">
        <v>1094</v>
      </c>
      <c r="F234" t="b">
        <v>1</v>
      </c>
      <c r="I234">
        <v>1</v>
      </c>
      <c r="X234">
        <v>20</v>
      </c>
      <c r="Y234">
        <f t="shared" si="6"/>
        <v>28</v>
      </c>
      <c r="Z234" t="s">
        <v>1624</v>
      </c>
      <c r="AA234" s="3">
        <f t="shared" si="7"/>
        <v>1</v>
      </c>
      <c r="AB234" s="3">
        <v>28</v>
      </c>
      <c r="AC234" t="str">
        <f>IFERROR(VLOOKUP(B234,vlookup!$A$16:$A$150,1,FALSE),"")</f>
        <v/>
      </c>
      <c r="AD234">
        <v>1</v>
      </c>
    </row>
    <row r="235" spans="1:30" hidden="1" x14ac:dyDescent="0.3">
      <c r="B235" s="1">
        <v>7047135830</v>
      </c>
      <c r="C235" s="1"/>
      <c r="G235" t="s">
        <v>1095</v>
      </c>
      <c r="H235" t="s">
        <v>1096</v>
      </c>
      <c r="I235">
        <v>1</v>
      </c>
      <c r="J235">
        <v>30</v>
      </c>
      <c r="K235">
        <v>30</v>
      </c>
      <c r="L235">
        <v>60</v>
      </c>
      <c r="M235" t="s">
        <v>72</v>
      </c>
      <c r="N235" t="s">
        <v>33</v>
      </c>
      <c r="O235" t="b">
        <v>1</v>
      </c>
      <c r="X235">
        <v>20</v>
      </c>
      <c r="Y235">
        <f t="shared" si="6"/>
        <v>28</v>
      </c>
      <c r="Z235" t="s">
        <v>1624</v>
      </c>
      <c r="AA235" s="3">
        <f t="shared" si="7"/>
        <v>1</v>
      </c>
      <c r="AB235" s="3">
        <v>28</v>
      </c>
      <c r="AC235" t="str">
        <f>IFERROR(VLOOKUP(B235,vlookup!$A$16:$A$150,1,FALSE),"")</f>
        <v/>
      </c>
      <c r="AD235">
        <v>1</v>
      </c>
    </row>
    <row r="236" spans="1:30" hidden="1" x14ac:dyDescent="0.3">
      <c r="B236" s="1">
        <v>7047135830</v>
      </c>
      <c r="C236" s="1"/>
      <c r="G236" t="s">
        <v>1095</v>
      </c>
      <c r="H236" t="s">
        <v>1097</v>
      </c>
      <c r="I236">
        <v>1</v>
      </c>
      <c r="J236">
        <v>44</v>
      </c>
      <c r="K236">
        <v>21</v>
      </c>
      <c r="L236">
        <v>24</v>
      </c>
      <c r="M236" t="s">
        <v>74</v>
      </c>
      <c r="N236" t="s">
        <v>33</v>
      </c>
      <c r="O236" t="b">
        <v>1</v>
      </c>
      <c r="X236">
        <v>20</v>
      </c>
      <c r="Y236">
        <f t="shared" si="6"/>
        <v>28</v>
      </c>
      <c r="Z236" t="s">
        <v>1624</v>
      </c>
      <c r="AA236" s="3">
        <f t="shared" si="7"/>
        <v>1</v>
      </c>
      <c r="AB236" s="3">
        <v>28</v>
      </c>
      <c r="AC236" t="str">
        <f>IFERROR(VLOOKUP(B236,vlookup!$A$16:$A$150,1,FALSE),"")</f>
        <v/>
      </c>
      <c r="AD236">
        <v>1</v>
      </c>
    </row>
    <row r="237" spans="1:30" x14ac:dyDescent="0.3">
      <c r="A237" t="s">
        <v>1099</v>
      </c>
      <c r="B237" s="1">
        <v>7047186030</v>
      </c>
      <c r="C237" s="1" t="s">
        <v>1098</v>
      </c>
      <c r="D237" t="s">
        <v>360</v>
      </c>
      <c r="E237" t="s">
        <v>1094</v>
      </c>
      <c r="F237" t="b">
        <v>1</v>
      </c>
      <c r="I237">
        <v>1</v>
      </c>
      <c r="X237">
        <v>20</v>
      </c>
      <c r="Y237">
        <f t="shared" si="6"/>
        <v>140</v>
      </c>
      <c r="Z237" t="s">
        <v>1624</v>
      </c>
      <c r="AA237" s="3">
        <f t="shared" si="7"/>
        <v>5</v>
      </c>
      <c r="AB237" s="3">
        <v>28</v>
      </c>
      <c r="AC237">
        <f>IFERROR(VLOOKUP(B237,vlookup!$A$16:$A$150,1,FALSE),"")</f>
        <v>7047186030</v>
      </c>
      <c r="AD237">
        <v>5</v>
      </c>
    </row>
    <row r="238" spans="1:30" x14ac:dyDescent="0.3">
      <c r="B238" s="1">
        <v>7047186030</v>
      </c>
      <c r="C238" s="1"/>
      <c r="G238" t="s">
        <v>1099</v>
      </c>
      <c r="H238" t="s">
        <v>1100</v>
      </c>
      <c r="I238">
        <v>1</v>
      </c>
      <c r="J238">
        <v>42</v>
      </c>
      <c r="K238">
        <v>20</v>
      </c>
      <c r="L238">
        <v>59</v>
      </c>
      <c r="M238" t="s">
        <v>72</v>
      </c>
      <c r="N238" t="s">
        <v>33</v>
      </c>
      <c r="O238" t="b">
        <v>1</v>
      </c>
      <c r="X238">
        <v>20</v>
      </c>
      <c r="Y238">
        <f t="shared" si="6"/>
        <v>140</v>
      </c>
      <c r="Z238" t="s">
        <v>1624</v>
      </c>
      <c r="AA238" s="3">
        <f t="shared" si="7"/>
        <v>5</v>
      </c>
      <c r="AB238" s="3">
        <v>28</v>
      </c>
      <c r="AC238">
        <f>IFERROR(VLOOKUP(B238,vlookup!$A$16:$A$150,1,FALSE),"")</f>
        <v>7047186030</v>
      </c>
      <c r="AD238">
        <v>5</v>
      </c>
    </row>
    <row r="239" spans="1:30" x14ac:dyDescent="0.3">
      <c r="B239" s="1">
        <v>7047186030</v>
      </c>
      <c r="C239" s="1"/>
      <c r="G239" t="s">
        <v>1099</v>
      </c>
      <c r="H239" t="s">
        <v>1101</v>
      </c>
      <c r="I239">
        <v>1</v>
      </c>
      <c r="J239">
        <v>64</v>
      </c>
      <c r="K239">
        <v>32</v>
      </c>
      <c r="L239">
        <v>20</v>
      </c>
      <c r="M239" t="s">
        <v>74</v>
      </c>
      <c r="N239" t="s">
        <v>33</v>
      </c>
      <c r="O239" t="b">
        <v>1</v>
      </c>
      <c r="X239">
        <v>20</v>
      </c>
      <c r="Y239">
        <f t="shared" si="6"/>
        <v>140</v>
      </c>
      <c r="Z239" t="s">
        <v>1624</v>
      </c>
      <c r="AA239" s="3">
        <f t="shared" si="7"/>
        <v>5</v>
      </c>
      <c r="AB239" s="3">
        <v>28</v>
      </c>
      <c r="AC239">
        <f>IFERROR(VLOOKUP(B239,vlookup!$A$16:$A$150,1,FALSE),"")</f>
        <v>7047186030</v>
      </c>
      <c r="AD239">
        <v>5</v>
      </c>
    </row>
    <row r="240" spans="1:30" hidden="1" x14ac:dyDescent="0.3">
      <c r="A240" t="s">
        <v>1232</v>
      </c>
      <c r="B240" s="1">
        <v>7119172930</v>
      </c>
      <c r="C240" s="1"/>
      <c r="D240" t="s">
        <v>357</v>
      </c>
      <c r="F240" t="b">
        <v>0</v>
      </c>
      <c r="I240">
        <v>1</v>
      </c>
      <c r="J240">
        <v>40</v>
      </c>
      <c r="K240">
        <v>32</v>
      </c>
      <c r="L240">
        <v>47</v>
      </c>
      <c r="M240" t="s">
        <v>69</v>
      </c>
      <c r="N240" t="s">
        <v>33</v>
      </c>
      <c r="O240" t="b">
        <v>1</v>
      </c>
      <c r="Y240">
        <f t="shared" si="6"/>
        <v>0</v>
      </c>
      <c r="AA240" s="3" t="str">
        <f t="shared" si="7"/>
        <v/>
      </c>
      <c r="AB240" s="3">
        <v>28</v>
      </c>
      <c r="AC240">
        <f>IFERROR(VLOOKUP(B240,vlookup!$A$16:$A$150,1,FALSE),"")</f>
        <v>7119172930</v>
      </c>
      <c r="AD240" t="str">
        <f>IFERROR(VLOOKUP(B240,vlookup!$A$16:$G$150,11,FALSE),"")</f>
        <v/>
      </c>
    </row>
    <row r="241" spans="1:30" hidden="1" x14ac:dyDescent="0.3">
      <c r="A241" t="s">
        <v>1268</v>
      </c>
      <c r="B241" s="1">
        <v>71782472</v>
      </c>
      <c r="C241" s="1"/>
      <c r="D241" t="s">
        <v>357</v>
      </c>
      <c r="F241" t="b">
        <v>0</v>
      </c>
      <c r="I241">
        <v>1</v>
      </c>
      <c r="J241">
        <v>45</v>
      </c>
      <c r="K241">
        <v>36</v>
      </c>
      <c r="L241">
        <v>48</v>
      </c>
      <c r="M241" t="s">
        <v>68</v>
      </c>
      <c r="N241" t="s">
        <v>33</v>
      </c>
      <c r="O241" t="b">
        <v>1</v>
      </c>
      <c r="Y241">
        <f t="shared" si="6"/>
        <v>0</v>
      </c>
      <c r="AA241" s="3" t="str">
        <f t="shared" si="7"/>
        <v/>
      </c>
      <c r="AB241" s="3">
        <v>28</v>
      </c>
      <c r="AC241">
        <f>IFERROR(VLOOKUP(B241,vlookup!$A$16:$A$150,1,FALSE),"")</f>
        <v>71782472</v>
      </c>
      <c r="AD241" t="str">
        <f>IFERROR(VLOOKUP(B241,vlookup!$A$16:$G$150,11,FALSE),"")</f>
        <v/>
      </c>
    </row>
    <row r="242" spans="1:30" hidden="1" x14ac:dyDescent="0.3">
      <c r="A242" t="s">
        <v>1235</v>
      </c>
      <c r="B242" s="1">
        <v>71897277</v>
      </c>
      <c r="C242" s="1"/>
      <c r="D242" t="s">
        <v>357</v>
      </c>
      <c r="F242" t="b">
        <v>0</v>
      </c>
      <c r="I242">
        <v>1</v>
      </c>
      <c r="J242">
        <v>42</v>
      </c>
      <c r="K242">
        <v>35</v>
      </c>
      <c r="L242">
        <v>49</v>
      </c>
      <c r="M242" t="s">
        <v>68</v>
      </c>
      <c r="N242" t="s">
        <v>33</v>
      </c>
      <c r="O242" t="b">
        <v>1</v>
      </c>
      <c r="X242">
        <v>19</v>
      </c>
      <c r="Y242">
        <f t="shared" si="6"/>
        <v>0</v>
      </c>
      <c r="Z242" t="s">
        <v>1624</v>
      </c>
      <c r="AA242" s="3" t="str">
        <f t="shared" si="7"/>
        <v/>
      </c>
      <c r="AB242" s="3">
        <v>28</v>
      </c>
      <c r="AC242">
        <f>IFERROR(VLOOKUP(B242,vlookup!$A$16:$A$150,1,FALSE),"")</f>
        <v>71897277</v>
      </c>
      <c r="AD242" t="str">
        <f>IFERROR(VLOOKUP(B242,vlookup!$A$16:$G$150,11,FALSE),"")</f>
        <v/>
      </c>
    </row>
    <row r="243" spans="1:30" hidden="1" x14ac:dyDescent="0.3">
      <c r="A243" t="s">
        <v>1240</v>
      </c>
      <c r="B243" s="1">
        <v>7289982670</v>
      </c>
      <c r="C243" s="1"/>
      <c r="D243" t="s">
        <v>357</v>
      </c>
      <c r="I243">
        <v>1</v>
      </c>
      <c r="J243">
        <v>44</v>
      </c>
      <c r="K243">
        <v>40</v>
      </c>
      <c r="L243">
        <v>47</v>
      </c>
      <c r="M243" t="s">
        <v>74</v>
      </c>
      <c r="N243" t="s">
        <v>33</v>
      </c>
      <c r="O243" t="b">
        <v>1</v>
      </c>
      <c r="Y243">
        <f t="shared" si="6"/>
        <v>0</v>
      </c>
      <c r="AA243" s="3" t="str">
        <f t="shared" si="7"/>
        <v/>
      </c>
      <c r="AB243" s="3">
        <v>28</v>
      </c>
      <c r="AC243">
        <f>IFERROR(VLOOKUP(B243,vlookup!$A$16:$A$150,1,FALSE),"")</f>
        <v>7289982670</v>
      </c>
      <c r="AD243" t="str">
        <f>IFERROR(VLOOKUP(B243,vlookup!$A$16:$G$150,11,FALSE),"")</f>
        <v/>
      </c>
    </row>
    <row r="244" spans="1:30" hidden="1" x14ac:dyDescent="0.3">
      <c r="A244" t="s">
        <v>1239</v>
      </c>
      <c r="B244" s="1">
        <v>7035990930</v>
      </c>
      <c r="C244" s="1"/>
      <c r="D244" t="s">
        <v>357</v>
      </c>
      <c r="E244" t="s">
        <v>1237</v>
      </c>
      <c r="F244" t="b">
        <v>0</v>
      </c>
      <c r="I244">
        <v>1</v>
      </c>
      <c r="J244">
        <v>95</v>
      </c>
      <c r="K244">
        <v>50</v>
      </c>
      <c r="L244">
        <v>80</v>
      </c>
      <c r="M244" t="s">
        <v>69</v>
      </c>
      <c r="N244" t="s">
        <v>33</v>
      </c>
      <c r="O244" t="b">
        <v>1</v>
      </c>
      <c r="Y244">
        <f t="shared" si="6"/>
        <v>0</v>
      </c>
      <c r="AA244" s="3" t="str">
        <f t="shared" si="7"/>
        <v/>
      </c>
      <c r="AB244" s="3">
        <v>28</v>
      </c>
      <c r="AC244">
        <f>IFERROR(VLOOKUP(B244,vlookup!$A$16:$A$150,1,FALSE),"")</f>
        <v>7035990930</v>
      </c>
      <c r="AD244" t="str">
        <f>IFERROR(VLOOKUP(B244,vlookup!$A$16:$G$150,11,FALSE),"")</f>
        <v/>
      </c>
    </row>
    <row r="245" spans="1:30" hidden="1" x14ac:dyDescent="0.3">
      <c r="A245" t="s">
        <v>1238</v>
      </c>
      <c r="B245" s="1">
        <v>7035990930</v>
      </c>
      <c r="C245" s="1"/>
      <c r="D245" t="s">
        <v>357</v>
      </c>
      <c r="E245" t="s">
        <v>1236</v>
      </c>
      <c r="F245" t="b">
        <v>0</v>
      </c>
      <c r="I245">
        <v>1</v>
      </c>
      <c r="J245">
        <v>95</v>
      </c>
      <c r="K245">
        <v>50</v>
      </c>
      <c r="L245">
        <v>80</v>
      </c>
      <c r="M245" t="s">
        <v>69</v>
      </c>
      <c r="N245" t="s">
        <v>33</v>
      </c>
      <c r="O245" t="b">
        <v>1</v>
      </c>
      <c r="X245">
        <v>19</v>
      </c>
      <c r="Y245">
        <f t="shared" si="6"/>
        <v>0</v>
      </c>
      <c r="Z245" t="s">
        <v>1624</v>
      </c>
      <c r="AA245" s="3" t="str">
        <f t="shared" si="7"/>
        <v/>
      </c>
      <c r="AB245" s="3">
        <v>28</v>
      </c>
      <c r="AC245">
        <f>IFERROR(VLOOKUP(B245,vlookup!$A$16:$A$150,1,FALSE),"")</f>
        <v>7035990930</v>
      </c>
      <c r="AD245" t="str">
        <f>IFERROR(VLOOKUP(B245,vlookup!$A$16:$G$150,11,FALSE),"")</f>
        <v/>
      </c>
    </row>
    <row r="246" spans="1:30" hidden="1" x14ac:dyDescent="0.3">
      <c r="A246" t="s">
        <v>1234</v>
      </c>
      <c r="B246" s="1">
        <v>7075181330</v>
      </c>
      <c r="C246" s="1"/>
      <c r="D246" t="s">
        <v>357</v>
      </c>
      <c r="F246" t="b">
        <v>0</v>
      </c>
      <c r="I246">
        <v>1</v>
      </c>
      <c r="M246" t="s">
        <v>69</v>
      </c>
      <c r="N246" t="s">
        <v>33</v>
      </c>
      <c r="O246" t="b">
        <v>1</v>
      </c>
      <c r="Q246" t="b">
        <v>1</v>
      </c>
      <c r="R246">
        <v>100</v>
      </c>
      <c r="S246">
        <v>20</v>
      </c>
      <c r="T246">
        <v>50</v>
      </c>
      <c r="U246">
        <v>2</v>
      </c>
      <c r="Y246">
        <f t="shared" si="6"/>
        <v>0</v>
      </c>
      <c r="AA246" s="3" t="str">
        <f t="shared" si="7"/>
        <v/>
      </c>
      <c r="AB246" s="3">
        <v>28</v>
      </c>
      <c r="AC246">
        <f>IFERROR(VLOOKUP(B246,vlookup!$A$16:$A$150,1,FALSE),"")</f>
        <v>7075181330</v>
      </c>
      <c r="AD246" t="str">
        <f>IFERROR(VLOOKUP(B246,vlookup!$A$16:$G$150,11,FALSE),"")</f>
        <v/>
      </c>
    </row>
    <row r="247" spans="1:30" hidden="1" x14ac:dyDescent="0.3">
      <c r="A247" t="s">
        <v>1485</v>
      </c>
      <c r="B247" s="1">
        <v>7198599230</v>
      </c>
      <c r="C247" s="1"/>
      <c r="D247" t="s">
        <v>357</v>
      </c>
      <c r="E247" t="s">
        <v>1486</v>
      </c>
      <c r="I247">
        <v>1</v>
      </c>
      <c r="J247">
        <v>40</v>
      </c>
      <c r="K247">
        <v>38</v>
      </c>
      <c r="L247">
        <v>43</v>
      </c>
      <c r="M247" t="s">
        <v>69</v>
      </c>
      <c r="N247" t="s">
        <v>33</v>
      </c>
      <c r="O247" t="b">
        <v>1</v>
      </c>
      <c r="Y247">
        <f t="shared" si="6"/>
        <v>0</v>
      </c>
      <c r="AA247" s="3" t="str">
        <f t="shared" si="7"/>
        <v/>
      </c>
      <c r="AB247" s="3">
        <v>28</v>
      </c>
      <c r="AC247">
        <f>IFERROR(VLOOKUP(B247,vlookup!$A$16:$A$150,1,FALSE),"")</f>
        <v>7198599230</v>
      </c>
      <c r="AD247" t="str">
        <f>IFERROR(VLOOKUP(B247,vlookup!$A$16:$G$150,11,FALSE),"")</f>
        <v/>
      </c>
    </row>
    <row r="248" spans="1:30" hidden="1" x14ac:dyDescent="0.3">
      <c r="A248" t="s">
        <v>1113</v>
      </c>
      <c r="B248" s="1">
        <v>7235952330</v>
      </c>
      <c r="C248" s="1"/>
      <c r="D248" t="s">
        <v>357</v>
      </c>
      <c r="E248" t="s">
        <v>1107</v>
      </c>
      <c r="I248">
        <v>1</v>
      </c>
      <c r="J248">
        <v>0</v>
      </c>
      <c r="K248">
        <v>0</v>
      </c>
      <c r="L248">
        <v>0</v>
      </c>
      <c r="M248" t="s">
        <v>69</v>
      </c>
      <c r="N248" t="s">
        <v>33</v>
      </c>
      <c r="O248" t="b">
        <v>1</v>
      </c>
      <c r="Y248">
        <f t="shared" si="6"/>
        <v>0</v>
      </c>
      <c r="AA248" s="3" t="str">
        <f t="shared" si="7"/>
        <v/>
      </c>
      <c r="AB248" s="3">
        <v>28</v>
      </c>
      <c r="AC248" t="str">
        <f>IFERROR(VLOOKUP(B248,vlookup!$A$16:$A$150,1,FALSE),"")</f>
        <v/>
      </c>
      <c r="AD248" t="str">
        <f>IFERROR(VLOOKUP(B248,vlookup!$A$16:$G$150,11,FALSE),"")</f>
        <v/>
      </c>
    </row>
    <row r="249" spans="1:30" hidden="1" x14ac:dyDescent="0.3">
      <c r="A249" t="s">
        <v>1267</v>
      </c>
      <c r="B249" s="1">
        <v>7287547130</v>
      </c>
      <c r="C249" s="1"/>
      <c r="D249" t="s">
        <v>357</v>
      </c>
      <c r="F249" t="b">
        <v>0</v>
      </c>
      <c r="I249">
        <v>1</v>
      </c>
      <c r="J249">
        <v>49</v>
      </c>
      <c r="K249">
        <v>49</v>
      </c>
      <c r="L249">
        <v>64</v>
      </c>
      <c r="M249" t="s">
        <v>69</v>
      </c>
      <c r="N249" t="s">
        <v>33</v>
      </c>
      <c r="O249" t="b">
        <v>1</v>
      </c>
      <c r="Y249">
        <f t="shared" si="6"/>
        <v>0</v>
      </c>
      <c r="AA249" s="3" t="str">
        <f t="shared" si="7"/>
        <v/>
      </c>
      <c r="AB249" s="3">
        <v>28</v>
      </c>
      <c r="AC249">
        <f>IFERROR(VLOOKUP(B249,vlookup!$A$16:$A$150,1,FALSE),"")</f>
        <v>7287547130</v>
      </c>
      <c r="AD249" t="str">
        <f>IFERROR(VLOOKUP(B249,vlookup!$A$16:$G$150,11,FALSE),"")</f>
        <v/>
      </c>
    </row>
    <row r="250" spans="1:30" hidden="1" x14ac:dyDescent="0.3">
      <c r="A250" t="s">
        <v>1259</v>
      </c>
      <c r="B250" s="1">
        <v>7252809330</v>
      </c>
      <c r="C250" s="1"/>
      <c r="D250" t="s">
        <v>360</v>
      </c>
      <c r="E250" t="s">
        <v>1094</v>
      </c>
      <c r="F250" t="b">
        <v>1</v>
      </c>
      <c r="I250">
        <v>1</v>
      </c>
      <c r="M250" t="s">
        <v>69</v>
      </c>
      <c r="N250" t="s">
        <v>33</v>
      </c>
      <c r="O250" t="b">
        <v>1</v>
      </c>
      <c r="X250">
        <v>20</v>
      </c>
      <c r="Y250">
        <f t="shared" si="6"/>
        <v>28</v>
      </c>
      <c r="Z250" t="s">
        <v>1624</v>
      </c>
      <c r="AA250" s="3">
        <f t="shared" si="7"/>
        <v>1</v>
      </c>
      <c r="AB250" s="3">
        <v>28</v>
      </c>
      <c r="AC250" t="str">
        <f>IFERROR(VLOOKUP(B250,vlookup!$A$16:$A$150,1,FALSE),"")</f>
        <v/>
      </c>
      <c r="AD250">
        <v>1</v>
      </c>
    </row>
    <row r="251" spans="1:30" hidden="1" x14ac:dyDescent="0.3">
      <c r="B251" s="1">
        <v>7252809330</v>
      </c>
      <c r="C251" s="1"/>
      <c r="G251" t="s">
        <v>1259</v>
      </c>
      <c r="H251" t="s">
        <v>1260</v>
      </c>
      <c r="I251">
        <v>1</v>
      </c>
      <c r="J251">
        <v>40</v>
      </c>
      <c r="K251">
        <v>44</v>
      </c>
      <c r="L251">
        <v>60</v>
      </c>
      <c r="M251" t="s">
        <v>72</v>
      </c>
      <c r="N251" t="s">
        <v>33</v>
      </c>
      <c r="O251" t="b">
        <v>1</v>
      </c>
      <c r="X251">
        <v>20</v>
      </c>
      <c r="Y251">
        <f t="shared" si="6"/>
        <v>28</v>
      </c>
      <c r="Z251" t="s">
        <v>1624</v>
      </c>
      <c r="AA251" s="3">
        <f t="shared" si="7"/>
        <v>1</v>
      </c>
      <c r="AB251" s="3">
        <v>28</v>
      </c>
      <c r="AC251" t="str">
        <f>IFERROR(VLOOKUP(B251,vlookup!$A$16:$A$150,1,FALSE),"")</f>
        <v/>
      </c>
      <c r="AD251">
        <v>1</v>
      </c>
    </row>
    <row r="252" spans="1:30" hidden="1" x14ac:dyDescent="0.3">
      <c r="B252" s="1">
        <v>7252809330</v>
      </c>
      <c r="C252" s="1"/>
      <c r="G252" t="s">
        <v>1259</v>
      </c>
      <c r="H252" t="s">
        <v>1261</v>
      </c>
      <c r="I252">
        <v>1</v>
      </c>
      <c r="J252">
        <v>50</v>
      </c>
      <c r="K252">
        <v>24</v>
      </c>
      <c r="L252">
        <v>28</v>
      </c>
      <c r="M252" t="s">
        <v>74</v>
      </c>
      <c r="N252" t="s">
        <v>33</v>
      </c>
      <c r="O252" t="b">
        <v>1</v>
      </c>
      <c r="X252">
        <v>20</v>
      </c>
      <c r="Y252">
        <f t="shared" si="6"/>
        <v>28</v>
      </c>
      <c r="Z252" t="s">
        <v>1624</v>
      </c>
      <c r="AA252" s="3">
        <f t="shared" si="7"/>
        <v>1</v>
      </c>
      <c r="AB252" s="3">
        <v>28</v>
      </c>
      <c r="AC252" t="str">
        <f>IFERROR(VLOOKUP(B252,vlookup!$A$16:$A$150,1,FALSE),"")</f>
        <v/>
      </c>
      <c r="AD252">
        <v>1</v>
      </c>
    </row>
    <row r="253" spans="1:30" hidden="1" x14ac:dyDescent="0.3">
      <c r="A253" t="s">
        <v>1262</v>
      </c>
      <c r="B253" s="1">
        <v>7047052330</v>
      </c>
      <c r="C253" s="1"/>
      <c r="D253" t="s">
        <v>360</v>
      </c>
      <c r="E253" t="s">
        <v>1094</v>
      </c>
      <c r="F253" t="b">
        <v>1</v>
      </c>
      <c r="I253">
        <v>1</v>
      </c>
      <c r="X253">
        <v>20</v>
      </c>
      <c r="Y253">
        <f t="shared" si="6"/>
        <v>56</v>
      </c>
      <c r="Z253" t="s">
        <v>1624</v>
      </c>
      <c r="AA253" s="3">
        <f t="shared" si="7"/>
        <v>2</v>
      </c>
      <c r="AB253" s="3">
        <v>28</v>
      </c>
      <c r="AC253" t="str">
        <f>IFERROR(VLOOKUP(B253,vlookup!$A$16:$A$150,1,FALSE),"")</f>
        <v/>
      </c>
      <c r="AD253">
        <v>2</v>
      </c>
    </row>
    <row r="254" spans="1:30" hidden="1" x14ac:dyDescent="0.3">
      <c r="B254" s="1">
        <v>7047052330</v>
      </c>
      <c r="C254" s="1"/>
      <c r="G254" t="s">
        <v>1262</v>
      </c>
      <c r="H254" t="s">
        <v>1263</v>
      </c>
      <c r="I254">
        <v>1</v>
      </c>
      <c r="J254">
        <v>38</v>
      </c>
      <c r="K254">
        <v>30</v>
      </c>
      <c r="L254">
        <v>60</v>
      </c>
      <c r="M254" t="s">
        <v>72</v>
      </c>
      <c r="N254" t="s">
        <v>33</v>
      </c>
      <c r="O254" t="b">
        <v>1</v>
      </c>
      <c r="X254">
        <v>20</v>
      </c>
      <c r="Y254">
        <f t="shared" si="6"/>
        <v>56</v>
      </c>
      <c r="Z254" t="s">
        <v>1624</v>
      </c>
      <c r="AA254" s="3">
        <f t="shared" si="7"/>
        <v>2</v>
      </c>
      <c r="AB254" s="3">
        <v>28</v>
      </c>
      <c r="AC254" t="str">
        <f>IFERROR(VLOOKUP(B254,vlookup!$A$16:$A$150,1,FALSE),"")</f>
        <v/>
      </c>
      <c r="AD254">
        <v>2</v>
      </c>
    </row>
    <row r="255" spans="1:30" hidden="1" x14ac:dyDescent="0.3">
      <c r="B255" s="1">
        <v>7047052330</v>
      </c>
      <c r="C255" s="1"/>
      <c r="G255" t="s">
        <v>1262</v>
      </c>
      <c r="H255" t="s">
        <v>1264</v>
      </c>
      <c r="I255">
        <v>1</v>
      </c>
      <c r="J255">
        <v>40</v>
      </c>
      <c r="K255">
        <v>50</v>
      </c>
      <c r="L255">
        <v>28</v>
      </c>
      <c r="M255" t="s">
        <v>74</v>
      </c>
      <c r="N255" t="s">
        <v>33</v>
      </c>
      <c r="O255" t="b">
        <v>1</v>
      </c>
      <c r="X255">
        <v>20</v>
      </c>
      <c r="Y255">
        <f t="shared" si="6"/>
        <v>56</v>
      </c>
      <c r="Z255" t="s">
        <v>1624</v>
      </c>
      <c r="AA255" s="3">
        <f t="shared" si="7"/>
        <v>2</v>
      </c>
      <c r="AB255" s="3">
        <v>28</v>
      </c>
      <c r="AC255" t="str">
        <f>IFERROR(VLOOKUP(B255,vlookup!$A$16:$A$150,1,FALSE),"")</f>
        <v/>
      </c>
      <c r="AD255">
        <v>2</v>
      </c>
    </row>
    <row r="256" spans="1:30" hidden="1" x14ac:dyDescent="0.3">
      <c r="A256" t="s">
        <v>1243</v>
      </c>
      <c r="B256" s="1">
        <v>7052161430</v>
      </c>
      <c r="C256" s="1"/>
      <c r="D256" t="s">
        <v>360</v>
      </c>
      <c r="E256" t="s">
        <v>1244</v>
      </c>
      <c r="F256" t="b">
        <v>1</v>
      </c>
      <c r="I256">
        <v>1</v>
      </c>
      <c r="X256">
        <v>20</v>
      </c>
      <c r="Y256">
        <f t="shared" si="6"/>
        <v>28</v>
      </c>
      <c r="Z256" t="s">
        <v>1624</v>
      </c>
      <c r="AA256" s="3">
        <f t="shared" si="7"/>
        <v>1</v>
      </c>
      <c r="AB256" s="3">
        <v>28</v>
      </c>
      <c r="AC256" t="str">
        <f>IFERROR(VLOOKUP(B256,vlookup!$A$16:$A$150,1,FALSE),"")</f>
        <v/>
      </c>
      <c r="AD256">
        <v>1</v>
      </c>
    </row>
    <row r="257" spans="1:30" hidden="1" x14ac:dyDescent="0.3">
      <c r="B257" s="1">
        <v>7052161430</v>
      </c>
      <c r="C257" s="1"/>
      <c r="G257" t="s">
        <v>1243</v>
      </c>
      <c r="H257" t="s">
        <v>1245</v>
      </c>
      <c r="I257">
        <v>1</v>
      </c>
      <c r="J257">
        <v>30</v>
      </c>
      <c r="K257">
        <v>30</v>
      </c>
      <c r="L257">
        <v>60</v>
      </c>
      <c r="M257" t="s">
        <v>72</v>
      </c>
      <c r="N257" t="s">
        <v>33</v>
      </c>
      <c r="O257" t="b">
        <v>1</v>
      </c>
      <c r="X257">
        <v>20</v>
      </c>
      <c r="Y257">
        <f t="shared" si="6"/>
        <v>28</v>
      </c>
      <c r="Z257" t="s">
        <v>1624</v>
      </c>
      <c r="AA257" s="3">
        <f t="shared" si="7"/>
        <v>1</v>
      </c>
      <c r="AB257" s="3">
        <v>28</v>
      </c>
      <c r="AC257" t="str">
        <f>IFERROR(VLOOKUP(B257,vlookup!$A$16:$A$150,1,FALSE),"")</f>
        <v/>
      </c>
      <c r="AD257">
        <v>1</v>
      </c>
    </row>
    <row r="258" spans="1:30" hidden="1" x14ac:dyDescent="0.3">
      <c r="B258" s="1">
        <v>7052161430</v>
      </c>
      <c r="C258" s="1"/>
      <c r="G258" t="s">
        <v>1243</v>
      </c>
      <c r="H258" t="s">
        <v>1246</v>
      </c>
      <c r="I258">
        <v>1</v>
      </c>
      <c r="J258">
        <v>44</v>
      </c>
      <c r="K258">
        <v>21</v>
      </c>
      <c r="L258">
        <v>24</v>
      </c>
      <c r="M258" t="s">
        <v>74</v>
      </c>
      <c r="N258" t="s">
        <v>33</v>
      </c>
      <c r="O258" t="b">
        <v>1</v>
      </c>
      <c r="X258">
        <v>20</v>
      </c>
      <c r="Y258">
        <f t="shared" si="6"/>
        <v>28</v>
      </c>
      <c r="Z258" t="s">
        <v>1624</v>
      </c>
      <c r="AA258" s="3">
        <f t="shared" si="7"/>
        <v>1</v>
      </c>
      <c r="AB258" s="3">
        <v>28</v>
      </c>
      <c r="AC258" t="str">
        <f>IFERROR(VLOOKUP(B258,vlookup!$A$16:$A$150,1,FALSE),"")</f>
        <v/>
      </c>
      <c r="AD258">
        <v>1</v>
      </c>
    </row>
    <row r="259" spans="1:30" hidden="1" x14ac:dyDescent="0.3">
      <c r="B259" s="1">
        <v>7052161430</v>
      </c>
      <c r="C259" s="1"/>
      <c r="G259" t="s">
        <v>1243</v>
      </c>
      <c r="H259" t="s">
        <v>1247</v>
      </c>
      <c r="I259">
        <v>1</v>
      </c>
      <c r="J259">
        <v>0</v>
      </c>
      <c r="K259">
        <v>0</v>
      </c>
      <c r="L259">
        <v>0</v>
      </c>
      <c r="N259" t="s">
        <v>54</v>
      </c>
      <c r="O259" t="b">
        <v>1</v>
      </c>
      <c r="Y259">
        <f t="shared" si="6"/>
        <v>0</v>
      </c>
      <c r="AA259" s="3" t="str">
        <f t="shared" si="7"/>
        <v/>
      </c>
      <c r="AB259" s="3">
        <v>28</v>
      </c>
      <c r="AC259" t="str">
        <f>IFERROR(VLOOKUP(B259,vlookup!$A$16:$A$150,1,FALSE),"")</f>
        <v/>
      </c>
      <c r="AD259" t="str">
        <f>IFERROR(VLOOKUP(B259,vlookup!$A$16:$G$150,11,FALSE),"")</f>
        <v/>
      </c>
    </row>
    <row r="260" spans="1:30" hidden="1" x14ac:dyDescent="0.3">
      <c r="A260" t="s">
        <v>1117</v>
      </c>
      <c r="B260" s="1">
        <v>7147882430</v>
      </c>
      <c r="C260" s="1"/>
      <c r="D260" t="s">
        <v>360</v>
      </c>
      <c r="E260" t="s">
        <v>1094</v>
      </c>
      <c r="F260" t="b">
        <v>1</v>
      </c>
      <c r="I260">
        <v>1</v>
      </c>
      <c r="X260">
        <v>20</v>
      </c>
      <c r="Y260">
        <f t="shared" ref="Y260:Y301" si="8">IFERROR(AB260*AA260,0)</f>
        <v>28</v>
      </c>
      <c r="Z260" t="s">
        <v>1624</v>
      </c>
      <c r="AA260" s="3">
        <f t="shared" si="7"/>
        <v>1</v>
      </c>
      <c r="AB260" s="3">
        <v>28</v>
      </c>
      <c r="AC260">
        <f>IFERROR(VLOOKUP(B260,vlookup!$A$16:$A$150,1,FALSE),"")</f>
        <v>7147882430</v>
      </c>
      <c r="AD260">
        <v>1</v>
      </c>
    </row>
    <row r="261" spans="1:30" hidden="1" x14ac:dyDescent="0.3">
      <c r="B261" s="1">
        <v>7147882430</v>
      </c>
      <c r="C261" s="1"/>
      <c r="G261" t="s">
        <v>1117</v>
      </c>
      <c r="H261" t="s">
        <v>1118</v>
      </c>
      <c r="I261">
        <v>1</v>
      </c>
      <c r="J261">
        <v>44</v>
      </c>
      <c r="K261">
        <v>30</v>
      </c>
      <c r="L261">
        <v>60</v>
      </c>
      <c r="M261" t="s">
        <v>72</v>
      </c>
      <c r="N261" t="s">
        <v>33</v>
      </c>
      <c r="O261" t="b">
        <v>1</v>
      </c>
      <c r="X261">
        <v>20</v>
      </c>
      <c r="Y261">
        <f t="shared" si="8"/>
        <v>28</v>
      </c>
      <c r="Z261" t="s">
        <v>1624</v>
      </c>
      <c r="AA261" s="3">
        <f t="shared" ref="AA261:AA301" si="9">AD261</f>
        <v>1</v>
      </c>
      <c r="AB261" s="3">
        <v>28</v>
      </c>
      <c r="AC261">
        <f>IFERROR(VLOOKUP(B261,vlookup!$A$16:$A$150,1,FALSE),"")</f>
        <v>7147882430</v>
      </c>
      <c r="AD261">
        <v>1</v>
      </c>
    </row>
    <row r="262" spans="1:30" hidden="1" x14ac:dyDescent="0.3">
      <c r="B262" s="1">
        <v>7147882430</v>
      </c>
      <c r="C262" s="1"/>
      <c r="G262" t="s">
        <v>1117</v>
      </c>
      <c r="H262" t="s">
        <v>1119</v>
      </c>
      <c r="I262">
        <v>1</v>
      </c>
      <c r="J262">
        <v>49</v>
      </c>
      <c r="K262">
        <v>33</v>
      </c>
      <c r="L262">
        <v>28</v>
      </c>
      <c r="M262" t="s">
        <v>74</v>
      </c>
      <c r="N262" t="s">
        <v>33</v>
      </c>
      <c r="O262" t="b">
        <v>1</v>
      </c>
      <c r="X262">
        <v>20</v>
      </c>
      <c r="Y262">
        <f t="shared" si="8"/>
        <v>28</v>
      </c>
      <c r="Z262" t="s">
        <v>1624</v>
      </c>
      <c r="AA262" s="3">
        <f t="shared" si="9"/>
        <v>1</v>
      </c>
      <c r="AB262" s="3">
        <v>28</v>
      </c>
      <c r="AC262">
        <f>IFERROR(VLOOKUP(B262,vlookup!$A$16:$A$150,1,FALSE),"")</f>
        <v>7147882430</v>
      </c>
      <c r="AD262">
        <v>1</v>
      </c>
    </row>
    <row r="263" spans="1:30" hidden="1" x14ac:dyDescent="0.3">
      <c r="A263" t="s">
        <v>1186</v>
      </c>
      <c r="B263" s="1">
        <v>7247760930</v>
      </c>
      <c r="C263" s="1"/>
      <c r="D263" t="s">
        <v>360</v>
      </c>
      <c r="E263" t="s">
        <v>1094</v>
      </c>
      <c r="F263" t="b">
        <v>1</v>
      </c>
      <c r="I263">
        <v>1</v>
      </c>
      <c r="X263">
        <v>20</v>
      </c>
      <c r="Y263">
        <f t="shared" si="8"/>
        <v>28</v>
      </c>
      <c r="Z263" t="s">
        <v>1624</v>
      </c>
      <c r="AA263" s="3">
        <f t="shared" si="9"/>
        <v>1</v>
      </c>
      <c r="AB263" s="3">
        <v>28</v>
      </c>
      <c r="AC263" t="str">
        <f>IFERROR(VLOOKUP(B263,vlookup!$A$16:$A$150,1,FALSE),"")</f>
        <v/>
      </c>
      <c r="AD263">
        <v>1</v>
      </c>
    </row>
    <row r="264" spans="1:30" ht="15" hidden="1" customHeight="1" x14ac:dyDescent="0.3">
      <c r="B264" s="1">
        <v>7247760930</v>
      </c>
      <c r="C264" s="1"/>
      <c r="G264" t="s">
        <v>1186</v>
      </c>
      <c r="H264" t="s">
        <v>1187</v>
      </c>
      <c r="I264">
        <v>1</v>
      </c>
      <c r="J264">
        <v>42</v>
      </c>
      <c r="K264">
        <v>35</v>
      </c>
      <c r="L264">
        <v>60</v>
      </c>
      <c r="M264" t="s">
        <v>72</v>
      </c>
      <c r="N264" t="s">
        <v>33</v>
      </c>
      <c r="O264" t="b">
        <v>1</v>
      </c>
      <c r="X264">
        <v>20</v>
      </c>
      <c r="Y264">
        <f t="shared" si="8"/>
        <v>28</v>
      </c>
      <c r="Z264" t="s">
        <v>1624</v>
      </c>
      <c r="AA264" s="3">
        <f t="shared" si="9"/>
        <v>1</v>
      </c>
      <c r="AB264" s="3">
        <v>28</v>
      </c>
      <c r="AC264" t="str">
        <f>IFERROR(VLOOKUP(B264,vlookup!$A$16:$A$150,1,FALSE),"")</f>
        <v/>
      </c>
      <c r="AD264">
        <v>1</v>
      </c>
    </row>
    <row r="265" spans="1:30" hidden="1" x14ac:dyDescent="0.3">
      <c r="B265" s="1">
        <v>7247760930</v>
      </c>
      <c r="C265" s="1"/>
      <c r="G265" t="s">
        <v>1186</v>
      </c>
      <c r="H265" t="s">
        <v>1188</v>
      </c>
      <c r="I265">
        <v>1</v>
      </c>
      <c r="J265">
        <v>47</v>
      </c>
      <c r="K265">
        <v>22</v>
      </c>
      <c r="L265">
        <v>35</v>
      </c>
      <c r="M265" t="s">
        <v>74</v>
      </c>
      <c r="N265" t="s">
        <v>33</v>
      </c>
      <c r="O265" t="b">
        <v>1</v>
      </c>
      <c r="X265">
        <v>20</v>
      </c>
      <c r="Y265">
        <f t="shared" si="8"/>
        <v>28</v>
      </c>
      <c r="Z265" t="s">
        <v>1624</v>
      </c>
      <c r="AA265" s="3">
        <f t="shared" si="9"/>
        <v>1</v>
      </c>
      <c r="AB265" s="3">
        <v>28</v>
      </c>
      <c r="AC265" t="str">
        <f>IFERROR(VLOOKUP(B265,vlookup!$A$16:$A$150,1,FALSE),"")</f>
        <v/>
      </c>
      <c r="AD265">
        <v>1</v>
      </c>
    </row>
    <row r="266" spans="1:30" hidden="1" x14ac:dyDescent="0.3">
      <c r="A266" t="s">
        <v>1189</v>
      </c>
      <c r="B266" s="1">
        <v>7247761330</v>
      </c>
      <c r="C266" s="1"/>
      <c r="D266" t="s">
        <v>360</v>
      </c>
      <c r="E266" t="s">
        <v>1094</v>
      </c>
      <c r="F266" t="b">
        <v>1</v>
      </c>
      <c r="I266">
        <v>1</v>
      </c>
      <c r="X266">
        <v>20</v>
      </c>
      <c r="Y266">
        <f t="shared" si="8"/>
        <v>28</v>
      </c>
      <c r="Z266" t="s">
        <v>1624</v>
      </c>
      <c r="AA266" s="3">
        <f t="shared" si="9"/>
        <v>1</v>
      </c>
      <c r="AB266" s="3">
        <v>28</v>
      </c>
      <c r="AC266" t="str">
        <f>IFERROR(VLOOKUP(B266,vlookup!$A$16:$A$150,1,FALSE),"")</f>
        <v/>
      </c>
      <c r="AD266">
        <v>1</v>
      </c>
    </row>
    <row r="267" spans="1:30" hidden="1" x14ac:dyDescent="0.3">
      <c r="B267" s="1">
        <v>7247761330</v>
      </c>
      <c r="C267" s="1"/>
      <c r="G267" t="s">
        <v>1189</v>
      </c>
      <c r="H267" t="s">
        <v>1190</v>
      </c>
      <c r="I267">
        <v>1</v>
      </c>
      <c r="J267">
        <v>40</v>
      </c>
      <c r="K267">
        <v>35</v>
      </c>
      <c r="L267">
        <v>60</v>
      </c>
      <c r="M267" t="s">
        <v>72</v>
      </c>
      <c r="N267" t="s">
        <v>33</v>
      </c>
      <c r="O267" t="b">
        <v>1</v>
      </c>
      <c r="X267">
        <v>20</v>
      </c>
      <c r="Y267">
        <f t="shared" si="8"/>
        <v>28</v>
      </c>
      <c r="Z267" t="s">
        <v>1624</v>
      </c>
      <c r="AA267" s="3">
        <f t="shared" si="9"/>
        <v>1</v>
      </c>
      <c r="AB267" s="3">
        <v>28</v>
      </c>
      <c r="AC267" t="str">
        <f>IFERROR(VLOOKUP(B267,vlookup!$A$16:$A$150,1,FALSE),"")</f>
        <v/>
      </c>
      <c r="AD267">
        <v>1</v>
      </c>
    </row>
    <row r="268" spans="1:30" hidden="1" x14ac:dyDescent="0.3">
      <c r="B268" s="1">
        <v>7247761330</v>
      </c>
      <c r="C268" s="1"/>
      <c r="G268" t="s">
        <v>1189</v>
      </c>
      <c r="H268" t="s">
        <v>1191</v>
      </c>
      <c r="I268">
        <v>1</v>
      </c>
      <c r="J268">
        <v>47</v>
      </c>
      <c r="K268">
        <v>22</v>
      </c>
      <c r="L268">
        <v>37</v>
      </c>
      <c r="M268" t="s">
        <v>74</v>
      </c>
      <c r="N268" t="s">
        <v>33</v>
      </c>
      <c r="O268" t="b">
        <v>1</v>
      </c>
      <c r="X268">
        <v>20</v>
      </c>
      <c r="Y268">
        <f t="shared" si="8"/>
        <v>28</v>
      </c>
      <c r="Z268" t="s">
        <v>1624</v>
      </c>
      <c r="AA268" s="3">
        <f t="shared" si="9"/>
        <v>1</v>
      </c>
      <c r="AB268" s="3">
        <v>28</v>
      </c>
      <c r="AC268" t="str">
        <f>IFERROR(VLOOKUP(B268,vlookup!$A$16:$A$150,1,FALSE),"")</f>
        <v/>
      </c>
      <c r="AD268">
        <v>1</v>
      </c>
    </row>
    <row r="269" spans="1:30" hidden="1" x14ac:dyDescent="0.3">
      <c r="A269" t="s">
        <v>1197</v>
      </c>
      <c r="B269" s="1">
        <v>7247781230</v>
      </c>
      <c r="C269" s="1"/>
      <c r="D269" t="s">
        <v>360</v>
      </c>
      <c r="E269" t="s">
        <v>1094</v>
      </c>
      <c r="F269" t="b">
        <v>1</v>
      </c>
      <c r="I269">
        <v>1</v>
      </c>
      <c r="X269">
        <v>20</v>
      </c>
      <c r="Y269">
        <f t="shared" si="8"/>
        <v>28</v>
      </c>
      <c r="Z269" t="s">
        <v>1624</v>
      </c>
      <c r="AA269" s="3">
        <f t="shared" si="9"/>
        <v>1</v>
      </c>
      <c r="AB269" s="3">
        <v>28</v>
      </c>
      <c r="AC269" t="str">
        <f>IFERROR(VLOOKUP(B269,vlookup!$A$16:$A$150,1,FALSE),"")</f>
        <v/>
      </c>
      <c r="AD269">
        <v>1</v>
      </c>
    </row>
    <row r="270" spans="1:30" hidden="1" x14ac:dyDescent="0.3">
      <c r="B270" s="1">
        <v>7247781230</v>
      </c>
      <c r="C270" s="1"/>
      <c r="G270" t="s">
        <v>1197</v>
      </c>
      <c r="H270" t="s">
        <v>1198</v>
      </c>
      <c r="I270">
        <v>1</v>
      </c>
      <c r="J270">
        <v>40</v>
      </c>
      <c r="K270">
        <v>35</v>
      </c>
      <c r="L270">
        <v>60</v>
      </c>
      <c r="M270" t="s">
        <v>72</v>
      </c>
      <c r="N270" t="s">
        <v>33</v>
      </c>
      <c r="O270" t="b">
        <v>1</v>
      </c>
      <c r="X270">
        <v>20</v>
      </c>
      <c r="Y270">
        <f t="shared" si="8"/>
        <v>28</v>
      </c>
      <c r="Z270" t="s">
        <v>1624</v>
      </c>
      <c r="AA270" s="3">
        <f t="shared" si="9"/>
        <v>1</v>
      </c>
      <c r="AB270" s="3">
        <v>28</v>
      </c>
      <c r="AC270" t="str">
        <f>IFERROR(VLOOKUP(B270,vlookup!$A$16:$A$150,1,FALSE),"")</f>
        <v/>
      </c>
      <c r="AD270">
        <v>1</v>
      </c>
    </row>
    <row r="271" spans="1:30" hidden="1" x14ac:dyDescent="0.3">
      <c r="B271" s="1">
        <v>7247781230</v>
      </c>
      <c r="C271" s="1"/>
      <c r="G271" t="s">
        <v>1197</v>
      </c>
      <c r="H271" t="s">
        <v>1199</v>
      </c>
      <c r="I271">
        <v>1</v>
      </c>
      <c r="J271">
        <v>47</v>
      </c>
      <c r="K271">
        <v>22</v>
      </c>
      <c r="L271">
        <v>35</v>
      </c>
      <c r="M271" t="s">
        <v>74</v>
      </c>
      <c r="N271" t="s">
        <v>33</v>
      </c>
      <c r="O271" t="b">
        <v>1</v>
      </c>
      <c r="X271">
        <v>20</v>
      </c>
      <c r="Y271">
        <f t="shared" si="8"/>
        <v>28</v>
      </c>
      <c r="Z271" t="s">
        <v>1624</v>
      </c>
      <c r="AA271" s="3">
        <f t="shared" si="9"/>
        <v>1</v>
      </c>
      <c r="AB271" s="3">
        <v>28</v>
      </c>
      <c r="AC271" t="str">
        <f>IFERROR(VLOOKUP(B271,vlookup!$A$16:$A$150,1,FALSE),"")</f>
        <v/>
      </c>
      <c r="AD271">
        <v>1</v>
      </c>
    </row>
    <row r="272" spans="1:30" hidden="1" x14ac:dyDescent="0.3">
      <c r="A272" t="s">
        <v>1285</v>
      </c>
      <c r="B272" s="1">
        <v>72478572</v>
      </c>
      <c r="C272" s="1"/>
      <c r="D272" t="s">
        <v>360</v>
      </c>
      <c r="E272" t="s">
        <v>1094</v>
      </c>
      <c r="F272" t="b">
        <v>1</v>
      </c>
      <c r="I272">
        <v>1</v>
      </c>
      <c r="X272">
        <v>20</v>
      </c>
      <c r="Y272">
        <f t="shared" si="8"/>
        <v>28</v>
      </c>
      <c r="Z272" t="s">
        <v>1624</v>
      </c>
      <c r="AA272" s="3">
        <f t="shared" si="9"/>
        <v>1</v>
      </c>
      <c r="AB272" s="3">
        <v>28</v>
      </c>
      <c r="AC272" t="str">
        <f>IFERROR(VLOOKUP(B272,vlookup!$A$16:$A$150,1,FALSE),"")</f>
        <v/>
      </c>
      <c r="AD272">
        <v>1</v>
      </c>
    </row>
    <row r="273" spans="1:30" hidden="1" x14ac:dyDescent="0.3">
      <c r="B273" s="1">
        <v>72478572</v>
      </c>
      <c r="C273" s="1"/>
      <c r="G273" t="s">
        <v>1285</v>
      </c>
      <c r="H273" t="s">
        <v>1286</v>
      </c>
      <c r="I273">
        <v>1</v>
      </c>
      <c r="J273">
        <v>38</v>
      </c>
      <c r="K273">
        <v>21</v>
      </c>
      <c r="L273">
        <v>24</v>
      </c>
      <c r="M273" t="s">
        <v>74</v>
      </c>
      <c r="N273" t="s">
        <v>33</v>
      </c>
      <c r="O273" t="b">
        <v>1</v>
      </c>
      <c r="X273">
        <v>20</v>
      </c>
      <c r="Y273">
        <f t="shared" si="8"/>
        <v>28</v>
      </c>
      <c r="Z273" t="s">
        <v>1624</v>
      </c>
      <c r="AA273" s="3">
        <f t="shared" si="9"/>
        <v>1</v>
      </c>
      <c r="AB273" s="3">
        <v>28</v>
      </c>
      <c r="AC273" t="str">
        <f>IFERROR(VLOOKUP(B273,vlookup!$A$16:$A$150,1,FALSE),"")</f>
        <v/>
      </c>
      <c r="AD273">
        <v>1</v>
      </c>
    </row>
    <row r="274" spans="1:30" hidden="1" x14ac:dyDescent="0.3">
      <c r="B274" s="1">
        <v>72478572</v>
      </c>
      <c r="C274" s="1"/>
      <c r="G274" t="s">
        <v>1285</v>
      </c>
      <c r="H274" t="s">
        <v>1287</v>
      </c>
      <c r="I274">
        <v>1</v>
      </c>
      <c r="J274">
        <v>30</v>
      </c>
      <c r="K274">
        <v>30</v>
      </c>
      <c r="L274">
        <v>60</v>
      </c>
      <c r="M274" t="s">
        <v>72</v>
      </c>
      <c r="N274" t="s">
        <v>33</v>
      </c>
      <c r="O274" t="b">
        <v>1</v>
      </c>
      <c r="X274">
        <v>20</v>
      </c>
      <c r="Y274">
        <f t="shared" si="8"/>
        <v>28</v>
      </c>
      <c r="Z274" t="s">
        <v>1624</v>
      </c>
      <c r="AA274" s="3">
        <f t="shared" si="9"/>
        <v>1</v>
      </c>
      <c r="AB274" s="3">
        <v>28</v>
      </c>
      <c r="AC274" t="str">
        <f>IFERROR(VLOOKUP(B274,vlookup!$A$16:$A$150,1,FALSE),"")</f>
        <v/>
      </c>
      <c r="AD274">
        <v>1</v>
      </c>
    </row>
    <row r="275" spans="1:30" hidden="1" x14ac:dyDescent="0.3">
      <c r="A275" t="s">
        <v>1192</v>
      </c>
      <c r="B275" s="1">
        <v>7252779130</v>
      </c>
      <c r="C275" s="1"/>
      <c r="D275" t="s">
        <v>360</v>
      </c>
      <c r="E275" t="s">
        <v>1094</v>
      </c>
      <c r="F275" t="b">
        <v>1</v>
      </c>
      <c r="I275">
        <v>1</v>
      </c>
      <c r="X275">
        <v>20</v>
      </c>
      <c r="Y275">
        <f t="shared" si="8"/>
        <v>0</v>
      </c>
      <c r="Z275" t="s">
        <v>1624</v>
      </c>
      <c r="AA275" s="3" t="str">
        <f t="shared" si="9"/>
        <v/>
      </c>
      <c r="AB275" s="3">
        <v>28</v>
      </c>
      <c r="AC275">
        <f>IFERROR(VLOOKUP(B275,vlookup!$A$16:$A$150,1,FALSE),"")</f>
        <v>7252779130</v>
      </c>
      <c r="AD275" t="str">
        <f>IFERROR(VLOOKUP(B275,vlookup!$A$16:$G$150,11,FALSE),"")</f>
        <v/>
      </c>
    </row>
    <row r="276" spans="1:30" hidden="1" x14ac:dyDescent="0.3">
      <c r="B276" s="1">
        <v>7252779130</v>
      </c>
      <c r="C276" s="1"/>
      <c r="G276" t="s">
        <v>1192</v>
      </c>
      <c r="H276" t="s">
        <v>1193</v>
      </c>
      <c r="I276">
        <v>1</v>
      </c>
      <c r="J276">
        <v>40</v>
      </c>
      <c r="K276">
        <v>35</v>
      </c>
      <c r="L276">
        <v>57</v>
      </c>
      <c r="M276" t="s">
        <v>72</v>
      </c>
      <c r="N276" t="s">
        <v>33</v>
      </c>
      <c r="O276" t="b">
        <v>1</v>
      </c>
      <c r="X276">
        <v>20</v>
      </c>
      <c r="Y276">
        <f t="shared" si="8"/>
        <v>0</v>
      </c>
      <c r="Z276" t="s">
        <v>1624</v>
      </c>
      <c r="AA276" s="3" t="str">
        <f t="shared" si="9"/>
        <v/>
      </c>
      <c r="AB276" s="3">
        <v>28</v>
      </c>
      <c r="AC276">
        <f>IFERROR(VLOOKUP(B276,vlookup!$A$16:$A$150,1,FALSE),"")</f>
        <v>7252779130</v>
      </c>
      <c r="AD276" t="str">
        <f>IFERROR(VLOOKUP(B276,vlookup!$A$16:$G$150,11,FALSE),"")</f>
        <v/>
      </c>
    </row>
    <row r="277" spans="1:30" hidden="1" x14ac:dyDescent="0.3">
      <c r="B277" s="1">
        <v>7252779130</v>
      </c>
      <c r="C277" s="1"/>
      <c r="G277" t="s">
        <v>1192</v>
      </c>
      <c r="H277" t="s">
        <v>1194</v>
      </c>
      <c r="I277">
        <v>1</v>
      </c>
      <c r="J277">
        <v>47</v>
      </c>
      <c r="K277">
        <v>22</v>
      </c>
      <c r="L277">
        <v>37</v>
      </c>
      <c r="M277" t="s">
        <v>74</v>
      </c>
      <c r="N277" t="s">
        <v>33</v>
      </c>
      <c r="O277" t="b">
        <v>1</v>
      </c>
      <c r="X277">
        <v>20</v>
      </c>
      <c r="Y277">
        <f t="shared" si="8"/>
        <v>0</v>
      </c>
      <c r="Z277" t="s">
        <v>1624</v>
      </c>
      <c r="AA277" s="3" t="str">
        <f t="shared" si="9"/>
        <v/>
      </c>
      <c r="AB277" s="3">
        <v>28</v>
      </c>
      <c r="AC277">
        <f>IFERROR(VLOOKUP(B277,vlookup!$A$16:$A$150,1,FALSE),"")</f>
        <v>7252779130</v>
      </c>
      <c r="AD277" t="str">
        <f>IFERROR(VLOOKUP(B277,vlookup!$A$16:$G$150,11,FALSE),"")</f>
        <v/>
      </c>
    </row>
    <row r="278" spans="1:30" hidden="1" x14ac:dyDescent="0.3">
      <c r="A278" t="s">
        <v>1223</v>
      </c>
      <c r="B278" s="1">
        <v>7252785330</v>
      </c>
      <c r="C278" s="1">
        <v>7247075530</v>
      </c>
      <c r="D278" t="s">
        <v>360</v>
      </c>
      <c r="E278" t="s">
        <v>1094</v>
      </c>
      <c r="F278" t="b">
        <v>1</v>
      </c>
      <c r="I278">
        <v>1</v>
      </c>
      <c r="X278">
        <v>20</v>
      </c>
      <c r="Y278">
        <f t="shared" si="8"/>
        <v>112</v>
      </c>
      <c r="Z278" t="s">
        <v>1624</v>
      </c>
      <c r="AA278" s="3">
        <f t="shared" si="9"/>
        <v>4</v>
      </c>
      <c r="AB278" s="3">
        <v>28</v>
      </c>
      <c r="AC278">
        <f>IFERROR(VLOOKUP(B278,vlookup!$A$16:$A$150,1,FALSE),"")</f>
        <v>7252785330</v>
      </c>
      <c r="AD278">
        <v>4</v>
      </c>
    </row>
    <row r="279" spans="1:30" ht="13.8" hidden="1" customHeight="1" x14ac:dyDescent="0.3">
      <c r="B279" s="1">
        <v>7252785330</v>
      </c>
      <c r="C279" s="1"/>
      <c r="G279" t="s">
        <v>1223</v>
      </c>
      <c r="H279" t="s">
        <v>1224</v>
      </c>
      <c r="I279">
        <v>1</v>
      </c>
      <c r="J279">
        <v>40</v>
      </c>
      <c r="K279">
        <v>35</v>
      </c>
      <c r="L279">
        <v>60</v>
      </c>
      <c r="M279" t="s">
        <v>72</v>
      </c>
      <c r="N279" t="s">
        <v>33</v>
      </c>
      <c r="O279" t="b">
        <v>1</v>
      </c>
      <c r="X279">
        <v>20</v>
      </c>
      <c r="Y279">
        <f t="shared" si="8"/>
        <v>112</v>
      </c>
      <c r="Z279" t="s">
        <v>1624</v>
      </c>
      <c r="AA279" s="3">
        <f t="shared" si="9"/>
        <v>4</v>
      </c>
      <c r="AB279" s="3">
        <v>28</v>
      </c>
      <c r="AC279">
        <f>IFERROR(VLOOKUP(B279,vlookup!$A$16:$A$150,1,FALSE),"")</f>
        <v>7252785330</v>
      </c>
      <c r="AD279">
        <v>4</v>
      </c>
    </row>
    <row r="280" spans="1:30" hidden="1" x14ac:dyDescent="0.3">
      <c r="B280" s="1">
        <v>7252785330</v>
      </c>
      <c r="C280" s="1"/>
      <c r="G280" t="s">
        <v>1223</v>
      </c>
      <c r="H280" t="s">
        <v>1225</v>
      </c>
      <c r="I280">
        <v>1</v>
      </c>
      <c r="J280">
        <v>47</v>
      </c>
      <c r="K280">
        <v>30</v>
      </c>
      <c r="L280">
        <v>28</v>
      </c>
      <c r="M280" t="s">
        <v>74</v>
      </c>
      <c r="N280" t="s">
        <v>33</v>
      </c>
      <c r="O280" t="b">
        <v>1</v>
      </c>
      <c r="X280">
        <v>20</v>
      </c>
      <c r="Y280">
        <f t="shared" si="8"/>
        <v>112</v>
      </c>
      <c r="Z280" t="s">
        <v>1624</v>
      </c>
      <c r="AA280" s="3">
        <f t="shared" si="9"/>
        <v>4</v>
      </c>
      <c r="AB280" s="3">
        <v>28</v>
      </c>
      <c r="AC280">
        <f>IFERROR(VLOOKUP(B280,vlookup!$A$16:$A$150,1,FALSE),"")</f>
        <v>7252785330</v>
      </c>
      <c r="AD280">
        <v>4</v>
      </c>
    </row>
    <row r="281" spans="1:30" hidden="1" x14ac:dyDescent="0.3">
      <c r="A281" t="s">
        <v>1120</v>
      </c>
      <c r="B281" s="1">
        <v>7047052330</v>
      </c>
      <c r="C281" s="1"/>
      <c r="D281" t="s">
        <v>360</v>
      </c>
      <c r="F281" t="b">
        <v>0</v>
      </c>
      <c r="I281">
        <v>1</v>
      </c>
      <c r="J281">
        <v>35</v>
      </c>
      <c r="K281">
        <v>35</v>
      </c>
      <c r="L281">
        <v>45</v>
      </c>
      <c r="M281" t="s">
        <v>69</v>
      </c>
      <c r="N281" t="s">
        <v>33</v>
      </c>
      <c r="O281" t="b">
        <v>1</v>
      </c>
      <c r="Y281">
        <f t="shared" si="8"/>
        <v>0</v>
      </c>
      <c r="AA281" s="3" t="str">
        <f t="shared" si="9"/>
        <v/>
      </c>
      <c r="AB281" s="3">
        <v>28</v>
      </c>
      <c r="AC281" t="str">
        <f>IFERROR(VLOOKUP(B281,vlookup!$A$16:$A$150,1,FALSE),"")</f>
        <v/>
      </c>
      <c r="AD281" t="str">
        <f>IFERROR(VLOOKUP(B281,vlookup!$A$16:$G$150,11,FALSE),"")</f>
        <v/>
      </c>
    </row>
    <row r="282" spans="1:30" hidden="1" x14ac:dyDescent="0.3">
      <c r="A282" t="s">
        <v>1177</v>
      </c>
      <c r="B282" s="1" t="s">
        <v>381</v>
      </c>
      <c r="C282" s="1" t="s">
        <v>1116</v>
      </c>
      <c r="D282" t="s">
        <v>357</v>
      </c>
      <c r="F282" t="b">
        <v>0</v>
      </c>
      <c r="I282">
        <v>1</v>
      </c>
      <c r="J282">
        <v>42</v>
      </c>
      <c r="K282">
        <v>37</v>
      </c>
      <c r="L282">
        <v>43</v>
      </c>
      <c r="M282" t="s">
        <v>74</v>
      </c>
      <c r="N282" t="s">
        <v>33</v>
      </c>
      <c r="O282" t="b">
        <v>1</v>
      </c>
      <c r="Y282">
        <f t="shared" si="8"/>
        <v>0</v>
      </c>
      <c r="AA282" s="3" t="str">
        <f t="shared" si="9"/>
        <v/>
      </c>
      <c r="AB282" s="3">
        <v>28</v>
      </c>
      <c r="AC282" t="str">
        <f>IFERROR(VLOOKUP(B282,vlookup!$A$16:$A$150,1,FALSE),"")</f>
        <v/>
      </c>
      <c r="AD282" t="str">
        <f>IFERROR(VLOOKUP(B282,vlookup!$A$16:$G$150,11,FALSE),"")</f>
        <v/>
      </c>
    </row>
    <row r="283" spans="1:30" hidden="1" x14ac:dyDescent="0.3">
      <c r="A283" t="s">
        <v>1179</v>
      </c>
      <c r="B283" s="1" t="s">
        <v>1178</v>
      </c>
      <c r="C283" s="1"/>
      <c r="D283" t="s">
        <v>357</v>
      </c>
      <c r="E283" t="s">
        <v>1180</v>
      </c>
      <c r="F283" t="b">
        <v>0</v>
      </c>
      <c r="I283">
        <v>1</v>
      </c>
      <c r="J283">
        <v>0</v>
      </c>
      <c r="K283">
        <v>0</v>
      </c>
      <c r="L283">
        <v>0</v>
      </c>
      <c r="M283" t="s">
        <v>69</v>
      </c>
      <c r="N283" t="s">
        <v>33</v>
      </c>
      <c r="O283" t="b">
        <v>1</v>
      </c>
      <c r="Y283">
        <f t="shared" si="8"/>
        <v>0</v>
      </c>
      <c r="AA283" s="3" t="str">
        <f t="shared" si="9"/>
        <v/>
      </c>
      <c r="AB283" s="3">
        <v>28</v>
      </c>
      <c r="AC283" t="str">
        <f>IFERROR(VLOOKUP(B283,vlookup!$A$16:$A$150,1,FALSE),"")</f>
        <v>X1PP6144</v>
      </c>
      <c r="AD283" t="str">
        <f>IFERROR(VLOOKUP(B283,vlookup!$A$16:$G$150,11,FALSE),"")</f>
        <v/>
      </c>
    </row>
    <row r="284" spans="1:30" hidden="1" x14ac:dyDescent="0.3">
      <c r="A284" t="s">
        <v>1573</v>
      </c>
      <c r="B284" s="1" t="s">
        <v>1564</v>
      </c>
      <c r="C284" s="1"/>
      <c r="D284" t="s">
        <v>357</v>
      </c>
      <c r="E284" t="s">
        <v>1180</v>
      </c>
      <c r="F284" t="b">
        <v>0</v>
      </c>
      <c r="I284">
        <v>1</v>
      </c>
      <c r="J284">
        <v>0</v>
      </c>
      <c r="K284">
        <v>0</v>
      </c>
      <c r="L284">
        <v>0</v>
      </c>
      <c r="M284" t="s">
        <v>69</v>
      </c>
      <c r="N284" t="s">
        <v>33</v>
      </c>
      <c r="O284" t="b">
        <v>1</v>
      </c>
      <c r="Y284">
        <f t="shared" si="8"/>
        <v>0</v>
      </c>
      <c r="AA284" s="3" t="str">
        <f t="shared" si="9"/>
        <v/>
      </c>
      <c r="AB284" s="3">
        <v>28</v>
      </c>
      <c r="AC284" t="str">
        <f>IFERROR(VLOOKUP(B284,vlookup!$A$16:$A$150,1,FALSE),"")</f>
        <v>WASHERTUBE X1PP6144 (180º BLACK)</v>
      </c>
      <c r="AD284" t="str">
        <f>IFERROR(VLOOKUP(B284,vlookup!$A$16:$G$150,11,FALSE),"")</f>
        <v/>
      </c>
    </row>
    <row r="285" spans="1:30" hidden="1" x14ac:dyDescent="0.3">
      <c r="A285" t="s">
        <v>1221</v>
      </c>
      <c r="B285" s="1">
        <v>7298808730</v>
      </c>
      <c r="C285" s="1"/>
      <c r="D285" t="s">
        <v>357</v>
      </c>
      <c r="F285" t="b">
        <v>0</v>
      </c>
      <c r="I285">
        <v>1</v>
      </c>
      <c r="J285">
        <v>47</v>
      </c>
      <c r="K285">
        <v>47</v>
      </c>
      <c r="L285">
        <v>70</v>
      </c>
      <c r="M285" t="s">
        <v>69</v>
      </c>
      <c r="N285" t="s">
        <v>33</v>
      </c>
      <c r="O285" t="b">
        <v>1</v>
      </c>
      <c r="Y285">
        <f t="shared" si="8"/>
        <v>0</v>
      </c>
      <c r="AA285" s="3" t="str">
        <f t="shared" si="9"/>
        <v/>
      </c>
      <c r="AB285" s="3">
        <v>28</v>
      </c>
      <c r="AC285" t="str">
        <f>IFERROR(VLOOKUP(B285,vlookup!$A$16:$A$150,1,FALSE),"")</f>
        <v/>
      </c>
      <c r="AD285" t="str">
        <f>IFERROR(VLOOKUP(B285,vlookup!$A$16:$G$150,11,FALSE),"")</f>
        <v/>
      </c>
    </row>
    <row r="286" spans="1:30" hidden="1" x14ac:dyDescent="0.3">
      <c r="A286" t="s">
        <v>1226</v>
      </c>
      <c r="B286" s="1" t="s">
        <v>666</v>
      </c>
      <c r="C286" s="1"/>
      <c r="D286" t="s">
        <v>357</v>
      </c>
      <c r="E286" t="s">
        <v>1228</v>
      </c>
      <c r="F286" t="b">
        <v>0</v>
      </c>
      <c r="I286">
        <v>1</v>
      </c>
      <c r="J286">
        <v>100</v>
      </c>
      <c r="K286">
        <v>75</v>
      </c>
      <c r="L286">
        <v>60</v>
      </c>
      <c r="M286" t="s">
        <v>68</v>
      </c>
      <c r="N286" t="s">
        <v>33</v>
      </c>
      <c r="O286" t="b">
        <v>1</v>
      </c>
      <c r="Y286">
        <f t="shared" si="8"/>
        <v>0</v>
      </c>
      <c r="AA286" s="3" t="str">
        <f t="shared" si="9"/>
        <v/>
      </c>
      <c r="AB286" s="3">
        <v>28</v>
      </c>
      <c r="AC286" t="str">
        <f>IFERROR(VLOOKUP(B286,vlookup!$A$16:$A$150,1,FALSE),"")</f>
        <v>7198762530+7198600430+72743034</v>
      </c>
      <c r="AD286" t="str">
        <f>IFERROR(VLOOKUP(B286,vlookup!$A$16:$G$150,11,FALSE),"")</f>
        <v/>
      </c>
    </row>
    <row r="287" spans="1:30" hidden="1" x14ac:dyDescent="0.3">
      <c r="A287" t="s">
        <v>1230</v>
      </c>
      <c r="B287" s="1">
        <v>7223686530</v>
      </c>
      <c r="C287" s="1"/>
      <c r="D287" t="s">
        <v>357</v>
      </c>
      <c r="E287" t="s">
        <v>1231</v>
      </c>
      <c r="F287" t="b">
        <v>0</v>
      </c>
      <c r="I287">
        <v>1</v>
      </c>
      <c r="J287">
        <v>32</v>
      </c>
      <c r="K287">
        <v>74</v>
      </c>
      <c r="L287">
        <v>48</v>
      </c>
      <c r="M287" t="s">
        <v>69</v>
      </c>
      <c r="N287" t="s">
        <v>33</v>
      </c>
      <c r="O287" t="b">
        <v>1</v>
      </c>
      <c r="Y287">
        <f t="shared" si="8"/>
        <v>0</v>
      </c>
      <c r="AA287" s="3" t="str">
        <f t="shared" si="9"/>
        <v/>
      </c>
      <c r="AB287" s="3">
        <v>28</v>
      </c>
      <c r="AC287">
        <f>IFERROR(VLOOKUP(B287,vlookup!$A$16:$A$150,1,FALSE),"")</f>
        <v>7223686530</v>
      </c>
      <c r="AD287" t="str">
        <f>IFERROR(VLOOKUP(B287,vlookup!$A$16:$G$150,11,FALSE),"")</f>
        <v/>
      </c>
    </row>
    <row r="288" spans="1:30" hidden="1" x14ac:dyDescent="0.3">
      <c r="A288" t="s">
        <v>1233</v>
      </c>
      <c r="B288" s="1" t="s">
        <v>280</v>
      </c>
      <c r="C288" s="1"/>
      <c r="D288" t="s">
        <v>357</v>
      </c>
      <c r="E288" t="s">
        <v>1488</v>
      </c>
      <c r="F288" t="b">
        <v>0</v>
      </c>
      <c r="I288">
        <v>1</v>
      </c>
      <c r="J288">
        <v>82</v>
      </c>
      <c r="K288">
        <v>57</v>
      </c>
      <c r="L288">
        <v>54</v>
      </c>
      <c r="M288" t="s">
        <v>69</v>
      </c>
      <c r="N288" t="s">
        <v>33</v>
      </c>
      <c r="O288" t="b">
        <v>1</v>
      </c>
      <c r="Y288">
        <f t="shared" si="8"/>
        <v>0</v>
      </c>
      <c r="AA288" s="3" t="str">
        <f t="shared" si="9"/>
        <v/>
      </c>
      <c r="AB288" s="3">
        <v>28</v>
      </c>
      <c r="AC288" t="str">
        <f>IFERROR(VLOOKUP(B288,vlookup!$A$16:$A$150,1,FALSE),"")</f>
        <v/>
      </c>
      <c r="AD288" t="str">
        <f>IFERROR(VLOOKUP(B288,vlookup!$A$16:$G$150,11,FALSE),"")</f>
        <v/>
      </c>
    </row>
    <row r="289" spans="1:31" hidden="1" x14ac:dyDescent="0.3">
      <c r="A289" t="s">
        <v>1241</v>
      </c>
      <c r="B289" s="1">
        <v>7035990430</v>
      </c>
      <c r="C289" s="1"/>
      <c r="D289" t="s">
        <v>357</v>
      </c>
      <c r="E289" t="s">
        <v>1242</v>
      </c>
      <c r="F289" t="b">
        <v>0</v>
      </c>
      <c r="I289">
        <v>1</v>
      </c>
      <c r="J289">
        <v>64</v>
      </c>
      <c r="K289">
        <v>69</v>
      </c>
      <c r="L289">
        <v>59</v>
      </c>
      <c r="M289" t="s">
        <v>69</v>
      </c>
      <c r="N289" t="s">
        <v>33</v>
      </c>
      <c r="O289" t="b">
        <v>1</v>
      </c>
      <c r="Y289">
        <f t="shared" si="8"/>
        <v>0</v>
      </c>
      <c r="AA289" s="3" t="str">
        <f t="shared" si="9"/>
        <v/>
      </c>
      <c r="AB289" s="3">
        <v>28</v>
      </c>
      <c r="AC289">
        <f>IFERROR(VLOOKUP(B289,vlookup!$A$16:$A$150,1,FALSE),"")</f>
        <v>7035990430</v>
      </c>
      <c r="AD289" t="str">
        <f>IFERROR(VLOOKUP(B289,vlookup!$A$16:$G$150,11,FALSE),"")</f>
        <v/>
      </c>
    </row>
    <row r="290" spans="1:31" hidden="1" x14ac:dyDescent="0.3">
      <c r="A290" t="s">
        <v>1472</v>
      </c>
      <c r="B290" s="1" t="s">
        <v>1473</v>
      </c>
      <c r="C290" s="1"/>
      <c r="D290" t="s">
        <v>358</v>
      </c>
      <c r="E290" t="s">
        <v>1474</v>
      </c>
      <c r="F290" t="b">
        <v>1</v>
      </c>
      <c r="I290">
        <v>1</v>
      </c>
      <c r="J290" t="s">
        <v>779</v>
      </c>
      <c r="K290" t="s">
        <v>779</v>
      </c>
      <c r="L290" t="s">
        <v>779</v>
      </c>
      <c r="O290" t="b">
        <v>1</v>
      </c>
      <c r="Y290">
        <f t="shared" si="8"/>
        <v>0</v>
      </c>
      <c r="AA290" s="3" t="str">
        <f t="shared" si="9"/>
        <v/>
      </c>
      <c r="AB290" s="3">
        <v>28</v>
      </c>
      <c r="AC290" t="str">
        <f>IFERROR(VLOOKUP(B290,vlookup!$A$16:$A$150,1,FALSE),"")</f>
        <v/>
      </c>
      <c r="AD290" t="str">
        <f>IFERROR(VLOOKUP(B290,vlookup!$A$16:$G$150,11,FALSE),"")</f>
        <v/>
      </c>
    </row>
    <row r="291" spans="1:31" hidden="1" x14ac:dyDescent="0.3">
      <c r="B291" s="1" t="s">
        <v>1473</v>
      </c>
      <c r="C291" s="1"/>
      <c r="G291" t="s">
        <v>1472</v>
      </c>
      <c r="H291" t="s">
        <v>1475</v>
      </c>
      <c r="I291">
        <v>1</v>
      </c>
      <c r="J291" t="s">
        <v>1476</v>
      </c>
      <c r="K291" t="s">
        <v>1477</v>
      </c>
      <c r="L291" t="s">
        <v>1478</v>
      </c>
      <c r="M291" t="s">
        <v>68</v>
      </c>
      <c r="N291" t="s">
        <v>33</v>
      </c>
      <c r="O291" t="b">
        <v>1</v>
      </c>
      <c r="Y291">
        <f t="shared" si="8"/>
        <v>0</v>
      </c>
      <c r="AA291" s="3" t="str">
        <f t="shared" si="9"/>
        <v/>
      </c>
      <c r="AB291" s="3">
        <v>28</v>
      </c>
      <c r="AC291" t="str">
        <f>IFERROR(VLOOKUP(B291,vlookup!$A$16:$A$150,1,FALSE),"")</f>
        <v/>
      </c>
      <c r="AD291" t="str">
        <f>IFERROR(VLOOKUP(B291,vlookup!$A$16:$G$150,11,FALSE),"")</f>
        <v/>
      </c>
    </row>
    <row r="292" spans="1:31" hidden="1" x14ac:dyDescent="0.3">
      <c r="B292" s="1" t="s">
        <v>1473</v>
      </c>
      <c r="C292" s="1"/>
      <c r="G292" t="s">
        <v>1472</v>
      </c>
      <c r="H292" t="s">
        <v>1479</v>
      </c>
      <c r="I292">
        <v>1</v>
      </c>
      <c r="J292" t="s">
        <v>1476</v>
      </c>
      <c r="K292" t="s">
        <v>1477</v>
      </c>
      <c r="L292" t="s">
        <v>322</v>
      </c>
      <c r="M292" t="s">
        <v>68</v>
      </c>
      <c r="N292" t="s">
        <v>33</v>
      </c>
      <c r="O292" t="b">
        <v>1</v>
      </c>
      <c r="Y292">
        <f t="shared" si="8"/>
        <v>0</v>
      </c>
      <c r="AA292" s="3" t="str">
        <f t="shared" si="9"/>
        <v/>
      </c>
      <c r="AB292" s="3">
        <v>28</v>
      </c>
      <c r="AC292" t="str">
        <f>IFERROR(VLOOKUP(B292,vlookup!$A$16:$A$150,1,FALSE),"")</f>
        <v/>
      </c>
      <c r="AD292" t="str">
        <f>IFERROR(VLOOKUP(B292,vlookup!$A$16:$G$150,11,FALSE),"")</f>
        <v/>
      </c>
    </row>
    <row r="293" spans="1:31" hidden="1" x14ac:dyDescent="0.3">
      <c r="B293" s="1" t="s">
        <v>1473</v>
      </c>
      <c r="C293" s="1"/>
      <c r="G293" t="s">
        <v>1472</v>
      </c>
      <c r="H293" t="s">
        <v>1480</v>
      </c>
      <c r="I293">
        <v>1</v>
      </c>
      <c r="J293" t="s">
        <v>1476</v>
      </c>
      <c r="K293" t="s">
        <v>1477</v>
      </c>
      <c r="L293" t="s">
        <v>1481</v>
      </c>
      <c r="M293" t="s">
        <v>68</v>
      </c>
      <c r="N293" t="s">
        <v>33</v>
      </c>
      <c r="O293" t="b">
        <v>1</v>
      </c>
      <c r="Y293">
        <f t="shared" si="8"/>
        <v>0</v>
      </c>
      <c r="AA293" s="3" t="str">
        <f t="shared" si="9"/>
        <v/>
      </c>
      <c r="AB293" s="3">
        <v>28</v>
      </c>
      <c r="AC293" t="str">
        <f>IFERROR(VLOOKUP(B293,vlookup!$A$16:$A$150,1,FALSE),"")</f>
        <v/>
      </c>
      <c r="AD293" t="str">
        <f>IFERROR(VLOOKUP(B293,vlookup!$A$16:$G$150,11,FALSE),"")</f>
        <v/>
      </c>
    </row>
    <row r="294" spans="1:31" hidden="1" x14ac:dyDescent="0.3">
      <c r="A294" t="s">
        <v>1483</v>
      </c>
      <c r="B294" s="1">
        <v>7147882430</v>
      </c>
      <c r="C294" s="1"/>
      <c r="D294" t="s">
        <v>1470</v>
      </c>
      <c r="E294" t="s">
        <v>1487</v>
      </c>
      <c r="F294" t="b">
        <v>1</v>
      </c>
      <c r="I294">
        <v>1</v>
      </c>
      <c r="J294" t="s">
        <v>779</v>
      </c>
      <c r="K294" t="s">
        <v>779</v>
      </c>
      <c r="L294" t="s">
        <v>779</v>
      </c>
      <c r="Y294">
        <f t="shared" si="8"/>
        <v>0</v>
      </c>
      <c r="AA294" s="3" t="str">
        <f t="shared" si="9"/>
        <v/>
      </c>
      <c r="AB294" s="3">
        <v>28</v>
      </c>
      <c r="AC294">
        <f>IFERROR(VLOOKUP(B294,vlookup!$A$16:$A$150,1,FALSE),"")</f>
        <v>7147882430</v>
      </c>
      <c r="AD294" t="str">
        <f>IFERROR(VLOOKUP(B294,vlookup!$A$16:$G$150,11,FALSE),"")</f>
        <v/>
      </c>
    </row>
    <row r="295" spans="1:31" hidden="1" x14ac:dyDescent="0.3">
      <c r="B295" s="1">
        <v>7147882430</v>
      </c>
      <c r="C295" s="1"/>
      <c r="G295" t="s">
        <v>1483</v>
      </c>
      <c r="H295" t="s">
        <v>1484</v>
      </c>
      <c r="I295">
        <v>1</v>
      </c>
      <c r="Y295">
        <f t="shared" si="8"/>
        <v>0</v>
      </c>
      <c r="AA295" s="3" t="str">
        <f t="shared" si="9"/>
        <v/>
      </c>
      <c r="AB295" s="3">
        <v>28</v>
      </c>
      <c r="AC295">
        <f>IFERROR(VLOOKUP(B295,vlookup!$A$16:$A$150,1,FALSE),"")</f>
        <v>7147882430</v>
      </c>
      <c r="AD295" t="str">
        <f>IFERROR(VLOOKUP(B295,vlookup!$A$16:$G$150,11,FALSE),"")</f>
        <v/>
      </c>
    </row>
    <row r="296" spans="1:31" hidden="1" x14ac:dyDescent="0.3">
      <c r="A296" t="s">
        <v>1499</v>
      </c>
      <c r="B296" s="1" t="s">
        <v>1497</v>
      </c>
      <c r="C296" s="1"/>
      <c r="D296" t="s">
        <v>359</v>
      </c>
      <c r="F296" t="b">
        <v>0</v>
      </c>
      <c r="I296">
        <v>1</v>
      </c>
      <c r="Y296">
        <f t="shared" si="8"/>
        <v>0</v>
      </c>
      <c r="AA296" s="3" t="str">
        <f t="shared" si="9"/>
        <v/>
      </c>
      <c r="AB296" s="3">
        <v>28</v>
      </c>
      <c r="AC296" t="str">
        <f>IFERROR(VLOOKUP(B296,vlookup!$A$16:$A$150,1,FALSE),"")</f>
        <v/>
      </c>
      <c r="AD296" t="str">
        <f>IFERROR(VLOOKUP(B296,vlookup!$A$16:$G$150,11,FALSE),"")</f>
        <v/>
      </c>
    </row>
    <row r="297" spans="1:31" hidden="1" x14ac:dyDescent="0.3">
      <c r="A297" t="s">
        <v>1532</v>
      </c>
      <c r="B297" s="1">
        <v>7297914930</v>
      </c>
      <c r="C297" s="1"/>
      <c r="D297" t="s">
        <v>357</v>
      </c>
      <c r="F297" t="b">
        <v>0</v>
      </c>
      <c r="I297">
        <v>1</v>
      </c>
      <c r="J297">
        <v>67</v>
      </c>
      <c r="K297">
        <v>48</v>
      </c>
      <c r="L297">
        <v>65</v>
      </c>
      <c r="M297" t="s">
        <v>69</v>
      </c>
      <c r="N297" t="s">
        <v>33</v>
      </c>
      <c r="O297" t="b">
        <v>1</v>
      </c>
      <c r="Y297">
        <f t="shared" si="8"/>
        <v>0</v>
      </c>
      <c r="AA297" s="3" t="str">
        <f t="shared" si="9"/>
        <v/>
      </c>
      <c r="AB297" s="3">
        <v>28</v>
      </c>
      <c r="AC297" t="str">
        <f>IFERROR(VLOOKUP(B297,vlookup!$A$16:$A$150,1,FALSE),"")</f>
        <v/>
      </c>
      <c r="AD297" t="str">
        <f>IFERROR(VLOOKUP(B297,vlookup!$A$16:$G$150,11,FALSE),"")</f>
        <v/>
      </c>
      <c r="AE297" t="s">
        <v>1534</v>
      </c>
    </row>
    <row r="298" spans="1:31" hidden="1" x14ac:dyDescent="0.3">
      <c r="A298" t="s">
        <v>1535</v>
      </c>
      <c r="B298" s="1">
        <v>7297913630</v>
      </c>
      <c r="C298" s="1"/>
      <c r="D298" t="s">
        <v>357</v>
      </c>
      <c r="F298" t="b">
        <v>0</v>
      </c>
      <c r="I298">
        <v>1</v>
      </c>
      <c r="J298">
        <v>66</v>
      </c>
      <c r="K298">
        <v>47</v>
      </c>
      <c r="L298">
        <v>56</v>
      </c>
      <c r="M298" t="s">
        <v>69</v>
      </c>
      <c r="N298" t="s">
        <v>33</v>
      </c>
      <c r="O298" t="b">
        <v>1</v>
      </c>
      <c r="Y298">
        <f t="shared" si="8"/>
        <v>0</v>
      </c>
      <c r="AA298" s="3" t="str">
        <f t="shared" si="9"/>
        <v/>
      </c>
      <c r="AB298" s="3">
        <v>28</v>
      </c>
      <c r="AC298" t="str">
        <f>IFERROR(VLOOKUP(B298,vlookup!$A$16:$A$150,1,FALSE),"")</f>
        <v/>
      </c>
      <c r="AD298" t="str">
        <f>IFERROR(VLOOKUP(B298,vlookup!$A$16:$G$150,11,FALSE),"")</f>
        <v/>
      </c>
      <c r="AE298" t="s">
        <v>1536</v>
      </c>
    </row>
    <row r="299" spans="1:31" x14ac:dyDescent="0.3">
      <c r="A299" t="s">
        <v>1574</v>
      </c>
      <c r="B299" s="1" t="s">
        <v>921</v>
      </c>
      <c r="C299" s="1"/>
      <c r="D299" t="s">
        <v>357</v>
      </c>
      <c r="F299" t="b">
        <v>0</v>
      </c>
      <c r="I299">
        <v>1</v>
      </c>
      <c r="J299">
        <v>0</v>
      </c>
      <c r="K299">
        <v>0</v>
      </c>
      <c r="L299">
        <v>0</v>
      </c>
      <c r="M299" t="s">
        <v>69</v>
      </c>
      <c r="N299" t="s">
        <v>33</v>
      </c>
      <c r="O299" t="b">
        <v>1</v>
      </c>
      <c r="Y299">
        <f t="shared" si="8"/>
        <v>0</v>
      </c>
      <c r="AA299" s="3" t="str">
        <f t="shared" si="9"/>
        <v/>
      </c>
      <c r="AB299" s="3">
        <v>28</v>
      </c>
      <c r="AC299" t="str">
        <f>IFERROR(VLOOKUP(B299,vlookup!$A$16:$A$150,1,FALSE),"")</f>
        <v>7118605030+7152511030</v>
      </c>
      <c r="AD299" t="str">
        <f>IFERROR(VLOOKUP(B299,vlookup!$A$16:$G$150,11,FALSE),"")</f>
        <v/>
      </c>
    </row>
    <row r="300" spans="1:31" hidden="1" x14ac:dyDescent="0.3">
      <c r="A300" t="s">
        <v>1575</v>
      </c>
      <c r="B300" s="1">
        <v>7198808890</v>
      </c>
      <c r="C300" s="1"/>
      <c r="D300" t="s">
        <v>357</v>
      </c>
      <c r="F300" t="b">
        <v>0</v>
      </c>
      <c r="I300">
        <v>1</v>
      </c>
      <c r="J300">
        <v>0</v>
      </c>
      <c r="K300">
        <v>0</v>
      </c>
      <c r="L300">
        <v>0</v>
      </c>
      <c r="M300" t="s">
        <v>70</v>
      </c>
      <c r="N300" t="s">
        <v>33</v>
      </c>
      <c r="O300" t="b">
        <v>1</v>
      </c>
      <c r="Y300">
        <f t="shared" si="8"/>
        <v>0</v>
      </c>
      <c r="AA300" s="3" t="str">
        <f t="shared" si="9"/>
        <v/>
      </c>
      <c r="AB300" s="3">
        <v>28</v>
      </c>
      <c r="AC300">
        <f>IFERROR(VLOOKUP(B300,vlookup!$A$16:$A$150,1,FALSE),"")</f>
        <v>7198808890</v>
      </c>
      <c r="AD300" t="str">
        <f>IFERROR(VLOOKUP(B300,vlookup!$A$16:$G$150,11,FALSE),"")</f>
        <v/>
      </c>
    </row>
    <row r="301" spans="1:31" hidden="1" x14ac:dyDescent="0.3">
      <c r="A301" t="s">
        <v>1576</v>
      </c>
      <c r="B301" s="1">
        <v>71989158</v>
      </c>
      <c r="C301" s="1"/>
      <c r="D301" t="s">
        <v>357</v>
      </c>
      <c r="F301" t="b">
        <v>0</v>
      </c>
      <c r="I301">
        <v>1</v>
      </c>
      <c r="J301">
        <v>0</v>
      </c>
      <c r="K301">
        <v>0</v>
      </c>
      <c r="L301">
        <v>0</v>
      </c>
      <c r="M301" t="s">
        <v>68</v>
      </c>
      <c r="N301" t="s">
        <v>33</v>
      </c>
      <c r="O301" t="b">
        <v>1</v>
      </c>
      <c r="Y301">
        <f t="shared" si="8"/>
        <v>0</v>
      </c>
      <c r="AA301" s="3" t="str">
        <f t="shared" si="9"/>
        <v/>
      </c>
      <c r="AB301" s="3">
        <v>28</v>
      </c>
      <c r="AC301">
        <f>IFERROR(VLOOKUP(B301,vlookup!$A$16:$A$150,1,FALSE),"")</f>
        <v>71989158</v>
      </c>
      <c r="AD301" t="str">
        <f>IFERROR(VLOOKUP(B301,vlookup!$A$16:$G$150,11,FALSE),"")</f>
        <v/>
      </c>
    </row>
    <row r="302" spans="1:31" x14ac:dyDescent="0.3">
      <c r="AC302" t="str">
        <f>IFERROR(VLOOKUP(B302,vlookup!$A$16:$A$150,1,FALSE),"")</f>
        <v/>
      </c>
      <c r="AD302" t="str">
        <f>IFERROR(VLOOKUP(B302,vlookup!$A$16:$G$150,11,FALSE),"")</f>
        <v/>
      </c>
    </row>
    <row r="303" spans="1:31" x14ac:dyDescent="0.3">
      <c r="AC303" t="str">
        <f>IFERROR(VLOOKUP(B303,vlookup!$A$16:$A$150,1,FALSE),"")</f>
        <v/>
      </c>
      <c r="AD303" t="str">
        <f>IFERROR(VLOOKUP(B303,vlookup!$A$16:$G$150,11,FALSE),"")</f>
        <v/>
      </c>
    </row>
    <row r="304" spans="1:31" x14ac:dyDescent="0.3">
      <c r="AC304" t="str">
        <f>IFERROR(VLOOKUP(B304,vlookup!$A$16:$A$150,1,FALSE),"")</f>
        <v/>
      </c>
      <c r="AD304" t="str">
        <f>IFERROR(VLOOKUP(B304,vlookup!$A$16:$G$150,11,FALSE),"")</f>
        <v/>
      </c>
    </row>
    <row r="305" spans="29:30" x14ac:dyDescent="0.3">
      <c r="AC305" t="str">
        <f>IFERROR(VLOOKUP(B305,vlookup!$A$16:$A$150,1,FALSE),"")</f>
        <v/>
      </c>
      <c r="AD305" t="str">
        <f>IFERROR(VLOOKUP(B305,vlookup!$A$16:$G$150,11,FALSE),"")</f>
        <v/>
      </c>
    </row>
    <row r="306" spans="29:30" x14ac:dyDescent="0.3">
      <c r="AC306" t="str">
        <f>IFERROR(VLOOKUP(B306,vlookup!$A$16:$A$150,1,FALSE),"")</f>
        <v/>
      </c>
      <c r="AD306" t="str">
        <f>IFERROR(VLOOKUP(B306,vlookup!$A$16:$G$150,11,FALSE),"")</f>
        <v/>
      </c>
    </row>
    <row r="307" spans="29:30" x14ac:dyDescent="0.3">
      <c r="AC307" t="str">
        <f>IFERROR(VLOOKUP(B307,vlookup!$A$16:$A$150,1,FALSE),"")</f>
        <v/>
      </c>
      <c r="AD307" t="str">
        <f>IFERROR(VLOOKUP(B307,vlookup!$A$16:$G$150,11,FALSE),"")</f>
        <v/>
      </c>
    </row>
    <row r="308" spans="29:30" x14ac:dyDescent="0.3">
      <c r="AC308" t="str">
        <f>IFERROR(VLOOKUP(B308,vlookup!$A$16:$A$150,1,FALSE),"")</f>
        <v/>
      </c>
      <c r="AD308" t="str">
        <f>IFERROR(VLOOKUP(B308,vlookup!$A$16:$G$150,11,FALSE),"")</f>
        <v/>
      </c>
    </row>
    <row r="309" spans="29:30" x14ac:dyDescent="0.3">
      <c r="AC309" t="str">
        <f>IFERROR(VLOOKUP(B309,vlookup!$A$16:$A$150,1,FALSE),"")</f>
        <v/>
      </c>
      <c r="AD309" t="str">
        <f>IFERROR(VLOOKUP(B309,vlookup!$A$16:$G$150,11,FALSE),"")</f>
        <v/>
      </c>
    </row>
  </sheetData>
  <autoFilter ref="AA1:AE55" xr:uid="{00000000-0001-0000-0000-000000000000}"/>
  <phoneticPr fontId="1" type="noConversion"/>
  <conditionalFormatting sqref="A1:A1048576">
    <cfRule type="duplicateValues" dxfId="37" priority="27"/>
  </conditionalFormatting>
  <conditionalFormatting sqref="A2:A301">
    <cfRule type="duplicateValues" dxfId="36" priority="43"/>
  </conditionalFormatting>
  <conditionalFormatting sqref="G238">
    <cfRule type="duplicateValues" dxfId="35" priority="13"/>
  </conditionalFormatting>
  <conditionalFormatting sqref="G239">
    <cfRule type="duplicateValues" dxfId="34" priority="12"/>
  </conditionalFormatting>
  <conditionalFormatting sqref="G261">
    <cfRule type="duplicateValues" dxfId="33" priority="6"/>
    <cfRule type="duplicateValues" dxfId="32" priority="7"/>
  </conditionalFormatting>
  <conditionalFormatting sqref="G262">
    <cfRule type="duplicateValues" dxfId="31" priority="4"/>
    <cfRule type="duplicateValues" dxfId="30" priority="5"/>
  </conditionalFormatting>
  <conditionalFormatting sqref="H238">
    <cfRule type="duplicateValues" dxfId="29" priority="11"/>
  </conditionalFormatting>
  <conditionalFormatting sqref="H239">
    <cfRule type="duplicateValues" dxfId="28" priority="10"/>
  </conditionalFormatting>
  <conditionalFormatting sqref="H261:H262">
    <cfRule type="duplicateValues" dxfId="27" priority="2"/>
    <cfRule type="duplicateValues" dxfId="26" priority="3"/>
  </conditionalFormatting>
  <pageMargins left="0.7" right="0.7" top="0.75" bottom="0.75" header="0.3" footer="0.3"/>
  <pageSetup paperSize="9" scale="15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6A210A7-6CBE-42AA-A2DB-70227FD39B07}">
          <x14:formula1>
            <xm:f>material_list!$A$2:$A$6</xm:f>
          </x14:formula1>
          <xm:sqref>N2:N301</xm:sqref>
        </x14:dataValidation>
        <x14:dataValidation type="list" allowBlank="1" showInputMessage="1" showErrorMessage="1" xr:uid="{6E271931-38A0-4724-BE89-D7EDCCC43DD2}">
          <x14:formula1>
            <xm:f>color_list!$A$2:$A$8</xm:f>
          </x14:formula1>
          <xm:sqref>M2:M301</xm:sqref>
        </x14:dataValidation>
        <x14:dataValidation type="list" allowBlank="1" showInputMessage="1" showErrorMessage="1" xr:uid="{8C436A18-1758-4819-88A6-BF90D3C38D77}">
          <x14:formula1>
            <xm:f>type_list!$A$2:$A$5</xm:f>
          </x14:formula1>
          <xm:sqref>D2:D301</xm:sqref>
        </x14:dataValidation>
        <x14:dataValidation type="list" allowBlank="1" showInputMessage="1" showErrorMessage="1" xr:uid="{F1EAA1EA-D22D-4BEA-A2B5-77DFDC2B5FA1}">
          <x14:formula1>
            <xm:f>price_offer_list!$A$2:$A$8</xm:f>
          </x14:formula1>
          <xm:sqref>Z2:Z301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9A51-7D02-4069-B9D5-5AC92DE0E874}">
  <dimension ref="A1:K288"/>
  <sheetViews>
    <sheetView tabSelected="1" topLeftCell="A15" workbookViewId="0">
      <selection activeCell="G36" sqref="G36"/>
    </sheetView>
  </sheetViews>
  <sheetFormatPr defaultRowHeight="14.4" x14ac:dyDescent="0.3"/>
  <cols>
    <col min="1" max="1" width="47.33203125" bestFit="1" customWidth="1"/>
    <col min="4" max="4" width="10" bestFit="1" customWidth="1"/>
    <col min="6" max="6" width="11.6640625" bestFit="1" customWidth="1"/>
    <col min="9" max="9" width="18.33203125" bestFit="1" customWidth="1"/>
  </cols>
  <sheetData>
    <row r="1" spans="1:10" hidden="1" x14ac:dyDescent="0.3">
      <c r="A1" s="60" t="s">
        <v>1489</v>
      </c>
      <c r="B1" s="60" t="s">
        <v>399</v>
      </c>
      <c r="C1" s="60" t="s">
        <v>24</v>
      </c>
      <c r="D1" t="s">
        <v>1494</v>
      </c>
      <c r="E1" s="60" t="s">
        <v>24</v>
      </c>
    </row>
    <row r="2" spans="1:10" hidden="1" x14ac:dyDescent="0.3">
      <c r="A2" s="60">
        <v>323</v>
      </c>
      <c r="B2" s="60" t="s">
        <v>1200</v>
      </c>
      <c r="C2" s="60">
        <v>3</v>
      </c>
      <c r="D2" t="e">
        <f>VLOOKUP(A2, $E$2:$E$15, 1, FALSE)</f>
        <v>#N/A</v>
      </c>
      <c r="E2" s="60">
        <v>3</v>
      </c>
    </row>
    <row r="3" spans="1:10" hidden="1" x14ac:dyDescent="0.3">
      <c r="A3" s="60">
        <v>33323</v>
      </c>
      <c r="B3" s="60" t="s">
        <v>1490</v>
      </c>
      <c r="C3" s="60">
        <v>4</v>
      </c>
      <c r="D3" t="e">
        <f>VLOOKUP(A3, $E$2:$E$15, 1, FALSE)</f>
        <v>#N/A</v>
      </c>
      <c r="E3" s="60"/>
    </row>
    <row r="4" spans="1:10" hidden="1" x14ac:dyDescent="0.3">
      <c r="A4" s="60">
        <v>444</v>
      </c>
      <c r="B4" s="60" t="s">
        <v>1491</v>
      </c>
      <c r="C4" s="60">
        <v>5</v>
      </c>
      <c r="D4" t="e">
        <f>VLOOKUP(A4, $E$2:$E$15, 1, FALSE)</f>
        <v>#N/A</v>
      </c>
      <c r="E4" s="60">
        <v>5</v>
      </c>
    </row>
    <row r="5" spans="1:10" hidden="1" x14ac:dyDescent="0.3">
      <c r="A5" s="69">
        <v>5</v>
      </c>
      <c r="B5" s="69" t="s">
        <v>1493</v>
      </c>
      <c r="C5" s="69">
        <v>3</v>
      </c>
      <c r="D5">
        <f>VLOOKUP(A5, $E$2:$E$15, 1, FALSE)</f>
        <v>5</v>
      </c>
      <c r="E5" s="60">
        <v>4</v>
      </c>
    </row>
    <row r="6" spans="1:10" hidden="1" x14ac:dyDescent="0.3">
      <c r="D6" t="e">
        <f>VLOOKUP(A6, $E$2:$E$15, 1, FALSE)</f>
        <v>#N/A</v>
      </c>
      <c r="E6" s="60">
        <v>3</v>
      </c>
    </row>
    <row r="7" spans="1:10" hidden="1" x14ac:dyDescent="0.3">
      <c r="A7" s="60">
        <v>324444</v>
      </c>
      <c r="B7" s="60" t="s">
        <v>1492</v>
      </c>
      <c r="C7" s="60">
        <v>66</v>
      </c>
      <c r="D7" t="e">
        <f>VLOOKUP(A7, $E$2:$E$15, 1, FALSE)</f>
        <v>#N/A</v>
      </c>
      <c r="E7" s="60"/>
    </row>
    <row r="8" spans="1:10" hidden="1" x14ac:dyDescent="0.3">
      <c r="D8" t="e">
        <f>VLOOKUP(A8, $E$2:$E$15, 1, FALSE)</f>
        <v>#N/A</v>
      </c>
      <c r="E8" s="69">
        <v>3</v>
      </c>
    </row>
    <row r="9" spans="1:10" hidden="1" x14ac:dyDescent="0.3">
      <c r="D9" t="e">
        <f>VLOOKUP(A9, $E$2:$E$15, 1, FALSE)</f>
        <v>#N/A</v>
      </c>
    </row>
    <row r="10" spans="1:10" hidden="1" x14ac:dyDescent="0.3">
      <c r="D10" t="e">
        <f>VLOOKUP(A10, $E$2:$E$15, 1, FALSE)</f>
        <v>#N/A</v>
      </c>
    </row>
    <row r="11" spans="1:10" hidden="1" x14ac:dyDescent="0.3">
      <c r="D11" t="e">
        <f>VLOOKUP(A11, $E$2:$E$15, 1, FALSE)</f>
        <v>#N/A</v>
      </c>
      <c r="E11" s="60"/>
    </row>
    <row r="12" spans="1:10" hidden="1" x14ac:dyDescent="0.3">
      <c r="D12" t="e">
        <f>VLOOKUP(A12, $E$2:$E$15, 1, FALSE)</f>
        <v>#N/A</v>
      </c>
    </row>
    <row r="13" spans="1:10" hidden="1" x14ac:dyDescent="0.3">
      <c r="D13" t="e">
        <f>VLOOKUP(A13, $E$2:$E$15, 1, FALSE)</f>
        <v>#N/A</v>
      </c>
    </row>
    <row r="14" spans="1:10" hidden="1" x14ac:dyDescent="0.3">
      <c r="D14" t="e">
        <f>VLOOKUP(A14, $E$2:$E$15, 1, FALSE)</f>
        <v>#N/A</v>
      </c>
    </row>
    <row r="15" spans="1:10" x14ac:dyDescent="0.3">
      <c r="A15" t="s">
        <v>399</v>
      </c>
      <c r="D15" t="s">
        <v>336</v>
      </c>
      <c r="E15" t="s">
        <v>337</v>
      </c>
      <c r="F15" t="s">
        <v>1663</v>
      </c>
      <c r="G15" t="s">
        <v>24</v>
      </c>
      <c r="I15" t="s">
        <v>1622</v>
      </c>
      <c r="J15" t="s">
        <v>1641</v>
      </c>
    </row>
    <row r="16" spans="1:10" x14ac:dyDescent="0.3">
      <c r="A16">
        <v>7003756102</v>
      </c>
      <c r="B16" t="s">
        <v>1565</v>
      </c>
      <c r="C16" t="s">
        <v>1265</v>
      </c>
      <c r="D16" t="s">
        <v>11</v>
      </c>
      <c r="G16">
        <v>1</v>
      </c>
      <c r="H16">
        <f t="shared" ref="H16:H17" si="0">G16*28</f>
        <v>28</v>
      </c>
      <c r="I16" s="90">
        <v>19</v>
      </c>
    </row>
    <row r="17" spans="1:11" x14ac:dyDescent="0.3">
      <c r="A17">
        <v>7035964930</v>
      </c>
      <c r="B17" t="s">
        <v>1565</v>
      </c>
      <c r="C17" t="s">
        <v>1265</v>
      </c>
      <c r="D17" t="s">
        <v>11</v>
      </c>
      <c r="G17">
        <v>1</v>
      </c>
      <c r="H17">
        <f t="shared" si="0"/>
        <v>28</v>
      </c>
    </row>
    <row r="18" spans="1:11" x14ac:dyDescent="0.3">
      <c r="A18">
        <v>7035990430</v>
      </c>
      <c r="B18" t="s">
        <v>1565</v>
      </c>
      <c r="C18" t="s">
        <v>1568</v>
      </c>
      <c r="D18" t="s">
        <v>11</v>
      </c>
      <c r="G18">
        <v>2</v>
      </c>
      <c r="H18">
        <f>G18*28</f>
        <v>56</v>
      </c>
      <c r="I18">
        <v>19</v>
      </c>
    </row>
    <row r="19" spans="1:11" x14ac:dyDescent="0.3">
      <c r="A19">
        <v>7035990930</v>
      </c>
      <c r="B19" t="s">
        <v>1565</v>
      </c>
      <c r="C19" t="s">
        <v>1568</v>
      </c>
      <c r="D19" t="s">
        <v>11</v>
      </c>
      <c r="G19">
        <v>1</v>
      </c>
      <c r="H19">
        <f t="shared" ref="H19:H79" si="1">G19*28</f>
        <v>28</v>
      </c>
      <c r="I19">
        <v>19</v>
      </c>
    </row>
    <row r="20" spans="1:11" x14ac:dyDescent="0.3">
      <c r="A20" t="s">
        <v>1539</v>
      </c>
      <c r="B20" t="s">
        <v>1565</v>
      </c>
      <c r="C20" t="s">
        <v>1570</v>
      </c>
      <c r="D20" t="s">
        <v>1567</v>
      </c>
      <c r="G20">
        <v>2</v>
      </c>
      <c r="H20">
        <f t="shared" si="1"/>
        <v>56</v>
      </c>
      <c r="I20" s="90">
        <v>20</v>
      </c>
    </row>
    <row r="21" spans="1:11" x14ac:dyDescent="0.3">
      <c r="A21" t="s">
        <v>1093</v>
      </c>
      <c r="B21" t="s">
        <v>1565</v>
      </c>
      <c r="C21" t="s">
        <v>1570</v>
      </c>
      <c r="D21" t="s">
        <v>1567</v>
      </c>
      <c r="G21">
        <v>1</v>
      </c>
      <c r="H21">
        <f t="shared" si="1"/>
        <v>28</v>
      </c>
      <c r="I21" s="90">
        <v>20</v>
      </c>
    </row>
    <row r="22" spans="1:11" x14ac:dyDescent="0.3">
      <c r="A22">
        <v>7047186030</v>
      </c>
      <c r="B22" t="s">
        <v>1565</v>
      </c>
      <c r="C22" t="s">
        <v>1567</v>
      </c>
      <c r="D22" t="s">
        <v>1567</v>
      </c>
      <c r="G22">
        <v>30</v>
      </c>
      <c r="H22">
        <f t="shared" si="1"/>
        <v>840</v>
      </c>
      <c r="I22" s="90">
        <v>19</v>
      </c>
      <c r="J22">
        <v>119</v>
      </c>
      <c r="K22" t="s">
        <v>1688</v>
      </c>
    </row>
    <row r="23" spans="1:11" x14ac:dyDescent="0.3">
      <c r="A23" t="s">
        <v>1098</v>
      </c>
      <c r="B23" t="s">
        <v>1565</v>
      </c>
      <c r="C23" t="s">
        <v>1570</v>
      </c>
      <c r="D23" t="s">
        <v>1567</v>
      </c>
      <c r="G23">
        <v>1</v>
      </c>
      <c r="H23">
        <f t="shared" si="1"/>
        <v>28</v>
      </c>
      <c r="I23" s="90">
        <v>20</v>
      </c>
    </row>
    <row r="24" spans="1:11" x14ac:dyDescent="0.3">
      <c r="A24" t="s">
        <v>1540</v>
      </c>
      <c r="B24" t="s">
        <v>1565</v>
      </c>
      <c r="C24" t="s">
        <v>1570</v>
      </c>
      <c r="D24" t="s">
        <v>1567</v>
      </c>
      <c r="G24">
        <v>3</v>
      </c>
      <c r="H24">
        <f t="shared" si="1"/>
        <v>84</v>
      </c>
      <c r="I24" s="90">
        <v>20</v>
      </c>
    </row>
    <row r="25" spans="1:11" x14ac:dyDescent="0.3">
      <c r="A25" t="s">
        <v>1541</v>
      </c>
      <c r="B25" t="s">
        <v>1565</v>
      </c>
      <c r="C25" t="s">
        <v>1570</v>
      </c>
      <c r="D25" t="s">
        <v>1567</v>
      </c>
      <c r="G25">
        <v>1</v>
      </c>
      <c r="H25">
        <f t="shared" si="1"/>
        <v>28</v>
      </c>
      <c r="I25" s="90">
        <v>20</v>
      </c>
    </row>
    <row r="26" spans="1:11" x14ac:dyDescent="0.3">
      <c r="A26" t="s">
        <v>1542</v>
      </c>
      <c r="B26" t="s">
        <v>1565</v>
      </c>
      <c r="C26" t="s">
        <v>1570</v>
      </c>
      <c r="D26" t="s">
        <v>1567</v>
      </c>
      <c r="G26">
        <v>1</v>
      </c>
      <c r="H26">
        <f t="shared" si="1"/>
        <v>28</v>
      </c>
      <c r="I26" s="90">
        <v>20</v>
      </c>
    </row>
    <row r="27" spans="1:11" x14ac:dyDescent="0.3">
      <c r="A27">
        <v>7075181330</v>
      </c>
      <c r="B27" t="s">
        <v>1565</v>
      </c>
      <c r="C27" t="s">
        <v>1265</v>
      </c>
      <c r="D27" t="s">
        <v>11</v>
      </c>
      <c r="G27">
        <v>1</v>
      </c>
      <c r="H27">
        <f t="shared" si="1"/>
        <v>28</v>
      </c>
    </row>
    <row r="28" spans="1:11" x14ac:dyDescent="0.3">
      <c r="A28">
        <v>7075231930</v>
      </c>
      <c r="B28" t="s">
        <v>1565</v>
      </c>
      <c r="C28" t="s">
        <v>1568</v>
      </c>
      <c r="D28" t="s">
        <v>11</v>
      </c>
      <c r="G28">
        <v>1</v>
      </c>
      <c r="H28">
        <f t="shared" si="1"/>
        <v>28</v>
      </c>
      <c r="I28" s="90">
        <v>19</v>
      </c>
      <c r="J28">
        <v>2</v>
      </c>
    </row>
    <row r="29" spans="1:11" x14ac:dyDescent="0.3">
      <c r="A29">
        <v>7075244730</v>
      </c>
      <c r="B29" t="s">
        <v>1565</v>
      </c>
      <c r="C29" t="s">
        <v>1265</v>
      </c>
      <c r="D29" t="s">
        <v>11</v>
      </c>
      <c r="G29">
        <v>1</v>
      </c>
      <c r="H29">
        <f t="shared" si="1"/>
        <v>28</v>
      </c>
    </row>
    <row r="30" spans="1:11" x14ac:dyDescent="0.3">
      <c r="A30" t="s">
        <v>921</v>
      </c>
      <c r="B30" t="s">
        <v>1565</v>
      </c>
      <c r="C30" t="s">
        <v>1265</v>
      </c>
      <c r="D30" t="s">
        <v>11</v>
      </c>
      <c r="G30">
        <v>2</v>
      </c>
      <c r="H30">
        <f t="shared" si="1"/>
        <v>56</v>
      </c>
    </row>
    <row r="31" spans="1:11" x14ac:dyDescent="0.3">
      <c r="A31">
        <v>71186354</v>
      </c>
      <c r="B31" t="s">
        <v>1565</v>
      </c>
      <c r="C31" t="s">
        <v>1265</v>
      </c>
      <c r="D31" t="s">
        <v>11</v>
      </c>
      <c r="E31">
        <v>1</v>
      </c>
      <c r="F31" t="s">
        <v>1662</v>
      </c>
      <c r="G31">
        <v>2</v>
      </c>
      <c r="H31">
        <f t="shared" si="1"/>
        <v>56</v>
      </c>
      <c r="I31" s="90">
        <v>19</v>
      </c>
      <c r="J31">
        <v>3</v>
      </c>
    </row>
    <row r="32" spans="1:11" x14ac:dyDescent="0.3">
      <c r="A32" t="s">
        <v>233</v>
      </c>
      <c r="B32" t="s">
        <v>1565</v>
      </c>
      <c r="C32" t="s">
        <v>1265</v>
      </c>
      <c r="D32" t="s">
        <v>11</v>
      </c>
      <c r="G32">
        <v>1</v>
      </c>
      <c r="H32">
        <f t="shared" si="1"/>
        <v>28</v>
      </c>
    </row>
    <row r="33" spans="1:11" x14ac:dyDescent="0.3">
      <c r="A33" t="s">
        <v>623</v>
      </c>
      <c r="B33" t="s">
        <v>1565</v>
      </c>
      <c r="C33" t="s">
        <v>1265</v>
      </c>
      <c r="D33" t="s">
        <v>11</v>
      </c>
      <c r="E33">
        <v>1</v>
      </c>
      <c r="G33">
        <v>2</v>
      </c>
      <c r="H33">
        <f t="shared" si="1"/>
        <v>56</v>
      </c>
      <c r="K33" t="s">
        <v>1665</v>
      </c>
    </row>
    <row r="34" spans="1:11" x14ac:dyDescent="0.3">
      <c r="A34">
        <v>7118670020</v>
      </c>
      <c r="B34" t="s">
        <v>1565</v>
      </c>
      <c r="C34" t="s">
        <v>1265</v>
      </c>
      <c r="D34" t="s">
        <v>11</v>
      </c>
      <c r="E34">
        <v>1</v>
      </c>
      <c r="F34" t="s">
        <v>1664</v>
      </c>
      <c r="G34">
        <v>2</v>
      </c>
      <c r="H34">
        <f t="shared" si="1"/>
        <v>56</v>
      </c>
      <c r="I34" s="90">
        <v>19</v>
      </c>
    </row>
    <row r="35" spans="1:11" x14ac:dyDescent="0.3">
      <c r="A35" t="s">
        <v>1543</v>
      </c>
      <c r="B35" t="s">
        <v>1565</v>
      </c>
      <c r="C35" t="s">
        <v>1265</v>
      </c>
      <c r="D35" t="s">
        <v>11</v>
      </c>
      <c r="G35">
        <v>1</v>
      </c>
      <c r="H35">
        <f t="shared" si="1"/>
        <v>28</v>
      </c>
    </row>
    <row r="36" spans="1:11" x14ac:dyDescent="0.3">
      <c r="A36" t="s">
        <v>235</v>
      </c>
      <c r="B36" t="s">
        <v>1565</v>
      </c>
      <c r="C36" t="s">
        <v>1265</v>
      </c>
      <c r="D36" t="s">
        <v>11</v>
      </c>
      <c r="G36">
        <v>1</v>
      </c>
      <c r="H36">
        <f t="shared" si="1"/>
        <v>28</v>
      </c>
    </row>
    <row r="37" spans="1:11" x14ac:dyDescent="0.3">
      <c r="A37">
        <v>7119131530</v>
      </c>
      <c r="B37" t="s">
        <v>1565</v>
      </c>
      <c r="C37" t="s">
        <v>1265</v>
      </c>
      <c r="D37" t="s">
        <v>11</v>
      </c>
      <c r="E37">
        <v>1</v>
      </c>
      <c r="G37">
        <v>3</v>
      </c>
      <c r="H37">
        <f t="shared" si="1"/>
        <v>84</v>
      </c>
      <c r="I37" s="90">
        <v>19</v>
      </c>
    </row>
    <row r="38" spans="1:11" x14ac:dyDescent="0.3">
      <c r="A38" t="s">
        <v>629</v>
      </c>
      <c r="B38" t="s">
        <v>1565</v>
      </c>
      <c r="C38" t="s">
        <v>1265</v>
      </c>
      <c r="D38" t="s">
        <v>11</v>
      </c>
      <c r="G38">
        <v>2</v>
      </c>
      <c r="H38">
        <f t="shared" si="1"/>
        <v>56</v>
      </c>
    </row>
    <row r="39" spans="1:11" x14ac:dyDescent="0.3">
      <c r="A39">
        <v>7119146730</v>
      </c>
      <c r="B39" t="s">
        <v>1565</v>
      </c>
      <c r="C39" t="s">
        <v>1265</v>
      </c>
      <c r="D39" t="s">
        <v>11</v>
      </c>
      <c r="E39">
        <v>1</v>
      </c>
      <c r="G39">
        <v>1</v>
      </c>
      <c r="H39">
        <f t="shared" si="1"/>
        <v>28</v>
      </c>
    </row>
    <row r="40" spans="1:11" x14ac:dyDescent="0.3">
      <c r="A40">
        <v>7119163630</v>
      </c>
      <c r="B40" t="s">
        <v>1565</v>
      </c>
      <c r="C40" t="s">
        <v>1265</v>
      </c>
      <c r="D40" t="s">
        <v>11</v>
      </c>
      <c r="E40">
        <v>1</v>
      </c>
      <c r="G40">
        <v>4</v>
      </c>
      <c r="H40">
        <f t="shared" si="1"/>
        <v>112</v>
      </c>
    </row>
    <row r="41" spans="1:11" x14ac:dyDescent="0.3">
      <c r="A41">
        <v>7119172930</v>
      </c>
      <c r="B41" t="s">
        <v>1565</v>
      </c>
      <c r="C41" t="s">
        <v>1265</v>
      </c>
      <c r="D41" t="s">
        <v>11</v>
      </c>
      <c r="E41">
        <v>1</v>
      </c>
      <c r="G41">
        <v>1</v>
      </c>
      <c r="H41">
        <f t="shared" si="1"/>
        <v>28</v>
      </c>
    </row>
    <row r="42" spans="1:11" x14ac:dyDescent="0.3">
      <c r="A42">
        <v>71191993</v>
      </c>
      <c r="B42" t="s">
        <v>1565</v>
      </c>
      <c r="C42" t="s">
        <v>1265</v>
      </c>
      <c r="D42" t="s">
        <v>11</v>
      </c>
      <c r="E42">
        <v>1</v>
      </c>
      <c r="G42">
        <v>1</v>
      </c>
      <c r="H42">
        <f t="shared" si="1"/>
        <v>28</v>
      </c>
      <c r="I42" s="90">
        <v>19</v>
      </c>
    </row>
    <row r="43" spans="1:11" x14ac:dyDescent="0.3">
      <c r="A43">
        <v>7119639830</v>
      </c>
      <c r="B43" t="s">
        <v>1565</v>
      </c>
      <c r="C43" t="s">
        <v>1265</v>
      </c>
      <c r="D43" t="s">
        <v>11</v>
      </c>
      <c r="E43">
        <v>1</v>
      </c>
      <c r="G43">
        <v>1</v>
      </c>
      <c r="H43">
        <f t="shared" si="1"/>
        <v>28</v>
      </c>
    </row>
    <row r="44" spans="1:11" x14ac:dyDescent="0.3">
      <c r="A44">
        <v>71196401</v>
      </c>
      <c r="B44" t="s">
        <v>1565</v>
      </c>
      <c r="C44" t="s">
        <v>1265</v>
      </c>
      <c r="D44" t="s">
        <v>11</v>
      </c>
      <c r="E44">
        <v>1</v>
      </c>
      <c r="G44">
        <v>1</v>
      </c>
      <c r="H44">
        <f t="shared" si="1"/>
        <v>28</v>
      </c>
      <c r="I44" s="90">
        <v>19</v>
      </c>
    </row>
    <row r="45" spans="1:11" x14ac:dyDescent="0.3">
      <c r="A45">
        <v>7119641970</v>
      </c>
      <c r="B45" t="s">
        <v>1565</v>
      </c>
      <c r="C45" t="s">
        <v>1265</v>
      </c>
      <c r="D45" t="s">
        <v>11</v>
      </c>
      <c r="E45">
        <v>1</v>
      </c>
      <c r="G45">
        <v>1</v>
      </c>
      <c r="H45">
        <f t="shared" si="1"/>
        <v>28</v>
      </c>
    </row>
    <row r="46" spans="1:11" x14ac:dyDescent="0.3">
      <c r="A46" t="s">
        <v>239</v>
      </c>
      <c r="B46" t="s">
        <v>1565</v>
      </c>
      <c r="C46" t="s">
        <v>1265</v>
      </c>
      <c r="D46" t="s">
        <v>11</v>
      </c>
      <c r="G46">
        <v>1</v>
      </c>
      <c r="H46">
        <f t="shared" si="1"/>
        <v>28</v>
      </c>
    </row>
    <row r="47" spans="1:11" x14ac:dyDescent="0.3">
      <c r="A47">
        <v>71196506</v>
      </c>
      <c r="B47" t="s">
        <v>1565</v>
      </c>
      <c r="C47" t="s">
        <v>1265</v>
      </c>
      <c r="D47" t="s">
        <v>11</v>
      </c>
      <c r="E47">
        <v>1</v>
      </c>
      <c r="G47">
        <v>1</v>
      </c>
      <c r="H47">
        <f t="shared" si="1"/>
        <v>28</v>
      </c>
    </row>
    <row r="48" spans="1:11" x14ac:dyDescent="0.3">
      <c r="A48">
        <v>7119668820</v>
      </c>
      <c r="B48" t="s">
        <v>1565</v>
      </c>
      <c r="C48" t="s">
        <v>1265</v>
      </c>
      <c r="D48" t="s">
        <v>11</v>
      </c>
      <c r="E48">
        <v>1</v>
      </c>
      <c r="G48">
        <v>1</v>
      </c>
      <c r="H48">
        <f t="shared" si="1"/>
        <v>28</v>
      </c>
    </row>
    <row r="49" spans="1:11" x14ac:dyDescent="0.3">
      <c r="A49" t="s">
        <v>238</v>
      </c>
      <c r="B49" t="s">
        <v>1565</v>
      </c>
      <c r="C49" t="s">
        <v>1265</v>
      </c>
      <c r="D49" t="s">
        <v>11</v>
      </c>
      <c r="G49">
        <v>3</v>
      </c>
      <c r="H49">
        <f t="shared" si="1"/>
        <v>84</v>
      </c>
    </row>
    <row r="50" spans="1:11" x14ac:dyDescent="0.3">
      <c r="A50">
        <v>71196714</v>
      </c>
      <c r="B50" t="s">
        <v>1565</v>
      </c>
      <c r="C50" t="s">
        <v>1265</v>
      </c>
      <c r="D50" t="s">
        <v>11</v>
      </c>
      <c r="E50">
        <v>1</v>
      </c>
      <c r="G50">
        <v>1</v>
      </c>
      <c r="H50">
        <f t="shared" si="1"/>
        <v>28</v>
      </c>
    </row>
    <row r="51" spans="1:11" x14ac:dyDescent="0.3">
      <c r="A51" t="s">
        <v>1289</v>
      </c>
      <c r="B51" t="s">
        <v>1565</v>
      </c>
      <c r="C51" t="s">
        <v>1570</v>
      </c>
      <c r="D51" t="s">
        <v>1567</v>
      </c>
      <c r="G51">
        <v>1</v>
      </c>
      <c r="H51">
        <f t="shared" si="1"/>
        <v>28</v>
      </c>
      <c r="I51" s="90">
        <v>20</v>
      </c>
    </row>
    <row r="52" spans="1:11" x14ac:dyDescent="0.3">
      <c r="A52">
        <v>7147882430</v>
      </c>
      <c r="B52" t="s">
        <v>1565</v>
      </c>
      <c r="C52" t="s">
        <v>1567</v>
      </c>
      <c r="D52" t="s">
        <v>1567</v>
      </c>
      <c r="G52">
        <v>6</v>
      </c>
      <c r="H52">
        <f t="shared" si="1"/>
        <v>168</v>
      </c>
      <c r="I52" s="90">
        <v>19</v>
      </c>
      <c r="J52">
        <v>19</v>
      </c>
      <c r="K52" t="s">
        <v>1688</v>
      </c>
    </row>
    <row r="53" spans="1:11" x14ac:dyDescent="0.3">
      <c r="A53" t="s">
        <v>1544</v>
      </c>
      <c r="B53" t="s">
        <v>1565</v>
      </c>
      <c r="C53" t="s">
        <v>1569</v>
      </c>
      <c r="D53" t="s">
        <v>11</v>
      </c>
      <c r="G53">
        <v>1</v>
      </c>
      <c r="H53">
        <f t="shared" si="1"/>
        <v>28</v>
      </c>
    </row>
    <row r="54" spans="1:11" x14ac:dyDescent="0.3">
      <c r="A54" t="s">
        <v>1545</v>
      </c>
      <c r="B54" t="s">
        <v>1565</v>
      </c>
      <c r="C54" t="s">
        <v>1569</v>
      </c>
      <c r="D54" t="s">
        <v>11</v>
      </c>
      <c r="G54">
        <v>1</v>
      </c>
      <c r="H54">
        <f t="shared" si="1"/>
        <v>28</v>
      </c>
    </row>
    <row r="55" spans="1:11" x14ac:dyDescent="0.3">
      <c r="A55">
        <v>71781227</v>
      </c>
      <c r="B55" t="s">
        <v>1565</v>
      </c>
      <c r="C55" t="s">
        <v>1265</v>
      </c>
      <c r="D55" t="s">
        <v>11</v>
      </c>
      <c r="E55">
        <v>1</v>
      </c>
      <c r="G55">
        <v>1</v>
      </c>
      <c r="H55">
        <f t="shared" si="1"/>
        <v>28</v>
      </c>
    </row>
    <row r="56" spans="1:11" x14ac:dyDescent="0.3">
      <c r="A56">
        <v>71782472</v>
      </c>
      <c r="B56" t="s">
        <v>1565</v>
      </c>
      <c r="C56" t="s">
        <v>1265</v>
      </c>
      <c r="D56" t="s">
        <v>11</v>
      </c>
      <c r="E56">
        <v>1</v>
      </c>
      <c r="G56">
        <v>1</v>
      </c>
      <c r="H56">
        <f t="shared" si="1"/>
        <v>28</v>
      </c>
    </row>
    <row r="57" spans="1:11" x14ac:dyDescent="0.3">
      <c r="A57">
        <v>7178270480</v>
      </c>
      <c r="B57" t="s">
        <v>1565</v>
      </c>
      <c r="C57" t="s">
        <v>1265</v>
      </c>
      <c r="D57" t="s">
        <v>11</v>
      </c>
      <c r="G57">
        <v>1</v>
      </c>
      <c r="H57">
        <f t="shared" si="1"/>
        <v>28</v>
      </c>
    </row>
    <row r="58" spans="1:11" x14ac:dyDescent="0.3">
      <c r="A58" t="s">
        <v>240</v>
      </c>
      <c r="B58" t="s">
        <v>1565</v>
      </c>
      <c r="C58" t="s">
        <v>1265</v>
      </c>
      <c r="D58" t="s">
        <v>11</v>
      </c>
      <c r="G58">
        <v>2</v>
      </c>
      <c r="H58">
        <f t="shared" si="1"/>
        <v>56</v>
      </c>
    </row>
    <row r="59" spans="1:11" x14ac:dyDescent="0.3">
      <c r="A59">
        <v>7183753630</v>
      </c>
      <c r="B59" t="s">
        <v>1565</v>
      </c>
      <c r="C59" t="s">
        <v>1265</v>
      </c>
      <c r="D59" t="s">
        <v>11</v>
      </c>
      <c r="E59">
        <v>1</v>
      </c>
      <c r="G59">
        <v>1</v>
      </c>
      <c r="H59">
        <f t="shared" si="1"/>
        <v>28</v>
      </c>
    </row>
    <row r="60" spans="1:11" x14ac:dyDescent="0.3">
      <c r="A60" t="s">
        <v>655</v>
      </c>
      <c r="B60" t="s">
        <v>1565</v>
      </c>
      <c r="C60" t="s">
        <v>1265</v>
      </c>
      <c r="D60" t="s">
        <v>11</v>
      </c>
      <c r="G60">
        <v>1</v>
      </c>
      <c r="H60">
        <f t="shared" si="1"/>
        <v>28</v>
      </c>
    </row>
    <row r="61" spans="1:11" x14ac:dyDescent="0.3">
      <c r="A61" t="s">
        <v>1546</v>
      </c>
      <c r="B61" t="s">
        <v>1565</v>
      </c>
      <c r="C61" t="s">
        <v>1569</v>
      </c>
      <c r="D61" t="s">
        <v>11</v>
      </c>
      <c r="G61">
        <v>1</v>
      </c>
      <c r="H61">
        <f t="shared" si="1"/>
        <v>28</v>
      </c>
    </row>
    <row r="62" spans="1:11" x14ac:dyDescent="0.3">
      <c r="A62" t="s">
        <v>277</v>
      </c>
      <c r="B62" t="s">
        <v>1565</v>
      </c>
      <c r="C62" t="s">
        <v>1265</v>
      </c>
      <c r="D62" t="s">
        <v>11</v>
      </c>
      <c r="G62">
        <v>1</v>
      </c>
      <c r="H62">
        <f t="shared" si="1"/>
        <v>28</v>
      </c>
    </row>
    <row r="63" spans="1:11" x14ac:dyDescent="0.3">
      <c r="A63" t="s">
        <v>242</v>
      </c>
      <c r="B63" t="s">
        <v>1565</v>
      </c>
      <c r="C63" t="s">
        <v>1265</v>
      </c>
      <c r="D63" t="s">
        <v>11</v>
      </c>
      <c r="E63">
        <v>1</v>
      </c>
      <c r="G63">
        <v>1</v>
      </c>
      <c r="H63">
        <f t="shared" si="1"/>
        <v>28</v>
      </c>
      <c r="I63" s="90">
        <v>19</v>
      </c>
      <c r="J63">
        <v>1</v>
      </c>
    </row>
    <row r="64" spans="1:11" x14ac:dyDescent="0.3">
      <c r="A64" t="s">
        <v>1547</v>
      </c>
      <c r="B64" t="s">
        <v>1565</v>
      </c>
      <c r="C64" t="s">
        <v>1265</v>
      </c>
      <c r="D64" t="s">
        <v>11</v>
      </c>
      <c r="G64">
        <v>1</v>
      </c>
      <c r="H64">
        <f t="shared" si="1"/>
        <v>28</v>
      </c>
    </row>
    <row r="65" spans="1:9" x14ac:dyDescent="0.3">
      <c r="A65">
        <v>7189663170</v>
      </c>
      <c r="B65" t="s">
        <v>1565</v>
      </c>
      <c r="C65" t="s">
        <v>1265</v>
      </c>
      <c r="D65" t="s">
        <v>11</v>
      </c>
      <c r="G65">
        <v>2</v>
      </c>
      <c r="H65">
        <f t="shared" si="1"/>
        <v>56</v>
      </c>
    </row>
    <row r="66" spans="1:9" x14ac:dyDescent="0.3">
      <c r="A66" t="s">
        <v>1064</v>
      </c>
      <c r="B66" t="s">
        <v>1565</v>
      </c>
      <c r="C66" t="s">
        <v>1265</v>
      </c>
      <c r="D66" t="s">
        <v>11</v>
      </c>
      <c r="G66">
        <v>1</v>
      </c>
      <c r="H66">
        <f t="shared" si="1"/>
        <v>28</v>
      </c>
    </row>
    <row r="67" spans="1:9" x14ac:dyDescent="0.3">
      <c r="A67" t="s">
        <v>245</v>
      </c>
      <c r="B67" t="s">
        <v>1565</v>
      </c>
      <c r="C67" t="s">
        <v>1265</v>
      </c>
      <c r="D67" t="s">
        <v>11</v>
      </c>
      <c r="G67">
        <v>1</v>
      </c>
      <c r="H67">
        <f t="shared" si="1"/>
        <v>28</v>
      </c>
    </row>
    <row r="68" spans="1:9" x14ac:dyDescent="0.3">
      <c r="A68">
        <v>71897277</v>
      </c>
      <c r="B68" t="s">
        <v>1565</v>
      </c>
      <c r="C68" t="s">
        <v>1265</v>
      </c>
      <c r="D68" t="s">
        <v>11</v>
      </c>
      <c r="E68">
        <v>1</v>
      </c>
      <c r="G68">
        <v>1</v>
      </c>
      <c r="H68">
        <f t="shared" si="1"/>
        <v>28</v>
      </c>
      <c r="I68" s="90">
        <v>19</v>
      </c>
    </row>
    <row r="69" spans="1:9" x14ac:dyDescent="0.3">
      <c r="A69" t="s">
        <v>246</v>
      </c>
      <c r="B69" t="s">
        <v>1565</v>
      </c>
      <c r="C69" t="s">
        <v>1265</v>
      </c>
      <c r="D69" t="s">
        <v>11</v>
      </c>
      <c r="G69">
        <v>1</v>
      </c>
      <c r="H69">
        <f t="shared" si="1"/>
        <v>28</v>
      </c>
    </row>
    <row r="70" spans="1:9" x14ac:dyDescent="0.3">
      <c r="A70" t="s">
        <v>1548</v>
      </c>
      <c r="B70" t="s">
        <v>1565</v>
      </c>
      <c r="C70" t="s">
        <v>1265</v>
      </c>
      <c r="D70" t="s">
        <v>11</v>
      </c>
      <c r="G70">
        <v>1</v>
      </c>
      <c r="H70">
        <f t="shared" si="1"/>
        <v>28</v>
      </c>
    </row>
    <row r="71" spans="1:9" x14ac:dyDescent="0.3">
      <c r="A71">
        <v>71899503</v>
      </c>
      <c r="B71" t="s">
        <v>1565</v>
      </c>
      <c r="C71" t="s">
        <v>1265</v>
      </c>
      <c r="D71" t="s">
        <v>11</v>
      </c>
      <c r="E71">
        <v>1</v>
      </c>
      <c r="G71">
        <v>2</v>
      </c>
      <c r="H71">
        <f t="shared" si="1"/>
        <v>56</v>
      </c>
      <c r="I71" s="90">
        <v>19</v>
      </c>
    </row>
    <row r="72" spans="1:9" x14ac:dyDescent="0.3">
      <c r="A72">
        <v>7189982830</v>
      </c>
      <c r="B72" t="s">
        <v>1565</v>
      </c>
      <c r="C72" t="s">
        <v>1265</v>
      </c>
      <c r="D72" t="s">
        <v>11</v>
      </c>
      <c r="E72">
        <v>1</v>
      </c>
      <c r="G72">
        <v>1</v>
      </c>
      <c r="H72">
        <f t="shared" si="1"/>
        <v>28</v>
      </c>
    </row>
    <row r="73" spans="1:9" x14ac:dyDescent="0.3">
      <c r="A73">
        <v>71979512</v>
      </c>
      <c r="B73" t="s">
        <v>1565</v>
      </c>
      <c r="C73" t="s">
        <v>1265</v>
      </c>
      <c r="D73" t="s">
        <v>11</v>
      </c>
      <c r="G73">
        <v>1</v>
      </c>
      <c r="H73">
        <f t="shared" si="1"/>
        <v>28</v>
      </c>
    </row>
    <row r="74" spans="1:9" x14ac:dyDescent="0.3">
      <c r="A74" t="s">
        <v>1549</v>
      </c>
      <c r="B74" t="s">
        <v>1565</v>
      </c>
      <c r="C74" t="s">
        <v>1265</v>
      </c>
      <c r="D74" t="s">
        <v>11</v>
      </c>
      <c r="G74">
        <v>1</v>
      </c>
      <c r="H74">
        <f t="shared" si="1"/>
        <v>28</v>
      </c>
    </row>
    <row r="75" spans="1:9" x14ac:dyDescent="0.3">
      <c r="A75">
        <v>7198599230</v>
      </c>
      <c r="B75" t="s">
        <v>1565</v>
      </c>
      <c r="C75" t="s">
        <v>1265</v>
      </c>
      <c r="D75" t="s">
        <v>11</v>
      </c>
      <c r="G75">
        <v>1</v>
      </c>
      <c r="H75">
        <f t="shared" si="1"/>
        <v>28</v>
      </c>
    </row>
    <row r="76" spans="1:9" x14ac:dyDescent="0.3">
      <c r="A76">
        <v>71986562</v>
      </c>
      <c r="B76" t="s">
        <v>1565</v>
      </c>
      <c r="C76" t="s">
        <v>1265</v>
      </c>
      <c r="D76" t="s">
        <v>11</v>
      </c>
      <c r="G76">
        <v>1</v>
      </c>
      <c r="H76">
        <f t="shared" si="1"/>
        <v>28</v>
      </c>
    </row>
    <row r="77" spans="1:9" x14ac:dyDescent="0.3">
      <c r="A77" t="s">
        <v>248</v>
      </c>
      <c r="B77" t="s">
        <v>1565</v>
      </c>
      <c r="C77" t="s">
        <v>1265</v>
      </c>
      <c r="D77" t="s">
        <v>11</v>
      </c>
      <c r="G77">
        <v>2</v>
      </c>
      <c r="H77">
        <f t="shared" si="1"/>
        <v>56</v>
      </c>
    </row>
    <row r="78" spans="1:9" x14ac:dyDescent="0.3">
      <c r="A78" t="s">
        <v>666</v>
      </c>
      <c r="B78" t="s">
        <v>1565</v>
      </c>
      <c r="C78" t="s">
        <v>1265</v>
      </c>
      <c r="D78" t="s">
        <v>11</v>
      </c>
      <c r="G78">
        <v>1</v>
      </c>
      <c r="H78">
        <f t="shared" si="1"/>
        <v>28</v>
      </c>
    </row>
    <row r="79" spans="1:9" x14ac:dyDescent="0.3">
      <c r="A79" t="s">
        <v>1550</v>
      </c>
      <c r="B79" t="s">
        <v>1565</v>
      </c>
      <c r="C79" t="s">
        <v>1265</v>
      </c>
      <c r="D79" t="s">
        <v>11</v>
      </c>
      <c r="G79">
        <v>2</v>
      </c>
      <c r="H79">
        <f t="shared" si="1"/>
        <v>56</v>
      </c>
    </row>
    <row r="80" spans="1:9" x14ac:dyDescent="0.3">
      <c r="A80" t="s">
        <v>1551</v>
      </c>
      <c r="B80" t="s">
        <v>1565</v>
      </c>
      <c r="C80" t="s">
        <v>1265</v>
      </c>
      <c r="D80" t="s">
        <v>11</v>
      </c>
      <c r="G80">
        <v>2</v>
      </c>
      <c r="H80">
        <f t="shared" ref="H80:H138" si="2">G80*28</f>
        <v>56</v>
      </c>
    </row>
    <row r="81" spans="1:11" x14ac:dyDescent="0.3">
      <c r="A81">
        <v>7198796290</v>
      </c>
      <c r="B81" t="s">
        <v>1565</v>
      </c>
      <c r="C81" t="s">
        <v>1265</v>
      </c>
      <c r="D81" t="s">
        <v>11</v>
      </c>
      <c r="E81">
        <v>1</v>
      </c>
      <c r="G81">
        <v>2</v>
      </c>
      <c r="H81">
        <f t="shared" si="2"/>
        <v>56</v>
      </c>
      <c r="I81" s="90">
        <v>19</v>
      </c>
    </row>
    <row r="82" spans="1:11" x14ac:dyDescent="0.3">
      <c r="A82">
        <v>71988082</v>
      </c>
      <c r="B82" t="s">
        <v>1565</v>
      </c>
      <c r="C82" t="s">
        <v>1265</v>
      </c>
      <c r="D82" t="s">
        <v>11</v>
      </c>
      <c r="E82">
        <v>1</v>
      </c>
      <c r="G82">
        <v>1</v>
      </c>
      <c r="H82">
        <f t="shared" si="2"/>
        <v>28</v>
      </c>
      <c r="I82" s="90">
        <v>19</v>
      </c>
      <c r="J82">
        <v>1</v>
      </c>
    </row>
    <row r="83" spans="1:11" x14ac:dyDescent="0.3">
      <c r="A83" t="s">
        <v>756</v>
      </c>
      <c r="B83" t="s">
        <v>1565</v>
      </c>
      <c r="C83" t="s">
        <v>1265</v>
      </c>
      <c r="D83" t="s">
        <v>11</v>
      </c>
      <c r="G83">
        <v>1</v>
      </c>
      <c r="H83">
        <f t="shared" si="2"/>
        <v>28</v>
      </c>
    </row>
    <row r="84" spans="1:11" x14ac:dyDescent="0.3">
      <c r="A84">
        <v>7198916130</v>
      </c>
      <c r="B84" t="s">
        <v>1565</v>
      </c>
      <c r="C84" t="s">
        <v>1265</v>
      </c>
      <c r="D84" t="s">
        <v>11</v>
      </c>
      <c r="E84">
        <v>1</v>
      </c>
      <c r="G84">
        <v>1</v>
      </c>
      <c r="H84">
        <f t="shared" si="2"/>
        <v>28</v>
      </c>
    </row>
    <row r="85" spans="1:11" x14ac:dyDescent="0.3">
      <c r="A85">
        <v>71989162</v>
      </c>
      <c r="B85" t="s">
        <v>1565</v>
      </c>
      <c r="C85" t="s">
        <v>1265</v>
      </c>
      <c r="D85" t="s">
        <v>11</v>
      </c>
      <c r="E85">
        <v>1</v>
      </c>
      <c r="G85">
        <v>3</v>
      </c>
      <c r="H85">
        <f t="shared" si="2"/>
        <v>84</v>
      </c>
      <c r="I85" s="90">
        <v>19</v>
      </c>
      <c r="J85">
        <v>65</v>
      </c>
    </row>
    <row r="86" spans="1:11" x14ac:dyDescent="0.3">
      <c r="A86">
        <v>7198948560</v>
      </c>
      <c r="B86" t="s">
        <v>1565</v>
      </c>
      <c r="C86" t="s">
        <v>1265</v>
      </c>
      <c r="D86" t="s">
        <v>11</v>
      </c>
      <c r="E86">
        <v>1</v>
      </c>
      <c r="G86">
        <v>1</v>
      </c>
      <c r="H86">
        <f t="shared" si="2"/>
        <v>28</v>
      </c>
      <c r="I86" s="90">
        <v>19</v>
      </c>
    </row>
    <row r="87" spans="1:11" x14ac:dyDescent="0.3">
      <c r="A87">
        <v>7223686530</v>
      </c>
      <c r="B87" t="s">
        <v>1565</v>
      </c>
      <c r="C87" t="s">
        <v>1265</v>
      </c>
      <c r="D87" t="s">
        <v>11</v>
      </c>
      <c r="E87">
        <v>1</v>
      </c>
      <c r="G87">
        <v>1</v>
      </c>
      <c r="H87">
        <f t="shared" si="2"/>
        <v>28</v>
      </c>
    </row>
    <row r="88" spans="1:11" x14ac:dyDescent="0.3">
      <c r="A88">
        <v>7235053630</v>
      </c>
      <c r="B88" t="s">
        <v>1565</v>
      </c>
      <c r="C88" t="s">
        <v>1568</v>
      </c>
      <c r="D88" t="s">
        <v>11</v>
      </c>
      <c r="G88">
        <v>1</v>
      </c>
      <c r="H88">
        <f t="shared" si="2"/>
        <v>28</v>
      </c>
      <c r="I88" s="90">
        <v>19</v>
      </c>
    </row>
    <row r="89" spans="1:11" x14ac:dyDescent="0.3">
      <c r="A89" t="s">
        <v>1552</v>
      </c>
      <c r="B89" t="s">
        <v>1565</v>
      </c>
      <c r="C89" t="s">
        <v>1570</v>
      </c>
      <c r="D89" t="s">
        <v>1567</v>
      </c>
      <c r="G89">
        <v>1</v>
      </c>
      <c r="H89">
        <f t="shared" si="2"/>
        <v>28</v>
      </c>
      <c r="I89" s="90">
        <v>20</v>
      </c>
    </row>
    <row r="90" spans="1:11" x14ac:dyDescent="0.3">
      <c r="A90" t="s">
        <v>1553</v>
      </c>
      <c r="B90" t="s">
        <v>1565</v>
      </c>
      <c r="C90" t="s">
        <v>1570</v>
      </c>
      <c r="D90" t="s">
        <v>1567</v>
      </c>
      <c r="G90">
        <v>1</v>
      </c>
      <c r="H90" s="91">
        <f t="shared" si="2"/>
        <v>28</v>
      </c>
      <c r="I90" s="90">
        <v>20</v>
      </c>
    </row>
    <row r="91" spans="1:11" x14ac:dyDescent="0.3">
      <c r="A91" t="s">
        <v>1554</v>
      </c>
      <c r="B91" t="s">
        <v>1565</v>
      </c>
      <c r="C91" t="s">
        <v>1570</v>
      </c>
      <c r="D91" t="s">
        <v>1567</v>
      </c>
      <c r="G91">
        <v>1</v>
      </c>
      <c r="H91">
        <f t="shared" si="2"/>
        <v>28</v>
      </c>
      <c r="I91" s="90">
        <v>20</v>
      </c>
    </row>
    <row r="92" spans="1:11" x14ac:dyDescent="0.3">
      <c r="A92">
        <v>7247781730</v>
      </c>
      <c r="B92" t="s">
        <v>1565</v>
      </c>
      <c r="C92" t="s">
        <v>1567</v>
      </c>
      <c r="D92" t="s">
        <v>1567</v>
      </c>
      <c r="G92">
        <v>2</v>
      </c>
      <c r="H92">
        <f t="shared" si="2"/>
        <v>56</v>
      </c>
      <c r="I92" s="90">
        <v>19</v>
      </c>
      <c r="J92">
        <v>5</v>
      </c>
    </row>
    <row r="93" spans="1:11" x14ac:dyDescent="0.3">
      <c r="A93" t="s">
        <v>1555</v>
      </c>
      <c r="B93" t="s">
        <v>1565</v>
      </c>
      <c r="C93" t="s">
        <v>1570</v>
      </c>
      <c r="D93" t="s">
        <v>1567</v>
      </c>
      <c r="G93">
        <v>1</v>
      </c>
      <c r="H93">
        <f t="shared" si="2"/>
        <v>28</v>
      </c>
      <c r="I93" s="90">
        <v>20</v>
      </c>
    </row>
    <row r="94" spans="1:11" x14ac:dyDescent="0.3">
      <c r="A94">
        <v>7252726530</v>
      </c>
      <c r="B94" t="s">
        <v>1565</v>
      </c>
      <c r="C94" t="s">
        <v>1567</v>
      </c>
      <c r="D94" t="s">
        <v>1567</v>
      </c>
      <c r="G94">
        <v>2</v>
      </c>
      <c r="H94">
        <f t="shared" si="2"/>
        <v>56</v>
      </c>
      <c r="I94" s="90">
        <v>19</v>
      </c>
      <c r="J94">
        <v>3</v>
      </c>
    </row>
    <row r="95" spans="1:11" x14ac:dyDescent="0.3">
      <c r="A95">
        <v>7252779130</v>
      </c>
      <c r="B95" t="s">
        <v>1565</v>
      </c>
      <c r="C95" t="s">
        <v>1567</v>
      </c>
      <c r="D95" t="s">
        <v>1567</v>
      </c>
      <c r="G95">
        <v>2</v>
      </c>
      <c r="H95">
        <f t="shared" si="2"/>
        <v>56</v>
      </c>
      <c r="I95" s="90">
        <v>19</v>
      </c>
      <c r="J95">
        <v>12</v>
      </c>
      <c r="K95" t="s">
        <v>1688</v>
      </c>
    </row>
    <row r="96" spans="1:11" x14ac:dyDescent="0.3">
      <c r="A96" t="s">
        <v>1556</v>
      </c>
      <c r="B96" t="s">
        <v>1565</v>
      </c>
      <c r="C96" t="s">
        <v>1570</v>
      </c>
      <c r="D96" t="s">
        <v>1567</v>
      </c>
      <c r="G96">
        <v>1</v>
      </c>
      <c r="H96">
        <f t="shared" si="2"/>
        <v>28</v>
      </c>
      <c r="I96" s="90">
        <v>20</v>
      </c>
    </row>
    <row r="97" spans="1:11" x14ac:dyDescent="0.3">
      <c r="A97" t="s">
        <v>1557</v>
      </c>
      <c r="B97" t="s">
        <v>1565</v>
      </c>
      <c r="C97" t="s">
        <v>1570</v>
      </c>
      <c r="D97" t="s">
        <v>1567</v>
      </c>
      <c r="G97">
        <v>1</v>
      </c>
      <c r="H97">
        <f t="shared" si="2"/>
        <v>28</v>
      </c>
      <c r="I97" s="90">
        <v>20</v>
      </c>
    </row>
    <row r="98" spans="1:11" x14ac:dyDescent="0.3">
      <c r="A98">
        <v>7252785330</v>
      </c>
      <c r="B98" t="s">
        <v>1565</v>
      </c>
      <c r="C98" t="s">
        <v>1567</v>
      </c>
      <c r="D98" t="s">
        <v>1567</v>
      </c>
      <c r="G98">
        <v>13</v>
      </c>
      <c r="H98">
        <f t="shared" si="2"/>
        <v>364</v>
      </c>
      <c r="I98" s="90">
        <v>19</v>
      </c>
      <c r="J98">
        <v>40</v>
      </c>
      <c r="K98" t="s">
        <v>1688</v>
      </c>
    </row>
    <row r="99" spans="1:11" ht="13.8" customHeight="1" x14ac:dyDescent="0.3">
      <c r="A99" t="s">
        <v>1558</v>
      </c>
      <c r="B99" t="s">
        <v>1565</v>
      </c>
      <c r="C99" t="s">
        <v>1570</v>
      </c>
      <c r="D99" t="s">
        <v>1567</v>
      </c>
      <c r="G99">
        <v>3</v>
      </c>
      <c r="H99">
        <f t="shared" si="2"/>
        <v>84</v>
      </c>
      <c r="I99" s="90">
        <v>20</v>
      </c>
    </row>
    <row r="100" spans="1:11" x14ac:dyDescent="0.3">
      <c r="A100" t="s">
        <v>1559</v>
      </c>
      <c r="B100" t="s">
        <v>1565</v>
      </c>
      <c r="C100" t="s">
        <v>1570</v>
      </c>
      <c r="D100" t="s">
        <v>1567</v>
      </c>
      <c r="G100">
        <v>1</v>
      </c>
      <c r="H100">
        <f t="shared" si="2"/>
        <v>28</v>
      </c>
      <c r="I100" s="90">
        <v>20</v>
      </c>
    </row>
    <row r="101" spans="1:11" x14ac:dyDescent="0.3">
      <c r="A101" t="s">
        <v>1560</v>
      </c>
      <c r="B101" t="s">
        <v>1565</v>
      </c>
      <c r="C101" t="s">
        <v>1570</v>
      </c>
      <c r="D101" t="s">
        <v>1567</v>
      </c>
      <c r="G101">
        <v>1</v>
      </c>
      <c r="H101">
        <f t="shared" si="2"/>
        <v>28</v>
      </c>
      <c r="I101" s="90">
        <v>20</v>
      </c>
    </row>
    <row r="102" spans="1:11" x14ac:dyDescent="0.3">
      <c r="A102">
        <v>7252815130</v>
      </c>
      <c r="B102" t="s">
        <v>1565</v>
      </c>
      <c r="C102" t="s">
        <v>1567</v>
      </c>
      <c r="D102" t="s">
        <v>1567</v>
      </c>
      <c r="G102">
        <v>12</v>
      </c>
      <c r="H102">
        <f t="shared" si="2"/>
        <v>336</v>
      </c>
      <c r="I102" s="90">
        <v>19</v>
      </c>
    </row>
    <row r="103" spans="1:11" x14ac:dyDescent="0.3">
      <c r="A103">
        <v>7271007030</v>
      </c>
      <c r="B103" t="s">
        <v>1565</v>
      </c>
      <c r="C103" t="s">
        <v>1265</v>
      </c>
      <c r="D103" t="s">
        <v>11</v>
      </c>
      <c r="G103">
        <v>1</v>
      </c>
      <c r="H103">
        <f t="shared" si="2"/>
        <v>28</v>
      </c>
      <c r="I103" s="90">
        <v>19</v>
      </c>
    </row>
    <row r="104" spans="1:11" x14ac:dyDescent="0.3">
      <c r="A104">
        <v>7271007230</v>
      </c>
      <c r="B104" t="s">
        <v>1565</v>
      </c>
      <c r="C104" t="s">
        <v>1265</v>
      </c>
      <c r="D104" t="s">
        <v>11</v>
      </c>
      <c r="G104">
        <v>1</v>
      </c>
      <c r="H104">
        <f t="shared" si="2"/>
        <v>28</v>
      </c>
    </row>
    <row r="105" spans="1:11" x14ac:dyDescent="0.3">
      <c r="A105">
        <v>7278246930</v>
      </c>
      <c r="B105" t="s">
        <v>1565</v>
      </c>
      <c r="C105" t="s">
        <v>1265</v>
      </c>
      <c r="D105" t="s">
        <v>11</v>
      </c>
      <c r="E105">
        <v>1</v>
      </c>
      <c r="G105">
        <v>2</v>
      </c>
      <c r="H105">
        <f t="shared" si="2"/>
        <v>56</v>
      </c>
    </row>
    <row r="106" spans="1:11" x14ac:dyDescent="0.3">
      <c r="A106">
        <v>7287547130</v>
      </c>
      <c r="B106" t="s">
        <v>1565</v>
      </c>
      <c r="C106" t="s">
        <v>1265</v>
      </c>
      <c r="D106" t="s">
        <v>11</v>
      </c>
      <c r="G106">
        <v>1</v>
      </c>
      <c r="H106">
        <f t="shared" si="2"/>
        <v>28</v>
      </c>
    </row>
    <row r="107" spans="1:11" x14ac:dyDescent="0.3">
      <c r="A107">
        <v>7289405830</v>
      </c>
      <c r="B107" t="s">
        <v>1565</v>
      </c>
      <c r="C107" t="s">
        <v>1265</v>
      </c>
      <c r="D107" t="s">
        <v>11</v>
      </c>
      <c r="G107">
        <v>1</v>
      </c>
      <c r="H107">
        <f t="shared" si="2"/>
        <v>28</v>
      </c>
    </row>
    <row r="108" spans="1:11" x14ac:dyDescent="0.3">
      <c r="A108">
        <v>72897304</v>
      </c>
      <c r="B108" t="s">
        <v>1565</v>
      </c>
      <c r="C108" t="s">
        <v>1265</v>
      </c>
      <c r="D108" t="s">
        <v>11</v>
      </c>
      <c r="G108">
        <v>2</v>
      </c>
      <c r="H108">
        <f t="shared" si="2"/>
        <v>56</v>
      </c>
      <c r="I108" s="90">
        <v>19</v>
      </c>
    </row>
    <row r="109" spans="1:11" x14ac:dyDescent="0.3">
      <c r="A109" t="s">
        <v>1561</v>
      </c>
      <c r="B109" t="s">
        <v>1565</v>
      </c>
      <c r="C109" t="s">
        <v>1265</v>
      </c>
      <c r="D109" t="s">
        <v>11</v>
      </c>
      <c r="G109">
        <v>1</v>
      </c>
      <c r="H109">
        <f t="shared" si="2"/>
        <v>28</v>
      </c>
    </row>
    <row r="110" spans="1:11" x14ac:dyDescent="0.3">
      <c r="A110" t="s">
        <v>1562</v>
      </c>
      <c r="B110" t="s">
        <v>1565</v>
      </c>
      <c r="C110" t="s">
        <v>1265</v>
      </c>
      <c r="D110" t="s">
        <v>11</v>
      </c>
      <c r="G110">
        <v>1</v>
      </c>
      <c r="H110">
        <f t="shared" si="2"/>
        <v>28</v>
      </c>
    </row>
    <row r="111" spans="1:11" x14ac:dyDescent="0.3">
      <c r="A111" t="s">
        <v>1065</v>
      </c>
      <c r="B111" t="s">
        <v>1565</v>
      </c>
      <c r="C111" t="s">
        <v>1265</v>
      </c>
      <c r="D111" t="s">
        <v>11</v>
      </c>
      <c r="G111">
        <v>1</v>
      </c>
      <c r="H111">
        <f t="shared" si="2"/>
        <v>28</v>
      </c>
    </row>
    <row r="112" spans="1:11" x14ac:dyDescent="0.3">
      <c r="A112">
        <v>7289896430</v>
      </c>
      <c r="B112" t="s">
        <v>1565</v>
      </c>
      <c r="C112" t="s">
        <v>1265</v>
      </c>
      <c r="D112" t="s">
        <v>11</v>
      </c>
      <c r="E112">
        <v>1</v>
      </c>
      <c r="G112">
        <v>1</v>
      </c>
      <c r="H112">
        <f t="shared" si="2"/>
        <v>28</v>
      </c>
    </row>
    <row r="113" spans="1:10" x14ac:dyDescent="0.3">
      <c r="A113">
        <v>7289982670</v>
      </c>
      <c r="B113" t="s">
        <v>1565</v>
      </c>
      <c r="C113" t="s">
        <v>1265</v>
      </c>
      <c r="D113" t="s">
        <v>11</v>
      </c>
      <c r="G113">
        <v>1</v>
      </c>
      <c r="H113">
        <f t="shared" si="2"/>
        <v>28</v>
      </c>
    </row>
    <row r="114" spans="1:10" x14ac:dyDescent="0.3">
      <c r="A114">
        <v>7297944190</v>
      </c>
      <c r="B114" t="s">
        <v>1565</v>
      </c>
      <c r="C114" t="s">
        <v>1265</v>
      </c>
      <c r="D114" t="s">
        <v>11</v>
      </c>
      <c r="E114">
        <v>1</v>
      </c>
      <c r="G114">
        <v>2</v>
      </c>
      <c r="H114">
        <f t="shared" si="2"/>
        <v>56</v>
      </c>
      <c r="I114" s="90">
        <v>19</v>
      </c>
    </row>
    <row r="115" spans="1:10" x14ac:dyDescent="0.3">
      <c r="A115">
        <v>7298948930</v>
      </c>
      <c r="B115" t="s">
        <v>1565</v>
      </c>
      <c r="C115" t="s">
        <v>1265</v>
      </c>
      <c r="D115" t="s">
        <v>11</v>
      </c>
      <c r="E115">
        <v>1</v>
      </c>
      <c r="G115">
        <v>1</v>
      </c>
      <c r="H115">
        <f t="shared" si="2"/>
        <v>28</v>
      </c>
    </row>
    <row r="116" spans="1:10" x14ac:dyDescent="0.3">
      <c r="A116">
        <v>7298949030</v>
      </c>
      <c r="B116" t="s">
        <v>1565</v>
      </c>
      <c r="C116" t="s">
        <v>1265</v>
      </c>
      <c r="D116" t="s">
        <v>11</v>
      </c>
      <c r="E116">
        <v>1</v>
      </c>
      <c r="G116">
        <v>1</v>
      </c>
      <c r="H116">
        <f t="shared" si="2"/>
        <v>28</v>
      </c>
    </row>
    <row r="117" spans="1:10" x14ac:dyDescent="0.3">
      <c r="A117" t="s">
        <v>255</v>
      </c>
      <c r="B117" t="s">
        <v>1565</v>
      </c>
      <c r="C117" t="s">
        <v>1265</v>
      </c>
      <c r="D117" t="s">
        <v>11</v>
      </c>
      <c r="G117">
        <v>4</v>
      </c>
      <c r="H117">
        <f t="shared" si="2"/>
        <v>112</v>
      </c>
    </row>
    <row r="118" spans="1:10" x14ac:dyDescent="0.3">
      <c r="A118" t="s">
        <v>960</v>
      </c>
      <c r="B118" t="s">
        <v>1565</v>
      </c>
      <c r="C118" t="s">
        <v>1265</v>
      </c>
      <c r="D118" t="s">
        <v>11</v>
      </c>
      <c r="G118">
        <v>2</v>
      </c>
      <c r="H118">
        <f t="shared" si="2"/>
        <v>56</v>
      </c>
    </row>
    <row r="119" spans="1:10" x14ac:dyDescent="0.3">
      <c r="A119" t="s">
        <v>1563</v>
      </c>
      <c r="B119" t="s">
        <v>1565</v>
      </c>
      <c r="C119" t="s">
        <v>1265</v>
      </c>
      <c r="D119" t="s">
        <v>11</v>
      </c>
      <c r="G119">
        <v>10</v>
      </c>
      <c r="H119">
        <f t="shared" si="2"/>
        <v>280</v>
      </c>
      <c r="I119" s="90">
        <v>19</v>
      </c>
      <c r="J119">
        <v>25</v>
      </c>
    </row>
    <row r="120" spans="1:10" x14ac:dyDescent="0.3">
      <c r="A120" t="s">
        <v>1504</v>
      </c>
      <c r="B120" t="s">
        <v>1565</v>
      </c>
      <c r="C120" t="s">
        <v>1265</v>
      </c>
      <c r="D120" t="s">
        <v>11</v>
      </c>
      <c r="G120">
        <v>0</v>
      </c>
      <c r="H120">
        <f t="shared" si="2"/>
        <v>0</v>
      </c>
      <c r="I120" t="s">
        <v>1571</v>
      </c>
    </row>
    <row r="121" spans="1:10" x14ac:dyDescent="0.3">
      <c r="A121" t="s">
        <v>259</v>
      </c>
      <c r="B121" t="s">
        <v>1565</v>
      </c>
      <c r="C121" t="s">
        <v>1265</v>
      </c>
      <c r="D121" t="s">
        <v>11</v>
      </c>
      <c r="G121">
        <v>1</v>
      </c>
      <c r="H121">
        <f t="shared" si="2"/>
        <v>28</v>
      </c>
    </row>
    <row r="122" spans="1:10" x14ac:dyDescent="0.3">
      <c r="A122" t="s">
        <v>700</v>
      </c>
      <c r="B122" t="s">
        <v>1565</v>
      </c>
      <c r="C122" t="s">
        <v>1265</v>
      </c>
      <c r="D122" t="s">
        <v>11</v>
      </c>
      <c r="E122">
        <v>1</v>
      </c>
      <c r="G122">
        <v>2</v>
      </c>
      <c r="H122">
        <f t="shared" si="2"/>
        <v>56</v>
      </c>
      <c r="I122" s="90">
        <v>19</v>
      </c>
      <c r="J122">
        <v>16</v>
      </c>
    </row>
    <row r="123" spans="1:10" x14ac:dyDescent="0.3">
      <c r="A123" t="s">
        <v>374</v>
      </c>
      <c r="B123" t="s">
        <v>1565</v>
      </c>
      <c r="C123" t="s">
        <v>1265</v>
      </c>
      <c r="D123" t="s">
        <v>11</v>
      </c>
      <c r="G123">
        <v>1</v>
      </c>
      <c r="H123">
        <f t="shared" si="2"/>
        <v>28</v>
      </c>
    </row>
    <row r="124" spans="1:10" x14ac:dyDescent="0.3">
      <c r="A124" t="s">
        <v>276</v>
      </c>
      <c r="B124" t="s">
        <v>1565</v>
      </c>
      <c r="C124" t="s">
        <v>1265</v>
      </c>
      <c r="D124" t="s">
        <v>11</v>
      </c>
      <c r="E124">
        <v>1</v>
      </c>
      <c r="G124">
        <v>1</v>
      </c>
      <c r="H124">
        <f t="shared" si="2"/>
        <v>28</v>
      </c>
    </row>
    <row r="125" spans="1:10" x14ac:dyDescent="0.3">
      <c r="A125" t="s">
        <v>707</v>
      </c>
      <c r="B125" t="s">
        <v>1565</v>
      </c>
      <c r="C125" t="s">
        <v>1265</v>
      </c>
      <c r="D125" t="s">
        <v>11</v>
      </c>
      <c r="E125">
        <v>1</v>
      </c>
      <c r="G125">
        <v>1</v>
      </c>
      <c r="H125">
        <f t="shared" si="2"/>
        <v>28</v>
      </c>
      <c r="I125" s="90">
        <v>19</v>
      </c>
    </row>
    <row r="126" spans="1:10" x14ac:dyDescent="0.3">
      <c r="A126" t="s">
        <v>260</v>
      </c>
      <c r="B126" t="s">
        <v>1565</v>
      </c>
      <c r="C126" t="s">
        <v>1265</v>
      </c>
      <c r="D126" t="s">
        <v>11</v>
      </c>
      <c r="G126">
        <v>1</v>
      </c>
      <c r="H126">
        <f t="shared" si="2"/>
        <v>28</v>
      </c>
    </row>
    <row r="127" spans="1:10" x14ac:dyDescent="0.3">
      <c r="A127" t="s">
        <v>261</v>
      </c>
      <c r="B127" t="s">
        <v>1565</v>
      </c>
      <c r="C127" t="s">
        <v>1265</v>
      </c>
      <c r="D127" t="s">
        <v>11</v>
      </c>
      <c r="E127">
        <v>1</v>
      </c>
      <c r="G127">
        <v>1</v>
      </c>
      <c r="H127">
        <f t="shared" si="2"/>
        <v>28</v>
      </c>
      <c r="I127" s="90">
        <v>19</v>
      </c>
    </row>
    <row r="128" spans="1:10" x14ac:dyDescent="0.3">
      <c r="A128" t="s">
        <v>711</v>
      </c>
      <c r="B128" t="s">
        <v>1565</v>
      </c>
      <c r="C128" t="s">
        <v>1265</v>
      </c>
      <c r="D128" t="s">
        <v>11</v>
      </c>
      <c r="G128">
        <v>1</v>
      </c>
      <c r="H128">
        <f t="shared" si="2"/>
        <v>28</v>
      </c>
      <c r="I128" s="90">
        <v>19</v>
      </c>
      <c r="J128">
        <v>6</v>
      </c>
    </row>
    <row r="129" spans="1:10" x14ac:dyDescent="0.3">
      <c r="A129" t="s">
        <v>1068</v>
      </c>
      <c r="B129" t="s">
        <v>1565</v>
      </c>
      <c r="C129" t="s">
        <v>1265</v>
      </c>
      <c r="D129" t="s">
        <v>11</v>
      </c>
      <c r="G129">
        <v>1</v>
      </c>
      <c r="H129">
        <f t="shared" si="2"/>
        <v>28</v>
      </c>
    </row>
    <row r="130" spans="1:10" x14ac:dyDescent="0.3">
      <c r="A130" t="s">
        <v>1066</v>
      </c>
      <c r="B130" t="s">
        <v>1565</v>
      </c>
      <c r="C130" t="s">
        <v>1265</v>
      </c>
      <c r="D130" t="s">
        <v>11</v>
      </c>
      <c r="G130">
        <v>2</v>
      </c>
      <c r="H130">
        <f t="shared" si="2"/>
        <v>56</v>
      </c>
      <c r="I130" s="90">
        <v>19</v>
      </c>
    </row>
    <row r="131" spans="1:10" x14ac:dyDescent="0.3">
      <c r="A131" t="s">
        <v>1067</v>
      </c>
      <c r="B131" t="s">
        <v>1565</v>
      </c>
      <c r="C131" t="s">
        <v>1265</v>
      </c>
      <c r="D131" t="s">
        <v>11</v>
      </c>
      <c r="G131">
        <v>1</v>
      </c>
      <c r="H131">
        <f t="shared" si="2"/>
        <v>28</v>
      </c>
      <c r="I131" s="90">
        <v>19</v>
      </c>
    </row>
    <row r="132" spans="1:10" x14ac:dyDescent="0.3">
      <c r="A132" t="s">
        <v>262</v>
      </c>
      <c r="B132" t="s">
        <v>1565</v>
      </c>
      <c r="C132" t="s">
        <v>1265</v>
      </c>
      <c r="D132" t="s">
        <v>11</v>
      </c>
      <c r="G132">
        <v>2</v>
      </c>
      <c r="H132">
        <f t="shared" si="2"/>
        <v>56</v>
      </c>
      <c r="I132" s="90">
        <v>19</v>
      </c>
      <c r="J132">
        <v>2</v>
      </c>
    </row>
    <row r="133" spans="1:10" x14ac:dyDescent="0.3">
      <c r="A133" t="s">
        <v>263</v>
      </c>
      <c r="B133" t="s">
        <v>1565</v>
      </c>
      <c r="C133" t="s">
        <v>1265</v>
      </c>
      <c r="D133" t="s">
        <v>11</v>
      </c>
      <c r="G133">
        <v>1</v>
      </c>
      <c r="H133">
        <f t="shared" si="2"/>
        <v>28</v>
      </c>
      <c r="I133" s="90">
        <v>19</v>
      </c>
    </row>
    <row r="134" spans="1:10" x14ac:dyDescent="0.3">
      <c r="A134" t="s">
        <v>265</v>
      </c>
      <c r="B134" t="s">
        <v>1565</v>
      </c>
      <c r="C134" t="s">
        <v>1265</v>
      </c>
      <c r="D134" t="s">
        <v>11</v>
      </c>
      <c r="G134">
        <v>2</v>
      </c>
      <c r="H134">
        <f t="shared" si="2"/>
        <v>56</v>
      </c>
      <c r="I134" s="90">
        <v>19</v>
      </c>
    </row>
    <row r="135" spans="1:10" x14ac:dyDescent="0.3">
      <c r="A135" t="s">
        <v>267</v>
      </c>
      <c r="B135" t="s">
        <v>1565</v>
      </c>
      <c r="C135" t="s">
        <v>1265</v>
      </c>
      <c r="D135" t="s">
        <v>11</v>
      </c>
      <c r="G135">
        <v>1</v>
      </c>
      <c r="H135">
        <f t="shared" si="2"/>
        <v>28</v>
      </c>
      <c r="I135" s="90">
        <v>19</v>
      </c>
    </row>
    <row r="136" spans="1:10" x14ac:dyDescent="0.3">
      <c r="A136" t="s">
        <v>268</v>
      </c>
      <c r="B136" t="s">
        <v>1565</v>
      </c>
      <c r="C136" t="s">
        <v>1265</v>
      </c>
      <c r="D136" t="s">
        <v>11</v>
      </c>
      <c r="G136">
        <v>1</v>
      </c>
      <c r="H136">
        <f t="shared" si="2"/>
        <v>28</v>
      </c>
    </row>
    <row r="137" spans="1:10" x14ac:dyDescent="0.3">
      <c r="A137" t="s">
        <v>269</v>
      </c>
      <c r="B137" t="s">
        <v>1565</v>
      </c>
      <c r="C137" t="s">
        <v>1265</v>
      </c>
      <c r="D137" t="s">
        <v>11</v>
      </c>
      <c r="E137">
        <v>1</v>
      </c>
      <c r="G137">
        <v>2</v>
      </c>
      <c r="H137">
        <f t="shared" si="2"/>
        <v>56</v>
      </c>
    </row>
    <row r="138" spans="1:10" x14ac:dyDescent="0.3">
      <c r="A138" t="s">
        <v>270</v>
      </c>
      <c r="B138" t="s">
        <v>1565</v>
      </c>
      <c r="C138" t="s">
        <v>1265</v>
      </c>
      <c r="D138" t="s">
        <v>11</v>
      </c>
      <c r="E138">
        <v>1</v>
      </c>
      <c r="G138">
        <v>2</v>
      </c>
      <c r="H138">
        <f t="shared" si="2"/>
        <v>56</v>
      </c>
    </row>
    <row r="139" spans="1:10" x14ac:dyDescent="0.3">
      <c r="A139" t="s">
        <v>272</v>
      </c>
      <c r="B139" t="s">
        <v>1565</v>
      </c>
      <c r="C139" t="s">
        <v>1265</v>
      </c>
      <c r="D139" t="s">
        <v>11</v>
      </c>
      <c r="G139">
        <v>4</v>
      </c>
      <c r="H139">
        <f t="shared" ref="H139:H149" si="3">G139*28</f>
        <v>112</v>
      </c>
    </row>
    <row r="140" spans="1:10" x14ac:dyDescent="0.3">
      <c r="A140" t="s">
        <v>765</v>
      </c>
      <c r="B140" t="s">
        <v>1565</v>
      </c>
      <c r="C140" t="s">
        <v>1265</v>
      </c>
      <c r="D140" t="s">
        <v>11</v>
      </c>
      <c r="G140">
        <v>1</v>
      </c>
      <c r="H140">
        <f t="shared" si="3"/>
        <v>28</v>
      </c>
      <c r="I140" s="90">
        <v>19</v>
      </c>
    </row>
    <row r="141" spans="1:10" x14ac:dyDescent="0.3">
      <c r="A141" t="s">
        <v>273</v>
      </c>
      <c r="B141" t="s">
        <v>1565</v>
      </c>
      <c r="C141" t="s">
        <v>1265</v>
      </c>
      <c r="D141" t="s">
        <v>11</v>
      </c>
      <c r="G141">
        <v>1</v>
      </c>
      <c r="H141">
        <f t="shared" si="3"/>
        <v>28</v>
      </c>
    </row>
    <row r="142" spans="1:10" x14ac:dyDescent="0.3">
      <c r="A142" t="s">
        <v>735</v>
      </c>
      <c r="B142" t="s">
        <v>1565</v>
      </c>
      <c r="C142" t="s">
        <v>1265</v>
      </c>
      <c r="D142" t="s">
        <v>11</v>
      </c>
      <c r="G142">
        <v>1</v>
      </c>
      <c r="H142">
        <f t="shared" si="3"/>
        <v>28</v>
      </c>
      <c r="I142" s="90">
        <v>19</v>
      </c>
    </row>
    <row r="143" spans="1:10" x14ac:dyDescent="0.3">
      <c r="A143" t="s">
        <v>282</v>
      </c>
      <c r="B143" t="s">
        <v>1565</v>
      </c>
      <c r="C143" t="s">
        <v>1265</v>
      </c>
      <c r="D143" t="s">
        <v>11</v>
      </c>
      <c r="G143">
        <v>1</v>
      </c>
      <c r="H143">
        <f t="shared" si="3"/>
        <v>28</v>
      </c>
    </row>
    <row r="144" spans="1:10" x14ac:dyDescent="0.3">
      <c r="A144" t="s">
        <v>291</v>
      </c>
      <c r="B144" t="s">
        <v>1565</v>
      </c>
      <c r="C144" t="s">
        <v>1265</v>
      </c>
      <c r="D144" t="s">
        <v>11</v>
      </c>
      <c r="E144">
        <v>1</v>
      </c>
      <c r="G144">
        <v>1</v>
      </c>
      <c r="H144">
        <f t="shared" si="3"/>
        <v>28</v>
      </c>
    </row>
    <row r="145" spans="1:9" x14ac:dyDescent="0.3">
      <c r="A145" t="s">
        <v>767</v>
      </c>
      <c r="B145" t="s">
        <v>1565</v>
      </c>
      <c r="C145" t="s">
        <v>1265</v>
      </c>
      <c r="D145" t="s">
        <v>11</v>
      </c>
      <c r="E145">
        <v>1</v>
      </c>
      <c r="G145">
        <v>4</v>
      </c>
      <c r="H145">
        <f t="shared" si="3"/>
        <v>112</v>
      </c>
    </row>
    <row r="146" spans="1:9" x14ac:dyDescent="0.3">
      <c r="A146" t="s">
        <v>1564</v>
      </c>
      <c r="B146" t="s">
        <v>1565</v>
      </c>
      <c r="C146" t="s">
        <v>1265</v>
      </c>
      <c r="D146" t="s">
        <v>11</v>
      </c>
      <c r="G146">
        <v>1</v>
      </c>
      <c r="H146">
        <f t="shared" si="3"/>
        <v>28</v>
      </c>
    </row>
    <row r="147" spans="1:9" x14ac:dyDescent="0.3">
      <c r="A147" t="s">
        <v>1178</v>
      </c>
      <c r="B147" t="s">
        <v>1565</v>
      </c>
      <c r="C147" t="s">
        <v>1265</v>
      </c>
      <c r="D147" t="s">
        <v>11</v>
      </c>
      <c r="G147">
        <v>1</v>
      </c>
      <c r="H147">
        <f t="shared" si="3"/>
        <v>28</v>
      </c>
    </row>
    <row r="148" spans="1:9" x14ac:dyDescent="0.3">
      <c r="A148">
        <v>7198808890</v>
      </c>
      <c r="B148" t="s">
        <v>1565</v>
      </c>
      <c r="C148" t="s">
        <v>1265</v>
      </c>
      <c r="D148" t="s">
        <v>11</v>
      </c>
      <c r="G148">
        <v>1</v>
      </c>
      <c r="H148">
        <f t="shared" si="3"/>
        <v>28</v>
      </c>
      <c r="I148" t="s">
        <v>1572</v>
      </c>
    </row>
    <row r="149" spans="1:9" x14ac:dyDescent="0.3">
      <c r="A149">
        <v>71989158</v>
      </c>
      <c r="B149" t="s">
        <v>1565</v>
      </c>
      <c r="C149" t="s">
        <v>1265</v>
      </c>
      <c r="D149" t="s">
        <v>11</v>
      </c>
      <c r="G149">
        <v>1</v>
      </c>
      <c r="H149">
        <f t="shared" si="3"/>
        <v>28</v>
      </c>
      <c r="I149" t="s">
        <v>1572</v>
      </c>
    </row>
    <row r="150" spans="1:9" s="75" customFormat="1" x14ac:dyDescent="0.3"/>
    <row r="151" spans="1:9" x14ac:dyDescent="0.3">
      <c r="A151">
        <v>7075231930</v>
      </c>
    </row>
    <row r="152" spans="1:9" x14ac:dyDescent="0.3">
      <c r="A152">
        <v>7075244730</v>
      </c>
    </row>
    <row r="153" spans="1:9" x14ac:dyDescent="0.3">
      <c r="A153">
        <v>71186354</v>
      </c>
    </row>
    <row r="154" spans="1:9" x14ac:dyDescent="0.3">
      <c r="A154" t="s">
        <v>233</v>
      </c>
    </row>
    <row r="155" spans="1:9" x14ac:dyDescent="0.3">
      <c r="A155" t="s">
        <v>623</v>
      </c>
    </row>
    <row r="156" spans="1:9" x14ac:dyDescent="0.3">
      <c r="A156">
        <v>7118670020</v>
      </c>
    </row>
    <row r="157" spans="1:9" x14ac:dyDescent="0.3">
      <c r="A157" t="s">
        <v>1543</v>
      </c>
    </row>
    <row r="158" spans="1:9" x14ac:dyDescent="0.3">
      <c r="A158" t="s">
        <v>235</v>
      </c>
    </row>
    <row r="159" spans="1:9" x14ac:dyDescent="0.3">
      <c r="A159">
        <v>7119131530</v>
      </c>
    </row>
    <row r="160" spans="1:9" x14ac:dyDescent="0.3">
      <c r="A160" t="s">
        <v>629</v>
      </c>
    </row>
    <row r="161" spans="1:1" x14ac:dyDescent="0.3">
      <c r="A161">
        <v>7119146730</v>
      </c>
    </row>
    <row r="162" spans="1:1" x14ac:dyDescent="0.3">
      <c r="A162">
        <v>71191993</v>
      </c>
    </row>
    <row r="163" spans="1:1" x14ac:dyDescent="0.3">
      <c r="A163">
        <v>7119639830</v>
      </c>
    </row>
    <row r="164" spans="1:1" x14ac:dyDescent="0.3">
      <c r="A164">
        <v>71196401</v>
      </c>
    </row>
    <row r="165" spans="1:1" x14ac:dyDescent="0.3">
      <c r="A165">
        <v>7119641970</v>
      </c>
    </row>
    <row r="166" spans="1:1" x14ac:dyDescent="0.3">
      <c r="A166">
        <v>71196506</v>
      </c>
    </row>
    <row r="167" spans="1:1" x14ac:dyDescent="0.3">
      <c r="A167">
        <v>7119668820</v>
      </c>
    </row>
    <row r="168" spans="1:1" x14ac:dyDescent="0.3">
      <c r="A168" t="s">
        <v>238</v>
      </c>
    </row>
    <row r="169" spans="1:1" x14ac:dyDescent="0.3">
      <c r="A169">
        <v>71196714</v>
      </c>
    </row>
    <row r="170" spans="1:1" x14ac:dyDescent="0.3">
      <c r="A170" t="s">
        <v>239</v>
      </c>
    </row>
    <row r="171" spans="1:1" x14ac:dyDescent="0.3">
      <c r="A171" t="s">
        <v>240</v>
      </c>
    </row>
    <row r="172" spans="1:1" x14ac:dyDescent="0.3">
      <c r="A172" t="s">
        <v>655</v>
      </c>
    </row>
    <row r="173" spans="1:1" x14ac:dyDescent="0.3">
      <c r="A173" t="s">
        <v>242</v>
      </c>
    </row>
    <row r="174" spans="1:1" x14ac:dyDescent="0.3">
      <c r="A174">
        <v>7189663170</v>
      </c>
    </row>
    <row r="175" spans="1:1" x14ac:dyDescent="0.3">
      <c r="A175" t="s">
        <v>1548</v>
      </c>
    </row>
    <row r="176" spans="1:1" x14ac:dyDescent="0.3">
      <c r="A176">
        <v>71899503</v>
      </c>
    </row>
    <row r="177" spans="1:1" x14ac:dyDescent="0.3">
      <c r="A177">
        <v>7189982830</v>
      </c>
    </row>
    <row r="178" spans="1:1" x14ac:dyDescent="0.3">
      <c r="A178" t="s">
        <v>1064</v>
      </c>
    </row>
    <row r="179" spans="1:1" x14ac:dyDescent="0.3">
      <c r="A179" t="s">
        <v>245</v>
      </c>
    </row>
    <row r="180" spans="1:1" x14ac:dyDescent="0.3">
      <c r="A180" t="s">
        <v>246</v>
      </c>
    </row>
    <row r="181" spans="1:1" x14ac:dyDescent="0.3">
      <c r="A181" t="s">
        <v>1549</v>
      </c>
    </row>
    <row r="182" spans="1:1" x14ac:dyDescent="0.3">
      <c r="A182">
        <v>71986562</v>
      </c>
    </row>
    <row r="183" spans="1:1" x14ac:dyDescent="0.3">
      <c r="A183" t="s">
        <v>248</v>
      </c>
    </row>
    <row r="184" spans="1:1" x14ac:dyDescent="0.3">
      <c r="A184" t="s">
        <v>1550</v>
      </c>
    </row>
    <row r="185" spans="1:1" x14ac:dyDescent="0.3">
      <c r="A185" t="s">
        <v>1551</v>
      </c>
    </row>
    <row r="186" spans="1:1" x14ac:dyDescent="0.3">
      <c r="A186">
        <v>7198796290</v>
      </c>
    </row>
    <row r="187" spans="1:1" x14ac:dyDescent="0.3">
      <c r="A187">
        <v>71988082</v>
      </c>
    </row>
    <row r="188" spans="1:1" x14ac:dyDescent="0.3">
      <c r="A188" t="s">
        <v>756</v>
      </c>
    </row>
    <row r="189" spans="1:1" x14ac:dyDescent="0.3">
      <c r="A189">
        <v>7198916130</v>
      </c>
    </row>
    <row r="190" spans="1:1" x14ac:dyDescent="0.3">
      <c r="A190">
        <v>71989162</v>
      </c>
    </row>
    <row r="191" spans="1:1" x14ac:dyDescent="0.3">
      <c r="A191">
        <v>7198948560</v>
      </c>
    </row>
    <row r="192" spans="1:1" x14ac:dyDescent="0.3">
      <c r="A192">
        <v>7223686530</v>
      </c>
    </row>
    <row r="193" spans="1:1" x14ac:dyDescent="0.3">
      <c r="A193">
        <v>7271007030</v>
      </c>
    </row>
    <row r="194" spans="1:1" x14ac:dyDescent="0.3">
      <c r="A194" t="s">
        <v>1065</v>
      </c>
    </row>
    <row r="195" spans="1:1" x14ac:dyDescent="0.3">
      <c r="A195">
        <v>7278246930</v>
      </c>
    </row>
    <row r="196" spans="1:1" x14ac:dyDescent="0.3">
      <c r="A196" t="s">
        <v>1561</v>
      </c>
    </row>
    <row r="197" spans="1:1" x14ac:dyDescent="0.3">
      <c r="A197" t="s">
        <v>1562</v>
      </c>
    </row>
    <row r="198" spans="1:1" x14ac:dyDescent="0.3">
      <c r="A198">
        <v>7289896430</v>
      </c>
    </row>
    <row r="199" spans="1:1" x14ac:dyDescent="0.3">
      <c r="A199">
        <v>72897304</v>
      </c>
    </row>
    <row r="200" spans="1:1" x14ac:dyDescent="0.3">
      <c r="A200">
        <v>7297944190</v>
      </c>
    </row>
    <row r="201" spans="1:1" x14ac:dyDescent="0.3">
      <c r="A201" t="s">
        <v>255</v>
      </c>
    </row>
    <row r="202" spans="1:1" x14ac:dyDescent="0.3">
      <c r="A202" t="s">
        <v>1563</v>
      </c>
    </row>
    <row r="203" spans="1:1" x14ac:dyDescent="0.3">
      <c r="A203" t="s">
        <v>700</v>
      </c>
    </row>
    <row r="204" spans="1:1" x14ac:dyDescent="0.3">
      <c r="A204" t="s">
        <v>259</v>
      </c>
    </row>
    <row r="205" spans="1:1" x14ac:dyDescent="0.3">
      <c r="A205" t="s">
        <v>260</v>
      </c>
    </row>
    <row r="206" spans="1:1" x14ac:dyDescent="0.3">
      <c r="A206" t="s">
        <v>261</v>
      </c>
    </row>
    <row r="207" spans="1:1" x14ac:dyDescent="0.3">
      <c r="A207" t="s">
        <v>1066</v>
      </c>
    </row>
    <row r="208" spans="1:1" x14ac:dyDescent="0.3">
      <c r="A208" t="s">
        <v>262</v>
      </c>
    </row>
    <row r="209" spans="1:1" x14ac:dyDescent="0.3">
      <c r="A209" t="s">
        <v>263</v>
      </c>
    </row>
    <row r="210" spans="1:1" x14ac:dyDescent="0.3">
      <c r="A210" t="s">
        <v>1067</v>
      </c>
    </row>
    <row r="211" spans="1:1" x14ac:dyDescent="0.3">
      <c r="A211" t="s">
        <v>265</v>
      </c>
    </row>
    <row r="212" spans="1:1" x14ac:dyDescent="0.3">
      <c r="A212" t="s">
        <v>267</v>
      </c>
    </row>
    <row r="213" spans="1:1" x14ac:dyDescent="0.3">
      <c r="A213" t="s">
        <v>268</v>
      </c>
    </row>
    <row r="214" spans="1:1" x14ac:dyDescent="0.3">
      <c r="A214" t="s">
        <v>269</v>
      </c>
    </row>
    <row r="215" spans="1:1" x14ac:dyDescent="0.3">
      <c r="A215" t="s">
        <v>270</v>
      </c>
    </row>
    <row r="216" spans="1:1" x14ac:dyDescent="0.3">
      <c r="A216" t="s">
        <v>272</v>
      </c>
    </row>
    <row r="217" spans="1:1" x14ac:dyDescent="0.3">
      <c r="A217" t="s">
        <v>273</v>
      </c>
    </row>
    <row r="218" spans="1:1" x14ac:dyDescent="0.3">
      <c r="A218" t="s">
        <v>765</v>
      </c>
    </row>
    <row r="219" spans="1:1" x14ac:dyDescent="0.3">
      <c r="A219">
        <v>7178270480</v>
      </c>
    </row>
    <row r="220" spans="1:1" x14ac:dyDescent="0.3">
      <c r="A220" t="s">
        <v>276</v>
      </c>
    </row>
    <row r="221" spans="1:1" x14ac:dyDescent="0.3">
      <c r="A221" t="s">
        <v>277</v>
      </c>
    </row>
    <row r="222" spans="1:1" x14ac:dyDescent="0.3">
      <c r="A222" t="s">
        <v>735</v>
      </c>
    </row>
    <row r="223" spans="1:1" x14ac:dyDescent="0.3">
      <c r="A223" t="s">
        <v>282</v>
      </c>
    </row>
    <row r="224" spans="1:1" x14ac:dyDescent="0.3">
      <c r="A224">
        <v>7047186030</v>
      </c>
    </row>
    <row r="225" spans="1:1" x14ac:dyDescent="0.3">
      <c r="A225">
        <v>7147882430</v>
      </c>
    </row>
    <row r="226" spans="1:1" x14ac:dyDescent="0.3">
      <c r="A226">
        <v>7247781730</v>
      </c>
    </row>
    <row r="227" spans="1:1" x14ac:dyDescent="0.3">
      <c r="A227">
        <v>7252726530</v>
      </c>
    </row>
    <row r="228" spans="1:1" x14ac:dyDescent="0.3">
      <c r="A228">
        <v>7252779130</v>
      </c>
    </row>
    <row r="229" spans="1:1" x14ac:dyDescent="0.3">
      <c r="A229">
        <v>7252785330</v>
      </c>
    </row>
    <row r="230" spans="1:1" x14ac:dyDescent="0.3">
      <c r="A230">
        <v>7252815130</v>
      </c>
    </row>
    <row r="231" spans="1:1" x14ac:dyDescent="0.3">
      <c r="A231">
        <v>71781227</v>
      </c>
    </row>
    <row r="232" spans="1:1" x14ac:dyDescent="0.3">
      <c r="A232">
        <v>71979512</v>
      </c>
    </row>
    <row r="233" spans="1:1" x14ac:dyDescent="0.3">
      <c r="A233">
        <v>7183753630</v>
      </c>
    </row>
    <row r="234" spans="1:1" x14ac:dyDescent="0.3">
      <c r="A234" t="s">
        <v>1547</v>
      </c>
    </row>
    <row r="235" spans="1:1" x14ac:dyDescent="0.3">
      <c r="A235" t="s">
        <v>707</v>
      </c>
    </row>
    <row r="236" spans="1:1" x14ac:dyDescent="0.3">
      <c r="A236" t="s">
        <v>291</v>
      </c>
    </row>
    <row r="237" spans="1:1" x14ac:dyDescent="0.3">
      <c r="A237" t="s">
        <v>960</v>
      </c>
    </row>
    <row r="238" spans="1:1" x14ac:dyDescent="0.3">
      <c r="A238" t="s">
        <v>374</v>
      </c>
    </row>
    <row r="239" spans="1:1" x14ac:dyDescent="0.3">
      <c r="A239" t="s">
        <v>381</v>
      </c>
    </row>
    <row r="240" spans="1:1" x14ac:dyDescent="0.3">
      <c r="A240">
        <v>7271007230</v>
      </c>
    </row>
    <row r="241" spans="1:1" x14ac:dyDescent="0.3">
      <c r="A241">
        <v>7271007230</v>
      </c>
    </row>
    <row r="242" spans="1:1" x14ac:dyDescent="0.3">
      <c r="A242">
        <v>7271007230</v>
      </c>
    </row>
    <row r="243" spans="1:1" x14ac:dyDescent="0.3">
      <c r="A243">
        <v>7271007230</v>
      </c>
    </row>
    <row r="244" spans="1:1" x14ac:dyDescent="0.3">
      <c r="A244">
        <v>7271007230</v>
      </c>
    </row>
    <row r="245" spans="1:1" x14ac:dyDescent="0.3">
      <c r="A245">
        <v>7271007230</v>
      </c>
    </row>
    <row r="246" spans="1:1" x14ac:dyDescent="0.3">
      <c r="A246" t="s">
        <v>666</v>
      </c>
    </row>
    <row r="247" spans="1:1" x14ac:dyDescent="0.3">
      <c r="A247" t="s">
        <v>666</v>
      </c>
    </row>
    <row r="248" spans="1:1" x14ac:dyDescent="0.3">
      <c r="A248" t="s">
        <v>666</v>
      </c>
    </row>
    <row r="249" spans="1:1" x14ac:dyDescent="0.3">
      <c r="A249" t="s">
        <v>666</v>
      </c>
    </row>
    <row r="250" spans="1:1" x14ac:dyDescent="0.3">
      <c r="A250">
        <v>7289405830</v>
      </c>
    </row>
    <row r="251" spans="1:1" x14ac:dyDescent="0.3">
      <c r="A251">
        <v>7298948930</v>
      </c>
    </row>
    <row r="252" spans="1:1" x14ac:dyDescent="0.3">
      <c r="A252">
        <v>7298949030</v>
      </c>
    </row>
    <row r="253" spans="1:1" x14ac:dyDescent="0.3">
      <c r="A253">
        <v>7035964930</v>
      </c>
    </row>
    <row r="254" spans="1:1" x14ac:dyDescent="0.3">
      <c r="A254" t="s">
        <v>1068</v>
      </c>
    </row>
    <row r="255" spans="1:1" x14ac:dyDescent="0.3">
      <c r="A255" t="s">
        <v>711</v>
      </c>
    </row>
    <row r="256" spans="1:1" x14ac:dyDescent="0.3">
      <c r="A256" t="s">
        <v>1504</v>
      </c>
    </row>
    <row r="257" spans="1:1" x14ac:dyDescent="0.3">
      <c r="A257">
        <v>7003756102</v>
      </c>
    </row>
    <row r="258" spans="1:1" x14ac:dyDescent="0.3">
      <c r="A258">
        <v>7119163630</v>
      </c>
    </row>
    <row r="259" spans="1:1" x14ac:dyDescent="0.3">
      <c r="A259">
        <v>7047186030</v>
      </c>
    </row>
    <row r="260" spans="1:1" x14ac:dyDescent="0.3">
      <c r="A260">
        <v>7047186030</v>
      </c>
    </row>
    <row r="261" spans="1:1" x14ac:dyDescent="0.3">
      <c r="A261">
        <v>7047186030</v>
      </c>
    </row>
    <row r="262" spans="1:1" x14ac:dyDescent="0.3">
      <c r="A262">
        <v>7119172930</v>
      </c>
    </row>
    <row r="263" spans="1:1" x14ac:dyDescent="0.3">
      <c r="A263">
        <v>71782472</v>
      </c>
    </row>
    <row r="264" spans="1:1" x14ac:dyDescent="0.3">
      <c r="A264">
        <v>71897277</v>
      </c>
    </row>
    <row r="265" spans="1:1" x14ac:dyDescent="0.3">
      <c r="A265">
        <v>7289982670</v>
      </c>
    </row>
    <row r="266" spans="1:1" x14ac:dyDescent="0.3">
      <c r="A266">
        <v>7075181330</v>
      </c>
    </row>
    <row r="267" spans="1:1" x14ac:dyDescent="0.3">
      <c r="A267">
        <v>7198599230</v>
      </c>
    </row>
    <row r="268" spans="1:1" x14ac:dyDescent="0.3">
      <c r="A268">
        <v>7235952330</v>
      </c>
    </row>
    <row r="269" spans="1:1" x14ac:dyDescent="0.3">
      <c r="A269">
        <v>7287547130</v>
      </c>
    </row>
    <row r="270" spans="1:1" x14ac:dyDescent="0.3">
      <c r="A270">
        <v>7147882430</v>
      </c>
    </row>
    <row r="271" spans="1:1" x14ac:dyDescent="0.3">
      <c r="A271">
        <v>7147882430</v>
      </c>
    </row>
    <row r="272" spans="1:1" x14ac:dyDescent="0.3">
      <c r="A272">
        <v>7147882430</v>
      </c>
    </row>
    <row r="273" spans="1:1" x14ac:dyDescent="0.3">
      <c r="A273">
        <v>7252779130</v>
      </c>
    </row>
    <row r="274" spans="1:1" x14ac:dyDescent="0.3">
      <c r="A274">
        <v>7252779130</v>
      </c>
    </row>
    <row r="275" spans="1:1" x14ac:dyDescent="0.3">
      <c r="A275">
        <v>7252779130</v>
      </c>
    </row>
    <row r="276" spans="1:1" x14ac:dyDescent="0.3">
      <c r="A276">
        <v>7252785330</v>
      </c>
    </row>
    <row r="277" spans="1:1" x14ac:dyDescent="0.3">
      <c r="A277">
        <v>7252785330</v>
      </c>
    </row>
    <row r="278" spans="1:1" x14ac:dyDescent="0.3">
      <c r="A278">
        <v>7252785330</v>
      </c>
    </row>
    <row r="279" spans="1:1" x14ac:dyDescent="0.3">
      <c r="A279" t="s">
        <v>381</v>
      </c>
    </row>
    <row r="280" spans="1:1" x14ac:dyDescent="0.3">
      <c r="A280" t="s">
        <v>1178</v>
      </c>
    </row>
    <row r="281" spans="1:1" x14ac:dyDescent="0.3">
      <c r="A281" t="s">
        <v>1564</v>
      </c>
    </row>
    <row r="282" spans="1:1" x14ac:dyDescent="0.3">
      <c r="A282" t="s">
        <v>666</v>
      </c>
    </row>
    <row r="283" spans="1:1" x14ac:dyDescent="0.3">
      <c r="A283">
        <v>7223686530</v>
      </c>
    </row>
    <row r="284" spans="1:1" x14ac:dyDescent="0.3">
      <c r="A284">
        <v>7147882430</v>
      </c>
    </row>
    <row r="285" spans="1:1" x14ac:dyDescent="0.3">
      <c r="A285">
        <v>7147882430</v>
      </c>
    </row>
    <row r="286" spans="1:1" x14ac:dyDescent="0.3">
      <c r="A286" t="s">
        <v>921</v>
      </c>
    </row>
    <row r="287" spans="1:1" x14ac:dyDescent="0.3">
      <c r="A287">
        <v>7198808890</v>
      </c>
    </row>
    <row r="288" spans="1:1" x14ac:dyDescent="0.3">
      <c r="A288">
        <v>71989158</v>
      </c>
    </row>
  </sheetData>
  <autoFilter ref="A15:J149" xr:uid="{45BD9A51-7D02-4069-B9D5-5AC92DE0E874}"/>
  <phoneticPr fontId="1" type="noConversion"/>
  <conditionalFormatting sqref="A1:A1048576">
    <cfRule type="duplicateValues" dxfId="25" priority="2"/>
  </conditionalFormatting>
  <conditionalFormatting sqref="I16:I149">
    <cfRule type="cellIs" priority="1" operator="greaterThan">
      <formula>18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459D-2BA3-4DCE-8DD8-A89C7C049A96}">
  <dimension ref="A1:E31"/>
  <sheetViews>
    <sheetView topLeftCell="A10" workbookViewId="0">
      <selection activeCell="L18" sqref="L18"/>
    </sheetView>
  </sheetViews>
  <sheetFormatPr defaultRowHeight="14.4" x14ac:dyDescent="0.3"/>
  <cols>
    <col min="1" max="1" width="20.33203125" style="91" bestFit="1" customWidth="1"/>
    <col min="2" max="2" width="8.88671875" style="91"/>
    <col min="3" max="3" width="10.5546875" style="91" bestFit="1" customWidth="1"/>
    <col min="4" max="4" width="23.77734375" style="91" customWidth="1"/>
    <col min="5" max="5" width="26" style="91" customWidth="1"/>
    <col min="6" max="16384" width="8.88671875" style="91"/>
  </cols>
  <sheetData>
    <row r="1" spans="1:5" ht="25.8" x14ac:dyDescent="0.5">
      <c r="A1" s="94" t="s">
        <v>1661</v>
      </c>
      <c r="B1" s="94"/>
      <c r="C1" s="94"/>
      <c r="D1" s="94"/>
      <c r="E1" s="94"/>
    </row>
    <row r="2" spans="1:5" ht="18" x14ac:dyDescent="0.35">
      <c r="A2" s="95" t="s">
        <v>399</v>
      </c>
      <c r="B2" s="95" t="s">
        <v>1642</v>
      </c>
      <c r="C2" s="95" t="s">
        <v>1657</v>
      </c>
      <c r="D2" s="95" t="s">
        <v>1656</v>
      </c>
      <c r="E2" s="95" t="s">
        <v>1668</v>
      </c>
    </row>
    <row r="3" spans="1:5" ht="18" x14ac:dyDescent="0.35">
      <c r="A3" s="96" t="s">
        <v>1539</v>
      </c>
      <c r="B3" s="96">
        <v>2</v>
      </c>
      <c r="C3" s="95">
        <f>B3*28</f>
        <v>56</v>
      </c>
      <c r="D3" s="96" t="s">
        <v>1660</v>
      </c>
      <c r="E3" s="96"/>
    </row>
    <row r="4" spans="1:5" ht="18" x14ac:dyDescent="0.35">
      <c r="A4" s="96" t="s">
        <v>1093</v>
      </c>
      <c r="B4" s="96">
        <v>1</v>
      </c>
      <c r="C4" s="95">
        <f>B4*28</f>
        <v>28</v>
      </c>
      <c r="D4" s="96" t="s">
        <v>1658</v>
      </c>
      <c r="E4" s="96"/>
    </row>
    <row r="5" spans="1:5" ht="18" x14ac:dyDescent="0.35">
      <c r="A5" s="96" t="s">
        <v>1643</v>
      </c>
      <c r="B5" s="96">
        <v>14</v>
      </c>
      <c r="C5" s="95">
        <f>B5*28</f>
        <v>392</v>
      </c>
      <c r="D5" s="96" t="s">
        <v>1660</v>
      </c>
      <c r="E5" s="96"/>
    </row>
    <row r="6" spans="1:5" ht="18" x14ac:dyDescent="0.35">
      <c r="A6" s="96" t="s">
        <v>1098</v>
      </c>
      <c r="B6" s="96">
        <v>1</v>
      </c>
      <c r="C6" s="95">
        <f>B6*28</f>
        <v>28</v>
      </c>
      <c r="D6" s="96" t="s">
        <v>1660</v>
      </c>
      <c r="E6" s="96"/>
    </row>
    <row r="7" spans="1:5" ht="18" x14ac:dyDescent="0.35">
      <c r="A7" s="96" t="s">
        <v>1644</v>
      </c>
      <c r="B7" s="96">
        <v>15</v>
      </c>
      <c r="C7" s="95">
        <v>448</v>
      </c>
      <c r="D7" s="96" t="s">
        <v>1658</v>
      </c>
      <c r="E7" s="96"/>
    </row>
    <row r="8" spans="1:5" ht="18" x14ac:dyDescent="0.35">
      <c r="A8" s="96" t="s">
        <v>1540</v>
      </c>
      <c r="B8" s="96">
        <v>3</v>
      </c>
      <c r="C8" s="95">
        <f>B8*28</f>
        <v>84</v>
      </c>
      <c r="D8" s="96" t="s">
        <v>1658</v>
      </c>
      <c r="E8" s="96"/>
    </row>
    <row r="9" spans="1:5" ht="18" x14ac:dyDescent="0.35">
      <c r="A9" s="96" t="s">
        <v>1541</v>
      </c>
      <c r="B9" s="96">
        <v>1</v>
      </c>
      <c r="C9" s="95">
        <f>B9*28</f>
        <v>28</v>
      </c>
      <c r="D9" s="96" t="s">
        <v>1659</v>
      </c>
      <c r="E9" s="96"/>
    </row>
    <row r="10" spans="1:5" ht="18" x14ac:dyDescent="0.35">
      <c r="A10" s="96" t="s">
        <v>1542</v>
      </c>
      <c r="B10" s="96">
        <v>1</v>
      </c>
      <c r="C10" s="95">
        <f>B10*28</f>
        <v>28</v>
      </c>
      <c r="D10" s="96" t="s">
        <v>1658</v>
      </c>
      <c r="E10" s="96"/>
    </row>
    <row r="11" spans="1:5" ht="18" x14ac:dyDescent="0.35">
      <c r="A11" s="96" t="s">
        <v>1645</v>
      </c>
      <c r="B11" s="96">
        <v>1</v>
      </c>
      <c r="C11" s="95">
        <f>B11*28</f>
        <v>28</v>
      </c>
      <c r="D11" s="96" t="s">
        <v>1660</v>
      </c>
      <c r="E11" s="96"/>
    </row>
    <row r="12" spans="1:5" ht="18" x14ac:dyDescent="0.35">
      <c r="A12" s="96" t="s">
        <v>1289</v>
      </c>
      <c r="B12" s="96">
        <v>1</v>
      </c>
      <c r="C12" s="95">
        <f>B12*28</f>
        <v>28</v>
      </c>
      <c r="D12" s="96" t="s">
        <v>1660</v>
      </c>
      <c r="E12" s="96"/>
    </row>
    <row r="13" spans="1:5" ht="18" x14ac:dyDescent="0.35">
      <c r="A13" s="96" t="s">
        <v>1646</v>
      </c>
      <c r="B13" s="96">
        <v>5</v>
      </c>
      <c r="C13" s="95">
        <f>B13*28</f>
        <v>140</v>
      </c>
      <c r="D13" s="96" t="s">
        <v>1658</v>
      </c>
      <c r="E13" s="96"/>
    </row>
    <row r="14" spans="1:5" ht="18" x14ac:dyDescent="0.35">
      <c r="A14" s="96" t="s">
        <v>1552</v>
      </c>
      <c r="B14" s="96">
        <v>1</v>
      </c>
      <c r="C14" s="95">
        <f>B14*28</f>
        <v>28</v>
      </c>
      <c r="D14" s="96" t="s">
        <v>1658</v>
      </c>
      <c r="E14" s="96"/>
    </row>
    <row r="15" spans="1:5" ht="18" x14ac:dyDescent="0.35">
      <c r="A15" s="96" t="s">
        <v>1553</v>
      </c>
      <c r="B15" s="96">
        <v>1</v>
      </c>
      <c r="C15" s="95">
        <f>B15*28</f>
        <v>28</v>
      </c>
      <c r="D15" s="96" t="s">
        <v>1659</v>
      </c>
      <c r="E15" s="96"/>
    </row>
    <row r="16" spans="1:5" ht="18" x14ac:dyDescent="0.35">
      <c r="A16" s="96" t="s">
        <v>1554</v>
      </c>
      <c r="B16" s="96">
        <v>1</v>
      </c>
      <c r="C16" s="95">
        <f>B16*28</f>
        <v>28</v>
      </c>
      <c r="D16" s="96" t="s">
        <v>1658</v>
      </c>
      <c r="E16" s="96"/>
    </row>
    <row r="17" spans="1:5" ht="18" x14ac:dyDescent="0.35">
      <c r="A17" s="96" t="s">
        <v>1647</v>
      </c>
      <c r="B17" s="96">
        <v>2</v>
      </c>
      <c r="C17" s="95">
        <f>B17*28</f>
        <v>56</v>
      </c>
      <c r="D17" s="96" t="s">
        <v>1659</v>
      </c>
      <c r="E17" s="96"/>
    </row>
    <row r="18" spans="1:5" ht="18" x14ac:dyDescent="0.35">
      <c r="A18" s="96" t="s">
        <v>1555</v>
      </c>
      <c r="B18" s="96">
        <v>1</v>
      </c>
      <c r="C18" s="95">
        <f>B18*28</f>
        <v>28</v>
      </c>
      <c r="D18" s="96" t="s">
        <v>1659</v>
      </c>
      <c r="E18" s="96"/>
    </row>
    <row r="19" spans="1:5" ht="18" x14ac:dyDescent="0.35">
      <c r="A19" s="96" t="s">
        <v>1648</v>
      </c>
      <c r="B19" s="96">
        <v>2</v>
      </c>
      <c r="C19" s="95">
        <f>B19*28</f>
        <v>56</v>
      </c>
      <c r="D19" s="96" t="s">
        <v>1660</v>
      </c>
      <c r="E19" s="96"/>
    </row>
    <row r="20" spans="1:5" ht="18" x14ac:dyDescent="0.35">
      <c r="A20" s="96" t="s">
        <v>1649</v>
      </c>
      <c r="B20" s="96">
        <v>1</v>
      </c>
      <c r="C20" s="95">
        <f>B20*28</f>
        <v>28</v>
      </c>
      <c r="D20" s="96" t="s">
        <v>1660</v>
      </c>
      <c r="E20" s="96"/>
    </row>
    <row r="21" spans="1:5" ht="18" x14ac:dyDescent="0.35">
      <c r="A21" s="96" t="s">
        <v>1556</v>
      </c>
      <c r="B21" s="96">
        <v>1</v>
      </c>
      <c r="C21" s="95">
        <f>B21*28</f>
        <v>28</v>
      </c>
      <c r="D21" s="96" t="s">
        <v>1660</v>
      </c>
      <c r="E21" s="96"/>
    </row>
    <row r="22" spans="1:5" ht="18" x14ac:dyDescent="0.35">
      <c r="A22" s="96" t="s">
        <v>1650</v>
      </c>
      <c r="B22" s="96">
        <v>1</v>
      </c>
      <c r="C22" s="95">
        <f>B22*28</f>
        <v>28</v>
      </c>
      <c r="D22" s="96" t="s">
        <v>1658</v>
      </c>
      <c r="E22" s="96"/>
    </row>
    <row r="23" spans="1:5" ht="18" x14ac:dyDescent="0.35">
      <c r="A23" s="96" t="s">
        <v>1557</v>
      </c>
      <c r="B23" s="96">
        <v>1</v>
      </c>
      <c r="C23" s="95">
        <f>B23*28</f>
        <v>28</v>
      </c>
      <c r="D23" s="96" t="s">
        <v>1658</v>
      </c>
      <c r="E23" s="96"/>
    </row>
    <row r="24" spans="1:5" ht="18" x14ac:dyDescent="0.35">
      <c r="A24" s="96" t="s">
        <v>1651</v>
      </c>
      <c r="B24" s="96">
        <v>8</v>
      </c>
      <c r="C24" s="95">
        <f>B24*28</f>
        <v>224</v>
      </c>
      <c r="D24" s="96" t="s">
        <v>1660</v>
      </c>
      <c r="E24" s="96"/>
    </row>
    <row r="25" spans="1:5" ht="18" x14ac:dyDescent="0.35">
      <c r="A25" s="96" t="s">
        <v>1558</v>
      </c>
      <c r="B25" s="96">
        <v>3</v>
      </c>
      <c r="C25" s="95">
        <f>B25*28</f>
        <v>84</v>
      </c>
      <c r="D25" s="96" t="s">
        <v>1660</v>
      </c>
      <c r="E25" s="96"/>
    </row>
    <row r="26" spans="1:5" ht="18" x14ac:dyDescent="0.35">
      <c r="A26" s="96" t="s">
        <v>1652</v>
      </c>
      <c r="B26" s="96">
        <v>3</v>
      </c>
      <c r="C26" s="95">
        <f>B26*28</f>
        <v>84</v>
      </c>
      <c r="D26" s="96" t="s">
        <v>1658</v>
      </c>
      <c r="E26" s="96"/>
    </row>
    <row r="27" spans="1:5" ht="18" x14ac:dyDescent="0.35">
      <c r="A27" s="96" t="s">
        <v>1559</v>
      </c>
      <c r="B27" s="96">
        <v>1</v>
      </c>
      <c r="C27" s="95">
        <f>B27*28</f>
        <v>28</v>
      </c>
      <c r="D27" s="96" t="s">
        <v>1658</v>
      </c>
      <c r="E27" s="96"/>
    </row>
    <row r="28" spans="1:5" ht="18" x14ac:dyDescent="0.35">
      <c r="A28" s="96" t="s">
        <v>1653</v>
      </c>
      <c r="B28" s="96">
        <v>2</v>
      </c>
      <c r="C28" s="95">
        <f>B28*28</f>
        <v>56</v>
      </c>
      <c r="D28" s="96" t="s">
        <v>1659</v>
      </c>
      <c r="E28" s="96"/>
    </row>
    <row r="29" spans="1:5" ht="18" x14ac:dyDescent="0.35">
      <c r="A29" s="96" t="s">
        <v>1560</v>
      </c>
      <c r="B29" s="96">
        <v>1</v>
      </c>
      <c r="C29" s="95">
        <f>B29*28</f>
        <v>28</v>
      </c>
      <c r="D29" s="96" t="s">
        <v>1658</v>
      </c>
      <c r="E29" s="96"/>
    </row>
    <row r="30" spans="1:5" ht="18" x14ac:dyDescent="0.35">
      <c r="A30" s="96" t="s">
        <v>1654</v>
      </c>
      <c r="B30" s="96">
        <v>4</v>
      </c>
      <c r="C30" s="95">
        <f>B30*28</f>
        <v>112</v>
      </c>
      <c r="D30" s="96" t="s">
        <v>1658</v>
      </c>
      <c r="E30" s="96"/>
    </row>
    <row r="31" spans="1:5" ht="18" x14ac:dyDescent="0.35">
      <c r="A31" s="96" t="s">
        <v>1655</v>
      </c>
      <c r="B31" s="96">
        <v>8</v>
      </c>
      <c r="C31" s="95">
        <f>B31*28</f>
        <v>224</v>
      </c>
      <c r="D31" s="96" t="s">
        <v>1659</v>
      </c>
      <c r="E31" s="96"/>
    </row>
  </sheetData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F5FD-7259-407E-83AB-08F4F27B166E}">
  <sheetPr>
    <pageSetUpPr fitToPage="1"/>
  </sheetPr>
  <dimension ref="A1:E42"/>
  <sheetViews>
    <sheetView topLeftCell="A21" workbookViewId="0">
      <selection sqref="A1:E42"/>
    </sheetView>
  </sheetViews>
  <sheetFormatPr defaultRowHeight="14.4" x14ac:dyDescent="0.3"/>
  <cols>
    <col min="1" max="1" width="61.77734375" style="91" bestFit="1" customWidth="1"/>
    <col min="2" max="2" width="8.88671875" style="91"/>
    <col min="3" max="3" width="10.5546875" style="91" bestFit="1" customWidth="1"/>
    <col min="4" max="4" width="8.44140625" style="91" bestFit="1" customWidth="1"/>
    <col min="5" max="5" width="26" style="91" customWidth="1"/>
    <col min="6" max="16384" width="8.88671875" style="91"/>
  </cols>
  <sheetData>
    <row r="1" spans="1:5" ht="25.8" x14ac:dyDescent="0.5">
      <c r="A1" s="94" t="s">
        <v>1667</v>
      </c>
      <c r="B1" s="94"/>
      <c r="C1" s="94"/>
      <c r="D1" s="94"/>
      <c r="E1" s="94"/>
    </row>
    <row r="2" spans="1:5" ht="18" x14ac:dyDescent="0.35">
      <c r="A2" s="95" t="s">
        <v>399</v>
      </c>
      <c r="B2" s="95" t="s">
        <v>1642</v>
      </c>
      <c r="C2" s="95" t="s">
        <v>1657</v>
      </c>
      <c r="D2" s="95" t="s">
        <v>1666</v>
      </c>
      <c r="E2" s="95" t="s">
        <v>1668</v>
      </c>
    </row>
    <row r="3" spans="1:5" ht="18" x14ac:dyDescent="0.35">
      <c r="A3" s="97">
        <v>71186354</v>
      </c>
      <c r="B3" s="96">
        <v>1</v>
      </c>
      <c r="C3" s="95">
        <f>Table2123[[#This Row],[qtyx1]]*28</f>
        <v>28</v>
      </c>
      <c r="D3" s="96" t="s">
        <v>1662</v>
      </c>
      <c r="E3" s="96"/>
    </row>
    <row r="4" spans="1:5" ht="18" x14ac:dyDescent="0.35">
      <c r="A4" s="97" t="s">
        <v>623</v>
      </c>
      <c r="B4" s="96">
        <v>2</v>
      </c>
      <c r="C4" s="95">
        <f>Table2123[[#This Row],[qtyx1]]*28</f>
        <v>56</v>
      </c>
      <c r="D4" s="96"/>
      <c r="E4" s="96"/>
    </row>
    <row r="5" spans="1:5" ht="18" x14ac:dyDescent="0.35">
      <c r="A5" s="97">
        <v>7118670020</v>
      </c>
      <c r="B5" s="96">
        <v>1</v>
      </c>
      <c r="C5" s="95">
        <f>Table2123[[#This Row],[qtyx1]]*28</f>
        <v>28</v>
      </c>
      <c r="D5" s="96" t="s">
        <v>1664</v>
      </c>
      <c r="E5" s="96"/>
    </row>
    <row r="6" spans="1:5" ht="18" x14ac:dyDescent="0.35">
      <c r="A6" s="97">
        <v>7119131530</v>
      </c>
      <c r="B6" s="96">
        <v>3</v>
      </c>
      <c r="C6" s="95">
        <f>Table2123[[#This Row],[qtyx1]]*28</f>
        <v>84</v>
      </c>
      <c r="D6" s="96"/>
      <c r="E6" s="96"/>
    </row>
    <row r="7" spans="1:5" ht="18" x14ac:dyDescent="0.35">
      <c r="A7" s="97">
        <v>7119146730</v>
      </c>
      <c r="B7" s="96">
        <v>1</v>
      </c>
      <c r="C7" s="95">
        <f>Table2123[[#This Row],[qtyx1]]*28</f>
        <v>28</v>
      </c>
      <c r="D7" s="96"/>
      <c r="E7" s="96"/>
    </row>
    <row r="8" spans="1:5" ht="18" x14ac:dyDescent="0.35">
      <c r="A8" s="97">
        <v>7119163630</v>
      </c>
      <c r="B8" s="96">
        <v>4</v>
      </c>
      <c r="C8" s="95">
        <f>Table2123[[#This Row],[qtyx1]]*28</f>
        <v>112</v>
      </c>
      <c r="D8" s="96"/>
      <c r="E8" s="96"/>
    </row>
    <row r="9" spans="1:5" ht="18" x14ac:dyDescent="0.35">
      <c r="A9" s="97">
        <v>7119172930</v>
      </c>
      <c r="B9" s="96">
        <v>1</v>
      </c>
      <c r="C9" s="95">
        <f>Table2123[[#This Row],[qtyx1]]*28</f>
        <v>28</v>
      </c>
      <c r="D9" s="96"/>
      <c r="E9" s="96"/>
    </row>
    <row r="10" spans="1:5" ht="18" x14ac:dyDescent="0.35">
      <c r="A10" s="97">
        <v>71191993</v>
      </c>
      <c r="B10" s="96">
        <v>1</v>
      </c>
      <c r="C10" s="95">
        <f>Table2123[[#This Row],[qtyx1]]*28</f>
        <v>28</v>
      </c>
      <c r="D10" s="96"/>
      <c r="E10" s="96"/>
    </row>
    <row r="11" spans="1:5" ht="18" x14ac:dyDescent="0.35">
      <c r="A11" s="97">
        <v>7119639830</v>
      </c>
      <c r="B11" s="96">
        <v>1</v>
      </c>
      <c r="C11" s="95">
        <f>Table2123[[#This Row],[qtyx1]]*28</f>
        <v>28</v>
      </c>
      <c r="D11" s="96"/>
      <c r="E11" s="96"/>
    </row>
    <row r="12" spans="1:5" ht="18" x14ac:dyDescent="0.35">
      <c r="A12" s="97">
        <v>71196401</v>
      </c>
      <c r="B12" s="96">
        <v>1</v>
      </c>
      <c r="C12" s="95">
        <f>Table2123[[#This Row],[qtyx1]]*28</f>
        <v>28</v>
      </c>
      <c r="D12" s="96"/>
      <c r="E12" s="96"/>
    </row>
    <row r="13" spans="1:5" ht="18" x14ac:dyDescent="0.35">
      <c r="A13" s="97">
        <v>7119641970</v>
      </c>
      <c r="B13" s="96">
        <v>1</v>
      </c>
      <c r="C13" s="95">
        <f>Table2123[[#This Row],[qtyx1]]*28</f>
        <v>28</v>
      </c>
      <c r="D13" s="96"/>
      <c r="E13" s="96"/>
    </row>
    <row r="14" spans="1:5" ht="18" x14ac:dyDescent="0.35">
      <c r="A14" s="97">
        <v>71196506</v>
      </c>
      <c r="B14" s="96">
        <v>1</v>
      </c>
      <c r="C14" s="95">
        <f>Table2123[[#This Row],[qtyx1]]*28</f>
        <v>28</v>
      </c>
      <c r="D14" s="96"/>
      <c r="E14" s="96"/>
    </row>
    <row r="15" spans="1:5" ht="18" x14ac:dyDescent="0.35">
      <c r="A15" s="97">
        <v>7119668820</v>
      </c>
      <c r="B15" s="96">
        <v>1</v>
      </c>
      <c r="C15" s="95">
        <f>Table2123[[#This Row],[qtyx1]]*28</f>
        <v>28</v>
      </c>
      <c r="D15" s="96"/>
      <c r="E15" s="96"/>
    </row>
    <row r="16" spans="1:5" ht="18" x14ac:dyDescent="0.35">
      <c r="A16" s="97">
        <v>71196714</v>
      </c>
      <c r="B16" s="96">
        <v>1</v>
      </c>
      <c r="C16" s="95">
        <f>Table2123[[#This Row],[qtyx1]]*28</f>
        <v>28</v>
      </c>
      <c r="D16" s="96"/>
      <c r="E16" s="96"/>
    </row>
    <row r="17" spans="1:5" ht="18" x14ac:dyDescent="0.35">
      <c r="A17" s="97">
        <v>71781227</v>
      </c>
      <c r="B17" s="96">
        <v>1</v>
      </c>
      <c r="C17" s="95">
        <f>Table2123[[#This Row],[qtyx1]]*28</f>
        <v>28</v>
      </c>
      <c r="D17" s="96"/>
      <c r="E17" s="96"/>
    </row>
    <row r="18" spans="1:5" ht="18" x14ac:dyDescent="0.35">
      <c r="A18" s="97">
        <v>71782472</v>
      </c>
      <c r="B18" s="96">
        <v>1</v>
      </c>
      <c r="C18" s="95">
        <f>Table2123[[#This Row],[qtyx1]]*28</f>
        <v>28</v>
      </c>
      <c r="D18" s="96"/>
      <c r="E18" s="96"/>
    </row>
    <row r="19" spans="1:5" ht="18" x14ac:dyDescent="0.35">
      <c r="A19" s="97">
        <v>7183753630</v>
      </c>
      <c r="B19" s="96">
        <v>1</v>
      </c>
      <c r="C19" s="95">
        <f>Table2123[[#This Row],[qtyx1]]*28</f>
        <v>28</v>
      </c>
      <c r="D19" s="96"/>
      <c r="E19" s="96"/>
    </row>
    <row r="20" spans="1:5" ht="18" x14ac:dyDescent="0.35">
      <c r="A20" s="97" t="s">
        <v>242</v>
      </c>
      <c r="B20" s="96">
        <v>1</v>
      </c>
      <c r="C20" s="95">
        <f>Table2123[[#This Row],[qtyx1]]*28</f>
        <v>28</v>
      </c>
      <c r="D20" s="96"/>
      <c r="E20" s="96"/>
    </row>
    <row r="21" spans="1:5" ht="18" x14ac:dyDescent="0.35">
      <c r="A21" s="97">
        <v>71897277</v>
      </c>
      <c r="B21" s="96">
        <v>1</v>
      </c>
      <c r="C21" s="95">
        <f>Table2123[[#This Row],[qtyx1]]*28</f>
        <v>28</v>
      </c>
      <c r="D21" s="96"/>
      <c r="E21" s="96"/>
    </row>
    <row r="22" spans="1:5" ht="18" x14ac:dyDescent="0.35">
      <c r="A22" s="97">
        <v>71899503</v>
      </c>
      <c r="B22" s="96">
        <v>2</v>
      </c>
      <c r="C22" s="95">
        <f>Table2123[[#This Row],[qtyx1]]*28</f>
        <v>56</v>
      </c>
      <c r="D22" s="96"/>
      <c r="E22" s="96"/>
    </row>
    <row r="23" spans="1:5" ht="18" x14ac:dyDescent="0.35">
      <c r="A23" s="97">
        <v>7189982830</v>
      </c>
      <c r="B23" s="96">
        <v>1</v>
      </c>
      <c r="C23" s="95">
        <f>Table2123[[#This Row],[qtyx1]]*28</f>
        <v>28</v>
      </c>
      <c r="D23" s="96"/>
      <c r="E23" s="96"/>
    </row>
    <row r="24" spans="1:5" ht="18" x14ac:dyDescent="0.35">
      <c r="A24" s="97">
        <v>7198796290</v>
      </c>
      <c r="B24" s="96">
        <v>2</v>
      </c>
      <c r="C24" s="95">
        <f>Table2123[[#This Row],[qtyx1]]*28</f>
        <v>56</v>
      </c>
      <c r="D24" s="96"/>
      <c r="E24" s="96"/>
    </row>
    <row r="25" spans="1:5" ht="18" x14ac:dyDescent="0.35">
      <c r="A25" s="97">
        <v>71988082</v>
      </c>
      <c r="B25" s="96">
        <v>1</v>
      </c>
      <c r="C25" s="95">
        <f>Table2123[[#This Row],[qtyx1]]*28</f>
        <v>28</v>
      </c>
      <c r="D25" s="96"/>
      <c r="E25" s="96"/>
    </row>
    <row r="26" spans="1:5" ht="18" x14ac:dyDescent="0.35">
      <c r="A26" s="97">
        <v>7198916130</v>
      </c>
      <c r="B26" s="96">
        <v>1</v>
      </c>
      <c r="C26" s="95">
        <f>Table2123[[#This Row],[qtyx1]]*28</f>
        <v>28</v>
      </c>
      <c r="D26" s="96"/>
      <c r="E26" s="96"/>
    </row>
    <row r="27" spans="1:5" ht="18" x14ac:dyDescent="0.35">
      <c r="A27" s="97">
        <v>71989162</v>
      </c>
      <c r="B27" s="96">
        <v>3</v>
      </c>
      <c r="C27" s="95">
        <f>Table2123[[#This Row],[qtyx1]]*28</f>
        <v>84</v>
      </c>
      <c r="D27" s="96"/>
      <c r="E27" s="96"/>
    </row>
    <row r="28" spans="1:5" ht="18" x14ac:dyDescent="0.35">
      <c r="A28" s="97">
        <v>7198948560</v>
      </c>
      <c r="B28" s="96">
        <v>1</v>
      </c>
      <c r="C28" s="95">
        <f>Table2123[[#This Row],[qtyx1]]*28</f>
        <v>28</v>
      </c>
      <c r="D28" s="96"/>
      <c r="E28" s="96"/>
    </row>
    <row r="29" spans="1:5" ht="18" x14ac:dyDescent="0.35">
      <c r="A29" s="97">
        <v>7223686530</v>
      </c>
      <c r="B29" s="96">
        <v>1</v>
      </c>
      <c r="C29" s="95">
        <f>Table2123[[#This Row],[qtyx1]]*28</f>
        <v>28</v>
      </c>
      <c r="D29" s="96"/>
      <c r="E29" s="96"/>
    </row>
    <row r="30" spans="1:5" ht="18" x14ac:dyDescent="0.35">
      <c r="A30" s="97">
        <v>7278246930</v>
      </c>
      <c r="B30" s="96">
        <v>2</v>
      </c>
      <c r="C30" s="95">
        <f>Table2123[[#This Row],[qtyx1]]*28</f>
        <v>56</v>
      </c>
      <c r="D30" s="96"/>
      <c r="E30" s="96"/>
    </row>
    <row r="31" spans="1:5" ht="18" x14ac:dyDescent="0.35">
      <c r="A31" s="97">
        <v>7289896430</v>
      </c>
      <c r="B31" s="96">
        <v>1</v>
      </c>
      <c r="C31" s="95">
        <f>Table2123[[#This Row],[qtyx1]]*28</f>
        <v>28</v>
      </c>
      <c r="D31" s="96"/>
      <c r="E31" s="96"/>
    </row>
    <row r="32" spans="1:5" ht="18" x14ac:dyDescent="0.35">
      <c r="A32" s="97">
        <v>7297944190</v>
      </c>
      <c r="B32" s="96">
        <v>2</v>
      </c>
      <c r="C32" s="95">
        <f>Table2123[[#This Row],[qtyx1]]*28</f>
        <v>56</v>
      </c>
      <c r="D32" s="96"/>
      <c r="E32" s="96"/>
    </row>
    <row r="33" spans="1:5" ht="18" x14ac:dyDescent="0.35">
      <c r="A33" s="97">
        <v>7298948930</v>
      </c>
      <c r="B33" s="96">
        <v>1</v>
      </c>
      <c r="C33" s="95">
        <f>Table2123[[#This Row],[qtyx1]]*28</f>
        <v>28</v>
      </c>
      <c r="D33" s="96"/>
      <c r="E33" s="96"/>
    </row>
    <row r="34" spans="1:5" ht="18" x14ac:dyDescent="0.35">
      <c r="A34" s="97">
        <v>7298949030</v>
      </c>
      <c r="B34" s="96">
        <v>1</v>
      </c>
      <c r="C34" s="95">
        <f>Table2123[[#This Row],[qtyx1]]*28</f>
        <v>28</v>
      </c>
      <c r="D34" s="96"/>
      <c r="E34" s="96"/>
    </row>
    <row r="35" spans="1:5" ht="18" x14ac:dyDescent="0.35">
      <c r="A35" s="97" t="s">
        <v>700</v>
      </c>
      <c r="B35" s="96">
        <v>2</v>
      </c>
      <c r="C35" s="95">
        <f>Table2123[[#This Row],[qtyx1]]*28</f>
        <v>56</v>
      </c>
      <c r="D35" s="96"/>
      <c r="E35" s="96"/>
    </row>
    <row r="36" spans="1:5" ht="18" x14ac:dyDescent="0.35">
      <c r="A36" s="97" t="s">
        <v>276</v>
      </c>
      <c r="B36" s="96">
        <v>1</v>
      </c>
      <c r="C36" s="95">
        <f>Table2123[[#This Row],[qtyx1]]*28</f>
        <v>28</v>
      </c>
      <c r="D36" s="96"/>
      <c r="E36" s="96"/>
    </row>
    <row r="37" spans="1:5" ht="18" x14ac:dyDescent="0.35">
      <c r="A37" s="97" t="s">
        <v>707</v>
      </c>
      <c r="B37" s="96">
        <v>1</v>
      </c>
      <c r="C37" s="95">
        <f>Table2123[[#This Row],[qtyx1]]*28</f>
        <v>28</v>
      </c>
      <c r="D37" s="96"/>
      <c r="E37" s="96"/>
    </row>
    <row r="38" spans="1:5" ht="18" x14ac:dyDescent="0.35">
      <c r="A38" s="97" t="s">
        <v>261</v>
      </c>
      <c r="B38" s="96">
        <v>1</v>
      </c>
      <c r="C38" s="95">
        <f>Table2123[[#This Row],[qtyx1]]*28</f>
        <v>28</v>
      </c>
      <c r="D38" s="96"/>
      <c r="E38" s="96"/>
    </row>
    <row r="39" spans="1:5" ht="18" x14ac:dyDescent="0.35">
      <c r="A39" s="97" t="s">
        <v>269</v>
      </c>
      <c r="B39" s="96">
        <v>2</v>
      </c>
      <c r="C39" s="95">
        <f>Table2123[[#This Row],[qtyx1]]*28</f>
        <v>56</v>
      </c>
      <c r="D39" s="96"/>
      <c r="E39" s="96"/>
    </row>
    <row r="40" spans="1:5" ht="18" x14ac:dyDescent="0.35">
      <c r="A40" s="97" t="s">
        <v>270</v>
      </c>
      <c r="B40" s="96">
        <v>2</v>
      </c>
      <c r="C40" s="95">
        <f>Table2123[[#This Row],[qtyx1]]*28</f>
        <v>56</v>
      </c>
      <c r="D40" s="96"/>
      <c r="E40" s="96"/>
    </row>
    <row r="41" spans="1:5" ht="18" x14ac:dyDescent="0.35">
      <c r="A41" s="97" t="s">
        <v>291</v>
      </c>
      <c r="B41" s="96">
        <v>1</v>
      </c>
      <c r="C41" s="95">
        <f>Table2123[[#This Row],[qtyx1]]*28</f>
        <v>28</v>
      </c>
      <c r="D41" s="96"/>
      <c r="E41" s="96"/>
    </row>
    <row r="42" spans="1:5" ht="18" x14ac:dyDescent="0.35">
      <c r="A42" s="97" t="s">
        <v>767</v>
      </c>
      <c r="B42" s="96">
        <v>4</v>
      </c>
      <c r="C42" s="95">
        <f>Table2123[[#This Row],[qtyx1]]*28</f>
        <v>112</v>
      </c>
      <c r="D42" s="96"/>
      <c r="E42" s="96"/>
    </row>
  </sheetData>
  <mergeCells count="1">
    <mergeCell ref="A1:E1"/>
  </mergeCells>
  <pageMargins left="0.7" right="0.7" top="0.75" bottom="0.75" header="0.3" footer="0.3"/>
  <pageSetup scale="78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A4B7-E3BB-4FA9-B54D-228FB9F24DB0}">
  <sheetPr>
    <pageSetUpPr fitToPage="1"/>
  </sheetPr>
  <dimension ref="A1:K54"/>
  <sheetViews>
    <sheetView topLeftCell="B1" workbookViewId="0">
      <selection activeCell="B9" sqref="B9"/>
    </sheetView>
  </sheetViews>
  <sheetFormatPr defaultRowHeight="14.4" x14ac:dyDescent="0.3"/>
  <cols>
    <col min="1" max="1" width="14.109375" hidden="1" customWidth="1"/>
    <col min="2" max="2" width="19.44140625" bestFit="1" customWidth="1"/>
    <col min="3" max="3" width="13.5546875" bestFit="1" customWidth="1"/>
    <col min="4" max="4" width="40.21875" bestFit="1" customWidth="1"/>
    <col min="5" max="5" width="9.5546875" bestFit="1" customWidth="1"/>
    <col min="6" max="6" width="10.5546875" bestFit="1" customWidth="1"/>
    <col min="7" max="7" width="10.33203125" bestFit="1" customWidth="1"/>
    <col min="8" max="9" width="9.77734375" bestFit="1" customWidth="1"/>
    <col min="10" max="10" width="11" bestFit="1" customWidth="1"/>
    <col min="11" max="11" width="9.77734375" customWidth="1"/>
  </cols>
  <sheetData>
    <row r="1" spans="1:11" x14ac:dyDescent="0.3">
      <c r="A1" t="s">
        <v>1056</v>
      </c>
      <c r="B1" t="s">
        <v>390</v>
      </c>
      <c r="C1" t="s">
        <v>392</v>
      </c>
      <c r="D1" t="s">
        <v>399</v>
      </c>
      <c r="E1" t="s">
        <v>400</v>
      </c>
      <c r="F1" t="s">
        <v>23</v>
      </c>
      <c r="G1" t="s">
        <v>391</v>
      </c>
      <c r="H1" t="s">
        <v>1057</v>
      </c>
      <c r="I1" t="s">
        <v>1058</v>
      </c>
      <c r="J1" t="s">
        <v>1059</v>
      </c>
      <c r="K1" t="s">
        <v>1060</v>
      </c>
    </row>
    <row r="2" spans="1:11" x14ac:dyDescent="0.3">
      <c r="A2">
        <v>1446</v>
      </c>
      <c r="B2" t="s">
        <v>1614</v>
      </c>
      <c r="C2" s="98" t="s">
        <v>170</v>
      </c>
      <c r="D2" t="s">
        <v>267</v>
      </c>
      <c r="E2">
        <v>7</v>
      </c>
      <c r="F2">
        <v>19</v>
      </c>
      <c r="G2">
        <v>28</v>
      </c>
      <c r="H2" t="s">
        <v>1061</v>
      </c>
      <c r="I2" t="s">
        <v>1061</v>
      </c>
      <c r="J2" t="s">
        <v>1061</v>
      </c>
      <c r="K2" t="s">
        <v>1061</v>
      </c>
    </row>
    <row r="3" spans="1:11" x14ac:dyDescent="0.3">
      <c r="A3">
        <v>1476</v>
      </c>
      <c r="B3" t="s">
        <v>1671</v>
      </c>
      <c r="C3" s="98" t="s">
        <v>1223</v>
      </c>
      <c r="D3" t="s">
        <v>502</v>
      </c>
      <c r="E3">
        <v>25</v>
      </c>
      <c r="F3">
        <v>20</v>
      </c>
      <c r="G3">
        <v>112</v>
      </c>
      <c r="H3" t="s">
        <v>1061</v>
      </c>
      <c r="I3" t="s">
        <v>1061</v>
      </c>
      <c r="J3" t="s">
        <v>1061</v>
      </c>
      <c r="K3" t="s">
        <v>1061</v>
      </c>
    </row>
    <row r="4" spans="1:11" x14ac:dyDescent="0.3">
      <c r="A4">
        <v>1470</v>
      </c>
      <c r="B4" t="s">
        <v>1682</v>
      </c>
      <c r="C4" s="98" t="s">
        <v>1117</v>
      </c>
      <c r="D4" t="s">
        <v>472</v>
      </c>
      <c r="E4">
        <v>25</v>
      </c>
      <c r="F4">
        <v>20</v>
      </c>
      <c r="G4">
        <v>28</v>
      </c>
      <c r="H4" t="s">
        <v>1061</v>
      </c>
      <c r="I4" t="s">
        <v>1061</v>
      </c>
      <c r="J4" t="s">
        <v>1061</v>
      </c>
      <c r="K4" t="s">
        <v>1061</v>
      </c>
    </row>
    <row r="5" spans="1:11" x14ac:dyDescent="0.3">
      <c r="A5">
        <v>1457</v>
      </c>
      <c r="B5" t="s">
        <v>1635</v>
      </c>
      <c r="C5" s="98" t="s">
        <v>967</v>
      </c>
      <c r="D5" t="s">
        <v>1052</v>
      </c>
      <c r="E5">
        <v>7</v>
      </c>
      <c r="F5">
        <v>19</v>
      </c>
      <c r="G5">
        <v>56</v>
      </c>
      <c r="H5" t="s">
        <v>1061</v>
      </c>
      <c r="I5" t="s">
        <v>1061</v>
      </c>
      <c r="J5" t="s">
        <v>1061</v>
      </c>
      <c r="K5" t="s">
        <v>1061</v>
      </c>
    </row>
    <row r="6" spans="1:11" x14ac:dyDescent="0.3">
      <c r="A6">
        <v>1449</v>
      </c>
      <c r="B6" t="s">
        <v>1617</v>
      </c>
      <c r="C6" s="98" t="s">
        <v>193</v>
      </c>
      <c r="D6" t="s">
        <v>462</v>
      </c>
      <c r="E6">
        <v>25</v>
      </c>
      <c r="F6">
        <v>19</v>
      </c>
      <c r="G6">
        <v>840</v>
      </c>
      <c r="H6" t="s">
        <v>1061</v>
      </c>
      <c r="I6" t="s">
        <v>1061</v>
      </c>
      <c r="J6" t="s">
        <v>1061</v>
      </c>
      <c r="K6" t="s">
        <v>1061</v>
      </c>
    </row>
    <row r="7" spans="1:11" x14ac:dyDescent="0.3">
      <c r="A7">
        <v>1431</v>
      </c>
      <c r="B7" t="s">
        <v>1594</v>
      </c>
      <c r="C7" s="98" t="s">
        <v>138</v>
      </c>
      <c r="D7" t="s">
        <v>1595</v>
      </c>
      <c r="E7">
        <v>7</v>
      </c>
      <c r="F7">
        <v>19</v>
      </c>
      <c r="G7">
        <v>56</v>
      </c>
      <c r="H7" t="s">
        <v>1061</v>
      </c>
      <c r="I7" t="s">
        <v>1061</v>
      </c>
      <c r="J7" t="s">
        <v>1061</v>
      </c>
      <c r="K7" t="s">
        <v>1061</v>
      </c>
    </row>
    <row r="8" spans="1:11" x14ac:dyDescent="0.3">
      <c r="A8">
        <v>1469</v>
      </c>
      <c r="B8" t="s">
        <v>1675</v>
      </c>
      <c r="C8" s="98" t="s">
        <v>1243</v>
      </c>
      <c r="D8" t="s">
        <v>468</v>
      </c>
      <c r="E8">
        <v>25</v>
      </c>
      <c r="F8">
        <v>20</v>
      </c>
      <c r="G8">
        <v>28</v>
      </c>
      <c r="H8" t="s">
        <v>1061</v>
      </c>
      <c r="I8" t="s">
        <v>1061</v>
      </c>
      <c r="J8" t="s">
        <v>1061</v>
      </c>
      <c r="K8" t="s">
        <v>1061</v>
      </c>
    </row>
    <row r="9" spans="1:11" x14ac:dyDescent="0.3">
      <c r="A9">
        <v>1454</v>
      </c>
      <c r="B9" t="s">
        <v>1625</v>
      </c>
      <c r="C9" s="98" t="s">
        <v>213</v>
      </c>
      <c r="D9" t="s">
        <v>502</v>
      </c>
      <c r="E9">
        <v>25</v>
      </c>
      <c r="F9">
        <v>19</v>
      </c>
      <c r="G9">
        <v>364</v>
      </c>
      <c r="H9" t="s">
        <v>1061</v>
      </c>
      <c r="I9" t="s">
        <v>1061</v>
      </c>
      <c r="J9" t="s">
        <v>1061</v>
      </c>
      <c r="K9" t="s">
        <v>1061</v>
      </c>
    </row>
    <row r="10" spans="1:11" x14ac:dyDescent="0.3">
      <c r="A10">
        <v>1444</v>
      </c>
      <c r="B10" t="s">
        <v>1612</v>
      </c>
      <c r="C10" s="98" t="s">
        <v>166</v>
      </c>
      <c r="D10" t="s">
        <v>1067</v>
      </c>
      <c r="E10">
        <v>7</v>
      </c>
      <c r="F10">
        <v>19</v>
      </c>
      <c r="G10">
        <v>28</v>
      </c>
      <c r="H10" t="s">
        <v>1061</v>
      </c>
      <c r="I10" t="s">
        <v>1061</v>
      </c>
      <c r="J10" t="s">
        <v>1061</v>
      </c>
      <c r="K10" t="s">
        <v>1061</v>
      </c>
    </row>
    <row r="11" spans="1:11" x14ac:dyDescent="0.3">
      <c r="A11">
        <v>1442</v>
      </c>
      <c r="B11" t="s">
        <v>1610</v>
      </c>
      <c r="C11" s="98" t="s">
        <v>164</v>
      </c>
      <c r="D11" t="s">
        <v>262</v>
      </c>
      <c r="E11">
        <v>7</v>
      </c>
      <c r="F11">
        <v>19</v>
      </c>
      <c r="G11">
        <v>56</v>
      </c>
      <c r="H11" t="s">
        <v>1061</v>
      </c>
      <c r="I11" t="s">
        <v>1061</v>
      </c>
      <c r="J11" t="s">
        <v>1061</v>
      </c>
      <c r="K11" t="s">
        <v>1061</v>
      </c>
    </row>
    <row r="12" spans="1:11" x14ac:dyDescent="0.3">
      <c r="A12">
        <v>1436</v>
      </c>
      <c r="B12" t="s">
        <v>1603</v>
      </c>
      <c r="C12" s="98" t="s">
        <v>154</v>
      </c>
      <c r="D12" t="s">
        <v>1580</v>
      </c>
      <c r="E12">
        <v>7</v>
      </c>
      <c r="F12">
        <v>19</v>
      </c>
      <c r="G12">
        <v>56</v>
      </c>
      <c r="H12" t="s">
        <v>1061</v>
      </c>
      <c r="I12" t="s">
        <v>1061</v>
      </c>
      <c r="J12" t="s">
        <v>1061</v>
      </c>
      <c r="K12" t="s">
        <v>1061</v>
      </c>
    </row>
    <row r="13" spans="1:11" x14ac:dyDescent="0.3">
      <c r="A13">
        <v>1461</v>
      </c>
      <c r="B13" t="s">
        <v>1637</v>
      </c>
      <c r="C13" s="98" t="s">
        <v>1091</v>
      </c>
      <c r="D13" t="s">
        <v>1620</v>
      </c>
      <c r="E13">
        <v>7</v>
      </c>
      <c r="F13">
        <v>19</v>
      </c>
      <c r="G13">
        <v>28</v>
      </c>
      <c r="H13" t="s">
        <v>1061</v>
      </c>
      <c r="I13" t="s">
        <v>1061</v>
      </c>
      <c r="J13" t="s">
        <v>1061</v>
      </c>
      <c r="K13" t="s">
        <v>1061</v>
      </c>
    </row>
    <row r="14" spans="1:11" x14ac:dyDescent="0.3">
      <c r="A14">
        <v>1458</v>
      </c>
      <c r="B14" t="s">
        <v>1631</v>
      </c>
      <c r="C14" s="98" t="s">
        <v>1070</v>
      </c>
      <c r="D14" t="s">
        <v>1630</v>
      </c>
      <c r="E14">
        <v>7</v>
      </c>
      <c r="F14">
        <v>19</v>
      </c>
      <c r="G14">
        <v>28</v>
      </c>
      <c r="H14" t="s">
        <v>1061</v>
      </c>
      <c r="I14" t="s">
        <v>1061</v>
      </c>
      <c r="J14" t="s">
        <v>1061</v>
      </c>
      <c r="K14" t="s">
        <v>1061</v>
      </c>
    </row>
    <row r="15" spans="1:11" x14ac:dyDescent="0.3">
      <c r="A15">
        <v>1438</v>
      </c>
      <c r="B15" t="s">
        <v>1606</v>
      </c>
      <c r="C15" s="98" t="s">
        <v>158</v>
      </c>
      <c r="D15" t="s">
        <v>1563</v>
      </c>
      <c r="E15">
        <v>7</v>
      </c>
      <c r="F15">
        <v>19</v>
      </c>
      <c r="G15">
        <v>280</v>
      </c>
      <c r="H15" t="s">
        <v>1061</v>
      </c>
      <c r="I15" t="s">
        <v>1061</v>
      </c>
      <c r="J15" t="s">
        <v>1061</v>
      </c>
      <c r="K15" t="s">
        <v>1061</v>
      </c>
    </row>
    <row r="16" spans="1:11" x14ac:dyDescent="0.3">
      <c r="A16">
        <v>1471</v>
      </c>
      <c r="B16" t="s">
        <v>1680</v>
      </c>
      <c r="C16" s="98" t="s">
        <v>1186</v>
      </c>
      <c r="D16" t="s">
        <v>482</v>
      </c>
      <c r="E16">
        <v>25</v>
      </c>
      <c r="F16">
        <v>20</v>
      </c>
      <c r="G16">
        <v>28</v>
      </c>
      <c r="H16" t="s">
        <v>1061</v>
      </c>
      <c r="I16" t="s">
        <v>1061</v>
      </c>
      <c r="J16" t="s">
        <v>1061</v>
      </c>
      <c r="K16" t="s">
        <v>1061</v>
      </c>
    </row>
    <row r="17" spans="1:11" x14ac:dyDescent="0.3">
      <c r="A17">
        <v>1459</v>
      </c>
      <c r="B17" t="s">
        <v>1629</v>
      </c>
      <c r="C17" s="98" t="s">
        <v>1072</v>
      </c>
      <c r="D17" t="s">
        <v>1630</v>
      </c>
      <c r="E17">
        <v>7</v>
      </c>
      <c r="F17">
        <v>19</v>
      </c>
      <c r="G17">
        <v>28</v>
      </c>
      <c r="H17" t="s">
        <v>1061</v>
      </c>
      <c r="I17" t="s">
        <v>1061</v>
      </c>
      <c r="J17" t="s">
        <v>1061</v>
      </c>
      <c r="K17" t="s">
        <v>1061</v>
      </c>
    </row>
    <row r="18" spans="1:11" x14ac:dyDescent="0.3">
      <c r="A18">
        <v>1447</v>
      </c>
      <c r="B18" t="s">
        <v>1615</v>
      </c>
      <c r="C18" s="98" t="s">
        <v>177</v>
      </c>
      <c r="D18" t="s">
        <v>765</v>
      </c>
      <c r="E18">
        <v>7</v>
      </c>
      <c r="F18">
        <v>19</v>
      </c>
      <c r="G18">
        <v>28</v>
      </c>
      <c r="H18" t="s">
        <v>1061</v>
      </c>
      <c r="I18" t="s">
        <v>1061</v>
      </c>
      <c r="J18" t="s">
        <v>1061</v>
      </c>
      <c r="K18" t="s">
        <v>1061</v>
      </c>
    </row>
    <row r="19" spans="1:11" x14ac:dyDescent="0.3">
      <c r="A19">
        <v>1466</v>
      </c>
      <c r="B19" t="s">
        <v>1674</v>
      </c>
      <c r="C19" s="98" t="s">
        <v>1099</v>
      </c>
      <c r="D19" t="s">
        <v>462</v>
      </c>
      <c r="E19">
        <v>25</v>
      </c>
      <c r="F19">
        <v>20</v>
      </c>
      <c r="G19">
        <v>140</v>
      </c>
      <c r="H19" t="s">
        <v>1061</v>
      </c>
      <c r="I19" t="s">
        <v>1061</v>
      </c>
      <c r="J19" t="s">
        <v>1061</v>
      </c>
      <c r="K19" t="s">
        <v>1061</v>
      </c>
    </row>
    <row r="20" spans="1:11" x14ac:dyDescent="0.3">
      <c r="A20">
        <v>1455</v>
      </c>
      <c r="B20" t="s">
        <v>1628</v>
      </c>
      <c r="C20" s="98" t="s">
        <v>212</v>
      </c>
      <c r="D20" t="s">
        <v>504</v>
      </c>
      <c r="E20">
        <v>25</v>
      </c>
      <c r="F20">
        <v>19</v>
      </c>
      <c r="G20">
        <v>336</v>
      </c>
      <c r="H20" t="s">
        <v>1061</v>
      </c>
      <c r="I20" t="s">
        <v>1061</v>
      </c>
      <c r="J20" t="s">
        <v>1061</v>
      </c>
      <c r="K20" t="s">
        <v>1061</v>
      </c>
    </row>
    <row r="21" spans="1:11" x14ac:dyDescent="0.3">
      <c r="A21">
        <v>1440</v>
      </c>
      <c r="B21" t="s">
        <v>1608</v>
      </c>
      <c r="C21" s="98" t="s">
        <v>162</v>
      </c>
      <c r="D21" t="s">
        <v>261</v>
      </c>
      <c r="E21">
        <v>7</v>
      </c>
      <c r="F21">
        <v>19</v>
      </c>
      <c r="G21">
        <v>28</v>
      </c>
      <c r="H21" t="s">
        <v>1061</v>
      </c>
      <c r="I21" t="s">
        <v>1061</v>
      </c>
      <c r="J21" t="s">
        <v>1061</v>
      </c>
      <c r="K21" t="s">
        <v>1061</v>
      </c>
    </row>
    <row r="22" spans="1:11" x14ac:dyDescent="0.3">
      <c r="A22">
        <v>1473</v>
      </c>
      <c r="B22" t="s">
        <v>1681</v>
      </c>
      <c r="C22" s="98" t="s">
        <v>1197</v>
      </c>
      <c r="D22" t="s">
        <v>488</v>
      </c>
      <c r="E22">
        <v>25</v>
      </c>
      <c r="F22">
        <v>20</v>
      </c>
      <c r="G22">
        <v>28</v>
      </c>
      <c r="H22" t="s">
        <v>1061</v>
      </c>
      <c r="I22" t="s">
        <v>1061</v>
      </c>
      <c r="J22" t="s">
        <v>1061</v>
      </c>
      <c r="K22" t="s">
        <v>1061</v>
      </c>
    </row>
    <row r="23" spans="1:11" x14ac:dyDescent="0.3">
      <c r="A23">
        <v>1474</v>
      </c>
      <c r="B23" t="s">
        <v>1679</v>
      </c>
      <c r="C23" s="98" t="s">
        <v>1285</v>
      </c>
      <c r="D23" t="s">
        <v>494</v>
      </c>
      <c r="E23">
        <v>25</v>
      </c>
      <c r="F23">
        <v>20</v>
      </c>
      <c r="G23">
        <v>28</v>
      </c>
      <c r="H23" t="s">
        <v>1061</v>
      </c>
      <c r="I23" t="s">
        <v>1061</v>
      </c>
      <c r="J23" t="s">
        <v>1061</v>
      </c>
      <c r="K23" t="s">
        <v>1061</v>
      </c>
    </row>
    <row r="24" spans="1:11" x14ac:dyDescent="0.3">
      <c r="A24">
        <v>1460</v>
      </c>
      <c r="B24" t="s">
        <v>1636</v>
      </c>
      <c r="C24" s="98" t="s">
        <v>1088</v>
      </c>
      <c r="D24" t="s">
        <v>711</v>
      </c>
      <c r="E24">
        <v>7</v>
      </c>
      <c r="F24">
        <v>19</v>
      </c>
      <c r="G24">
        <v>28</v>
      </c>
      <c r="H24" t="s">
        <v>1061</v>
      </c>
      <c r="I24" t="s">
        <v>1061</v>
      </c>
      <c r="J24" t="s">
        <v>1061</v>
      </c>
      <c r="K24" t="s">
        <v>1061</v>
      </c>
    </row>
    <row r="25" spans="1:11" x14ac:dyDescent="0.3">
      <c r="A25">
        <v>1441</v>
      </c>
      <c r="B25" t="s">
        <v>1609</v>
      </c>
      <c r="C25" s="98" t="s">
        <v>163</v>
      </c>
      <c r="D25" t="s">
        <v>1066</v>
      </c>
      <c r="E25">
        <v>7</v>
      </c>
      <c r="F25">
        <v>19</v>
      </c>
      <c r="G25">
        <v>56</v>
      </c>
      <c r="H25" t="s">
        <v>1061</v>
      </c>
      <c r="I25" t="s">
        <v>1061</v>
      </c>
      <c r="J25" t="s">
        <v>1061</v>
      </c>
      <c r="K25" t="s">
        <v>1061</v>
      </c>
    </row>
    <row r="26" spans="1:11" x14ac:dyDescent="0.3">
      <c r="A26">
        <v>1463</v>
      </c>
      <c r="B26" t="s">
        <v>1626</v>
      </c>
      <c r="C26" s="98" t="s">
        <v>1238</v>
      </c>
      <c r="D26" t="s">
        <v>1627</v>
      </c>
      <c r="E26">
        <v>7</v>
      </c>
      <c r="F26">
        <v>19</v>
      </c>
      <c r="G26">
        <v>28</v>
      </c>
      <c r="H26" t="s">
        <v>1061</v>
      </c>
      <c r="I26" t="s">
        <v>1061</v>
      </c>
      <c r="J26" t="s">
        <v>1061</v>
      </c>
      <c r="K26" t="s">
        <v>1061</v>
      </c>
    </row>
    <row r="27" spans="1:11" x14ac:dyDescent="0.3">
      <c r="A27">
        <v>1452</v>
      </c>
      <c r="B27" t="s">
        <v>1621</v>
      </c>
      <c r="C27" s="98" t="s">
        <v>211</v>
      </c>
      <c r="D27" t="s">
        <v>496</v>
      </c>
      <c r="E27">
        <v>25</v>
      </c>
      <c r="F27">
        <v>19</v>
      </c>
      <c r="G27">
        <v>56</v>
      </c>
      <c r="H27" t="s">
        <v>1061</v>
      </c>
      <c r="I27" t="s">
        <v>1061</v>
      </c>
      <c r="J27" t="s">
        <v>1061</v>
      </c>
      <c r="K27" t="s">
        <v>1061</v>
      </c>
    </row>
    <row r="28" spans="1:11" x14ac:dyDescent="0.3">
      <c r="A28">
        <v>1450</v>
      </c>
      <c r="B28" t="s">
        <v>1618</v>
      </c>
      <c r="C28" s="98" t="s">
        <v>198</v>
      </c>
      <c r="D28" t="s">
        <v>472</v>
      </c>
      <c r="E28">
        <v>25</v>
      </c>
      <c r="F28">
        <v>19</v>
      </c>
      <c r="G28">
        <v>168</v>
      </c>
      <c r="H28" t="s">
        <v>1061</v>
      </c>
      <c r="I28" t="s">
        <v>1061</v>
      </c>
      <c r="J28" t="s">
        <v>1061</v>
      </c>
      <c r="K28" t="s">
        <v>1061</v>
      </c>
    </row>
    <row r="29" spans="1:11" x14ac:dyDescent="0.3">
      <c r="A29">
        <v>1472</v>
      </c>
      <c r="B29" t="s">
        <v>1678</v>
      </c>
      <c r="C29" s="98" t="s">
        <v>1189</v>
      </c>
      <c r="D29" t="s">
        <v>484</v>
      </c>
      <c r="E29">
        <v>25</v>
      </c>
      <c r="F29">
        <v>20</v>
      </c>
      <c r="G29">
        <v>28</v>
      </c>
      <c r="H29" t="s">
        <v>1061</v>
      </c>
      <c r="I29" t="s">
        <v>1061</v>
      </c>
      <c r="J29" t="s">
        <v>1061</v>
      </c>
      <c r="K29" t="s">
        <v>1061</v>
      </c>
    </row>
    <row r="30" spans="1:11" x14ac:dyDescent="0.3">
      <c r="A30">
        <v>1467</v>
      </c>
      <c r="B30" t="s">
        <v>1683</v>
      </c>
      <c r="C30" s="98" t="s">
        <v>1259</v>
      </c>
      <c r="D30" t="s">
        <v>1684</v>
      </c>
      <c r="E30">
        <v>25</v>
      </c>
      <c r="F30">
        <v>20</v>
      </c>
      <c r="G30">
        <v>28</v>
      </c>
      <c r="H30" t="s">
        <v>1061</v>
      </c>
      <c r="I30" t="s">
        <v>1061</v>
      </c>
      <c r="J30" t="s">
        <v>1061</v>
      </c>
      <c r="K30" t="s">
        <v>1061</v>
      </c>
    </row>
    <row r="31" spans="1:11" x14ac:dyDescent="0.3">
      <c r="A31">
        <v>1428</v>
      </c>
      <c r="B31" t="s">
        <v>1589</v>
      </c>
      <c r="C31" s="98" t="s">
        <v>112</v>
      </c>
      <c r="D31" t="s">
        <v>1590</v>
      </c>
      <c r="E31">
        <v>7</v>
      </c>
      <c r="F31">
        <v>19</v>
      </c>
      <c r="G31">
        <v>28</v>
      </c>
      <c r="H31" t="s">
        <v>1061</v>
      </c>
      <c r="I31" t="s">
        <v>1061</v>
      </c>
      <c r="J31" t="s">
        <v>1061</v>
      </c>
      <c r="K31" t="s">
        <v>1061</v>
      </c>
    </row>
    <row r="32" spans="1:11" x14ac:dyDescent="0.3">
      <c r="A32">
        <v>1425</v>
      </c>
      <c r="B32" t="s">
        <v>1584</v>
      </c>
      <c r="C32" s="98" t="s">
        <v>102</v>
      </c>
      <c r="D32" t="s">
        <v>1585</v>
      </c>
      <c r="E32">
        <v>7</v>
      </c>
      <c r="F32">
        <v>19</v>
      </c>
      <c r="G32">
        <v>56</v>
      </c>
      <c r="H32" t="s">
        <v>1061</v>
      </c>
      <c r="I32" t="s">
        <v>1061</v>
      </c>
      <c r="J32" t="s">
        <v>1061</v>
      </c>
      <c r="K32" t="s">
        <v>1061</v>
      </c>
    </row>
    <row r="33" spans="1:11" x14ac:dyDescent="0.3">
      <c r="A33">
        <v>1434</v>
      </c>
      <c r="B33" t="s">
        <v>1600</v>
      </c>
      <c r="C33" s="98" t="s">
        <v>144</v>
      </c>
      <c r="D33" t="s">
        <v>1601</v>
      </c>
      <c r="E33">
        <v>7</v>
      </c>
      <c r="F33">
        <v>19</v>
      </c>
      <c r="G33">
        <v>28</v>
      </c>
      <c r="H33" t="s">
        <v>1061</v>
      </c>
      <c r="I33" t="s">
        <v>1061</v>
      </c>
      <c r="J33" t="s">
        <v>1061</v>
      </c>
      <c r="K33" t="s">
        <v>1061</v>
      </c>
    </row>
    <row r="34" spans="1:11" x14ac:dyDescent="0.3">
      <c r="A34">
        <v>1426</v>
      </c>
      <c r="B34" t="s">
        <v>1586</v>
      </c>
      <c r="C34" s="98" t="s">
        <v>105</v>
      </c>
      <c r="D34" t="s">
        <v>1587</v>
      </c>
      <c r="E34">
        <v>7</v>
      </c>
      <c r="F34">
        <v>19</v>
      </c>
      <c r="G34">
        <v>84</v>
      </c>
      <c r="H34" t="s">
        <v>1061</v>
      </c>
      <c r="I34" t="s">
        <v>1061</v>
      </c>
      <c r="J34" t="s">
        <v>1061</v>
      </c>
      <c r="K34" t="s">
        <v>1061</v>
      </c>
    </row>
    <row r="35" spans="1:11" x14ac:dyDescent="0.3">
      <c r="A35">
        <v>1475</v>
      </c>
      <c r="B35" t="s">
        <v>1672</v>
      </c>
      <c r="C35" s="98" t="s">
        <v>1192</v>
      </c>
      <c r="D35" t="s">
        <v>500</v>
      </c>
      <c r="E35">
        <v>25</v>
      </c>
      <c r="F35">
        <v>20</v>
      </c>
      <c r="G35">
        <v>56</v>
      </c>
      <c r="H35" t="s">
        <v>1061</v>
      </c>
      <c r="I35" t="s">
        <v>1061</v>
      </c>
      <c r="J35" t="s">
        <v>1061</v>
      </c>
      <c r="K35" t="s">
        <v>1061</v>
      </c>
    </row>
    <row r="36" spans="1:11" x14ac:dyDescent="0.3">
      <c r="A36">
        <v>1433</v>
      </c>
      <c r="B36" t="s">
        <v>1598</v>
      </c>
      <c r="C36" s="98" t="s">
        <v>143</v>
      </c>
      <c r="D36" t="s">
        <v>1599</v>
      </c>
      <c r="E36">
        <v>7</v>
      </c>
      <c r="F36">
        <v>19</v>
      </c>
      <c r="G36">
        <v>84</v>
      </c>
      <c r="H36" t="s">
        <v>1061</v>
      </c>
      <c r="I36" t="s">
        <v>1061</v>
      </c>
      <c r="J36" t="s">
        <v>1061</v>
      </c>
      <c r="K36" t="s">
        <v>1061</v>
      </c>
    </row>
    <row r="37" spans="1:11" x14ac:dyDescent="0.3">
      <c r="A37">
        <v>1448</v>
      </c>
      <c r="B37" t="s">
        <v>1616</v>
      </c>
      <c r="C37" s="98" t="s">
        <v>190</v>
      </c>
      <c r="D37" t="s">
        <v>735</v>
      </c>
      <c r="E37">
        <v>7</v>
      </c>
      <c r="F37">
        <v>19</v>
      </c>
      <c r="G37">
        <v>28</v>
      </c>
      <c r="H37" t="s">
        <v>1061</v>
      </c>
      <c r="I37" t="s">
        <v>1061</v>
      </c>
      <c r="J37" t="s">
        <v>1061</v>
      </c>
      <c r="K37" t="s">
        <v>1061</v>
      </c>
    </row>
    <row r="38" spans="1:11" x14ac:dyDescent="0.3">
      <c r="A38">
        <v>1439</v>
      </c>
      <c r="B38" t="s">
        <v>1607</v>
      </c>
      <c r="C38" s="98" t="s">
        <v>159</v>
      </c>
      <c r="D38" t="s">
        <v>700</v>
      </c>
      <c r="E38">
        <v>7</v>
      </c>
      <c r="F38">
        <v>19</v>
      </c>
      <c r="G38">
        <v>56</v>
      </c>
      <c r="H38" t="s">
        <v>1061</v>
      </c>
      <c r="I38" t="s">
        <v>1061</v>
      </c>
      <c r="J38" t="s">
        <v>1061</v>
      </c>
      <c r="K38" t="s">
        <v>1061</v>
      </c>
    </row>
    <row r="39" spans="1:11" x14ac:dyDescent="0.3">
      <c r="A39">
        <v>1445</v>
      </c>
      <c r="B39" t="s">
        <v>1613</v>
      </c>
      <c r="C39" s="98" t="s">
        <v>168</v>
      </c>
      <c r="D39" t="s">
        <v>265</v>
      </c>
      <c r="E39">
        <v>7</v>
      </c>
      <c r="F39">
        <v>19</v>
      </c>
      <c r="G39">
        <v>56</v>
      </c>
      <c r="H39" t="s">
        <v>1061</v>
      </c>
      <c r="I39" t="s">
        <v>1061</v>
      </c>
      <c r="J39" t="s">
        <v>1061</v>
      </c>
      <c r="K39" t="s">
        <v>1061</v>
      </c>
    </row>
    <row r="40" spans="1:11" x14ac:dyDescent="0.3">
      <c r="A40">
        <v>1462</v>
      </c>
      <c r="B40" t="s">
        <v>1633</v>
      </c>
      <c r="C40" s="98" t="s">
        <v>1235</v>
      </c>
      <c r="D40" t="s">
        <v>1104</v>
      </c>
      <c r="E40">
        <v>7</v>
      </c>
      <c r="F40">
        <v>19</v>
      </c>
      <c r="G40">
        <v>28</v>
      </c>
      <c r="H40" t="s">
        <v>1061</v>
      </c>
      <c r="I40" t="s">
        <v>1061</v>
      </c>
      <c r="J40" t="s">
        <v>1061</v>
      </c>
      <c r="K40" t="s">
        <v>1061</v>
      </c>
    </row>
    <row r="41" spans="1:11" x14ac:dyDescent="0.3">
      <c r="A41">
        <v>1423</v>
      </c>
      <c r="B41" t="s">
        <v>1581</v>
      </c>
      <c r="C41" s="98" t="s">
        <v>96</v>
      </c>
      <c r="D41" t="s">
        <v>1055</v>
      </c>
      <c r="E41">
        <v>7</v>
      </c>
      <c r="F41">
        <v>19</v>
      </c>
      <c r="G41">
        <v>28</v>
      </c>
      <c r="H41" t="s">
        <v>1061</v>
      </c>
      <c r="I41" t="s">
        <v>1061</v>
      </c>
      <c r="J41" t="s">
        <v>1061</v>
      </c>
      <c r="K41" t="s">
        <v>1061</v>
      </c>
    </row>
    <row r="42" spans="1:11" x14ac:dyDescent="0.3">
      <c r="A42">
        <v>1430</v>
      </c>
      <c r="B42" t="s">
        <v>1592</v>
      </c>
      <c r="C42" s="98" t="s">
        <v>128</v>
      </c>
      <c r="D42" t="s">
        <v>1593</v>
      </c>
      <c r="E42">
        <v>7</v>
      </c>
      <c r="F42">
        <v>19</v>
      </c>
      <c r="G42">
        <v>56</v>
      </c>
      <c r="H42" t="s">
        <v>1061</v>
      </c>
      <c r="I42" t="s">
        <v>1061</v>
      </c>
      <c r="J42" t="s">
        <v>1061</v>
      </c>
      <c r="K42" t="s">
        <v>1061</v>
      </c>
    </row>
    <row r="43" spans="1:11" x14ac:dyDescent="0.3">
      <c r="A43">
        <v>1451</v>
      </c>
      <c r="B43" t="s">
        <v>1619</v>
      </c>
      <c r="C43" s="98" t="s">
        <v>208</v>
      </c>
      <c r="D43" t="s">
        <v>490</v>
      </c>
      <c r="E43">
        <v>25</v>
      </c>
      <c r="F43">
        <v>19</v>
      </c>
      <c r="G43">
        <v>56</v>
      </c>
      <c r="H43" t="s">
        <v>1061</v>
      </c>
      <c r="I43" t="s">
        <v>1061</v>
      </c>
      <c r="J43" t="s">
        <v>1061</v>
      </c>
      <c r="K43" t="s">
        <v>1061</v>
      </c>
    </row>
    <row r="44" spans="1:11" x14ac:dyDescent="0.3">
      <c r="A44">
        <v>1424</v>
      </c>
      <c r="B44" t="s">
        <v>1582</v>
      </c>
      <c r="C44" s="98" t="s">
        <v>99</v>
      </c>
      <c r="D44" t="s">
        <v>1583</v>
      </c>
      <c r="E44">
        <v>7</v>
      </c>
      <c r="F44">
        <v>19</v>
      </c>
      <c r="G44">
        <v>56</v>
      </c>
      <c r="H44" t="s">
        <v>1061</v>
      </c>
      <c r="I44" t="s">
        <v>1061</v>
      </c>
      <c r="J44" t="s">
        <v>1061</v>
      </c>
      <c r="K44" t="s">
        <v>1061</v>
      </c>
    </row>
    <row r="45" spans="1:11" x14ac:dyDescent="0.3">
      <c r="A45">
        <v>1468</v>
      </c>
      <c r="B45" t="s">
        <v>1676</v>
      </c>
      <c r="C45" s="98" t="s">
        <v>1262</v>
      </c>
      <c r="D45" t="s">
        <v>1677</v>
      </c>
      <c r="E45">
        <v>25</v>
      </c>
      <c r="F45">
        <v>20</v>
      </c>
      <c r="G45">
        <v>56</v>
      </c>
      <c r="H45" t="s">
        <v>1061</v>
      </c>
      <c r="I45" t="s">
        <v>1061</v>
      </c>
      <c r="J45" t="s">
        <v>1061</v>
      </c>
      <c r="K45" t="s">
        <v>1061</v>
      </c>
    </row>
    <row r="46" spans="1:11" x14ac:dyDescent="0.3">
      <c r="A46">
        <v>1427</v>
      </c>
      <c r="B46" t="s">
        <v>1588</v>
      </c>
      <c r="C46" s="98" t="s">
        <v>108</v>
      </c>
      <c r="D46" t="s">
        <v>1077</v>
      </c>
      <c r="E46">
        <v>7</v>
      </c>
      <c r="F46">
        <v>19</v>
      </c>
      <c r="G46">
        <v>28</v>
      </c>
      <c r="H46" t="s">
        <v>1061</v>
      </c>
      <c r="I46" t="s">
        <v>1061</v>
      </c>
      <c r="J46" t="s">
        <v>1061</v>
      </c>
      <c r="K46" t="s">
        <v>1061</v>
      </c>
    </row>
    <row r="47" spans="1:11" x14ac:dyDescent="0.3">
      <c r="A47">
        <v>1435</v>
      </c>
      <c r="B47" t="s">
        <v>1602</v>
      </c>
      <c r="C47" s="98" t="s">
        <v>146</v>
      </c>
      <c r="D47" t="s">
        <v>940</v>
      </c>
      <c r="E47">
        <v>7</v>
      </c>
      <c r="F47">
        <v>19</v>
      </c>
      <c r="G47">
        <v>28</v>
      </c>
      <c r="H47" t="s">
        <v>1061</v>
      </c>
      <c r="I47" t="s">
        <v>1061</v>
      </c>
      <c r="J47" t="s">
        <v>1061</v>
      </c>
      <c r="K47" t="s">
        <v>1061</v>
      </c>
    </row>
    <row r="48" spans="1:11" x14ac:dyDescent="0.3">
      <c r="A48">
        <v>1443</v>
      </c>
      <c r="B48" t="s">
        <v>1611</v>
      </c>
      <c r="C48" s="98" t="s">
        <v>165</v>
      </c>
      <c r="D48" t="s">
        <v>263</v>
      </c>
      <c r="E48">
        <v>7</v>
      </c>
      <c r="F48">
        <v>19</v>
      </c>
      <c r="G48">
        <v>28</v>
      </c>
      <c r="H48" t="s">
        <v>1061</v>
      </c>
      <c r="I48" t="s">
        <v>1061</v>
      </c>
      <c r="J48" t="s">
        <v>1061</v>
      </c>
      <c r="K48" t="s">
        <v>1061</v>
      </c>
    </row>
    <row r="49" spans="1:11" x14ac:dyDescent="0.3">
      <c r="A49">
        <v>1432</v>
      </c>
      <c r="B49" t="s">
        <v>1596</v>
      </c>
      <c r="C49" s="98" t="s">
        <v>139</v>
      </c>
      <c r="D49" t="s">
        <v>1597</v>
      </c>
      <c r="E49">
        <v>7</v>
      </c>
      <c r="F49">
        <v>19</v>
      </c>
      <c r="G49">
        <v>28</v>
      </c>
      <c r="H49" t="s">
        <v>1061</v>
      </c>
      <c r="I49" t="s">
        <v>1061</v>
      </c>
      <c r="J49" t="s">
        <v>1061</v>
      </c>
      <c r="K49" t="s">
        <v>1061</v>
      </c>
    </row>
    <row r="50" spans="1:11" x14ac:dyDescent="0.3">
      <c r="A50">
        <v>1429</v>
      </c>
      <c r="B50" t="s">
        <v>1591</v>
      </c>
      <c r="C50" s="98" t="s">
        <v>124</v>
      </c>
      <c r="D50" t="s">
        <v>242</v>
      </c>
      <c r="E50">
        <v>7</v>
      </c>
      <c r="F50">
        <v>19</v>
      </c>
      <c r="G50">
        <v>28</v>
      </c>
      <c r="H50" t="s">
        <v>1061</v>
      </c>
      <c r="I50" t="s">
        <v>1061</v>
      </c>
      <c r="J50" t="s">
        <v>1061</v>
      </c>
      <c r="K50" t="s">
        <v>1061</v>
      </c>
    </row>
    <row r="51" spans="1:11" x14ac:dyDescent="0.3">
      <c r="A51">
        <v>1465</v>
      </c>
      <c r="B51" t="s">
        <v>1673</v>
      </c>
      <c r="C51" s="98" t="s">
        <v>1095</v>
      </c>
      <c r="D51" t="s">
        <v>460</v>
      </c>
      <c r="E51">
        <v>25</v>
      </c>
      <c r="F51">
        <v>20</v>
      </c>
      <c r="G51">
        <v>28</v>
      </c>
      <c r="H51" t="s">
        <v>1061</v>
      </c>
      <c r="I51" t="s">
        <v>1061</v>
      </c>
      <c r="J51" t="s">
        <v>1061</v>
      </c>
      <c r="K51" t="s">
        <v>1061</v>
      </c>
    </row>
    <row r="52" spans="1:11" x14ac:dyDescent="0.3">
      <c r="A52">
        <v>1456</v>
      </c>
      <c r="B52" t="s">
        <v>1634</v>
      </c>
      <c r="C52" s="98" t="s">
        <v>371</v>
      </c>
      <c r="D52" t="s">
        <v>707</v>
      </c>
      <c r="E52">
        <v>7</v>
      </c>
      <c r="F52">
        <v>19</v>
      </c>
      <c r="G52">
        <v>28</v>
      </c>
      <c r="H52" t="s">
        <v>1061</v>
      </c>
      <c r="I52" t="s">
        <v>1061</v>
      </c>
      <c r="J52" t="s">
        <v>1061</v>
      </c>
      <c r="K52" t="s">
        <v>1061</v>
      </c>
    </row>
    <row r="53" spans="1:11" x14ac:dyDescent="0.3">
      <c r="A53">
        <v>1453</v>
      </c>
      <c r="B53" t="s">
        <v>1632</v>
      </c>
      <c r="C53" s="98" t="s">
        <v>366</v>
      </c>
      <c r="D53" t="s">
        <v>500</v>
      </c>
      <c r="E53">
        <v>25</v>
      </c>
      <c r="F53">
        <v>19</v>
      </c>
      <c r="G53">
        <v>56</v>
      </c>
      <c r="H53" t="s">
        <v>1061</v>
      </c>
      <c r="I53" t="s">
        <v>1061</v>
      </c>
      <c r="J53" t="s">
        <v>1061</v>
      </c>
      <c r="K53" t="s">
        <v>1061</v>
      </c>
    </row>
    <row r="54" spans="1:11" x14ac:dyDescent="0.3">
      <c r="A54">
        <v>1437</v>
      </c>
      <c r="B54" t="s">
        <v>1604</v>
      </c>
      <c r="C54" s="98" t="s">
        <v>155</v>
      </c>
      <c r="D54" t="s">
        <v>1605</v>
      </c>
      <c r="E54">
        <v>7</v>
      </c>
      <c r="F54">
        <v>19</v>
      </c>
      <c r="G54">
        <v>56</v>
      </c>
      <c r="H54" t="s">
        <v>1061</v>
      </c>
      <c r="I54" t="s">
        <v>1061</v>
      </c>
      <c r="J54" t="s">
        <v>1061</v>
      </c>
      <c r="K54" t="s">
        <v>1061</v>
      </c>
    </row>
  </sheetData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A4D0-D2C2-4D8A-9793-85613DF37581}">
  <dimension ref="A1:E31"/>
  <sheetViews>
    <sheetView topLeftCell="A16" workbookViewId="0">
      <selection activeCell="D34" sqref="D34"/>
    </sheetView>
  </sheetViews>
  <sheetFormatPr defaultRowHeight="14.4" x14ac:dyDescent="0.3"/>
  <cols>
    <col min="2" max="2" width="19.5546875" bestFit="1" customWidth="1"/>
    <col min="3" max="3" width="30.33203125" bestFit="1" customWidth="1"/>
    <col min="4" max="4" width="14.109375" bestFit="1" customWidth="1"/>
  </cols>
  <sheetData>
    <row r="1" spans="1:5" x14ac:dyDescent="0.3">
      <c r="A1" t="s">
        <v>1525</v>
      </c>
      <c r="B1" t="s">
        <v>338</v>
      </c>
      <c r="C1" t="s">
        <v>399</v>
      </c>
      <c r="D1" t="s">
        <v>1526</v>
      </c>
      <c r="E1" t="s">
        <v>24</v>
      </c>
    </row>
    <row r="2" spans="1:5" x14ac:dyDescent="0.3">
      <c r="A2" t="s">
        <v>1502</v>
      </c>
      <c r="B2" t="s">
        <v>1503</v>
      </c>
      <c r="C2" s="74" t="s">
        <v>1504</v>
      </c>
      <c r="E2">
        <v>10</v>
      </c>
    </row>
    <row r="3" spans="1:5" x14ac:dyDescent="0.3">
      <c r="A3" t="s">
        <v>1502</v>
      </c>
      <c r="B3" t="s">
        <v>1503</v>
      </c>
      <c r="C3" s="74" t="s">
        <v>1505</v>
      </c>
      <c r="D3" t="s">
        <v>1498</v>
      </c>
      <c r="E3">
        <v>6</v>
      </c>
    </row>
    <row r="4" spans="1:5" x14ac:dyDescent="0.3">
      <c r="A4" t="s">
        <v>1502</v>
      </c>
      <c r="B4" t="s">
        <v>1503</v>
      </c>
      <c r="C4" s="74" t="s">
        <v>1506</v>
      </c>
      <c r="E4">
        <v>1</v>
      </c>
    </row>
    <row r="5" spans="1:5" x14ac:dyDescent="0.3">
      <c r="A5" t="s">
        <v>1502</v>
      </c>
      <c r="B5" t="s">
        <v>1503</v>
      </c>
      <c r="C5" s="74" t="s">
        <v>1507</v>
      </c>
      <c r="E5">
        <v>1</v>
      </c>
    </row>
    <row r="6" spans="1:5" x14ac:dyDescent="0.3">
      <c r="A6" t="s">
        <v>1502</v>
      </c>
      <c r="B6" t="s">
        <v>1503</v>
      </c>
      <c r="C6" s="74" t="s">
        <v>1508</v>
      </c>
      <c r="E6">
        <v>2</v>
      </c>
    </row>
    <row r="7" spans="1:5" x14ac:dyDescent="0.3">
      <c r="A7" t="s">
        <v>1502</v>
      </c>
      <c r="B7" t="s">
        <v>1503</v>
      </c>
      <c r="C7" s="74" t="s">
        <v>1509</v>
      </c>
      <c r="E7">
        <v>3</v>
      </c>
    </row>
    <row r="8" spans="1:5" x14ac:dyDescent="0.3">
      <c r="A8" t="s">
        <v>1502</v>
      </c>
      <c r="B8" t="s">
        <v>1503</v>
      </c>
      <c r="C8" s="74" t="s">
        <v>1510</v>
      </c>
      <c r="E8">
        <v>1</v>
      </c>
    </row>
    <row r="9" spans="1:5" x14ac:dyDescent="0.3">
      <c r="A9" t="s">
        <v>1502</v>
      </c>
      <c r="B9" t="s">
        <v>1503</v>
      </c>
      <c r="C9" s="74" t="s">
        <v>1511</v>
      </c>
      <c r="E9">
        <v>2</v>
      </c>
    </row>
    <row r="10" spans="1:5" x14ac:dyDescent="0.3">
      <c r="A10" t="s">
        <v>1502</v>
      </c>
      <c r="B10" t="s">
        <v>1503</v>
      </c>
      <c r="C10" s="74" t="s">
        <v>1496</v>
      </c>
      <c r="E10">
        <v>2</v>
      </c>
    </row>
    <row r="11" spans="1:5" x14ac:dyDescent="0.3">
      <c r="A11" t="s">
        <v>1502</v>
      </c>
      <c r="B11" t="s">
        <v>1503</v>
      </c>
      <c r="C11" s="74" t="s">
        <v>1512</v>
      </c>
      <c r="D11" t="s">
        <v>1498</v>
      </c>
      <c r="E11">
        <v>4</v>
      </c>
    </row>
    <row r="12" spans="1:5" x14ac:dyDescent="0.3">
      <c r="A12" t="s">
        <v>1513</v>
      </c>
      <c r="B12" t="s">
        <v>1514</v>
      </c>
      <c r="C12" s="74" t="s">
        <v>1515</v>
      </c>
      <c r="E12">
        <v>2</v>
      </c>
    </row>
    <row r="13" spans="1:5" x14ac:dyDescent="0.3">
      <c r="A13" t="s">
        <v>1513</v>
      </c>
      <c r="B13" t="s">
        <v>1514</v>
      </c>
      <c r="C13" s="74" t="s">
        <v>1516</v>
      </c>
      <c r="E13">
        <v>3</v>
      </c>
    </row>
    <row r="14" spans="1:5" x14ac:dyDescent="0.3">
      <c r="A14" t="s">
        <v>1513</v>
      </c>
      <c r="B14" t="s">
        <v>1514</v>
      </c>
      <c r="C14" s="74" t="s">
        <v>1517</v>
      </c>
      <c r="E14">
        <v>2</v>
      </c>
    </row>
    <row r="15" spans="1:5" x14ac:dyDescent="0.3">
      <c r="A15" t="s">
        <v>1513</v>
      </c>
      <c r="B15" t="s">
        <v>1514</v>
      </c>
      <c r="C15" s="74" t="s">
        <v>1518</v>
      </c>
      <c r="E15">
        <v>1</v>
      </c>
    </row>
    <row r="16" spans="1:5" x14ac:dyDescent="0.3">
      <c r="A16" t="s">
        <v>1513</v>
      </c>
      <c r="B16" t="s">
        <v>1514</v>
      </c>
      <c r="C16" s="74" t="s">
        <v>1519</v>
      </c>
      <c r="E16">
        <v>6</v>
      </c>
    </row>
    <row r="17" spans="1:5" x14ac:dyDescent="0.3">
      <c r="A17" t="s">
        <v>1513</v>
      </c>
      <c r="B17" t="s">
        <v>1514</v>
      </c>
      <c r="C17" s="74" t="s">
        <v>1497</v>
      </c>
      <c r="E17">
        <v>1</v>
      </c>
    </row>
    <row r="18" spans="1:5" x14ac:dyDescent="0.3">
      <c r="A18" t="s">
        <v>1513</v>
      </c>
      <c r="B18" t="s">
        <v>1514</v>
      </c>
      <c r="C18" s="74" t="s">
        <v>1520</v>
      </c>
      <c r="E18">
        <v>1</v>
      </c>
    </row>
    <row r="19" spans="1:5" x14ac:dyDescent="0.3">
      <c r="A19" t="s">
        <v>1513</v>
      </c>
      <c r="B19" t="s">
        <v>1514</v>
      </c>
      <c r="C19" s="74" t="s">
        <v>1495</v>
      </c>
      <c r="E19">
        <v>1</v>
      </c>
    </row>
    <row r="20" spans="1:5" x14ac:dyDescent="0.3">
      <c r="A20" t="s">
        <v>1513</v>
      </c>
      <c r="B20" t="s">
        <v>1514</v>
      </c>
      <c r="C20" s="74" t="s">
        <v>1521</v>
      </c>
      <c r="E20">
        <v>1</v>
      </c>
    </row>
    <row r="21" spans="1:5" x14ac:dyDescent="0.3">
      <c r="A21" t="s">
        <v>1513</v>
      </c>
      <c r="B21" t="s">
        <v>1514</v>
      </c>
      <c r="C21" s="74" t="s">
        <v>1026</v>
      </c>
      <c r="D21" t="s">
        <v>899</v>
      </c>
      <c r="E21">
        <v>1</v>
      </c>
    </row>
    <row r="22" spans="1:5" x14ac:dyDescent="0.3">
      <c r="A22" t="s">
        <v>1513</v>
      </c>
      <c r="B22" t="s">
        <v>1514</v>
      </c>
      <c r="C22" s="74" t="s">
        <v>1034</v>
      </c>
      <c r="D22" t="s">
        <v>925</v>
      </c>
      <c r="E22">
        <v>1</v>
      </c>
    </row>
    <row r="23" spans="1:5" x14ac:dyDescent="0.3">
      <c r="A23" t="s">
        <v>1513</v>
      </c>
      <c r="B23" t="s">
        <v>1514</v>
      </c>
      <c r="C23" s="74" t="s">
        <v>1030</v>
      </c>
      <c r="D23" t="s">
        <v>958</v>
      </c>
      <c r="E23">
        <v>1</v>
      </c>
    </row>
    <row r="24" spans="1:5" x14ac:dyDescent="0.3">
      <c r="A24" t="s">
        <v>1513</v>
      </c>
      <c r="B24" t="s">
        <v>1514</v>
      </c>
      <c r="C24" s="74" t="s">
        <v>697</v>
      </c>
      <c r="D24" t="s">
        <v>905</v>
      </c>
      <c r="E24">
        <v>2</v>
      </c>
    </row>
    <row r="25" spans="1:5" x14ac:dyDescent="0.3">
      <c r="A25" t="s">
        <v>1513</v>
      </c>
      <c r="B25" t="s">
        <v>1514</v>
      </c>
      <c r="C25" s="74">
        <v>7297913630</v>
      </c>
      <c r="E25">
        <v>1</v>
      </c>
    </row>
    <row r="26" spans="1:5" x14ac:dyDescent="0.3">
      <c r="A26" t="s">
        <v>1513</v>
      </c>
      <c r="B26" t="s">
        <v>1514</v>
      </c>
      <c r="C26" s="74" t="s">
        <v>1032</v>
      </c>
      <c r="D26" t="s">
        <v>903</v>
      </c>
      <c r="E26">
        <v>1</v>
      </c>
    </row>
    <row r="27" spans="1:5" x14ac:dyDescent="0.3">
      <c r="A27" t="s">
        <v>1513</v>
      </c>
      <c r="B27" t="s">
        <v>1514</v>
      </c>
      <c r="C27" s="74" t="s">
        <v>1522</v>
      </c>
      <c r="E27">
        <v>1</v>
      </c>
    </row>
    <row r="28" spans="1:5" x14ac:dyDescent="0.3">
      <c r="A28" t="s">
        <v>1524</v>
      </c>
      <c r="B28" t="s">
        <v>1523</v>
      </c>
      <c r="C28" s="74" t="s">
        <v>1496</v>
      </c>
      <c r="E28">
        <v>1</v>
      </c>
    </row>
    <row r="29" spans="1:5" x14ac:dyDescent="0.3">
      <c r="A29" t="s">
        <v>1524</v>
      </c>
      <c r="B29" t="s">
        <v>1523</v>
      </c>
      <c r="C29" s="74" t="s">
        <v>1497</v>
      </c>
      <c r="D29" t="s">
        <v>1499</v>
      </c>
      <c r="E29">
        <v>1</v>
      </c>
    </row>
    <row r="30" spans="1:5" x14ac:dyDescent="0.3">
      <c r="A30" t="s">
        <v>1524</v>
      </c>
      <c r="B30" t="s">
        <v>1523</v>
      </c>
      <c r="C30" s="74" t="s">
        <v>1504</v>
      </c>
      <c r="E30">
        <v>4</v>
      </c>
    </row>
    <row r="31" spans="1:5" x14ac:dyDescent="0.3">
      <c r="A31" t="s">
        <v>1524</v>
      </c>
      <c r="B31" t="s">
        <v>1523</v>
      </c>
      <c r="C31" s="74" t="s">
        <v>1516</v>
      </c>
      <c r="E31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120D-5425-4AFC-9F4A-70C1A2D0A64D}">
  <dimension ref="F27:K55"/>
  <sheetViews>
    <sheetView topLeftCell="E28" workbookViewId="0">
      <selection activeCell="O30" sqref="O30"/>
    </sheetView>
  </sheetViews>
  <sheetFormatPr defaultRowHeight="14.4" x14ac:dyDescent="0.3"/>
  <cols>
    <col min="6" max="6" width="12.21875" bestFit="1" customWidth="1"/>
    <col min="7" max="7" width="30.33203125" bestFit="1" customWidth="1"/>
    <col min="8" max="8" width="15.5546875" bestFit="1" customWidth="1"/>
    <col min="9" max="10" width="6.5546875" bestFit="1" customWidth="1"/>
    <col min="11" max="11" width="10.77734375" bestFit="1" customWidth="1"/>
    <col min="12" max="12" width="10.21875" bestFit="1" customWidth="1"/>
    <col min="13" max="13" width="12.88671875" bestFit="1" customWidth="1"/>
    <col min="14" max="14" width="10.77734375" bestFit="1" customWidth="1"/>
  </cols>
  <sheetData>
    <row r="27" spans="6:11" x14ac:dyDescent="0.3">
      <c r="F27" s="60"/>
      <c r="G27" s="70" t="s">
        <v>1529</v>
      </c>
      <c r="H27" s="70" t="s">
        <v>1530</v>
      </c>
    </row>
    <row r="28" spans="6:11" x14ac:dyDescent="0.3">
      <c r="F28" s="71" t="s">
        <v>1526</v>
      </c>
      <c r="G28" s="76" t="s">
        <v>1527</v>
      </c>
      <c r="H28" s="60" t="s">
        <v>1502</v>
      </c>
      <c r="I28" s="60" t="s">
        <v>1513</v>
      </c>
      <c r="J28" s="60" t="s">
        <v>1524</v>
      </c>
      <c r="K28" s="60" t="s">
        <v>1528</v>
      </c>
    </row>
    <row r="29" spans="6:11" x14ac:dyDescent="0.3">
      <c r="F29" s="60"/>
      <c r="G29" s="61" t="s">
        <v>1518</v>
      </c>
      <c r="H29" s="99"/>
      <c r="I29" s="99">
        <v>1</v>
      </c>
      <c r="J29" s="99"/>
      <c r="K29" s="99">
        <v>1</v>
      </c>
    </row>
    <row r="30" spans="6:11" x14ac:dyDescent="0.3">
      <c r="F30" s="60"/>
      <c r="G30" s="61" t="s">
        <v>1521</v>
      </c>
      <c r="H30" s="99"/>
      <c r="I30" s="99">
        <v>1</v>
      </c>
      <c r="J30" s="99"/>
      <c r="K30" s="99">
        <v>1</v>
      </c>
    </row>
    <row r="31" spans="6:11" x14ac:dyDescent="0.3">
      <c r="F31" s="60"/>
      <c r="G31" s="61" t="s">
        <v>1517</v>
      </c>
      <c r="H31" s="99"/>
      <c r="I31" s="99">
        <v>2</v>
      </c>
      <c r="J31" s="99"/>
      <c r="K31" s="99">
        <v>2</v>
      </c>
    </row>
    <row r="32" spans="6:11" x14ac:dyDescent="0.3">
      <c r="F32" s="60"/>
      <c r="G32" s="61" t="s">
        <v>1515</v>
      </c>
      <c r="H32" s="99"/>
      <c r="I32" s="99">
        <v>2</v>
      </c>
      <c r="J32" s="99"/>
      <c r="K32" s="99">
        <v>2</v>
      </c>
    </row>
    <row r="33" spans="6:11" x14ac:dyDescent="0.3">
      <c r="F33" s="60"/>
      <c r="G33" s="61" t="s">
        <v>1516</v>
      </c>
      <c r="H33" s="99"/>
      <c r="I33" s="99">
        <v>3</v>
      </c>
      <c r="J33" s="99">
        <v>1</v>
      </c>
      <c r="K33" s="99">
        <v>4</v>
      </c>
    </row>
    <row r="34" spans="6:11" x14ac:dyDescent="0.3">
      <c r="F34" s="60"/>
      <c r="G34" s="61" t="s">
        <v>1520</v>
      </c>
      <c r="H34" s="99"/>
      <c r="I34" s="99">
        <v>1</v>
      </c>
      <c r="J34" s="99"/>
      <c r="K34" s="99">
        <v>1</v>
      </c>
    </row>
    <row r="35" spans="6:11" x14ac:dyDescent="0.3">
      <c r="F35" s="68" t="s">
        <v>1532</v>
      </c>
      <c r="G35" s="61" t="s">
        <v>1522</v>
      </c>
      <c r="H35" s="99"/>
      <c r="I35" s="99">
        <v>1</v>
      </c>
      <c r="J35" s="99"/>
      <c r="K35" s="99">
        <v>1</v>
      </c>
    </row>
    <row r="36" spans="6:11" x14ac:dyDescent="0.3">
      <c r="F36" s="60" t="s">
        <v>899</v>
      </c>
      <c r="G36" s="61" t="s">
        <v>1026</v>
      </c>
      <c r="H36" s="99"/>
      <c r="I36" s="99">
        <v>1</v>
      </c>
      <c r="J36" s="99"/>
      <c r="K36" s="99">
        <v>1</v>
      </c>
    </row>
    <row r="37" spans="6:11" x14ac:dyDescent="0.3">
      <c r="F37" s="60" t="s">
        <v>958</v>
      </c>
      <c r="G37" s="61" t="s">
        <v>1030</v>
      </c>
      <c r="H37" s="99"/>
      <c r="I37" s="99">
        <v>1</v>
      </c>
      <c r="J37" s="99"/>
      <c r="K37" s="99">
        <v>1</v>
      </c>
    </row>
    <row r="38" spans="6:11" x14ac:dyDescent="0.3">
      <c r="F38" s="60" t="s">
        <v>903</v>
      </c>
      <c r="G38" s="61" t="s">
        <v>1032</v>
      </c>
      <c r="H38" s="99"/>
      <c r="I38" s="99">
        <v>1</v>
      </c>
      <c r="J38" s="99"/>
      <c r="K38" s="99">
        <v>1</v>
      </c>
    </row>
    <row r="39" spans="6:11" x14ac:dyDescent="0.3">
      <c r="F39" s="60" t="s">
        <v>925</v>
      </c>
      <c r="G39" s="61" t="s">
        <v>1034</v>
      </c>
      <c r="H39" s="99"/>
      <c r="I39" s="99">
        <v>1</v>
      </c>
      <c r="J39" s="99"/>
      <c r="K39" s="99">
        <v>1</v>
      </c>
    </row>
    <row r="40" spans="6:11" x14ac:dyDescent="0.3">
      <c r="F40" s="60" t="s">
        <v>905</v>
      </c>
      <c r="G40" s="61" t="s">
        <v>697</v>
      </c>
      <c r="H40" s="99"/>
      <c r="I40" s="99">
        <v>2</v>
      </c>
      <c r="J40" s="99"/>
      <c r="K40" s="99">
        <v>2</v>
      </c>
    </row>
    <row r="41" spans="6:11" x14ac:dyDescent="0.3">
      <c r="F41" s="60" t="s">
        <v>1537</v>
      </c>
      <c r="G41" s="61" t="s">
        <v>1504</v>
      </c>
      <c r="H41" s="99">
        <v>10</v>
      </c>
      <c r="I41" s="99"/>
      <c r="J41" s="99">
        <v>4</v>
      </c>
      <c r="K41" s="99">
        <v>14</v>
      </c>
    </row>
    <row r="42" spans="6:11" x14ac:dyDescent="0.3">
      <c r="F42" s="60"/>
      <c r="G42" s="61" t="s">
        <v>1495</v>
      </c>
      <c r="H42" s="99"/>
      <c r="I42" s="99">
        <v>1</v>
      </c>
      <c r="J42" s="99"/>
      <c r="K42" s="99">
        <v>1</v>
      </c>
    </row>
    <row r="43" spans="6:11" x14ac:dyDescent="0.3">
      <c r="F43" s="60"/>
      <c r="G43" s="61" t="s">
        <v>1496</v>
      </c>
      <c r="H43" s="99">
        <v>2</v>
      </c>
      <c r="I43" s="99"/>
      <c r="J43" s="99">
        <v>1</v>
      </c>
      <c r="K43" s="99">
        <v>3</v>
      </c>
    </row>
    <row r="44" spans="6:11" x14ac:dyDescent="0.3">
      <c r="F44" s="60"/>
      <c r="G44" s="61" t="s">
        <v>1507</v>
      </c>
      <c r="H44" s="99">
        <v>1</v>
      </c>
      <c r="I44" s="99"/>
      <c r="J44" s="99"/>
      <c r="K44" s="99">
        <v>1</v>
      </c>
    </row>
    <row r="45" spans="6:11" x14ac:dyDescent="0.3">
      <c r="F45" s="60"/>
      <c r="G45" s="61" t="s">
        <v>1510</v>
      </c>
      <c r="H45" s="99">
        <v>1</v>
      </c>
      <c r="I45" s="99"/>
      <c r="J45" s="99"/>
      <c r="K45" s="99">
        <v>1</v>
      </c>
    </row>
    <row r="46" spans="6:11" x14ac:dyDescent="0.3">
      <c r="F46" s="60"/>
      <c r="G46" s="61" t="s">
        <v>1511</v>
      </c>
      <c r="H46" s="99">
        <v>2</v>
      </c>
      <c r="I46" s="99"/>
      <c r="J46" s="99"/>
      <c r="K46" s="99">
        <v>2</v>
      </c>
    </row>
    <row r="47" spans="6:11" x14ac:dyDescent="0.3">
      <c r="F47" s="60"/>
      <c r="G47" s="61" t="s">
        <v>1506</v>
      </c>
      <c r="H47" s="99">
        <v>1</v>
      </c>
      <c r="I47" s="99"/>
      <c r="J47" s="99"/>
      <c r="K47" s="99">
        <v>1</v>
      </c>
    </row>
    <row r="48" spans="6:11" x14ac:dyDescent="0.3">
      <c r="F48" s="60"/>
      <c r="G48" s="61" t="s">
        <v>1508</v>
      </c>
      <c r="H48" s="99">
        <v>2</v>
      </c>
      <c r="I48" s="99"/>
      <c r="J48" s="99"/>
      <c r="K48" s="99">
        <v>2</v>
      </c>
    </row>
    <row r="49" spans="6:11" x14ac:dyDescent="0.3">
      <c r="F49" s="60"/>
      <c r="G49" s="61" t="s">
        <v>1509</v>
      </c>
      <c r="H49" s="99">
        <v>3</v>
      </c>
      <c r="I49" s="99"/>
      <c r="J49" s="99"/>
      <c r="K49" s="99">
        <v>3</v>
      </c>
    </row>
    <row r="50" spans="6:11" x14ac:dyDescent="0.3">
      <c r="F50" s="60"/>
      <c r="G50" s="61" t="s">
        <v>1519</v>
      </c>
      <c r="H50" s="99"/>
      <c r="I50" s="99">
        <v>6</v>
      </c>
      <c r="J50" s="99"/>
      <c r="K50" s="99">
        <v>6</v>
      </c>
    </row>
    <row r="51" spans="6:11" x14ac:dyDescent="0.3">
      <c r="F51" s="60"/>
      <c r="G51" s="61" t="s">
        <v>1505</v>
      </c>
      <c r="H51" s="99">
        <v>6</v>
      </c>
      <c r="I51" s="99"/>
      <c r="J51" s="99"/>
      <c r="K51" s="99">
        <v>6</v>
      </c>
    </row>
    <row r="52" spans="6:11" x14ac:dyDescent="0.3">
      <c r="F52" s="60"/>
      <c r="G52" s="61" t="s">
        <v>1512</v>
      </c>
      <c r="H52" s="99">
        <v>4</v>
      </c>
      <c r="I52" s="99"/>
      <c r="J52" s="99"/>
      <c r="K52" s="99">
        <v>4</v>
      </c>
    </row>
    <row r="53" spans="6:11" x14ac:dyDescent="0.3">
      <c r="F53" s="60" t="s">
        <v>1499</v>
      </c>
      <c r="G53" s="61" t="s">
        <v>1497</v>
      </c>
      <c r="H53" s="99"/>
      <c r="I53" s="99">
        <v>1</v>
      </c>
      <c r="J53" s="99">
        <v>1</v>
      </c>
      <c r="K53" s="99">
        <v>2</v>
      </c>
    </row>
    <row r="54" spans="6:11" x14ac:dyDescent="0.3">
      <c r="F54" s="60" t="s">
        <v>1535</v>
      </c>
      <c r="G54" s="61">
        <v>7297913630</v>
      </c>
      <c r="H54" s="99"/>
      <c r="I54" s="99">
        <v>1</v>
      </c>
      <c r="J54" s="99"/>
      <c r="K54" s="99">
        <v>1</v>
      </c>
    </row>
    <row r="55" spans="6:11" x14ac:dyDescent="0.3">
      <c r="F55" s="60"/>
      <c r="G55" s="61" t="s">
        <v>1528</v>
      </c>
      <c r="H55" s="99">
        <v>32</v>
      </c>
      <c r="I55" s="99">
        <v>26</v>
      </c>
      <c r="J55" s="99">
        <v>7</v>
      </c>
      <c r="K55" s="99">
        <v>65</v>
      </c>
    </row>
  </sheetData>
  <conditionalFormatting sqref="F35">
    <cfRule type="duplicateValues" dxfId="24" priority="1"/>
    <cfRule type="duplicateValues" dxfId="23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297E-9A24-47EF-950F-5E6822EE732A}">
  <dimension ref="A1:D23"/>
  <sheetViews>
    <sheetView workbookViewId="0">
      <selection activeCell="B25" sqref="B25"/>
    </sheetView>
  </sheetViews>
  <sheetFormatPr defaultRowHeight="14.4" x14ac:dyDescent="0.3"/>
  <cols>
    <col min="1" max="1" width="10.21875" customWidth="1"/>
    <col min="2" max="2" width="22.5546875" bestFit="1" customWidth="1"/>
    <col min="3" max="3" width="10.109375" customWidth="1"/>
  </cols>
  <sheetData>
    <row r="1" spans="1:4" x14ac:dyDescent="0.3">
      <c r="A1" t="s">
        <v>23</v>
      </c>
      <c r="B1" t="s">
        <v>1085</v>
      </c>
      <c r="C1" t="s">
        <v>47</v>
      </c>
      <c r="D1" t="s">
        <v>1115</v>
      </c>
    </row>
    <row r="2" spans="1:4" x14ac:dyDescent="0.3">
      <c r="A2">
        <v>1</v>
      </c>
      <c r="B2" t="s">
        <v>1220</v>
      </c>
      <c r="C2" t="b">
        <v>1</v>
      </c>
    </row>
    <row r="3" spans="1:4" x14ac:dyDescent="0.3">
      <c r="A3">
        <v>2</v>
      </c>
      <c r="B3" t="s">
        <v>1220</v>
      </c>
      <c r="C3" t="b">
        <v>1</v>
      </c>
    </row>
    <row r="4" spans="1:4" x14ac:dyDescent="0.3">
      <c r="A4">
        <v>3</v>
      </c>
      <c r="B4" t="s">
        <v>1220</v>
      </c>
      <c r="C4" t="b">
        <v>1</v>
      </c>
    </row>
    <row r="5" spans="1:4" x14ac:dyDescent="0.3">
      <c r="A5">
        <v>4</v>
      </c>
      <c r="B5" t="s">
        <v>1220</v>
      </c>
      <c r="C5" t="b">
        <v>1</v>
      </c>
    </row>
    <row r="6" spans="1:4" x14ac:dyDescent="0.3">
      <c r="A6">
        <v>5</v>
      </c>
      <c r="B6" t="s">
        <v>1220</v>
      </c>
      <c r="C6" t="b">
        <v>1</v>
      </c>
    </row>
    <row r="7" spans="1:4" x14ac:dyDescent="0.3">
      <c r="A7">
        <v>6</v>
      </c>
      <c r="B7" t="s">
        <v>1220</v>
      </c>
      <c r="C7" t="b">
        <v>1</v>
      </c>
    </row>
    <row r="8" spans="1:4" x14ac:dyDescent="0.3">
      <c r="A8">
        <v>7</v>
      </c>
      <c r="B8" t="s">
        <v>1103</v>
      </c>
      <c r="C8" t="b">
        <v>1</v>
      </c>
    </row>
    <row r="9" spans="1:4" x14ac:dyDescent="0.3">
      <c r="A9">
        <v>8</v>
      </c>
      <c r="B9" t="s">
        <v>1087</v>
      </c>
      <c r="C9" t="b">
        <v>1</v>
      </c>
      <c r="D9" t="s">
        <v>1121</v>
      </c>
    </row>
    <row r="10" spans="1:4" x14ac:dyDescent="0.3">
      <c r="A10">
        <v>9</v>
      </c>
      <c r="B10" t="s">
        <v>1087</v>
      </c>
      <c r="C10" t="b">
        <v>1</v>
      </c>
      <c r="D10" t="s">
        <v>1121</v>
      </c>
    </row>
    <row r="11" spans="1:4" x14ac:dyDescent="0.3">
      <c r="A11">
        <v>10</v>
      </c>
      <c r="B11" t="s">
        <v>1086</v>
      </c>
      <c r="C11" t="b">
        <v>1</v>
      </c>
      <c r="D11" t="s">
        <v>1122</v>
      </c>
    </row>
    <row r="12" spans="1:4" x14ac:dyDescent="0.3">
      <c r="A12">
        <v>11</v>
      </c>
      <c r="B12" t="s">
        <v>1086</v>
      </c>
      <c r="C12" t="b">
        <v>1</v>
      </c>
      <c r="D12" t="s">
        <v>1122</v>
      </c>
    </row>
    <row r="13" spans="1:4" x14ac:dyDescent="0.3">
      <c r="A13">
        <v>12</v>
      </c>
      <c r="B13" t="s">
        <v>1086</v>
      </c>
      <c r="C13" t="b">
        <v>1</v>
      </c>
      <c r="D13" t="s">
        <v>1122</v>
      </c>
    </row>
    <row r="14" spans="1:4" x14ac:dyDescent="0.3">
      <c r="A14">
        <v>13</v>
      </c>
      <c r="B14" t="s">
        <v>1087</v>
      </c>
      <c r="C14" t="b">
        <v>1</v>
      </c>
    </row>
    <row r="15" spans="1:4" x14ac:dyDescent="0.3">
      <c r="A15">
        <v>14</v>
      </c>
      <c r="B15" t="s">
        <v>1086</v>
      </c>
      <c r="C15" t="b">
        <v>1</v>
      </c>
      <c r="D15" t="s">
        <v>1122</v>
      </c>
    </row>
    <row r="16" spans="1:4" x14ac:dyDescent="0.3">
      <c r="A16">
        <v>66</v>
      </c>
      <c r="B16" t="s">
        <v>1200</v>
      </c>
    </row>
    <row r="17" spans="1:4" x14ac:dyDescent="0.3">
      <c r="A17">
        <v>15</v>
      </c>
      <c r="B17" t="s">
        <v>1220</v>
      </c>
      <c r="C17" t="b">
        <v>1</v>
      </c>
      <c r="D17" t="s">
        <v>1222</v>
      </c>
    </row>
    <row r="18" spans="1:4" x14ac:dyDescent="0.3">
      <c r="A18">
        <v>16</v>
      </c>
      <c r="B18" t="s">
        <v>1220</v>
      </c>
      <c r="C18" t="b">
        <v>1</v>
      </c>
      <c r="D18" t="s">
        <v>1222</v>
      </c>
    </row>
    <row r="19" spans="1:4" x14ac:dyDescent="0.3">
      <c r="A19">
        <v>17</v>
      </c>
      <c r="B19" t="s">
        <v>1227</v>
      </c>
      <c r="C19" t="b">
        <v>1</v>
      </c>
      <c r="D19" t="s">
        <v>1222</v>
      </c>
    </row>
    <row r="20" spans="1:4" x14ac:dyDescent="0.3">
      <c r="A20">
        <v>99</v>
      </c>
      <c r="B20" t="s">
        <v>1200</v>
      </c>
      <c r="C20" t="b">
        <v>1</v>
      </c>
      <c r="D20" t="s">
        <v>1482</v>
      </c>
    </row>
    <row r="21" spans="1:4" x14ac:dyDescent="0.3">
      <c r="A21">
        <v>18</v>
      </c>
      <c r="B21" t="s">
        <v>1577</v>
      </c>
      <c r="C21" t="b">
        <v>1</v>
      </c>
      <c r="D21" t="s">
        <v>1623</v>
      </c>
    </row>
    <row r="22" spans="1:4" x14ac:dyDescent="0.3">
      <c r="A22">
        <v>19</v>
      </c>
      <c r="B22" t="s">
        <v>1578</v>
      </c>
      <c r="C22" t="b">
        <v>0</v>
      </c>
      <c r="D22" t="s">
        <v>1624</v>
      </c>
    </row>
    <row r="23" spans="1:4" x14ac:dyDescent="0.3">
      <c r="A23">
        <v>20</v>
      </c>
      <c r="B23" t="s">
        <v>1578</v>
      </c>
      <c r="C23" t="b">
        <v>0</v>
      </c>
      <c r="D23" t="s">
        <v>1624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AD4C-AB54-4E6A-88E4-34469D6E43B0}">
  <dimension ref="A3:AN276"/>
  <sheetViews>
    <sheetView workbookViewId="0">
      <selection activeCell="B246" sqref="B246"/>
    </sheetView>
  </sheetViews>
  <sheetFormatPr defaultRowHeight="14.4" x14ac:dyDescent="0.3"/>
  <cols>
    <col min="1" max="1" width="13.33203125" bestFit="1" customWidth="1"/>
    <col min="2" max="2" width="65.109375" bestFit="1" customWidth="1"/>
    <col min="3" max="3" width="31.33203125" bestFit="1" customWidth="1"/>
  </cols>
  <sheetData>
    <row r="3" spans="1:38" x14ac:dyDescent="0.3">
      <c r="A3" t="s">
        <v>101</v>
      </c>
      <c r="B3" s="1" t="s">
        <v>623</v>
      </c>
      <c r="C3" s="1"/>
      <c r="D3" t="s">
        <v>357</v>
      </c>
      <c r="F3" t="b">
        <v>0</v>
      </c>
      <c r="I3">
        <v>1</v>
      </c>
      <c r="J3">
        <v>73</v>
      </c>
      <c r="K3">
        <v>74</v>
      </c>
      <c r="L3">
        <v>65</v>
      </c>
      <c r="M3" t="s">
        <v>68</v>
      </c>
      <c r="N3" t="s">
        <v>33</v>
      </c>
      <c r="O3" t="b">
        <v>1</v>
      </c>
      <c r="X3">
        <v>10</v>
      </c>
      <c r="Y3">
        <f t="shared" ref="Y3:Y66" si="0">AI3*AH3</f>
        <v>4</v>
      </c>
      <c r="AA3" s="8"/>
      <c r="AB3" s="4">
        <v>95</v>
      </c>
      <c r="AC3" s="4">
        <v>16</v>
      </c>
      <c r="AD3" s="2" t="s">
        <v>298</v>
      </c>
      <c r="AE3" s="2" t="b">
        <v>1</v>
      </c>
      <c r="AF3" s="2"/>
      <c r="AG3" s="2"/>
      <c r="AH3" s="2">
        <v>4</v>
      </c>
      <c r="AI3" s="2">
        <v>1</v>
      </c>
      <c r="AJ3" s="2">
        <v>0</v>
      </c>
      <c r="AL3" s="2">
        <v>1</v>
      </c>
    </row>
    <row r="4" spans="1:38" hidden="1" x14ac:dyDescent="0.3">
      <c r="A4" t="s">
        <v>102</v>
      </c>
      <c r="B4" s="1">
        <v>7118670020</v>
      </c>
      <c r="C4" s="1"/>
      <c r="D4" t="s">
        <v>357</v>
      </c>
      <c r="F4" t="b">
        <v>0</v>
      </c>
      <c r="I4">
        <v>1</v>
      </c>
      <c r="J4">
        <v>50</v>
      </c>
      <c r="K4">
        <v>47</v>
      </c>
      <c r="L4">
        <v>51</v>
      </c>
      <c r="M4" t="s">
        <v>73</v>
      </c>
      <c r="N4" t="s">
        <v>33</v>
      </c>
      <c r="O4" t="b">
        <v>1</v>
      </c>
      <c r="X4">
        <v>10</v>
      </c>
      <c r="Y4">
        <f t="shared" si="0"/>
        <v>4</v>
      </c>
      <c r="AA4" s="8"/>
      <c r="AB4" s="5">
        <v>176</v>
      </c>
      <c r="AC4" s="5" t="s">
        <v>300</v>
      </c>
      <c r="AD4" s="3" t="s">
        <v>298</v>
      </c>
      <c r="AE4" s="3" t="b">
        <v>1</v>
      </c>
      <c r="AF4" s="3"/>
      <c r="AG4" s="3"/>
      <c r="AH4" s="3">
        <v>4</v>
      </c>
      <c r="AI4" s="3">
        <v>1</v>
      </c>
      <c r="AJ4" s="3">
        <v>0</v>
      </c>
    </row>
    <row r="5" spans="1:38" hidden="1" x14ac:dyDescent="0.3">
      <c r="A5" t="s">
        <v>103</v>
      </c>
      <c r="B5" s="1" t="s">
        <v>234</v>
      </c>
      <c r="C5" s="1"/>
      <c r="D5" t="s">
        <v>357</v>
      </c>
      <c r="F5" t="b">
        <v>0</v>
      </c>
      <c r="I5">
        <v>1</v>
      </c>
      <c r="J5">
        <v>56</v>
      </c>
      <c r="K5">
        <v>48</v>
      </c>
      <c r="L5">
        <v>50</v>
      </c>
      <c r="M5" t="s">
        <v>73</v>
      </c>
      <c r="N5" t="s">
        <v>33</v>
      </c>
      <c r="O5" t="b">
        <v>1</v>
      </c>
      <c r="X5">
        <v>10</v>
      </c>
      <c r="Y5">
        <f t="shared" si="0"/>
        <v>2</v>
      </c>
      <c r="AA5" s="8"/>
      <c r="AB5" s="5">
        <v>295</v>
      </c>
      <c r="AC5" s="5">
        <v>2</v>
      </c>
      <c r="AD5" s="3" t="s">
        <v>298</v>
      </c>
      <c r="AE5" s="3"/>
      <c r="AF5" s="3"/>
      <c r="AG5" s="3"/>
      <c r="AH5" s="3">
        <v>2</v>
      </c>
      <c r="AI5" s="3">
        <v>1</v>
      </c>
      <c r="AJ5" s="3">
        <v>0</v>
      </c>
      <c r="AL5" s="3"/>
    </row>
    <row r="6" spans="1:38" hidden="1" x14ac:dyDescent="0.3">
      <c r="A6" t="s">
        <v>104</v>
      </c>
      <c r="B6" s="1" t="s">
        <v>235</v>
      </c>
      <c r="C6" s="1"/>
      <c r="D6" t="s">
        <v>357</v>
      </c>
      <c r="F6" t="b">
        <v>0</v>
      </c>
      <c r="I6">
        <v>1</v>
      </c>
      <c r="J6">
        <v>57</v>
      </c>
      <c r="K6">
        <v>48</v>
      </c>
      <c r="L6">
        <v>50</v>
      </c>
      <c r="M6" t="s">
        <v>69</v>
      </c>
      <c r="N6" t="s">
        <v>33</v>
      </c>
      <c r="O6" t="b">
        <v>1</v>
      </c>
      <c r="V6" t="b">
        <v>1</v>
      </c>
      <c r="X6">
        <v>10</v>
      </c>
      <c r="Y6">
        <f t="shared" si="0"/>
        <v>2</v>
      </c>
      <c r="AA6" s="8"/>
      <c r="AB6" s="4">
        <v>78</v>
      </c>
      <c r="AC6" s="4">
        <v>27</v>
      </c>
      <c r="AD6" s="2" t="s">
        <v>298</v>
      </c>
      <c r="AE6" s="2"/>
      <c r="AF6" s="2"/>
      <c r="AG6" s="2"/>
      <c r="AH6" s="2">
        <v>2</v>
      </c>
      <c r="AI6" s="2">
        <v>1</v>
      </c>
      <c r="AJ6" s="2">
        <v>0</v>
      </c>
    </row>
    <row r="7" spans="1:38" hidden="1" x14ac:dyDescent="0.3">
      <c r="A7" t="s">
        <v>105</v>
      </c>
      <c r="B7" s="1">
        <v>7119131530</v>
      </c>
      <c r="C7" s="1"/>
      <c r="D7" t="s">
        <v>357</v>
      </c>
      <c r="F7" t="b">
        <v>0</v>
      </c>
      <c r="I7">
        <v>1</v>
      </c>
      <c r="J7">
        <v>42</v>
      </c>
      <c r="K7">
        <v>34</v>
      </c>
      <c r="L7">
        <v>42</v>
      </c>
      <c r="M7" t="s">
        <v>69</v>
      </c>
      <c r="N7" t="s">
        <v>33</v>
      </c>
      <c r="O7" t="b">
        <v>1</v>
      </c>
      <c r="X7">
        <v>10</v>
      </c>
      <c r="Y7">
        <f t="shared" si="0"/>
        <v>6</v>
      </c>
      <c r="AA7" s="8"/>
      <c r="AB7" s="5" t="s">
        <v>301</v>
      </c>
      <c r="AC7" s="5" t="s">
        <v>302</v>
      </c>
      <c r="AD7" s="3" t="s">
        <v>298</v>
      </c>
      <c r="AE7" s="3" t="b">
        <v>1</v>
      </c>
      <c r="AF7" s="3"/>
      <c r="AG7" s="3"/>
      <c r="AH7" s="3">
        <v>6</v>
      </c>
      <c r="AI7" s="3">
        <v>1</v>
      </c>
      <c r="AJ7" s="3">
        <v>0</v>
      </c>
    </row>
    <row r="8" spans="1:38" hidden="1" x14ac:dyDescent="0.3">
      <c r="A8" t="s">
        <v>106</v>
      </c>
      <c r="B8" s="1" t="s">
        <v>959</v>
      </c>
      <c r="C8" s="1"/>
      <c r="D8" t="s">
        <v>357</v>
      </c>
      <c r="F8" t="b">
        <v>0</v>
      </c>
      <c r="I8">
        <v>1</v>
      </c>
      <c r="J8">
        <v>90</v>
      </c>
      <c r="K8">
        <v>50</v>
      </c>
      <c r="L8">
        <v>52</v>
      </c>
      <c r="M8" t="s">
        <v>68</v>
      </c>
      <c r="N8" t="s">
        <v>33</v>
      </c>
      <c r="O8" t="b">
        <v>1</v>
      </c>
      <c r="V8" t="b">
        <v>1</v>
      </c>
      <c r="X8">
        <v>10</v>
      </c>
      <c r="Y8">
        <f t="shared" si="0"/>
        <v>4</v>
      </c>
      <c r="AA8" s="8"/>
      <c r="AB8" s="4">
        <v>462</v>
      </c>
      <c r="AC8" s="4">
        <v>30</v>
      </c>
      <c r="AD8" s="2" t="s">
        <v>298</v>
      </c>
      <c r="AE8" s="2"/>
      <c r="AF8" s="2"/>
      <c r="AG8" s="2"/>
      <c r="AH8" s="2">
        <v>4</v>
      </c>
      <c r="AI8" s="2">
        <v>1</v>
      </c>
      <c r="AJ8" s="2">
        <v>0</v>
      </c>
      <c r="AL8" s="2"/>
    </row>
    <row r="9" spans="1:38" hidden="1" x14ac:dyDescent="0.3">
      <c r="A9" t="s">
        <v>107</v>
      </c>
      <c r="B9" s="1">
        <v>7119146730</v>
      </c>
      <c r="C9" s="1"/>
      <c r="D9" t="s">
        <v>357</v>
      </c>
      <c r="F9" t="b">
        <v>0</v>
      </c>
      <c r="I9">
        <v>1</v>
      </c>
      <c r="J9">
        <v>42</v>
      </c>
      <c r="K9">
        <v>38</v>
      </c>
      <c r="L9">
        <v>42</v>
      </c>
      <c r="M9" t="s">
        <v>69</v>
      </c>
      <c r="N9" t="s">
        <v>33</v>
      </c>
      <c r="O9" t="b">
        <v>1</v>
      </c>
      <c r="X9">
        <v>10</v>
      </c>
      <c r="Y9">
        <f t="shared" si="0"/>
        <v>2</v>
      </c>
      <c r="AA9" s="8"/>
      <c r="AB9" s="4">
        <v>116</v>
      </c>
      <c r="AC9" s="4">
        <v>13</v>
      </c>
      <c r="AD9" s="2" t="s">
        <v>298</v>
      </c>
      <c r="AE9" s="2" t="b">
        <v>1</v>
      </c>
      <c r="AF9" s="2"/>
      <c r="AG9" s="2"/>
      <c r="AH9" s="2">
        <v>2</v>
      </c>
      <c r="AI9" s="2">
        <v>1</v>
      </c>
      <c r="AJ9" s="2">
        <v>0</v>
      </c>
    </row>
    <row r="10" spans="1:38" x14ac:dyDescent="0.3">
      <c r="A10" t="s">
        <v>108</v>
      </c>
      <c r="B10" s="1">
        <v>71191993</v>
      </c>
      <c r="C10" s="1" t="s">
        <v>1218</v>
      </c>
      <c r="D10" t="s">
        <v>357</v>
      </c>
      <c r="F10" t="b">
        <v>0</v>
      </c>
      <c r="I10">
        <v>1</v>
      </c>
      <c r="J10">
        <v>42</v>
      </c>
      <c r="K10">
        <v>35</v>
      </c>
      <c r="L10">
        <v>44</v>
      </c>
      <c r="M10" t="s">
        <v>68</v>
      </c>
      <c r="N10" t="s">
        <v>33</v>
      </c>
      <c r="O10" t="b">
        <v>1</v>
      </c>
      <c r="X10">
        <v>10</v>
      </c>
      <c r="Y10">
        <f t="shared" si="0"/>
        <v>2</v>
      </c>
      <c r="AA10" s="8"/>
      <c r="AB10" s="5">
        <v>92</v>
      </c>
      <c r="AC10" s="5">
        <v>4</v>
      </c>
      <c r="AD10" s="3" t="s">
        <v>298</v>
      </c>
      <c r="AE10" s="3" t="b">
        <v>1</v>
      </c>
      <c r="AF10" s="3"/>
      <c r="AG10" s="3"/>
      <c r="AH10" s="3">
        <v>2</v>
      </c>
      <c r="AI10" s="3">
        <v>1</v>
      </c>
      <c r="AJ10" s="3">
        <v>0</v>
      </c>
      <c r="AL10" s="3">
        <v>1</v>
      </c>
    </row>
    <row r="11" spans="1:38" hidden="1" x14ac:dyDescent="0.3">
      <c r="A11" t="s">
        <v>109</v>
      </c>
      <c r="B11" s="1">
        <v>71196180</v>
      </c>
      <c r="C11" s="1"/>
      <c r="D11" t="s">
        <v>357</v>
      </c>
      <c r="F11" t="b">
        <v>0</v>
      </c>
      <c r="I11">
        <v>1</v>
      </c>
      <c r="J11">
        <v>40</v>
      </c>
      <c r="K11">
        <v>40</v>
      </c>
      <c r="L11">
        <v>52</v>
      </c>
      <c r="M11" t="s">
        <v>68</v>
      </c>
      <c r="N11" t="s">
        <v>33</v>
      </c>
      <c r="O11" t="b">
        <v>1</v>
      </c>
      <c r="X11">
        <v>7</v>
      </c>
      <c r="Y11">
        <f t="shared" si="0"/>
        <v>1</v>
      </c>
      <c r="Z11" t="s">
        <v>293</v>
      </c>
      <c r="AA11" s="8"/>
      <c r="AB11" s="5">
        <v>393</v>
      </c>
      <c r="AC11" s="5">
        <v>4</v>
      </c>
      <c r="AD11" s="3" t="s">
        <v>298</v>
      </c>
      <c r="AE11" s="3"/>
      <c r="AF11" s="3"/>
      <c r="AG11" s="3"/>
      <c r="AH11" s="3">
        <v>1</v>
      </c>
      <c r="AI11" s="3">
        <v>1</v>
      </c>
      <c r="AJ11" s="3">
        <v>0</v>
      </c>
    </row>
    <row r="12" spans="1:38" hidden="1" x14ac:dyDescent="0.3">
      <c r="A12" t="s">
        <v>110</v>
      </c>
      <c r="B12" s="1" t="s">
        <v>859</v>
      </c>
      <c r="C12" s="1"/>
      <c r="D12" t="s">
        <v>357</v>
      </c>
      <c r="F12" t="b">
        <v>0</v>
      </c>
      <c r="I12">
        <v>1</v>
      </c>
      <c r="J12">
        <v>82</v>
      </c>
      <c r="K12">
        <v>77</v>
      </c>
      <c r="L12">
        <v>52</v>
      </c>
      <c r="M12" t="s">
        <v>68</v>
      </c>
      <c r="N12" t="s">
        <v>33</v>
      </c>
      <c r="O12" t="b">
        <v>1</v>
      </c>
      <c r="Y12">
        <f t="shared" si="0"/>
        <v>0</v>
      </c>
      <c r="Z12" t="s">
        <v>293</v>
      </c>
      <c r="AA12" s="8"/>
      <c r="AB12" s="4" t="s">
        <v>303</v>
      </c>
      <c r="AC12" s="4" t="s">
        <v>304</v>
      </c>
      <c r="AD12" s="2" t="s">
        <v>298</v>
      </c>
      <c r="AE12" s="2"/>
      <c r="AF12" s="2"/>
      <c r="AG12" s="2"/>
      <c r="AH12" s="2">
        <v>1</v>
      </c>
      <c r="AI12" s="2"/>
      <c r="AJ12" s="2">
        <v>0</v>
      </c>
    </row>
    <row r="13" spans="1:38" hidden="1" x14ac:dyDescent="0.3">
      <c r="A13" t="s">
        <v>111</v>
      </c>
      <c r="B13" s="1">
        <v>7119639830</v>
      </c>
      <c r="C13" s="1"/>
      <c r="D13" t="s">
        <v>357</v>
      </c>
      <c r="F13" t="b">
        <v>0</v>
      </c>
      <c r="I13">
        <v>1</v>
      </c>
      <c r="J13">
        <v>46</v>
      </c>
      <c r="K13">
        <v>40</v>
      </c>
      <c r="L13">
        <v>48</v>
      </c>
      <c r="M13" t="s">
        <v>69</v>
      </c>
      <c r="N13" t="s">
        <v>33</v>
      </c>
      <c r="O13" t="b">
        <v>1</v>
      </c>
      <c r="X13">
        <v>10</v>
      </c>
      <c r="Y13">
        <f t="shared" si="0"/>
        <v>2</v>
      </c>
      <c r="AA13" s="8"/>
      <c r="AB13" s="5">
        <v>286</v>
      </c>
      <c r="AC13" s="5">
        <v>4</v>
      </c>
      <c r="AD13" s="3" t="s">
        <v>298</v>
      </c>
      <c r="AE13" s="3" t="b">
        <v>1</v>
      </c>
      <c r="AF13" s="3"/>
      <c r="AG13" s="3"/>
      <c r="AH13" s="3">
        <v>2</v>
      </c>
      <c r="AI13" s="3">
        <v>1</v>
      </c>
      <c r="AJ13" s="3">
        <v>0</v>
      </c>
    </row>
    <row r="14" spans="1:38" hidden="1" x14ac:dyDescent="0.3">
      <c r="A14" t="s">
        <v>112</v>
      </c>
      <c r="B14" s="1">
        <v>71196401</v>
      </c>
      <c r="C14" s="1"/>
      <c r="D14" t="s">
        <v>357</v>
      </c>
      <c r="F14" t="b">
        <v>0</v>
      </c>
      <c r="I14">
        <v>1</v>
      </c>
      <c r="J14">
        <v>42</v>
      </c>
      <c r="K14">
        <v>39</v>
      </c>
      <c r="L14">
        <v>46</v>
      </c>
      <c r="M14" t="s">
        <v>68</v>
      </c>
      <c r="N14" t="s">
        <v>33</v>
      </c>
      <c r="O14" t="b">
        <v>1</v>
      </c>
      <c r="X14">
        <v>10</v>
      </c>
      <c r="Y14">
        <f t="shared" si="0"/>
        <v>2</v>
      </c>
      <c r="AA14" s="8"/>
      <c r="AB14" s="4">
        <v>285</v>
      </c>
      <c r="AC14" s="4">
        <v>4</v>
      </c>
      <c r="AD14" s="2" t="s">
        <v>298</v>
      </c>
      <c r="AE14" s="2" t="b">
        <v>1</v>
      </c>
      <c r="AF14" s="2"/>
      <c r="AG14" s="2"/>
      <c r="AH14" s="2">
        <v>2</v>
      </c>
      <c r="AI14" s="2">
        <v>1</v>
      </c>
      <c r="AJ14" s="2">
        <v>0</v>
      </c>
    </row>
    <row r="15" spans="1:38" hidden="1" x14ac:dyDescent="0.3">
      <c r="A15" t="s">
        <v>113</v>
      </c>
      <c r="B15" s="1">
        <v>7119641970</v>
      </c>
      <c r="C15" s="1"/>
      <c r="D15" t="s">
        <v>357</v>
      </c>
      <c r="F15" t="b">
        <v>0</v>
      </c>
      <c r="I15">
        <v>1</v>
      </c>
      <c r="J15">
        <v>42</v>
      </c>
      <c r="K15">
        <v>36</v>
      </c>
      <c r="L15">
        <v>46</v>
      </c>
      <c r="M15" t="s">
        <v>74</v>
      </c>
      <c r="N15" t="s">
        <v>33</v>
      </c>
      <c r="O15" t="b">
        <v>1</v>
      </c>
      <c r="X15">
        <v>10</v>
      </c>
      <c r="Y15">
        <f t="shared" si="0"/>
        <v>2</v>
      </c>
      <c r="AA15" s="8"/>
      <c r="AB15" s="5" t="s">
        <v>305</v>
      </c>
      <c r="AC15" s="5">
        <v>28</v>
      </c>
      <c r="AD15" s="3" t="s">
        <v>298</v>
      </c>
      <c r="AE15" s="3" t="b">
        <v>1</v>
      </c>
      <c r="AF15" s="3"/>
      <c r="AG15" s="3"/>
      <c r="AH15" s="3">
        <v>2</v>
      </c>
      <c r="AI15" s="3">
        <v>1</v>
      </c>
      <c r="AJ15" s="3">
        <v>0</v>
      </c>
    </row>
    <row r="16" spans="1:38" hidden="1" x14ac:dyDescent="0.3">
      <c r="A16" t="s">
        <v>114</v>
      </c>
      <c r="B16" s="1">
        <v>71196506</v>
      </c>
      <c r="C16" s="1"/>
      <c r="D16" t="s">
        <v>357</v>
      </c>
      <c r="F16" t="b">
        <v>0</v>
      </c>
      <c r="I16">
        <v>1</v>
      </c>
      <c r="J16">
        <v>42</v>
      </c>
      <c r="K16">
        <v>33</v>
      </c>
      <c r="L16">
        <v>47</v>
      </c>
      <c r="M16" t="s">
        <v>68</v>
      </c>
      <c r="N16" t="s">
        <v>33</v>
      </c>
      <c r="O16" t="b">
        <v>1</v>
      </c>
      <c r="V16" t="b">
        <v>1</v>
      </c>
      <c r="X16">
        <v>10</v>
      </c>
      <c r="Y16">
        <f t="shared" si="0"/>
        <v>2</v>
      </c>
      <c r="AA16" s="8"/>
      <c r="AB16" s="4" t="s">
        <v>306</v>
      </c>
      <c r="AC16" s="4">
        <v>28</v>
      </c>
      <c r="AD16" s="2" t="s">
        <v>298</v>
      </c>
      <c r="AE16" s="2" t="b">
        <v>1</v>
      </c>
      <c r="AF16" s="2"/>
      <c r="AG16" s="2"/>
      <c r="AH16" s="2">
        <v>2</v>
      </c>
      <c r="AI16" s="2">
        <v>1</v>
      </c>
      <c r="AJ16" s="2">
        <v>0</v>
      </c>
    </row>
    <row r="17" spans="1:38" hidden="1" x14ac:dyDescent="0.3">
      <c r="A17" t="s">
        <v>115</v>
      </c>
      <c r="B17" s="1" t="s">
        <v>237</v>
      </c>
      <c r="C17" s="1"/>
      <c r="D17" t="s">
        <v>357</v>
      </c>
      <c r="F17" t="b">
        <v>0</v>
      </c>
      <c r="I17">
        <v>1</v>
      </c>
      <c r="J17">
        <v>61</v>
      </c>
      <c r="K17">
        <v>50</v>
      </c>
      <c r="L17">
        <v>87</v>
      </c>
      <c r="M17" t="s">
        <v>68</v>
      </c>
      <c r="N17" t="s">
        <v>33</v>
      </c>
      <c r="O17" t="b">
        <v>1</v>
      </c>
      <c r="Y17">
        <f t="shared" si="0"/>
        <v>0</v>
      </c>
      <c r="Z17" t="s">
        <v>293</v>
      </c>
      <c r="AA17" s="8"/>
      <c r="AB17" s="5">
        <v>177</v>
      </c>
      <c r="AC17" s="5">
        <v>22</v>
      </c>
      <c r="AD17" s="3" t="s">
        <v>298</v>
      </c>
      <c r="AE17" s="3" t="b">
        <v>1</v>
      </c>
      <c r="AF17" s="3"/>
      <c r="AG17" s="3"/>
      <c r="AH17" s="3">
        <v>1</v>
      </c>
      <c r="AI17" s="3"/>
      <c r="AJ17" s="3">
        <v>0</v>
      </c>
    </row>
    <row r="18" spans="1:38" hidden="1" x14ac:dyDescent="0.3">
      <c r="A18" t="s">
        <v>116</v>
      </c>
      <c r="B18" s="1">
        <v>7119668820</v>
      </c>
      <c r="C18" s="1"/>
      <c r="D18" t="s">
        <v>357</v>
      </c>
      <c r="F18" t="b">
        <v>0</v>
      </c>
      <c r="I18">
        <v>1</v>
      </c>
      <c r="J18">
        <v>40</v>
      </c>
      <c r="K18">
        <v>37</v>
      </c>
      <c r="L18">
        <v>52</v>
      </c>
      <c r="M18" t="s">
        <v>73</v>
      </c>
      <c r="N18" t="s">
        <v>33</v>
      </c>
      <c r="O18" t="b">
        <v>1</v>
      </c>
      <c r="X18">
        <v>10</v>
      </c>
      <c r="Y18">
        <f t="shared" si="0"/>
        <v>2</v>
      </c>
      <c r="AA18" s="8"/>
      <c r="AB18" s="4">
        <v>63</v>
      </c>
      <c r="AC18" s="4">
        <v>24</v>
      </c>
      <c r="AD18" s="2" t="s">
        <v>298</v>
      </c>
      <c r="AE18" s="2" t="b">
        <v>1</v>
      </c>
      <c r="AF18" s="2"/>
      <c r="AG18" s="2"/>
      <c r="AH18" s="2">
        <v>2</v>
      </c>
      <c r="AI18" s="2">
        <v>1</v>
      </c>
      <c r="AJ18" s="2">
        <v>0</v>
      </c>
    </row>
    <row r="19" spans="1:38" hidden="1" x14ac:dyDescent="0.3">
      <c r="A19" t="s">
        <v>117</v>
      </c>
      <c r="B19" s="1" t="s">
        <v>238</v>
      </c>
      <c r="C19" s="1"/>
      <c r="D19" t="s">
        <v>357</v>
      </c>
      <c r="F19" t="b">
        <v>0</v>
      </c>
      <c r="I19">
        <v>1</v>
      </c>
      <c r="J19">
        <v>55</v>
      </c>
      <c r="K19">
        <v>67</v>
      </c>
      <c r="L19">
        <v>52</v>
      </c>
      <c r="M19" t="s">
        <v>74</v>
      </c>
      <c r="N19" t="s">
        <v>33</v>
      </c>
      <c r="O19" t="b">
        <v>1</v>
      </c>
      <c r="X19">
        <v>10</v>
      </c>
      <c r="Y19">
        <f t="shared" si="0"/>
        <v>6</v>
      </c>
      <c r="AA19" s="8"/>
      <c r="AB19" s="5">
        <v>401</v>
      </c>
      <c r="AC19" s="5">
        <v>13</v>
      </c>
      <c r="AD19" s="3" t="s">
        <v>298</v>
      </c>
      <c r="AE19" s="3"/>
      <c r="AF19" s="3"/>
      <c r="AG19" s="3"/>
      <c r="AH19" s="3">
        <v>6</v>
      </c>
      <c r="AI19" s="3">
        <v>1</v>
      </c>
      <c r="AJ19" s="3">
        <v>0</v>
      </c>
    </row>
    <row r="20" spans="1:38" hidden="1" x14ac:dyDescent="0.3">
      <c r="A20" t="s">
        <v>118</v>
      </c>
      <c r="B20" s="1">
        <v>71196714</v>
      </c>
      <c r="C20" s="1"/>
      <c r="D20" t="s">
        <v>357</v>
      </c>
      <c r="F20" t="b">
        <v>0</v>
      </c>
      <c r="I20">
        <v>1</v>
      </c>
      <c r="J20">
        <v>45</v>
      </c>
      <c r="K20">
        <v>38</v>
      </c>
      <c r="L20">
        <v>59</v>
      </c>
      <c r="M20" t="s">
        <v>68</v>
      </c>
      <c r="N20" t="s">
        <v>33</v>
      </c>
      <c r="O20" t="b">
        <v>1</v>
      </c>
      <c r="Y20">
        <f t="shared" si="0"/>
        <v>0</v>
      </c>
      <c r="Z20" t="s">
        <v>293</v>
      </c>
      <c r="AA20" s="8"/>
      <c r="AB20" s="5">
        <v>388</v>
      </c>
      <c r="AC20" s="5">
        <v>14</v>
      </c>
      <c r="AD20" s="3" t="s">
        <v>298</v>
      </c>
      <c r="AE20" s="3" t="b">
        <v>1</v>
      </c>
      <c r="AF20" s="3"/>
      <c r="AG20" s="3"/>
      <c r="AH20" s="3">
        <v>2</v>
      </c>
      <c r="AI20" s="3"/>
      <c r="AJ20" s="3">
        <v>0</v>
      </c>
    </row>
    <row r="21" spans="1:38" hidden="1" x14ac:dyDescent="0.3">
      <c r="A21" t="s">
        <v>119</v>
      </c>
      <c r="B21" s="1" t="s">
        <v>239</v>
      </c>
      <c r="C21" s="1"/>
      <c r="D21" t="s">
        <v>357</v>
      </c>
      <c r="F21" t="b">
        <v>0</v>
      </c>
      <c r="I21">
        <v>1</v>
      </c>
      <c r="J21">
        <v>62</v>
      </c>
      <c r="K21">
        <v>67</v>
      </c>
      <c r="L21">
        <v>60</v>
      </c>
      <c r="M21" t="s">
        <v>69</v>
      </c>
      <c r="N21" t="s">
        <v>33</v>
      </c>
      <c r="O21" t="b">
        <v>1</v>
      </c>
      <c r="X21">
        <v>10</v>
      </c>
      <c r="Y21">
        <f t="shared" si="0"/>
        <v>2</v>
      </c>
      <c r="AA21" s="8"/>
      <c r="AB21" s="4" t="s">
        <v>307</v>
      </c>
      <c r="AC21" s="4">
        <v>21</v>
      </c>
      <c r="AD21" s="2" t="s">
        <v>298</v>
      </c>
      <c r="AE21" s="2"/>
      <c r="AF21" s="2"/>
      <c r="AG21" s="2"/>
      <c r="AH21" s="2">
        <v>2</v>
      </c>
      <c r="AI21" s="2">
        <v>1</v>
      </c>
      <c r="AJ21" s="2">
        <v>0</v>
      </c>
    </row>
    <row r="22" spans="1:38" hidden="1" x14ac:dyDescent="0.3">
      <c r="A22" t="s">
        <v>120</v>
      </c>
      <c r="B22" s="1">
        <v>71781405</v>
      </c>
      <c r="C22" s="1"/>
      <c r="D22" t="s">
        <v>357</v>
      </c>
      <c r="F22" t="b">
        <v>0</v>
      </c>
      <c r="I22">
        <v>1</v>
      </c>
      <c r="J22">
        <v>40</v>
      </c>
      <c r="K22">
        <v>39</v>
      </c>
      <c r="L22">
        <v>45</v>
      </c>
      <c r="M22" t="s">
        <v>68</v>
      </c>
      <c r="N22" t="s">
        <v>33</v>
      </c>
      <c r="O22" t="b">
        <v>1</v>
      </c>
      <c r="Y22">
        <f t="shared" si="0"/>
        <v>0</v>
      </c>
      <c r="Z22" t="s">
        <v>293</v>
      </c>
      <c r="AA22" s="8"/>
      <c r="AB22" s="5">
        <v>404</v>
      </c>
      <c r="AC22" s="5"/>
      <c r="AD22" s="3" t="s">
        <v>298</v>
      </c>
      <c r="AE22" s="3" t="b">
        <v>1</v>
      </c>
      <c r="AF22" s="3"/>
      <c r="AG22" s="3"/>
      <c r="AH22" s="3"/>
      <c r="AI22" s="3"/>
      <c r="AJ22" s="3">
        <v>0</v>
      </c>
    </row>
    <row r="23" spans="1:38" hidden="1" x14ac:dyDescent="0.3">
      <c r="A23" t="s">
        <v>121</v>
      </c>
      <c r="B23" s="1" t="s">
        <v>240</v>
      </c>
      <c r="C23" s="1"/>
      <c r="D23" t="s">
        <v>357</v>
      </c>
      <c r="F23" t="b">
        <v>0</v>
      </c>
      <c r="I23">
        <v>1</v>
      </c>
      <c r="J23">
        <v>82</v>
      </c>
      <c r="K23">
        <v>77</v>
      </c>
      <c r="L23">
        <v>52</v>
      </c>
      <c r="M23" t="s">
        <v>68</v>
      </c>
      <c r="N23" t="s">
        <v>33</v>
      </c>
      <c r="O23" t="b">
        <v>1</v>
      </c>
      <c r="X23">
        <v>10</v>
      </c>
      <c r="Y23">
        <f t="shared" si="0"/>
        <v>4</v>
      </c>
      <c r="AA23" s="8"/>
      <c r="AB23" s="4">
        <v>298</v>
      </c>
      <c r="AC23" s="4">
        <v>3</v>
      </c>
      <c r="AD23" s="2" t="s">
        <v>298</v>
      </c>
      <c r="AE23" s="2"/>
      <c r="AF23" s="2"/>
      <c r="AG23" s="2"/>
      <c r="AH23" s="2">
        <v>4</v>
      </c>
      <c r="AI23" s="2">
        <v>1</v>
      </c>
      <c r="AJ23" s="2">
        <v>0</v>
      </c>
      <c r="AL23" s="2"/>
    </row>
    <row r="24" spans="1:38" hidden="1" x14ac:dyDescent="0.3">
      <c r="A24" t="s">
        <v>122</v>
      </c>
      <c r="B24" s="1" t="s">
        <v>241</v>
      </c>
      <c r="C24" s="1"/>
      <c r="D24" t="s">
        <v>357</v>
      </c>
      <c r="F24" t="b">
        <v>0</v>
      </c>
      <c r="I24">
        <v>1</v>
      </c>
      <c r="J24">
        <v>92</v>
      </c>
      <c r="K24">
        <v>75</v>
      </c>
      <c r="L24">
        <v>52</v>
      </c>
      <c r="M24" t="s">
        <v>68</v>
      </c>
      <c r="N24" t="s">
        <v>33</v>
      </c>
      <c r="O24" t="b">
        <v>1</v>
      </c>
      <c r="X24">
        <v>10</v>
      </c>
      <c r="Y24">
        <f t="shared" si="0"/>
        <v>1</v>
      </c>
      <c r="AA24" s="8"/>
      <c r="AB24" s="5">
        <v>140</v>
      </c>
      <c r="AC24" s="5">
        <v>25</v>
      </c>
      <c r="AD24" s="3" t="s">
        <v>298</v>
      </c>
      <c r="AE24" s="3"/>
      <c r="AF24" s="3"/>
      <c r="AG24" s="3"/>
      <c r="AH24" s="3">
        <v>1</v>
      </c>
      <c r="AI24" s="3">
        <v>1</v>
      </c>
      <c r="AJ24" s="3">
        <v>0</v>
      </c>
    </row>
    <row r="25" spans="1:38" hidden="1" x14ac:dyDescent="0.3">
      <c r="A25" t="s">
        <v>123</v>
      </c>
      <c r="B25" s="1" t="s">
        <v>843</v>
      </c>
      <c r="C25" s="1"/>
      <c r="D25" t="s">
        <v>357</v>
      </c>
      <c r="F25" t="b">
        <v>0</v>
      </c>
      <c r="I25">
        <v>1</v>
      </c>
      <c r="J25">
        <v>92</v>
      </c>
      <c r="K25">
        <v>68</v>
      </c>
      <c r="L25">
        <v>55</v>
      </c>
      <c r="M25" t="s">
        <v>74</v>
      </c>
      <c r="N25" t="s">
        <v>33</v>
      </c>
      <c r="O25" t="b">
        <v>1</v>
      </c>
      <c r="X25">
        <v>11</v>
      </c>
      <c r="Y25">
        <f t="shared" si="0"/>
        <v>2</v>
      </c>
      <c r="AA25" s="8"/>
      <c r="AB25" s="4">
        <v>180</v>
      </c>
      <c r="AC25" s="4" t="s">
        <v>308</v>
      </c>
      <c r="AD25" s="2" t="s">
        <v>298</v>
      </c>
      <c r="AE25" s="2"/>
      <c r="AF25" s="2"/>
      <c r="AG25" s="2"/>
      <c r="AH25" s="2">
        <v>2</v>
      </c>
      <c r="AI25" s="2">
        <v>1</v>
      </c>
      <c r="AJ25" s="2">
        <v>0</v>
      </c>
    </row>
    <row r="26" spans="1:38" hidden="1" x14ac:dyDescent="0.3">
      <c r="A26" t="s">
        <v>124</v>
      </c>
      <c r="B26" s="1" t="s">
        <v>242</v>
      </c>
      <c r="C26" s="1"/>
      <c r="D26" t="s">
        <v>357</v>
      </c>
      <c r="F26" t="b">
        <v>0</v>
      </c>
      <c r="I26">
        <v>1</v>
      </c>
      <c r="J26">
        <v>51</v>
      </c>
      <c r="K26">
        <v>51</v>
      </c>
      <c r="L26">
        <v>66</v>
      </c>
      <c r="M26" t="s">
        <v>68</v>
      </c>
      <c r="N26" t="s">
        <v>33</v>
      </c>
      <c r="O26" t="b">
        <v>1</v>
      </c>
      <c r="X26">
        <v>10</v>
      </c>
      <c r="Y26">
        <f t="shared" si="0"/>
        <v>2</v>
      </c>
      <c r="AA26" s="8"/>
      <c r="AB26" s="5">
        <v>94</v>
      </c>
      <c r="AC26" s="5" t="s">
        <v>309</v>
      </c>
      <c r="AD26" s="3" t="s">
        <v>298</v>
      </c>
      <c r="AE26" s="3" t="b">
        <v>1</v>
      </c>
      <c r="AF26" s="3"/>
      <c r="AG26" s="3"/>
      <c r="AH26" s="3">
        <v>2</v>
      </c>
      <c r="AI26" s="3">
        <v>1</v>
      </c>
      <c r="AJ26" s="3">
        <v>0</v>
      </c>
    </row>
    <row r="27" spans="1:38" hidden="1" x14ac:dyDescent="0.3">
      <c r="A27" t="s">
        <v>125</v>
      </c>
      <c r="B27" s="1" t="s">
        <v>243</v>
      </c>
      <c r="C27" s="1"/>
      <c r="D27" t="s">
        <v>357</v>
      </c>
      <c r="F27" t="b">
        <v>0</v>
      </c>
      <c r="I27">
        <v>1</v>
      </c>
      <c r="J27">
        <v>84</v>
      </c>
      <c r="K27">
        <v>78</v>
      </c>
      <c r="L27">
        <v>49</v>
      </c>
      <c r="M27" t="s">
        <v>69</v>
      </c>
      <c r="N27" t="s">
        <v>33</v>
      </c>
      <c r="O27" t="b">
        <v>1</v>
      </c>
      <c r="X27">
        <v>10</v>
      </c>
      <c r="Y27">
        <f t="shared" si="0"/>
        <v>2</v>
      </c>
      <c r="AA27" s="8"/>
      <c r="AB27" s="4">
        <v>234</v>
      </c>
      <c r="AC27" s="4" t="s">
        <v>310</v>
      </c>
      <c r="AD27" s="2" t="s">
        <v>298</v>
      </c>
      <c r="AE27" s="2"/>
      <c r="AF27" s="2"/>
      <c r="AG27" s="2"/>
      <c r="AH27" s="2">
        <v>2</v>
      </c>
      <c r="AI27" s="2">
        <v>1</v>
      </c>
      <c r="AJ27" s="2">
        <v>0</v>
      </c>
      <c r="AK27" s="12" t="s">
        <v>856</v>
      </c>
    </row>
    <row r="28" spans="1:38" hidden="1" x14ac:dyDescent="0.3">
      <c r="A28" t="s">
        <v>126</v>
      </c>
      <c r="B28" s="1" t="s">
        <v>243</v>
      </c>
      <c r="C28" s="1"/>
      <c r="D28" t="s">
        <v>357</v>
      </c>
      <c r="F28" t="b">
        <v>0</v>
      </c>
      <c r="I28">
        <v>1</v>
      </c>
      <c r="J28">
        <v>84</v>
      </c>
      <c r="K28">
        <v>78</v>
      </c>
      <c r="L28">
        <v>49</v>
      </c>
      <c r="M28" t="s">
        <v>69</v>
      </c>
      <c r="N28" t="s">
        <v>33</v>
      </c>
      <c r="O28" t="b">
        <v>1</v>
      </c>
      <c r="X28">
        <v>10</v>
      </c>
      <c r="Y28">
        <f t="shared" si="0"/>
        <v>2</v>
      </c>
      <c r="AA28" s="8"/>
      <c r="AB28" s="5">
        <v>205</v>
      </c>
      <c r="AC28" s="5" t="s">
        <v>311</v>
      </c>
      <c r="AD28" s="3" t="s">
        <v>298</v>
      </c>
      <c r="AE28" s="3"/>
      <c r="AF28" s="3"/>
      <c r="AG28" s="3"/>
      <c r="AH28" s="3">
        <v>2</v>
      </c>
      <c r="AI28" s="3">
        <v>1</v>
      </c>
      <c r="AJ28" s="3">
        <v>0</v>
      </c>
      <c r="AK28" s="3" t="s">
        <v>857</v>
      </c>
    </row>
    <row r="29" spans="1:38" hidden="1" x14ac:dyDescent="0.3">
      <c r="A29" t="s">
        <v>127</v>
      </c>
      <c r="B29" s="1">
        <v>7189663170</v>
      </c>
      <c r="C29" s="1"/>
      <c r="D29" t="s">
        <v>357</v>
      </c>
      <c r="F29" t="b">
        <v>0</v>
      </c>
      <c r="I29">
        <v>1</v>
      </c>
      <c r="J29">
        <v>44</v>
      </c>
      <c r="K29">
        <v>36</v>
      </c>
      <c r="L29">
        <v>46</v>
      </c>
      <c r="M29" t="s">
        <v>74</v>
      </c>
      <c r="N29" t="s">
        <v>33</v>
      </c>
      <c r="O29" t="b">
        <v>1</v>
      </c>
      <c r="X29">
        <v>10</v>
      </c>
      <c r="Y29">
        <f t="shared" si="0"/>
        <v>4</v>
      </c>
      <c r="AA29" s="8"/>
      <c r="AB29" s="4">
        <v>213</v>
      </c>
      <c r="AC29" s="4" t="s">
        <v>311</v>
      </c>
      <c r="AD29" s="2" t="s">
        <v>298</v>
      </c>
      <c r="AE29" s="2"/>
      <c r="AF29" s="2"/>
      <c r="AG29" s="2"/>
      <c r="AH29" s="2">
        <v>4</v>
      </c>
      <c r="AI29" s="2">
        <v>1</v>
      </c>
      <c r="AJ29" s="2">
        <v>0</v>
      </c>
    </row>
    <row r="30" spans="1:38" hidden="1" x14ac:dyDescent="0.3">
      <c r="A30" t="s">
        <v>855</v>
      </c>
      <c r="B30" s="1" t="s">
        <v>244</v>
      </c>
      <c r="C30" s="1"/>
      <c r="D30" t="s">
        <v>357</v>
      </c>
      <c r="F30" t="b">
        <v>0</v>
      </c>
      <c r="I30">
        <v>1</v>
      </c>
      <c r="J30">
        <v>124</v>
      </c>
      <c r="K30">
        <v>76</v>
      </c>
      <c r="L30">
        <v>62</v>
      </c>
      <c r="M30" t="s">
        <v>68</v>
      </c>
      <c r="N30" t="s">
        <v>33</v>
      </c>
      <c r="O30" t="b">
        <v>1</v>
      </c>
      <c r="X30">
        <v>10</v>
      </c>
      <c r="Y30">
        <f t="shared" si="0"/>
        <v>2</v>
      </c>
      <c r="AA30" s="8"/>
      <c r="AB30" s="4">
        <v>296</v>
      </c>
      <c r="AC30" s="4">
        <v>2</v>
      </c>
      <c r="AD30" s="2" t="s">
        <v>298</v>
      </c>
      <c r="AE30" s="2"/>
      <c r="AF30" s="2"/>
      <c r="AG30" s="2"/>
      <c r="AH30" s="2">
        <v>2</v>
      </c>
      <c r="AI30" s="2">
        <v>1</v>
      </c>
      <c r="AJ30" s="2">
        <v>0</v>
      </c>
      <c r="AL30" s="2"/>
    </row>
    <row r="31" spans="1:38" hidden="1" x14ac:dyDescent="0.3">
      <c r="A31" t="s">
        <v>128</v>
      </c>
      <c r="B31" s="1">
        <v>71899503</v>
      </c>
      <c r="C31" s="1"/>
      <c r="D31" t="s">
        <v>357</v>
      </c>
      <c r="F31" t="b">
        <v>0</v>
      </c>
      <c r="I31">
        <v>1</v>
      </c>
      <c r="J31">
        <v>40</v>
      </c>
      <c r="K31">
        <v>32</v>
      </c>
      <c r="L31">
        <v>47</v>
      </c>
      <c r="M31" t="s">
        <v>68</v>
      </c>
      <c r="N31" t="s">
        <v>33</v>
      </c>
      <c r="O31" t="b">
        <v>1</v>
      </c>
      <c r="X31">
        <v>10</v>
      </c>
      <c r="Y31">
        <f t="shared" si="0"/>
        <v>4</v>
      </c>
      <c r="AA31" s="8"/>
      <c r="AB31" s="5">
        <v>129</v>
      </c>
      <c r="AC31" s="5">
        <v>8</v>
      </c>
      <c r="AD31" s="3" t="s">
        <v>298</v>
      </c>
      <c r="AE31" s="3" t="b">
        <v>1</v>
      </c>
      <c r="AF31" s="3"/>
      <c r="AG31" s="3"/>
      <c r="AH31" s="3">
        <v>4</v>
      </c>
      <c r="AI31" s="3">
        <v>1</v>
      </c>
      <c r="AJ31" s="3">
        <v>0</v>
      </c>
      <c r="AL31" s="3"/>
    </row>
    <row r="32" spans="1:38" hidden="1" x14ac:dyDescent="0.3">
      <c r="A32" t="s">
        <v>129</v>
      </c>
      <c r="B32" s="1">
        <v>7189982830</v>
      </c>
      <c r="C32" s="1"/>
      <c r="D32" t="s">
        <v>357</v>
      </c>
      <c r="F32" t="b">
        <v>0</v>
      </c>
      <c r="I32">
        <v>1</v>
      </c>
      <c r="J32">
        <v>42</v>
      </c>
      <c r="K32">
        <v>42</v>
      </c>
      <c r="L32">
        <v>51</v>
      </c>
      <c r="M32" t="s">
        <v>69</v>
      </c>
      <c r="N32" t="s">
        <v>33</v>
      </c>
      <c r="O32" t="b">
        <v>1</v>
      </c>
      <c r="X32">
        <v>10</v>
      </c>
      <c r="Y32">
        <f t="shared" si="0"/>
        <v>2</v>
      </c>
      <c r="AA32" s="8"/>
      <c r="AB32" s="5">
        <v>453</v>
      </c>
      <c r="AC32" s="5" t="s">
        <v>313</v>
      </c>
      <c r="AD32" s="3" t="s">
        <v>298</v>
      </c>
      <c r="AE32" s="3" t="b">
        <v>1</v>
      </c>
      <c r="AF32" s="3"/>
      <c r="AG32" s="3"/>
      <c r="AH32" s="3">
        <v>2</v>
      </c>
      <c r="AI32" s="3">
        <v>1</v>
      </c>
      <c r="AJ32" s="3">
        <v>0</v>
      </c>
    </row>
    <row r="33" spans="1:40" hidden="1" x14ac:dyDescent="0.3">
      <c r="A33" t="s">
        <v>130</v>
      </c>
      <c r="B33" s="1" t="s">
        <v>1064</v>
      </c>
      <c r="C33" s="1"/>
      <c r="D33" t="s">
        <v>357</v>
      </c>
      <c r="F33" t="b">
        <v>0</v>
      </c>
      <c r="I33">
        <v>1</v>
      </c>
      <c r="J33">
        <v>68</v>
      </c>
      <c r="K33">
        <v>65</v>
      </c>
      <c r="L33">
        <v>50</v>
      </c>
      <c r="M33" t="s">
        <v>73</v>
      </c>
      <c r="N33" t="s">
        <v>33</v>
      </c>
      <c r="O33" t="b">
        <v>1</v>
      </c>
      <c r="V33" t="b">
        <v>1</v>
      </c>
      <c r="X33">
        <v>11</v>
      </c>
      <c r="Y33">
        <f t="shared" si="0"/>
        <v>2</v>
      </c>
      <c r="AA33" s="8"/>
      <c r="AB33" s="4">
        <v>101</v>
      </c>
      <c r="AC33" s="4" t="s">
        <v>314</v>
      </c>
      <c r="AD33" s="2" t="s">
        <v>298</v>
      </c>
      <c r="AE33" s="2"/>
      <c r="AF33" s="2"/>
      <c r="AG33" s="2"/>
      <c r="AH33" s="2">
        <v>2</v>
      </c>
      <c r="AI33" s="2">
        <v>1</v>
      </c>
      <c r="AJ33" s="2">
        <v>0</v>
      </c>
    </row>
    <row r="34" spans="1:40" hidden="1" x14ac:dyDescent="0.3">
      <c r="A34" t="s">
        <v>131</v>
      </c>
      <c r="B34" s="1" t="s">
        <v>245</v>
      </c>
      <c r="C34" s="1"/>
      <c r="D34" t="s">
        <v>357</v>
      </c>
      <c r="F34" t="b">
        <v>0</v>
      </c>
      <c r="I34">
        <v>1</v>
      </c>
      <c r="J34">
        <v>68</v>
      </c>
      <c r="K34">
        <v>65</v>
      </c>
      <c r="L34">
        <v>52</v>
      </c>
      <c r="M34" t="s">
        <v>70</v>
      </c>
      <c r="N34" t="s">
        <v>33</v>
      </c>
      <c r="O34" t="b">
        <v>1</v>
      </c>
      <c r="V34" t="b">
        <v>1</v>
      </c>
      <c r="X34">
        <v>11</v>
      </c>
      <c r="Y34">
        <f t="shared" si="0"/>
        <v>2</v>
      </c>
      <c r="AA34" s="8"/>
      <c r="AB34" s="5">
        <v>101</v>
      </c>
      <c r="AC34" s="5" t="s">
        <v>314</v>
      </c>
      <c r="AD34" s="3" t="s">
        <v>298</v>
      </c>
      <c r="AE34" s="3"/>
      <c r="AF34" s="3"/>
      <c r="AG34" s="3"/>
      <c r="AH34" s="3">
        <v>2</v>
      </c>
      <c r="AI34" s="3">
        <v>1</v>
      </c>
      <c r="AJ34" s="3">
        <v>0</v>
      </c>
    </row>
    <row r="35" spans="1:40" hidden="1" x14ac:dyDescent="0.3">
      <c r="A35" t="s">
        <v>132</v>
      </c>
      <c r="B35" s="1" t="s">
        <v>246</v>
      </c>
      <c r="C35" s="1"/>
      <c r="D35" t="s">
        <v>357</v>
      </c>
      <c r="F35" t="b">
        <v>0</v>
      </c>
      <c r="I35">
        <v>1</v>
      </c>
      <c r="J35">
        <v>68</v>
      </c>
      <c r="K35">
        <v>65</v>
      </c>
      <c r="L35">
        <v>50</v>
      </c>
      <c r="M35" t="s">
        <v>72</v>
      </c>
      <c r="N35" t="s">
        <v>33</v>
      </c>
      <c r="O35" t="b">
        <v>1</v>
      </c>
      <c r="V35" t="b">
        <v>1</v>
      </c>
      <c r="X35">
        <v>11</v>
      </c>
      <c r="Y35">
        <f t="shared" si="0"/>
        <v>2</v>
      </c>
      <c r="AA35" s="8"/>
      <c r="AB35" s="4">
        <v>97</v>
      </c>
      <c r="AC35" s="4" t="s">
        <v>312</v>
      </c>
      <c r="AD35" s="2" t="s">
        <v>298</v>
      </c>
      <c r="AE35" s="2"/>
      <c r="AF35" s="2"/>
      <c r="AG35" s="2"/>
      <c r="AH35" s="2">
        <v>2</v>
      </c>
      <c r="AI35" s="2">
        <v>1</v>
      </c>
      <c r="AJ35" s="2">
        <v>0</v>
      </c>
    </row>
    <row r="36" spans="1:40" hidden="1" x14ac:dyDescent="0.3">
      <c r="A36" t="s">
        <v>133</v>
      </c>
      <c r="B36" s="1">
        <v>71980943</v>
      </c>
      <c r="C36" s="1"/>
      <c r="D36" t="s">
        <v>357</v>
      </c>
      <c r="F36" t="b">
        <v>0</v>
      </c>
      <c r="I36">
        <v>1</v>
      </c>
      <c r="J36">
        <v>42</v>
      </c>
      <c r="K36">
        <v>42</v>
      </c>
      <c r="L36">
        <v>46</v>
      </c>
      <c r="M36" t="s">
        <v>68</v>
      </c>
      <c r="N36" t="s">
        <v>33</v>
      </c>
      <c r="O36" t="b">
        <v>1</v>
      </c>
      <c r="Y36">
        <f t="shared" si="0"/>
        <v>0</v>
      </c>
      <c r="Z36" t="s">
        <v>293</v>
      </c>
      <c r="AA36" s="8"/>
      <c r="AB36" s="5">
        <v>506</v>
      </c>
      <c r="AC36" s="5" t="s">
        <v>313</v>
      </c>
      <c r="AD36" s="3" t="s">
        <v>298</v>
      </c>
      <c r="AE36" s="3" t="b">
        <v>1</v>
      </c>
      <c r="AF36" s="3"/>
      <c r="AG36" s="3"/>
      <c r="AH36" s="3"/>
      <c r="AI36" s="3"/>
      <c r="AJ36" s="3">
        <v>0</v>
      </c>
    </row>
    <row r="37" spans="1:40" hidden="1" x14ac:dyDescent="0.3">
      <c r="A37" t="s">
        <v>134</v>
      </c>
      <c r="B37" s="1" t="s">
        <v>247</v>
      </c>
      <c r="C37" s="1"/>
      <c r="D37" t="s">
        <v>357</v>
      </c>
      <c r="F37" t="b">
        <v>0</v>
      </c>
      <c r="I37">
        <v>1</v>
      </c>
      <c r="J37">
        <v>100</v>
      </c>
      <c r="K37">
        <v>57</v>
      </c>
      <c r="L37">
        <v>53</v>
      </c>
      <c r="M37" t="s">
        <v>68</v>
      </c>
      <c r="N37" t="s">
        <v>33</v>
      </c>
      <c r="O37" t="b">
        <v>1</v>
      </c>
      <c r="X37">
        <v>10</v>
      </c>
      <c r="Y37">
        <f t="shared" si="0"/>
        <v>2</v>
      </c>
      <c r="AA37" s="8"/>
      <c r="AB37" s="4" t="s">
        <v>355</v>
      </c>
      <c r="AC37" s="4" t="s">
        <v>356</v>
      </c>
      <c r="AD37" s="2" t="s">
        <v>298</v>
      </c>
      <c r="AE37" s="2"/>
      <c r="AF37" s="2"/>
      <c r="AG37" s="2"/>
      <c r="AH37" s="2">
        <v>2</v>
      </c>
      <c r="AI37" s="2">
        <v>1</v>
      </c>
      <c r="AJ37" s="2">
        <v>0</v>
      </c>
    </row>
    <row r="38" spans="1:40" hidden="1" x14ac:dyDescent="0.3">
      <c r="A38" t="s">
        <v>854</v>
      </c>
      <c r="B38" s="1">
        <v>71986562</v>
      </c>
      <c r="C38" s="1"/>
      <c r="D38" t="s">
        <v>357</v>
      </c>
      <c r="F38" t="b">
        <v>0</v>
      </c>
      <c r="I38">
        <v>1</v>
      </c>
      <c r="J38">
        <v>44</v>
      </c>
      <c r="K38">
        <v>41</v>
      </c>
      <c r="L38">
        <v>48</v>
      </c>
      <c r="M38" t="s">
        <v>68</v>
      </c>
      <c r="N38" t="s">
        <v>33</v>
      </c>
      <c r="O38" t="b">
        <v>1</v>
      </c>
      <c r="X38">
        <v>10</v>
      </c>
      <c r="Y38">
        <f t="shared" si="0"/>
        <v>2</v>
      </c>
      <c r="AA38" s="8"/>
      <c r="AB38" s="5">
        <v>244</v>
      </c>
      <c r="AC38" s="5">
        <v>32</v>
      </c>
      <c r="AD38" s="3" t="s">
        <v>298</v>
      </c>
      <c r="AE38" s="3" t="b">
        <v>1</v>
      </c>
      <c r="AF38" s="3"/>
      <c r="AG38" s="3"/>
      <c r="AH38" s="3">
        <v>2</v>
      </c>
      <c r="AI38" s="3">
        <v>1</v>
      </c>
      <c r="AJ38" s="3">
        <v>0</v>
      </c>
    </row>
    <row r="39" spans="1:40" hidden="1" x14ac:dyDescent="0.3">
      <c r="A39" t="s">
        <v>135</v>
      </c>
      <c r="B39" s="1" t="s">
        <v>248</v>
      </c>
      <c r="C39" s="1"/>
      <c r="D39" t="s">
        <v>357</v>
      </c>
      <c r="F39" t="b">
        <v>0</v>
      </c>
      <c r="I39">
        <v>1</v>
      </c>
      <c r="J39">
        <v>100</v>
      </c>
      <c r="K39">
        <v>75</v>
      </c>
      <c r="L39">
        <v>60</v>
      </c>
      <c r="M39" t="s">
        <v>70</v>
      </c>
      <c r="N39" t="s">
        <v>33</v>
      </c>
      <c r="O39" t="b">
        <v>1</v>
      </c>
      <c r="X39">
        <v>10</v>
      </c>
      <c r="Y39">
        <f t="shared" si="0"/>
        <v>4</v>
      </c>
      <c r="AA39" s="8"/>
      <c r="AB39" s="5" t="s">
        <v>346</v>
      </c>
      <c r="AC39" s="5" t="s">
        <v>315</v>
      </c>
      <c r="AD39" s="3" t="s">
        <v>298</v>
      </c>
      <c r="AE39" s="3"/>
      <c r="AF39" s="3"/>
      <c r="AG39" s="3"/>
      <c r="AH39" s="3">
        <v>4</v>
      </c>
      <c r="AI39" s="3">
        <v>1</v>
      </c>
      <c r="AJ39" s="3">
        <v>0</v>
      </c>
    </row>
    <row r="40" spans="1:40" hidden="1" x14ac:dyDescent="0.3">
      <c r="A40" t="s">
        <v>136</v>
      </c>
      <c r="B40" s="1" t="s">
        <v>249</v>
      </c>
      <c r="C40" s="1"/>
      <c r="D40" t="s">
        <v>357</v>
      </c>
      <c r="F40" t="b">
        <v>0</v>
      </c>
      <c r="I40">
        <v>1</v>
      </c>
      <c r="J40">
        <v>106</v>
      </c>
      <c r="K40">
        <v>74</v>
      </c>
      <c r="L40">
        <v>66</v>
      </c>
      <c r="M40" t="s">
        <v>68</v>
      </c>
      <c r="N40" t="s">
        <v>33</v>
      </c>
      <c r="O40" t="b">
        <v>1</v>
      </c>
      <c r="X40">
        <v>10</v>
      </c>
      <c r="Y40">
        <f t="shared" si="0"/>
        <v>4</v>
      </c>
      <c r="AA40" s="8"/>
      <c r="AB40" s="4">
        <v>189</v>
      </c>
      <c r="AC40" s="4" t="s">
        <v>314</v>
      </c>
      <c r="AD40" s="2" t="s">
        <v>298</v>
      </c>
      <c r="AE40" s="2"/>
      <c r="AF40" s="2"/>
      <c r="AG40" s="2"/>
      <c r="AH40" s="2">
        <v>4</v>
      </c>
      <c r="AI40" s="2">
        <v>1</v>
      </c>
      <c r="AJ40" s="2">
        <v>0</v>
      </c>
      <c r="AL40" s="2"/>
    </row>
    <row r="41" spans="1:40" hidden="1" x14ac:dyDescent="0.3">
      <c r="A41" t="s">
        <v>137</v>
      </c>
      <c r="B41" s="1">
        <v>71987958</v>
      </c>
      <c r="C41" s="1"/>
      <c r="D41" t="s">
        <v>357</v>
      </c>
      <c r="F41" t="b">
        <v>0</v>
      </c>
      <c r="I41">
        <v>1</v>
      </c>
      <c r="J41">
        <v>80</v>
      </c>
      <c r="K41">
        <v>45</v>
      </c>
      <c r="L41">
        <v>53</v>
      </c>
      <c r="M41" t="s">
        <v>68</v>
      </c>
      <c r="N41" t="s">
        <v>33</v>
      </c>
      <c r="O41" t="b">
        <v>1</v>
      </c>
      <c r="X41">
        <v>10</v>
      </c>
      <c r="Y41">
        <f t="shared" si="0"/>
        <v>4</v>
      </c>
      <c r="AA41" s="8"/>
      <c r="AB41" s="4">
        <v>425</v>
      </c>
      <c r="AC41" s="4" t="s">
        <v>311</v>
      </c>
      <c r="AD41" s="2" t="s">
        <v>298</v>
      </c>
      <c r="AE41" s="2"/>
      <c r="AF41" s="2"/>
      <c r="AG41" s="2"/>
      <c r="AH41" s="2">
        <v>4</v>
      </c>
      <c r="AI41" s="2">
        <v>1</v>
      </c>
      <c r="AJ41" s="2">
        <v>0</v>
      </c>
      <c r="AL41" s="2"/>
      <c r="AN41" t="s">
        <v>1058</v>
      </c>
    </row>
    <row r="42" spans="1:40" hidden="1" x14ac:dyDescent="0.3">
      <c r="A42" t="s">
        <v>138</v>
      </c>
      <c r="B42" s="1">
        <v>7198796290</v>
      </c>
      <c r="C42" s="1"/>
      <c r="D42" t="s">
        <v>357</v>
      </c>
      <c r="F42" t="b">
        <v>0</v>
      </c>
      <c r="I42">
        <v>1</v>
      </c>
      <c r="J42">
        <v>41</v>
      </c>
      <c r="K42">
        <v>41</v>
      </c>
      <c r="L42">
        <v>42</v>
      </c>
      <c r="M42" t="s">
        <v>70</v>
      </c>
      <c r="N42" t="s">
        <v>33</v>
      </c>
      <c r="O42" t="b">
        <v>1</v>
      </c>
      <c r="X42">
        <v>10</v>
      </c>
      <c r="Y42">
        <f t="shared" si="0"/>
        <v>4</v>
      </c>
      <c r="AA42" s="8"/>
      <c r="AB42" s="5">
        <v>386</v>
      </c>
      <c r="AC42" s="5" t="s">
        <v>316</v>
      </c>
      <c r="AD42" s="3" t="s">
        <v>298</v>
      </c>
      <c r="AE42" s="3" t="b">
        <v>1</v>
      </c>
      <c r="AF42" s="3"/>
      <c r="AG42" s="3"/>
      <c r="AH42" s="3">
        <v>4</v>
      </c>
      <c r="AI42" s="3">
        <v>1</v>
      </c>
      <c r="AJ42" s="3">
        <v>0</v>
      </c>
    </row>
    <row r="43" spans="1:40" hidden="1" x14ac:dyDescent="0.3">
      <c r="A43" t="s">
        <v>139</v>
      </c>
      <c r="B43" s="1">
        <v>71988082</v>
      </c>
      <c r="C43" s="1"/>
      <c r="D43" t="s">
        <v>357</v>
      </c>
      <c r="F43" t="b">
        <v>0</v>
      </c>
      <c r="I43">
        <v>1</v>
      </c>
      <c r="J43">
        <v>40</v>
      </c>
      <c r="K43">
        <v>38</v>
      </c>
      <c r="L43">
        <v>40</v>
      </c>
      <c r="M43" t="s">
        <v>68</v>
      </c>
      <c r="N43" t="s">
        <v>33</v>
      </c>
      <c r="O43" t="b">
        <v>1</v>
      </c>
      <c r="X43">
        <v>10</v>
      </c>
      <c r="Y43">
        <f t="shared" si="0"/>
        <v>2</v>
      </c>
      <c r="AA43" s="8"/>
      <c r="AB43" s="5">
        <v>501</v>
      </c>
      <c r="AC43" s="5">
        <v>2</v>
      </c>
      <c r="AD43" s="3" t="s">
        <v>298</v>
      </c>
      <c r="AE43" s="3" t="b">
        <v>1</v>
      </c>
      <c r="AF43" s="3"/>
      <c r="AG43" s="3"/>
      <c r="AH43" s="3">
        <v>2</v>
      </c>
      <c r="AI43" s="3">
        <v>1</v>
      </c>
      <c r="AJ43" s="3">
        <v>0</v>
      </c>
    </row>
    <row r="44" spans="1:40" hidden="1" x14ac:dyDescent="0.3">
      <c r="A44" t="s">
        <v>140</v>
      </c>
      <c r="B44" s="1" t="s">
        <v>250</v>
      </c>
      <c r="C44" s="1"/>
      <c r="D44" t="s">
        <v>357</v>
      </c>
      <c r="F44" t="b">
        <v>0</v>
      </c>
      <c r="I44">
        <v>1</v>
      </c>
      <c r="J44">
        <v>82</v>
      </c>
      <c r="K44">
        <v>57</v>
      </c>
      <c r="L44">
        <v>54</v>
      </c>
      <c r="M44" t="s">
        <v>69</v>
      </c>
      <c r="N44" t="s">
        <v>33</v>
      </c>
      <c r="O44" t="b">
        <v>1</v>
      </c>
      <c r="X44">
        <v>10</v>
      </c>
      <c r="Y44">
        <f t="shared" si="0"/>
        <v>1</v>
      </c>
      <c r="AA44" s="8"/>
      <c r="AB44" s="4">
        <v>125</v>
      </c>
      <c r="AC44" s="4">
        <v>25</v>
      </c>
      <c r="AD44" s="2" t="s">
        <v>298</v>
      </c>
      <c r="AE44" s="2"/>
      <c r="AF44" s="2"/>
      <c r="AG44" s="2"/>
      <c r="AH44" s="2">
        <v>1</v>
      </c>
      <c r="AI44" s="2">
        <v>1</v>
      </c>
      <c r="AJ44" s="2">
        <v>0</v>
      </c>
    </row>
    <row r="45" spans="1:40" hidden="1" x14ac:dyDescent="0.3">
      <c r="A45" t="s">
        <v>141</v>
      </c>
      <c r="B45" s="1" t="s">
        <v>251</v>
      </c>
      <c r="C45" s="1"/>
      <c r="D45" t="s">
        <v>357</v>
      </c>
      <c r="F45" t="b">
        <v>0</v>
      </c>
      <c r="I45">
        <v>1</v>
      </c>
      <c r="J45">
        <v>68</v>
      </c>
      <c r="K45">
        <v>48</v>
      </c>
      <c r="L45">
        <v>51</v>
      </c>
      <c r="M45" t="s">
        <v>69</v>
      </c>
      <c r="N45" t="s">
        <v>33</v>
      </c>
      <c r="O45" t="b">
        <v>1</v>
      </c>
      <c r="Y45">
        <f t="shared" si="0"/>
        <v>0</v>
      </c>
      <c r="Z45" t="s">
        <v>293</v>
      </c>
      <c r="AA45" s="8"/>
      <c r="AB45" s="5">
        <v>299</v>
      </c>
      <c r="AC45" s="5">
        <v>4</v>
      </c>
      <c r="AD45" s="3" t="s">
        <v>298</v>
      </c>
      <c r="AE45" s="3"/>
      <c r="AF45" s="3"/>
      <c r="AG45" s="3"/>
      <c r="AH45" s="3">
        <v>1</v>
      </c>
      <c r="AI45" s="3"/>
      <c r="AJ45" s="3">
        <v>0</v>
      </c>
    </row>
    <row r="46" spans="1:40" hidden="1" x14ac:dyDescent="0.3">
      <c r="A46" t="s">
        <v>142</v>
      </c>
      <c r="B46" s="1">
        <v>7198916130</v>
      </c>
      <c r="C46" s="1"/>
      <c r="D46" t="s">
        <v>357</v>
      </c>
      <c r="F46" t="b">
        <v>0</v>
      </c>
      <c r="I46">
        <v>1</v>
      </c>
      <c r="J46">
        <v>50</v>
      </c>
      <c r="K46">
        <v>32</v>
      </c>
      <c r="L46">
        <v>60</v>
      </c>
      <c r="M46" t="s">
        <v>69</v>
      </c>
      <c r="N46" t="s">
        <v>33</v>
      </c>
      <c r="O46" t="b">
        <v>1</v>
      </c>
      <c r="X46">
        <v>10</v>
      </c>
      <c r="Y46">
        <f t="shared" si="0"/>
        <v>2</v>
      </c>
      <c r="AA46" s="8"/>
      <c r="AB46" s="4">
        <v>403</v>
      </c>
      <c r="AC46" s="4" t="s">
        <v>316</v>
      </c>
      <c r="AD46" s="2" t="s">
        <v>298</v>
      </c>
      <c r="AE46" s="2" t="b">
        <v>1</v>
      </c>
      <c r="AF46" s="2"/>
      <c r="AG46" s="2"/>
      <c r="AH46" s="2">
        <v>2</v>
      </c>
      <c r="AI46" s="2">
        <v>1</v>
      </c>
      <c r="AJ46" s="2">
        <v>0</v>
      </c>
    </row>
    <row r="47" spans="1:40" hidden="1" x14ac:dyDescent="0.3">
      <c r="A47" t="s">
        <v>143</v>
      </c>
      <c r="B47" s="1">
        <v>71989162</v>
      </c>
      <c r="C47" s="1"/>
      <c r="D47" t="s">
        <v>357</v>
      </c>
      <c r="F47" t="b">
        <v>0</v>
      </c>
      <c r="I47">
        <v>1</v>
      </c>
      <c r="J47">
        <v>48</v>
      </c>
      <c r="K47">
        <v>48</v>
      </c>
      <c r="L47">
        <v>48</v>
      </c>
      <c r="M47" t="s">
        <v>68</v>
      </c>
      <c r="N47" t="s">
        <v>33</v>
      </c>
      <c r="O47" t="b">
        <v>1</v>
      </c>
      <c r="X47">
        <v>10</v>
      </c>
      <c r="Y47">
        <f t="shared" si="0"/>
        <v>6</v>
      </c>
      <c r="AA47" s="8"/>
      <c r="AB47" s="5">
        <v>192</v>
      </c>
      <c r="AC47" s="5">
        <v>20</v>
      </c>
      <c r="AD47" s="3" t="s">
        <v>298</v>
      </c>
      <c r="AE47" s="3" t="b">
        <v>1</v>
      </c>
      <c r="AF47" s="3"/>
      <c r="AG47" s="3"/>
      <c r="AH47" s="3">
        <v>6</v>
      </c>
      <c r="AI47" s="3">
        <v>1</v>
      </c>
      <c r="AJ47" s="3">
        <v>0</v>
      </c>
    </row>
    <row r="48" spans="1:40" hidden="1" x14ac:dyDescent="0.3">
      <c r="A48" t="s">
        <v>144</v>
      </c>
      <c r="B48" s="1">
        <v>7198948560</v>
      </c>
      <c r="C48" s="1"/>
      <c r="D48" t="s">
        <v>357</v>
      </c>
      <c r="F48" t="b">
        <v>0</v>
      </c>
      <c r="I48">
        <v>1</v>
      </c>
      <c r="J48">
        <v>40</v>
      </c>
      <c r="K48">
        <v>39</v>
      </c>
      <c r="L48">
        <v>41</v>
      </c>
      <c r="M48" t="s">
        <v>72</v>
      </c>
      <c r="N48" t="s">
        <v>33</v>
      </c>
      <c r="O48" t="b">
        <v>1</v>
      </c>
      <c r="X48">
        <v>10</v>
      </c>
      <c r="Y48">
        <f t="shared" si="0"/>
        <v>2</v>
      </c>
      <c r="AA48" s="8"/>
      <c r="AB48" s="4">
        <v>138</v>
      </c>
      <c r="AC48" s="4">
        <v>14</v>
      </c>
      <c r="AD48" s="2" t="s">
        <v>298</v>
      </c>
      <c r="AE48" s="2" t="b">
        <v>1</v>
      </c>
      <c r="AF48" s="2"/>
      <c r="AG48" s="2"/>
      <c r="AH48" s="2">
        <v>2</v>
      </c>
      <c r="AI48" s="2">
        <v>1</v>
      </c>
      <c r="AJ48" s="2">
        <v>0</v>
      </c>
    </row>
    <row r="49" spans="1:38" hidden="1" x14ac:dyDescent="0.3">
      <c r="A49" t="s">
        <v>145</v>
      </c>
      <c r="B49" s="1">
        <v>7223686530</v>
      </c>
      <c r="C49" s="1"/>
      <c r="D49" t="s">
        <v>357</v>
      </c>
      <c r="F49" t="b">
        <v>0</v>
      </c>
      <c r="I49">
        <v>1</v>
      </c>
      <c r="J49">
        <v>41</v>
      </c>
      <c r="K49">
        <v>40</v>
      </c>
      <c r="L49">
        <v>73</v>
      </c>
      <c r="M49" t="s">
        <v>69</v>
      </c>
      <c r="N49" t="s">
        <v>33</v>
      </c>
      <c r="O49" t="b">
        <v>1</v>
      </c>
      <c r="X49">
        <v>10</v>
      </c>
      <c r="Y49">
        <f t="shared" si="0"/>
        <v>2</v>
      </c>
      <c r="AA49" s="8"/>
      <c r="AB49" s="5">
        <v>148</v>
      </c>
      <c r="AC49" s="5">
        <v>25</v>
      </c>
      <c r="AD49" s="3" t="s">
        <v>298</v>
      </c>
      <c r="AE49" s="3" t="b">
        <v>1</v>
      </c>
      <c r="AF49" s="3"/>
      <c r="AG49" s="3"/>
      <c r="AH49" s="3">
        <v>2</v>
      </c>
      <c r="AI49" s="3">
        <v>1</v>
      </c>
      <c r="AJ49" s="3">
        <v>0</v>
      </c>
      <c r="AL49" s="3"/>
    </row>
    <row r="50" spans="1:38" hidden="1" x14ac:dyDescent="0.3">
      <c r="A50" t="s">
        <v>146</v>
      </c>
      <c r="B50" s="1">
        <v>7271007030</v>
      </c>
      <c r="C50" s="1" t="s">
        <v>913</v>
      </c>
      <c r="D50" t="s">
        <v>357</v>
      </c>
      <c r="E50" t="s">
        <v>858</v>
      </c>
      <c r="F50" t="b">
        <v>0</v>
      </c>
      <c r="I50">
        <v>1</v>
      </c>
      <c r="J50">
        <v>194</v>
      </c>
      <c r="K50">
        <v>131</v>
      </c>
      <c r="L50">
        <v>80</v>
      </c>
      <c r="M50" t="s">
        <v>68</v>
      </c>
      <c r="N50" t="s">
        <v>33</v>
      </c>
      <c r="O50" t="b">
        <v>1</v>
      </c>
      <c r="X50">
        <v>10</v>
      </c>
      <c r="Y50">
        <f t="shared" si="0"/>
        <v>2</v>
      </c>
      <c r="AA50" s="8"/>
      <c r="AB50" s="4" t="s">
        <v>317</v>
      </c>
      <c r="AC50" s="4" t="s">
        <v>316</v>
      </c>
      <c r="AD50" s="2" t="s">
        <v>298</v>
      </c>
      <c r="AE50" s="2"/>
      <c r="AF50" s="2"/>
      <c r="AG50" s="2"/>
      <c r="AH50" s="2">
        <v>2</v>
      </c>
      <c r="AI50" s="2">
        <v>1</v>
      </c>
      <c r="AJ50" s="2">
        <v>0</v>
      </c>
    </row>
    <row r="51" spans="1:38" hidden="1" x14ac:dyDescent="0.3">
      <c r="A51" t="s">
        <v>148</v>
      </c>
      <c r="B51" s="1" t="s">
        <v>1065</v>
      </c>
      <c r="C51" s="1"/>
      <c r="D51" t="s">
        <v>357</v>
      </c>
      <c r="F51" t="b">
        <v>0</v>
      </c>
      <c r="I51">
        <v>1</v>
      </c>
      <c r="J51">
        <v>104</v>
      </c>
      <c r="K51">
        <v>84</v>
      </c>
      <c r="L51">
        <v>53</v>
      </c>
      <c r="M51" t="s">
        <v>70</v>
      </c>
      <c r="N51" t="s">
        <v>33</v>
      </c>
      <c r="O51" t="b">
        <v>1</v>
      </c>
      <c r="V51" t="b">
        <v>1</v>
      </c>
      <c r="X51">
        <v>10</v>
      </c>
      <c r="Y51">
        <f t="shared" si="0"/>
        <v>2</v>
      </c>
      <c r="AA51" s="8"/>
      <c r="AB51" s="4">
        <v>294</v>
      </c>
      <c r="AC51" s="4">
        <v>4</v>
      </c>
      <c r="AD51" s="2" t="s">
        <v>298</v>
      </c>
      <c r="AE51" s="2"/>
      <c r="AF51" s="2"/>
      <c r="AG51" s="2"/>
      <c r="AH51" s="2">
        <v>2</v>
      </c>
      <c r="AI51" s="2">
        <v>1</v>
      </c>
      <c r="AJ51" s="2">
        <v>0</v>
      </c>
      <c r="AL51" s="2"/>
    </row>
    <row r="52" spans="1:38" hidden="1" x14ac:dyDescent="0.3">
      <c r="A52" t="s">
        <v>149</v>
      </c>
      <c r="B52" s="1">
        <v>7278246930</v>
      </c>
      <c r="C52" s="1"/>
      <c r="D52" t="s">
        <v>357</v>
      </c>
      <c r="F52" t="b">
        <v>0</v>
      </c>
      <c r="I52">
        <v>1</v>
      </c>
      <c r="J52">
        <v>48</v>
      </c>
      <c r="K52">
        <v>48</v>
      </c>
      <c r="L52">
        <v>63</v>
      </c>
      <c r="M52" t="s">
        <v>69</v>
      </c>
      <c r="N52" t="s">
        <v>33</v>
      </c>
      <c r="O52" t="b">
        <v>1</v>
      </c>
      <c r="Y52">
        <f t="shared" si="0"/>
        <v>0</v>
      </c>
      <c r="Z52" t="s">
        <v>293</v>
      </c>
      <c r="AA52" s="8"/>
      <c r="AB52" s="4" t="s">
        <v>347</v>
      </c>
      <c r="AC52" s="4" t="s">
        <v>348</v>
      </c>
      <c r="AD52" s="2" t="s">
        <v>298</v>
      </c>
      <c r="AE52" s="2" t="b">
        <v>1</v>
      </c>
      <c r="AF52" s="2"/>
      <c r="AG52" s="2"/>
      <c r="AH52" s="2"/>
      <c r="AI52" s="2"/>
      <c r="AJ52" s="2">
        <v>0</v>
      </c>
    </row>
    <row r="53" spans="1:38" hidden="1" x14ac:dyDescent="0.3">
      <c r="A53" t="s">
        <v>150</v>
      </c>
      <c r="B53" s="1">
        <v>7283837230</v>
      </c>
      <c r="C53" s="1"/>
      <c r="D53" t="s">
        <v>357</v>
      </c>
      <c r="F53" t="b">
        <v>0</v>
      </c>
      <c r="I53">
        <v>1</v>
      </c>
      <c r="J53">
        <v>42</v>
      </c>
      <c r="K53">
        <v>37</v>
      </c>
      <c r="L53">
        <v>51</v>
      </c>
      <c r="M53" t="s">
        <v>69</v>
      </c>
      <c r="N53" t="s">
        <v>33</v>
      </c>
      <c r="O53" t="b">
        <v>1</v>
      </c>
      <c r="X53">
        <v>8</v>
      </c>
      <c r="Y53">
        <f t="shared" si="0"/>
        <v>1</v>
      </c>
      <c r="AA53" s="8"/>
      <c r="AB53" s="5">
        <v>496</v>
      </c>
      <c r="AC53" s="5" t="s">
        <v>320</v>
      </c>
      <c r="AD53" s="3" t="s">
        <v>298</v>
      </c>
      <c r="AE53" s="3" t="b">
        <v>1</v>
      </c>
      <c r="AF53" s="3"/>
      <c r="AG53" s="3"/>
      <c r="AH53" s="3">
        <v>1</v>
      </c>
      <c r="AI53" s="3">
        <v>1</v>
      </c>
      <c r="AJ53" s="3">
        <v>0</v>
      </c>
    </row>
    <row r="54" spans="1:38" hidden="1" x14ac:dyDescent="0.3">
      <c r="A54" t="s">
        <v>151</v>
      </c>
      <c r="B54" s="1" t="s">
        <v>252</v>
      </c>
      <c r="C54" s="1"/>
      <c r="D54" t="s">
        <v>357</v>
      </c>
      <c r="F54" t="b">
        <v>0</v>
      </c>
      <c r="I54">
        <v>1</v>
      </c>
      <c r="J54">
        <v>102</v>
      </c>
      <c r="K54">
        <v>80</v>
      </c>
      <c r="L54">
        <v>67</v>
      </c>
      <c r="M54" t="s">
        <v>68</v>
      </c>
      <c r="N54" t="s">
        <v>33</v>
      </c>
      <c r="O54" t="b">
        <v>1</v>
      </c>
      <c r="V54" t="b">
        <v>1</v>
      </c>
      <c r="X54">
        <v>10</v>
      </c>
      <c r="Y54">
        <f t="shared" si="0"/>
        <v>2</v>
      </c>
      <c r="AA54" s="8"/>
      <c r="AB54" s="4">
        <v>289</v>
      </c>
      <c r="AC54" s="4">
        <v>4</v>
      </c>
      <c r="AD54" s="2" t="s">
        <v>298</v>
      </c>
      <c r="AE54" s="2"/>
      <c r="AF54" s="2"/>
      <c r="AG54" s="2"/>
      <c r="AH54" s="2">
        <v>2</v>
      </c>
      <c r="AI54" s="2">
        <v>1</v>
      </c>
      <c r="AJ54" s="2">
        <v>0</v>
      </c>
      <c r="AL54" s="2"/>
    </row>
    <row r="55" spans="1:38" hidden="1" x14ac:dyDescent="0.3">
      <c r="A55" t="s">
        <v>152</v>
      </c>
      <c r="B55" s="1" t="s">
        <v>253</v>
      </c>
      <c r="C55" s="1"/>
      <c r="D55" t="s">
        <v>357</v>
      </c>
      <c r="F55" t="b">
        <v>0</v>
      </c>
      <c r="I55">
        <v>1</v>
      </c>
      <c r="J55">
        <v>102</v>
      </c>
      <c r="K55">
        <v>80</v>
      </c>
      <c r="L55">
        <v>55</v>
      </c>
      <c r="M55" t="s">
        <v>73</v>
      </c>
      <c r="N55" t="s">
        <v>33</v>
      </c>
      <c r="O55" t="b">
        <v>1</v>
      </c>
      <c r="V55" t="b">
        <v>1</v>
      </c>
      <c r="X55">
        <v>10</v>
      </c>
      <c r="Y55">
        <f t="shared" si="0"/>
        <v>2</v>
      </c>
      <c r="AA55" s="8"/>
      <c r="AB55" s="5">
        <v>297</v>
      </c>
      <c r="AC55" s="5">
        <v>3</v>
      </c>
      <c r="AD55" s="3" t="s">
        <v>298</v>
      </c>
      <c r="AE55" s="3"/>
      <c r="AF55" s="3"/>
      <c r="AG55" s="3"/>
      <c r="AH55" s="3">
        <v>2</v>
      </c>
      <c r="AI55" s="3">
        <v>1</v>
      </c>
      <c r="AJ55" s="3">
        <v>0</v>
      </c>
      <c r="AL55" s="3"/>
    </row>
    <row r="56" spans="1:38" hidden="1" x14ac:dyDescent="0.3">
      <c r="A56" t="s">
        <v>153</v>
      </c>
      <c r="B56" s="1">
        <v>7289896430</v>
      </c>
      <c r="C56" s="1"/>
      <c r="D56" t="s">
        <v>357</v>
      </c>
      <c r="F56" t="b">
        <v>0</v>
      </c>
      <c r="I56">
        <v>1</v>
      </c>
      <c r="J56">
        <v>42</v>
      </c>
      <c r="K56">
        <v>45</v>
      </c>
      <c r="L56">
        <v>61</v>
      </c>
      <c r="M56" t="s">
        <v>69</v>
      </c>
      <c r="N56" t="s">
        <v>33</v>
      </c>
      <c r="O56" t="b">
        <v>1</v>
      </c>
      <c r="X56">
        <v>10</v>
      </c>
      <c r="Y56">
        <f t="shared" si="0"/>
        <v>2</v>
      </c>
      <c r="AA56" s="8"/>
      <c r="AB56" s="4">
        <v>283</v>
      </c>
      <c r="AC56" s="4" t="s">
        <v>321</v>
      </c>
      <c r="AD56" s="2" t="s">
        <v>298</v>
      </c>
      <c r="AE56" s="2" t="b">
        <v>1</v>
      </c>
      <c r="AF56" s="2"/>
      <c r="AG56" s="2"/>
      <c r="AH56" s="2">
        <v>2</v>
      </c>
      <c r="AI56" s="2">
        <v>1</v>
      </c>
      <c r="AJ56" s="2">
        <v>0</v>
      </c>
    </row>
    <row r="57" spans="1:38" hidden="1" x14ac:dyDescent="0.3">
      <c r="A57" t="s">
        <v>154</v>
      </c>
      <c r="B57" s="1" t="s">
        <v>254</v>
      </c>
      <c r="C57" s="1"/>
      <c r="D57" t="s">
        <v>357</v>
      </c>
      <c r="F57" t="b">
        <v>0</v>
      </c>
      <c r="I57">
        <v>1</v>
      </c>
      <c r="J57">
        <v>55</v>
      </c>
      <c r="K57">
        <v>65</v>
      </c>
      <c r="L57">
        <v>92</v>
      </c>
      <c r="M57" t="s">
        <v>68</v>
      </c>
      <c r="N57" t="s">
        <v>33</v>
      </c>
      <c r="O57" t="b">
        <v>1</v>
      </c>
      <c r="X57">
        <v>10</v>
      </c>
      <c r="Y57">
        <f t="shared" si="0"/>
        <v>4</v>
      </c>
      <c r="AA57" s="8"/>
      <c r="AB57" s="11">
        <v>206230</v>
      </c>
      <c r="AC57" s="5" t="s">
        <v>354</v>
      </c>
      <c r="AD57" s="3" t="s">
        <v>298</v>
      </c>
      <c r="AE57" s="3" t="b">
        <v>1</v>
      </c>
      <c r="AF57" s="3"/>
      <c r="AG57" s="3"/>
      <c r="AH57" s="3">
        <v>4</v>
      </c>
      <c r="AI57" s="3">
        <v>1</v>
      </c>
      <c r="AJ57" s="3">
        <v>0</v>
      </c>
    </row>
    <row r="58" spans="1:38" hidden="1" x14ac:dyDescent="0.3">
      <c r="A58" t="s">
        <v>155</v>
      </c>
      <c r="B58" s="1">
        <v>7297944190</v>
      </c>
      <c r="C58" s="1"/>
      <c r="D58" t="s">
        <v>357</v>
      </c>
      <c r="F58" t="b">
        <v>0</v>
      </c>
      <c r="I58">
        <v>1</v>
      </c>
      <c r="J58">
        <v>54</v>
      </c>
      <c r="K58">
        <v>51</v>
      </c>
      <c r="L58">
        <v>50</v>
      </c>
      <c r="M58" t="s">
        <v>70</v>
      </c>
      <c r="N58" t="s">
        <v>33</v>
      </c>
      <c r="O58" t="b">
        <v>1</v>
      </c>
      <c r="X58">
        <v>10</v>
      </c>
      <c r="Y58">
        <f t="shared" si="0"/>
        <v>4</v>
      </c>
      <c r="AA58" s="8"/>
      <c r="AB58" s="5">
        <v>172</v>
      </c>
      <c r="AC58" s="5" t="s">
        <v>300</v>
      </c>
      <c r="AD58" s="3" t="s">
        <v>298</v>
      </c>
      <c r="AE58" s="3" t="b">
        <v>1</v>
      </c>
      <c r="AF58" s="3"/>
      <c r="AG58" s="3"/>
      <c r="AH58" s="3">
        <v>4</v>
      </c>
      <c r="AI58" s="3">
        <v>1</v>
      </c>
      <c r="AJ58" s="3">
        <v>0</v>
      </c>
    </row>
    <row r="59" spans="1:38" hidden="1" x14ac:dyDescent="0.3">
      <c r="A59" t="s">
        <v>372</v>
      </c>
      <c r="B59" s="1">
        <v>72988085</v>
      </c>
      <c r="C59" s="1"/>
      <c r="D59" t="s">
        <v>357</v>
      </c>
      <c r="F59" t="b">
        <v>0</v>
      </c>
      <c r="I59">
        <v>1</v>
      </c>
      <c r="J59">
        <v>56</v>
      </c>
      <c r="K59">
        <v>41</v>
      </c>
      <c r="L59">
        <v>78</v>
      </c>
      <c r="M59" t="s">
        <v>68</v>
      </c>
      <c r="N59" t="s">
        <v>33</v>
      </c>
      <c r="O59" t="b">
        <v>1</v>
      </c>
      <c r="X59">
        <v>7</v>
      </c>
      <c r="Y59">
        <f t="shared" si="0"/>
        <v>1</v>
      </c>
      <c r="Z59" t="s">
        <v>293</v>
      </c>
      <c r="AA59" s="8"/>
      <c r="AB59" s="5">
        <v>197</v>
      </c>
      <c r="AC59" s="5" t="s">
        <v>309</v>
      </c>
      <c r="AD59" s="3" t="s">
        <v>298</v>
      </c>
      <c r="AE59" s="3" t="b">
        <v>1</v>
      </c>
      <c r="AF59" s="3"/>
      <c r="AG59" s="3"/>
      <c r="AH59" s="3">
        <v>1</v>
      </c>
      <c r="AI59" s="3">
        <v>1</v>
      </c>
      <c r="AJ59" s="3">
        <v>0</v>
      </c>
    </row>
    <row r="60" spans="1:38" hidden="1" x14ac:dyDescent="0.3">
      <c r="A60" t="s">
        <v>156</v>
      </c>
      <c r="B60" s="1" t="s">
        <v>255</v>
      </c>
      <c r="C60" s="1"/>
      <c r="D60" t="s">
        <v>357</v>
      </c>
      <c r="F60" t="b">
        <v>0</v>
      </c>
      <c r="I60">
        <v>1</v>
      </c>
      <c r="J60">
        <v>54</v>
      </c>
      <c r="K60">
        <v>54</v>
      </c>
      <c r="L60">
        <v>50</v>
      </c>
      <c r="M60" t="s">
        <v>68</v>
      </c>
      <c r="N60" t="s">
        <v>33</v>
      </c>
      <c r="O60" t="b">
        <v>1</v>
      </c>
      <c r="X60">
        <v>10</v>
      </c>
      <c r="Y60">
        <f t="shared" si="0"/>
        <v>8</v>
      </c>
      <c r="AA60" s="8"/>
      <c r="AB60" s="4">
        <v>203</v>
      </c>
      <c r="AC60" s="4" t="s">
        <v>311</v>
      </c>
      <c r="AD60" s="2" t="s">
        <v>298</v>
      </c>
      <c r="AE60" s="2"/>
      <c r="AF60" s="2"/>
      <c r="AG60" s="2"/>
      <c r="AH60" s="2">
        <v>8</v>
      </c>
      <c r="AI60" s="2">
        <v>1</v>
      </c>
      <c r="AJ60" s="2">
        <v>0</v>
      </c>
    </row>
    <row r="61" spans="1:38" hidden="1" x14ac:dyDescent="0.3">
      <c r="A61" t="s">
        <v>368</v>
      </c>
      <c r="B61" s="1" t="s">
        <v>256</v>
      </c>
      <c r="C61" s="1"/>
      <c r="D61" t="s">
        <v>357</v>
      </c>
      <c r="F61" t="b">
        <v>0</v>
      </c>
      <c r="I61">
        <v>1</v>
      </c>
      <c r="J61">
        <v>54</v>
      </c>
      <c r="K61">
        <v>54</v>
      </c>
      <c r="L61">
        <v>50</v>
      </c>
      <c r="M61" t="s">
        <v>68</v>
      </c>
      <c r="N61" t="s">
        <v>33</v>
      </c>
      <c r="O61" t="b">
        <v>1</v>
      </c>
      <c r="Y61">
        <f t="shared" si="0"/>
        <v>0</v>
      </c>
      <c r="Z61" t="s">
        <v>293</v>
      </c>
      <c r="AA61" s="8"/>
      <c r="AB61" s="5">
        <v>204</v>
      </c>
      <c r="AC61" s="5" t="s">
        <v>310</v>
      </c>
      <c r="AD61" s="3" t="s">
        <v>298</v>
      </c>
      <c r="AE61" s="3"/>
      <c r="AF61" s="3"/>
      <c r="AG61" s="3"/>
      <c r="AH61" s="3">
        <v>2</v>
      </c>
      <c r="AI61" s="3"/>
      <c r="AJ61" s="3">
        <v>0</v>
      </c>
    </row>
    <row r="62" spans="1:38" hidden="1" x14ac:dyDescent="0.3">
      <c r="A62" t="s">
        <v>157</v>
      </c>
      <c r="B62" s="1" t="s">
        <v>257</v>
      </c>
      <c r="C62" s="1"/>
      <c r="D62" t="s">
        <v>357</v>
      </c>
      <c r="F62" t="b">
        <v>0</v>
      </c>
      <c r="I62">
        <v>1</v>
      </c>
      <c r="J62">
        <v>54</v>
      </c>
      <c r="K62">
        <v>54</v>
      </c>
      <c r="L62">
        <v>50</v>
      </c>
      <c r="M62" t="s">
        <v>68</v>
      </c>
      <c r="N62" t="s">
        <v>33</v>
      </c>
      <c r="O62" t="b">
        <v>1</v>
      </c>
      <c r="X62">
        <v>10</v>
      </c>
      <c r="Y62">
        <f t="shared" si="0"/>
        <v>1</v>
      </c>
      <c r="AA62" s="8"/>
      <c r="AB62" s="4" t="s">
        <v>350</v>
      </c>
      <c r="AC62" s="4" t="s">
        <v>351</v>
      </c>
      <c r="AD62" s="2" t="s">
        <v>298</v>
      </c>
      <c r="AE62" s="2"/>
      <c r="AF62" s="2"/>
      <c r="AG62" s="2"/>
      <c r="AH62" s="2">
        <v>1</v>
      </c>
      <c r="AI62" s="2">
        <v>1</v>
      </c>
      <c r="AJ62" s="2">
        <v>0</v>
      </c>
    </row>
    <row r="63" spans="1:38" hidden="1" x14ac:dyDescent="0.3">
      <c r="A63" t="s">
        <v>158</v>
      </c>
      <c r="B63" s="1" t="s">
        <v>258</v>
      </c>
      <c r="C63" s="1"/>
      <c r="D63" t="s">
        <v>357</v>
      </c>
      <c r="F63" t="b">
        <v>0</v>
      </c>
      <c r="I63">
        <v>1</v>
      </c>
      <c r="J63">
        <v>54</v>
      </c>
      <c r="K63">
        <v>54</v>
      </c>
      <c r="L63">
        <v>50</v>
      </c>
      <c r="M63" t="s">
        <v>68</v>
      </c>
      <c r="N63" t="s">
        <v>33</v>
      </c>
      <c r="O63" t="b">
        <v>1</v>
      </c>
      <c r="X63">
        <v>10</v>
      </c>
      <c r="Y63">
        <f t="shared" si="0"/>
        <v>19</v>
      </c>
      <c r="AA63" s="8"/>
      <c r="AB63" s="5"/>
      <c r="AC63" s="5"/>
      <c r="AD63" s="3" t="s">
        <v>298</v>
      </c>
      <c r="AE63" s="3"/>
      <c r="AF63" s="3"/>
      <c r="AG63" s="3"/>
      <c r="AH63" s="3">
        <v>19</v>
      </c>
      <c r="AI63" s="3">
        <v>1</v>
      </c>
      <c r="AJ63" s="3">
        <v>0</v>
      </c>
    </row>
    <row r="64" spans="1:38" hidden="1" x14ac:dyDescent="0.3">
      <c r="A64" t="s">
        <v>159</v>
      </c>
      <c r="B64" s="1" t="s">
        <v>700</v>
      </c>
      <c r="C64" s="1"/>
      <c r="D64" t="s">
        <v>357</v>
      </c>
      <c r="F64" t="b">
        <v>0</v>
      </c>
      <c r="I64">
        <v>1</v>
      </c>
      <c r="J64">
        <v>40</v>
      </c>
      <c r="K64">
        <v>37</v>
      </c>
      <c r="L64">
        <v>46</v>
      </c>
      <c r="M64" t="s">
        <v>68</v>
      </c>
      <c r="N64" t="s">
        <v>33</v>
      </c>
      <c r="O64" t="b">
        <v>1</v>
      </c>
      <c r="X64">
        <v>10</v>
      </c>
      <c r="Y64">
        <f t="shared" si="0"/>
        <v>4</v>
      </c>
      <c r="AA64" s="8"/>
      <c r="AB64" s="4" t="s">
        <v>349</v>
      </c>
      <c r="AC64" s="4" t="s">
        <v>315</v>
      </c>
      <c r="AD64" s="2" t="s">
        <v>298</v>
      </c>
      <c r="AE64" s="2" t="b">
        <v>1</v>
      </c>
      <c r="AF64" s="2"/>
      <c r="AG64" s="2"/>
      <c r="AH64" s="2">
        <v>4</v>
      </c>
      <c r="AI64" s="2">
        <v>1</v>
      </c>
      <c r="AJ64" s="2">
        <v>0</v>
      </c>
    </row>
    <row r="65" spans="1:40" hidden="1" x14ac:dyDescent="0.3">
      <c r="A65" t="s">
        <v>160</v>
      </c>
      <c r="B65" s="1" t="s">
        <v>259</v>
      </c>
      <c r="C65" s="1"/>
      <c r="D65" t="s">
        <v>357</v>
      </c>
      <c r="F65" t="b">
        <v>0</v>
      </c>
      <c r="I65">
        <v>1</v>
      </c>
      <c r="J65">
        <v>40</v>
      </c>
      <c r="K65">
        <v>34</v>
      </c>
      <c r="L65">
        <v>44</v>
      </c>
      <c r="M65" t="s">
        <v>69</v>
      </c>
      <c r="N65" t="s">
        <v>33</v>
      </c>
      <c r="O65" t="b">
        <v>1</v>
      </c>
      <c r="X65">
        <v>10</v>
      </c>
      <c r="Y65">
        <f t="shared" si="0"/>
        <v>3</v>
      </c>
      <c r="AA65" s="8"/>
      <c r="AB65" s="4">
        <v>126</v>
      </c>
      <c r="AC65" s="4">
        <v>8</v>
      </c>
      <c r="AD65" s="2" t="s">
        <v>298</v>
      </c>
      <c r="AE65" s="2"/>
      <c r="AF65" s="2"/>
      <c r="AG65" s="2"/>
      <c r="AH65" s="2">
        <v>3</v>
      </c>
      <c r="AI65" s="2">
        <v>1</v>
      </c>
      <c r="AJ65" s="2">
        <v>0</v>
      </c>
    </row>
    <row r="66" spans="1:40" hidden="1" x14ac:dyDescent="0.3">
      <c r="A66" t="s">
        <v>161</v>
      </c>
      <c r="B66" s="1" t="s">
        <v>260</v>
      </c>
      <c r="C66" s="1"/>
      <c r="D66" t="s">
        <v>357</v>
      </c>
      <c r="F66" t="b">
        <v>0</v>
      </c>
      <c r="I66">
        <v>1</v>
      </c>
      <c r="J66">
        <v>49</v>
      </c>
      <c r="K66">
        <v>33</v>
      </c>
      <c r="L66">
        <v>44</v>
      </c>
      <c r="M66" t="s">
        <v>68</v>
      </c>
      <c r="N66" t="s">
        <v>33</v>
      </c>
      <c r="O66" t="b">
        <v>1</v>
      </c>
      <c r="X66">
        <v>10</v>
      </c>
      <c r="Y66">
        <f t="shared" si="0"/>
        <v>1</v>
      </c>
      <c r="AA66" s="8"/>
      <c r="AB66" s="5">
        <v>156</v>
      </c>
      <c r="AC66" s="5">
        <v>24</v>
      </c>
      <c r="AD66" s="3" t="s">
        <v>298</v>
      </c>
      <c r="AE66" s="3"/>
      <c r="AF66" s="3"/>
      <c r="AG66" s="3"/>
      <c r="AH66" s="3">
        <v>1</v>
      </c>
      <c r="AI66" s="3">
        <v>1</v>
      </c>
      <c r="AJ66" s="3">
        <v>0</v>
      </c>
    </row>
    <row r="67" spans="1:40" hidden="1" x14ac:dyDescent="0.3">
      <c r="A67" t="s">
        <v>162</v>
      </c>
      <c r="B67" s="1" t="s">
        <v>261</v>
      </c>
      <c r="C67" s="1"/>
      <c r="D67" t="s">
        <v>357</v>
      </c>
      <c r="F67" t="b">
        <v>0</v>
      </c>
      <c r="I67">
        <v>1</v>
      </c>
      <c r="J67">
        <v>49</v>
      </c>
      <c r="K67">
        <v>34</v>
      </c>
      <c r="L67">
        <v>44</v>
      </c>
      <c r="M67" t="s">
        <v>70</v>
      </c>
      <c r="N67" t="s">
        <v>33</v>
      </c>
      <c r="O67" t="b">
        <v>1</v>
      </c>
      <c r="X67">
        <v>10</v>
      </c>
      <c r="Y67">
        <f t="shared" ref="Y67:Y130" si="1">AI67*AH67</f>
        <v>3</v>
      </c>
      <c r="AA67" s="8"/>
      <c r="AB67" s="4">
        <v>87</v>
      </c>
      <c r="AC67" s="4">
        <v>27</v>
      </c>
      <c r="AD67" s="2" t="s">
        <v>298</v>
      </c>
      <c r="AE67" s="2" t="b">
        <v>1</v>
      </c>
      <c r="AF67" s="2"/>
      <c r="AG67" s="2"/>
      <c r="AH67" s="2">
        <v>3</v>
      </c>
      <c r="AI67" s="2">
        <v>1</v>
      </c>
      <c r="AJ67" s="2">
        <v>0</v>
      </c>
    </row>
    <row r="68" spans="1:40" hidden="1" x14ac:dyDescent="0.3">
      <c r="A68" t="s">
        <v>163</v>
      </c>
      <c r="B68" s="1" t="s">
        <v>1066</v>
      </c>
      <c r="C68" s="1"/>
      <c r="D68" t="s">
        <v>357</v>
      </c>
      <c r="F68" t="b">
        <v>0</v>
      </c>
      <c r="I68">
        <v>1</v>
      </c>
      <c r="J68">
        <v>45</v>
      </c>
      <c r="K68">
        <v>37</v>
      </c>
      <c r="L68">
        <v>46</v>
      </c>
      <c r="M68" t="s">
        <v>72</v>
      </c>
      <c r="N68" t="s">
        <v>33</v>
      </c>
      <c r="O68" t="b">
        <v>1</v>
      </c>
      <c r="X68">
        <v>10</v>
      </c>
      <c r="Y68">
        <f t="shared" si="1"/>
        <v>4</v>
      </c>
      <c r="AA68" s="8"/>
      <c r="AB68" s="5">
        <v>476</v>
      </c>
      <c r="AC68" s="5" t="s">
        <v>322</v>
      </c>
      <c r="AD68" s="3" t="s">
        <v>298</v>
      </c>
      <c r="AE68" s="3"/>
      <c r="AF68" s="3"/>
      <c r="AG68" s="3"/>
      <c r="AH68" s="3">
        <v>4</v>
      </c>
      <c r="AI68" s="3">
        <v>1</v>
      </c>
      <c r="AJ68" s="3">
        <v>0</v>
      </c>
    </row>
    <row r="69" spans="1:40" hidden="1" x14ac:dyDescent="0.3">
      <c r="A69" t="s">
        <v>164</v>
      </c>
      <c r="B69" s="1" t="s">
        <v>262</v>
      </c>
      <c r="C69" s="1"/>
      <c r="D69" t="s">
        <v>357</v>
      </c>
      <c r="F69" t="b">
        <v>0</v>
      </c>
      <c r="I69">
        <v>1</v>
      </c>
      <c r="J69">
        <v>45</v>
      </c>
      <c r="K69">
        <v>37</v>
      </c>
      <c r="L69">
        <v>46</v>
      </c>
      <c r="M69" t="s">
        <v>70</v>
      </c>
      <c r="N69" t="s">
        <v>33</v>
      </c>
      <c r="O69" t="b">
        <v>1</v>
      </c>
      <c r="X69">
        <v>10</v>
      </c>
      <c r="Y69">
        <f t="shared" si="1"/>
        <v>4</v>
      </c>
      <c r="AA69" s="8"/>
      <c r="AB69" s="4">
        <v>155</v>
      </c>
      <c r="AC69" s="4" t="s">
        <v>324</v>
      </c>
      <c r="AD69" s="2" t="s">
        <v>298</v>
      </c>
      <c r="AE69" s="2"/>
      <c r="AF69" s="2"/>
      <c r="AG69" s="2"/>
      <c r="AH69" s="2">
        <v>4</v>
      </c>
      <c r="AI69" s="2">
        <v>1</v>
      </c>
      <c r="AJ69" s="2">
        <v>0</v>
      </c>
    </row>
    <row r="70" spans="1:40" hidden="1" x14ac:dyDescent="0.3">
      <c r="A70" t="s">
        <v>165</v>
      </c>
      <c r="B70" s="1" t="s">
        <v>263</v>
      </c>
      <c r="C70" s="1"/>
      <c r="D70" t="s">
        <v>357</v>
      </c>
      <c r="F70" t="b">
        <v>0</v>
      </c>
      <c r="I70">
        <v>1</v>
      </c>
      <c r="J70">
        <v>45</v>
      </c>
      <c r="K70">
        <v>37</v>
      </c>
      <c r="L70">
        <v>46</v>
      </c>
      <c r="M70" t="s">
        <v>73</v>
      </c>
      <c r="N70" t="s">
        <v>33</v>
      </c>
      <c r="O70" t="b">
        <v>1</v>
      </c>
      <c r="X70">
        <v>10</v>
      </c>
      <c r="Y70">
        <f t="shared" si="1"/>
        <v>2</v>
      </c>
      <c r="AA70" s="8"/>
      <c r="AB70" s="4">
        <v>477</v>
      </c>
      <c r="AC70" s="4" t="s">
        <v>322</v>
      </c>
      <c r="AD70" s="2" t="s">
        <v>298</v>
      </c>
      <c r="AE70" s="2"/>
      <c r="AF70" s="2"/>
      <c r="AG70" s="2"/>
      <c r="AH70" s="2">
        <v>2</v>
      </c>
      <c r="AI70" s="2">
        <v>1</v>
      </c>
      <c r="AJ70" s="2">
        <v>0</v>
      </c>
    </row>
    <row r="71" spans="1:40" hidden="1" x14ac:dyDescent="0.3">
      <c r="A71" t="s">
        <v>166</v>
      </c>
      <c r="B71" s="1" t="s">
        <v>1067</v>
      </c>
      <c r="C71" s="1"/>
      <c r="D71" t="s">
        <v>357</v>
      </c>
      <c r="F71" t="b">
        <v>0</v>
      </c>
      <c r="I71">
        <v>1</v>
      </c>
      <c r="J71">
        <v>45</v>
      </c>
      <c r="K71">
        <v>40</v>
      </c>
      <c r="L71">
        <v>46</v>
      </c>
      <c r="M71" t="s">
        <v>71</v>
      </c>
      <c r="N71" t="s">
        <v>33</v>
      </c>
      <c r="O71" t="b">
        <v>1</v>
      </c>
      <c r="X71">
        <v>10</v>
      </c>
      <c r="Y71">
        <f t="shared" si="1"/>
        <v>2</v>
      </c>
      <c r="AA71" s="8"/>
      <c r="AB71" s="5">
        <v>130</v>
      </c>
      <c r="AC71" s="5">
        <v>26</v>
      </c>
      <c r="AD71" s="3" t="s">
        <v>298</v>
      </c>
      <c r="AE71" s="3"/>
      <c r="AF71" s="3"/>
      <c r="AG71" s="3"/>
      <c r="AH71" s="3">
        <v>2</v>
      </c>
      <c r="AI71" s="3">
        <v>1</v>
      </c>
      <c r="AJ71" s="3">
        <v>0</v>
      </c>
    </row>
    <row r="72" spans="1:40" hidden="1" x14ac:dyDescent="0.3">
      <c r="A72" t="s">
        <v>167</v>
      </c>
      <c r="B72" s="1" t="s">
        <v>264</v>
      </c>
      <c r="C72" s="1"/>
      <c r="D72" t="s">
        <v>357</v>
      </c>
      <c r="F72" t="b">
        <v>0</v>
      </c>
      <c r="I72">
        <v>1</v>
      </c>
      <c r="J72">
        <v>45</v>
      </c>
      <c r="K72">
        <v>40</v>
      </c>
      <c r="L72">
        <v>46</v>
      </c>
      <c r="M72" t="s">
        <v>68</v>
      </c>
      <c r="N72" t="s">
        <v>33</v>
      </c>
      <c r="O72" t="b">
        <v>1</v>
      </c>
      <c r="Y72">
        <f t="shared" si="1"/>
        <v>0</v>
      </c>
      <c r="Z72" t="s">
        <v>293</v>
      </c>
      <c r="AA72" s="8"/>
      <c r="AB72" s="4">
        <v>153</v>
      </c>
      <c r="AC72" s="4">
        <v>24</v>
      </c>
      <c r="AD72" s="2" t="s">
        <v>298</v>
      </c>
      <c r="AE72" s="2"/>
      <c r="AF72" s="2"/>
      <c r="AG72" s="2"/>
      <c r="AH72" s="2"/>
      <c r="AI72" s="2"/>
      <c r="AJ72" s="2">
        <v>0</v>
      </c>
    </row>
    <row r="73" spans="1:40" hidden="1" x14ac:dyDescent="0.3">
      <c r="A73" t="s">
        <v>168</v>
      </c>
      <c r="B73" s="1" t="s">
        <v>265</v>
      </c>
      <c r="C73" s="1"/>
      <c r="D73" t="s">
        <v>357</v>
      </c>
      <c r="F73" t="b">
        <v>0</v>
      </c>
      <c r="I73">
        <v>1</v>
      </c>
      <c r="J73">
        <v>45</v>
      </c>
      <c r="K73">
        <v>36</v>
      </c>
      <c r="L73">
        <v>50</v>
      </c>
      <c r="M73" t="s">
        <v>68</v>
      </c>
      <c r="N73" t="s">
        <v>33</v>
      </c>
      <c r="O73" t="b">
        <v>1</v>
      </c>
      <c r="X73">
        <v>10</v>
      </c>
      <c r="Y73">
        <f t="shared" si="1"/>
        <v>4</v>
      </c>
      <c r="AA73" s="8"/>
      <c r="AB73" s="4">
        <v>174</v>
      </c>
      <c r="AC73" s="4">
        <v>11</v>
      </c>
      <c r="AD73" s="2" t="s">
        <v>298</v>
      </c>
      <c r="AE73" s="2"/>
      <c r="AF73" s="2"/>
      <c r="AG73" s="2"/>
      <c r="AH73" s="2">
        <v>4</v>
      </c>
      <c r="AI73" s="2">
        <v>1</v>
      </c>
      <c r="AJ73" s="2">
        <v>0</v>
      </c>
    </row>
    <row r="74" spans="1:40" hidden="1" x14ac:dyDescent="0.3">
      <c r="A74" t="s">
        <v>169</v>
      </c>
      <c r="B74" s="1" t="s">
        <v>266</v>
      </c>
      <c r="C74" s="1"/>
      <c r="D74" t="s">
        <v>357</v>
      </c>
      <c r="F74" t="b">
        <v>0</v>
      </c>
      <c r="I74">
        <v>1</v>
      </c>
      <c r="J74">
        <v>45</v>
      </c>
      <c r="K74">
        <v>36</v>
      </c>
      <c r="L74">
        <v>50</v>
      </c>
      <c r="M74" t="s">
        <v>70</v>
      </c>
      <c r="N74" t="s">
        <v>33</v>
      </c>
      <c r="O74" t="b">
        <v>1</v>
      </c>
      <c r="X74">
        <v>17</v>
      </c>
      <c r="Y74">
        <f t="shared" si="1"/>
        <v>1</v>
      </c>
      <c r="AA74" s="8"/>
      <c r="AB74" s="4">
        <v>163</v>
      </c>
      <c r="AC74" s="4">
        <v>24</v>
      </c>
      <c r="AD74" s="2" t="s">
        <v>298</v>
      </c>
      <c r="AE74" s="2"/>
      <c r="AF74" s="2"/>
      <c r="AG74" s="2"/>
      <c r="AH74" s="2">
        <v>1</v>
      </c>
      <c r="AI74" s="2">
        <v>1</v>
      </c>
      <c r="AJ74" s="2">
        <v>0</v>
      </c>
      <c r="AL74" s="2"/>
    </row>
    <row r="75" spans="1:40" hidden="1" x14ac:dyDescent="0.3">
      <c r="A75" t="s">
        <v>170</v>
      </c>
      <c r="B75" s="1" t="s">
        <v>267</v>
      </c>
      <c r="C75" s="1"/>
      <c r="D75" t="s">
        <v>357</v>
      </c>
      <c r="F75" t="b">
        <v>0</v>
      </c>
      <c r="I75">
        <v>1</v>
      </c>
      <c r="J75">
        <v>45</v>
      </c>
      <c r="K75">
        <v>36</v>
      </c>
      <c r="L75">
        <v>50</v>
      </c>
      <c r="M75" t="s">
        <v>73</v>
      </c>
      <c r="N75" t="s">
        <v>33</v>
      </c>
      <c r="O75" t="b">
        <v>1</v>
      </c>
      <c r="X75">
        <v>10</v>
      </c>
      <c r="Y75">
        <f t="shared" si="1"/>
        <v>2</v>
      </c>
      <c r="AA75" s="8"/>
      <c r="AB75" s="5">
        <v>165</v>
      </c>
      <c r="AC75" s="5">
        <v>25</v>
      </c>
      <c r="AD75" s="3" t="s">
        <v>298</v>
      </c>
      <c r="AE75" s="3"/>
      <c r="AF75" s="3"/>
      <c r="AG75" s="3"/>
      <c r="AH75" s="3">
        <v>2</v>
      </c>
      <c r="AI75" s="3">
        <v>1</v>
      </c>
      <c r="AJ75" s="3">
        <v>0</v>
      </c>
    </row>
    <row r="76" spans="1:40" hidden="1" x14ac:dyDescent="0.3">
      <c r="A76" t="s">
        <v>171</v>
      </c>
      <c r="B76" s="1" t="s">
        <v>268</v>
      </c>
      <c r="C76" s="1"/>
      <c r="D76" t="s">
        <v>357</v>
      </c>
      <c r="F76" t="b">
        <v>0</v>
      </c>
      <c r="I76">
        <v>1</v>
      </c>
      <c r="J76">
        <v>45</v>
      </c>
      <c r="K76">
        <v>36</v>
      </c>
      <c r="L76">
        <v>50</v>
      </c>
      <c r="M76" t="s">
        <v>72</v>
      </c>
      <c r="N76" t="s">
        <v>33</v>
      </c>
      <c r="O76" t="b">
        <v>1</v>
      </c>
      <c r="X76">
        <v>10</v>
      </c>
      <c r="Y76">
        <f t="shared" si="1"/>
        <v>2</v>
      </c>
      <c r="AA76" s="8"/>
      <c r="AB76" s="4">
        <v>175</v>
      </c>
      <c r="AC76" s="4">
        <v>25</v>
      </c>
      <c r="AD76" s="2" t="s">
        <v>298</v>
      </c>
      <c r="AE76" s="2"/>
      <c r="AF76" s="2"/>
      <c r="AG76" s="2"/>
      <c r="AH76" s="2">
        <v>2</v>
      </c>
      <c r="AI76" s="2">
        <v>1</v>
      </c>
      <c r="AJ76" s="2">
        <v>0</v>
      </c>
    </row>
    <row r="77" spans="1:40" hidden="1" x14ac:dyDescent="0.3">
      <c r="A77" t="s">
        <v>172</v>
      </c>
      <c r="B77" s="1" t="s">
        <v>269</v>
      </c>
      <c r="C77" s="1"/>
      <c r="D77" t="s">
        <v>357</v>
      </c>
      <c r="F77" t="b">
        <v>0</v>
      </c>
      <c r="I77">
        <v>1</v>
      </c>
      <c r="J77">
        <v>42</v>
      </c>
      <c r="K77">
        <v>37</v>
      </c>
      <c r="L77">
        <v>43</v>
      </c>
      <c r="M77" t="s">
        <v>74</v>
      </c>
      <c r="N77" t="s">
        <v>33</v>
      </c>
      <c r="O77" t="b">
        <v>1</v>
      </c>
      <c r="X77">
        <v>10</v>
      </c>
      <c r="Y77">
        <f t="shared" si="1"/>
        <v>2</v>
      </c>
      <c r="AA77" s="8"/>
      <c r="AB77" s="5" t="s">
        <v>325</v>
      </c>
      <c r="AC77" s="5" t="s">
        <v>310</v>
      </c>
      <c r="AD77" s="3" t="s">
        <v>298</v>
      </c>
      <c r="AE77" s="3" t="b">
        <v>1</v>
      </c>
      <c r="AF77" s="3"/>
      <c r="AG77" s="3"/>
      <c r="AH77" s="3">
        <v>2</v>
      </c>
      <c r="AI77" s="3">
        <v>1</v>
      </c>
      <c r="AJ77" s="3">
        <v>0</v>
      </c>
      <c r="AL77" s="3"/>
      <c r="AN77" t="s">
        <v>1218</v>
      </c>
    </row>
    <row r="78" spans="1:40" hidden="1" x14ac:dyDescent="0.3">
      <c r="A78" t="s">
        <v>173</v>
      </c>
      <c r="B78" s="1" t="s">
        <v>270</v>
      </c>
      <c r="C78" s="1"/>
      <c r="D78" t="s">
        <v>357</v>
      </c>
      <c r="F78" t="b">
        <v>0</v>
      </c>
      <c r="I78">
        <v>1</v>
      </c>
      <c r="J78">
        <v>42</v>
      </c>
      <c r="K78">
        <v>37</v>
      </c>
      <c r="L78">
        <v>43</v>
      </c>
      <c r="M78" t="s">
        <v>74</v>
      </c>
      <c r="N78" t="s">
        <v>33</v>
      </c>
      <c r="O78" t="b">
        <v>1</v>
      </c>
      <c r="X78">
        <v>10</v>
      </c>
      <c r="Y78">
        <f t="shared" si="1"/>
        <v>8</v>
      </c>
      <c r="AA78" s="8"/>
      <c r="AB78" s="5">
        <v>221</v>
      </c>
      <c r="AC78" s="5" t="s">
        <v>326</v>
      </c>
      <c r="AD78" s="3" t="s">
        <v>298</v>
      </c>
      <c r="AE78" s="3" t="b">
        <v>1</v>
      </c>
      <c r="AF78" s="3"/>
      <c r="AG78" s="3"/>
      <c r="AH78" s="3">
        <v>8</v>
      </c>
      <c r="AI78" s="3">
        <v>1</v>
      </c>
      <c r="AJ78" s="3">
        <v>0</v>
      </c>
    </row>
    <row r="79" spans="1:40" hidden="1" x14ac:dyDescent="0.3">
      <c r="A79" t="s">
        <v>174</v>
      </c>
      <c r="B79" s="1" t="s">
        <v>271</v>
      </c>
      <c r="C79" s="1"/>
      <c r="D79" t="s">
        <v>357</v>
      </c>
      <c r="F79" t="b">
        <v>0</v>
      </c>
      <c r="I79">
        <v>1</v>
      </c>
      <c r="J79">
        <v>42</v>
      </c>
      <c r="K79">
        <v>37</v>
      </c>
      <c r="L79">
        <v>43</v>
      </c>
      <c r="M79" t="s">
        <v>74</v>
      </c>
      <c r="N79" t="s">
        <v>33</v>
      </c>
      <c r="O79" t="b">
        <v>1</v>
      </c>
      <c r="Y79">
        <f t="shared" si="1"/>
        <v>0</v>
      </c>
      <c r="Z79" t="s">
        <v>293</v>
      </c>
      <c r="AA79" s="8"/>
      <c r="AB79" s="5">
        <v>198</v>
      </c>
      <c r="AC79" s="5" t="s">
        <v>309</v>
      </c>
      <c r="AD79" s="3" t="s">
        <v>298</v>
      </c>
      <c r="AE79" s="3" t="b">
        <v>1</v>
      </c>
      <c r="AF79" s="3"/>
      <c r="AG79" s="3"/>
      <c r="AH79" s="3"/>
      <c r="AI79" s="3"/>
      <c r="AJ79" s="3">
        <v>0</v>
      </c>
    </row>
    <row r="80" spans="1:40" hidden="1" x14ac:dyDescent="0.3">
      <c r="A80" t="s">
        <v>175</v>
      </c>
      <c r="B80" s="1" t="s">
        <v>272</v>
      </c>
      <c r="C80" s="1"/>
      <c r="D80" t="s">
        <v>357</v>
      </c>
      <c r="F80" t="b">
        <v>0</v>
      </c>
      <c r="I80">
        <v>1</v>
      </c>
      <c r="J80">
        <v>44</v>
      </c>
      <c r="K80">
        <v>41</v>
      </c>
      <c r="L80">
        <v>50</v>
      </c>
      <c r="M80" t="s">
        <v>74</v>
      </c>
      <c r="N80" t="s">
        <v>33</v>
      </c>
      <c r="O80" t="b">
        <v>1</v>
      </c>
      <c r="X80">
        <v>10</v>
      </c>
      <c r="Y80">
        <f t="shared" si="1"/>
        <v>8</v>
      </c>
      <c r="AA80" s="8"/>
      <c r="AB80" s="10">
        <v>237215</v>
      </c>
      <c r="AC80" s="4" t="s">
        <v>353</v>
      </c>
      <c r="AD80" s="2" t="s">
        <v>298</v>
      </c>
      <c r="AE80" s="2"/>
      <c r="AF80" s="2"/>
      <c r="AG80" s="2"/>
      <c r="AH80" s="2">
        <v>8</v>
      </c>
      <c r="AI80" s="2">
        <v>1</v>
      </c>
      <c r="AJ80" s="2">
        <v>0</v>
      </c>
    </row>
    <row r="81" spans="1:38" hidden="1" x14ac:dyDescent="0.3">
      <c r="A81" t="s">
        <v>176</v>
      </c>
      <c r="B81" s="1" t="s">
        <v>273</v>
      </c>
      <c r="C81" s="1"/>
      <c r="D81" t="s">
        <v>357</v>
      </c>
      <c r="F81" t="b">
        <v>0</v>
      </c>
      <c r="I81">
        <v>1</v>
      </c>
      <c r="J81">
        <v>44</v>
      </c>
      <c r="K81">
        <v>38</v>
      </c>
      <c r="L81">
        <v>47</v>
      </c>
      <c r="M81" t="s">
        <v>70</v>
      </c>
      <c r="N81" t="s">
        <v>33</v>
      </c>
      <c r="O81" t="b">
        <v>1</v>
      </c>
      <c r="X81">
        <v>10</v>
      </c>
      <c r="Y81">
        <f t="shared" si="1"/>
        <v>2</v>
      </c>
      <c r="AA81" s="8"/>
      <c r="AB81" s="4">
        <v>154</v>
      </c>
      <c r="AC81" s="4" t="s">
        <v>352</v>
      </c>
      <c r="AD81" s="2" t="s">
        <v>298</v>
      </c>
      <c r="AE81" s="2"/>
      <c r="AF81" s="2"/>
      <c r="AG81" s="2"/>
      <c r="AH81" s="2">
        <v>2</v>
      </c>
      <c r="AI81" s="2">
        <v>1</v>
      </c>
      <c r="AJ81" s="2">
        <v>0</v>
      </c>
    </row>
    <row r="82" spans="1:38" hidden="1" x14ac:dyDescent="0.3">
      <c r="A82" t="s">
        <v>177</v>
      </c>
      <c r="B82" s="1" t="s">
        <v>765</v>
      </c>
      <c r="C82" s="1"/>
      <c r="D82" t="s">
        <v>357</v>
      </c>
      <c r="F82" t="b">
        <v>0</v>
      </c>
      <c r="I82">
        <v>1</v>
      </c>
      <c r="J82">
        <v>39</v>
      </c>
      <c r="K82">
        <v>39</v>
      </c>
      <c r="L82">
        <v>53</v>
      </c>
      <c r="M82" t="s">
        <v>68</v>
      </c>
      <c r="N82" t="s">
        <v>33</v>
      </c>
      <c r="O82" t="b">
        <v>1</v>
      </c>
      <c r="X82">
        <v>10</v>
      </c>
      <c r="Y82">
        <f t="shared" si="1"/>
        <v>2</v>
      </c>
      <c r="AA82" s="8"/>
      <c r="AB82" s="5">
        <v>387</v>
      </c>
      <c r="AC82" s="5" t="s">
        <v>316</v>
      </c>
      <c r="AD82" s="3" t="s">
        <v>298</v>
      </c>
      <c r="AE82" s="3"/>
      <c r="AF82" s="3"/>
      <c r="AG82" s="3"/>
      <c r="AH82" s="3">
        <v>2</v>
      </c>
      <c r="AI82" s="3">
        <v>1</v>
      </c>
      <c r="AJ82" s="3">
        <v>0</v>
      </c>
    </row>
    <row r="83" spans="1:38" hidden="1" x14ac:dyDescent="0.3">
      <c r="A83" t="s">
        <v>178</v>
      </c>
      <c r="B83" s="1">
        <v>7178270480</v>
      </c>
      <c r="C83" s="1" t="s">
        <v>914</v>
      </c>
      <c r="D83" t="s">
        <v>357</v>
      </c>
      <c r="F83" t="b">
        <v>0</v>
      </c>
      <c r="I83">
        <v>1</v>
      </c>
      <c r="J83">
        <v>83</v>
      </c>
      <c r="K83">
        <v>62</v>
      </c>
      <c r="L83">
        <v>58</v>
      </c>
      <c r="M83" t="s">
        <v>71</v>
      </c>
      <c r="N83" t="s">
        <v>33</v>
      </c>
      <c r="O83" t="b">
        <v>1</v>
      </c>
      <c r="X83">
        <v>10</v>
      </c>
      <c r="Y83">
        <f t="shared" si="1"/>
        <v>2</v>
      </c>
      <c r="AA83" s="8"/>
      <c r="AB83" s="4">
        <v>478</v>
      </c>
      <c r="AC83" s="4" t="s">
        <v>320</v>
      </c>
      <c r="AD83" s="2" t="s">
        <v>298</v>
      </c>
      <c r="AE83" s="2"/>
      <c r="AF83" s="2"/>
      <c r="AG83" s="2"/>
      <c r="AH83" s="2">
        <v>2</v>
      </c>
      <c r="AI83" s="2">
        <v>1</v>
      </c>
      <c r="AJ83" s="2">
        <v>0</v>
      </c>
      <c r="AL83" s="2"/>
    </row>
    <row r="84" spans="1:38" hidden="1" x14ac:dyDescent="0.3">
      <c r="A84" t="s">
        <v>179</v>
      </c>
      <c r="B84" s="1">
        <v>7075226730</v>
      </c>
      <c r="C84" s="1" t="s">
        <v>915</v>
      </c>
      <c r="D84" t="s">
        <v>357</v>
      </c>
      <c r="F84" t="b">
        <v>0</v>
      </c>
      <c r="I84">
        <v>1</v>
      </c>
      <c r="J84">
        <v>75</v>
      </c>
      <c r="K84">
        <v>32</v>
      </c>
      <c r="L84">
        <v>70</v>
      </c>
      <c r="M84" t="s">
        <v>69</v>
      </c>
      <c r="N84" t="s">
        <v>33</v>
      </c>
      <c r="O84" t="b">
        <v>1</v>
      </c>
      <c r="Y84">
        <f t="shared" si="1"/>
        <v>0</v>
      </c>
      <c r="Z84" t="s">
        <v>293</v>
      </c>
      <c r="AA84" s="8"/>
      <c r="AB84" s="5" t="s">
        <v>327</v>
      </c>
      <c r="AC84" s="5" t="s">
        <v>328</v>
      </c>
      <c r="AD84" s="3" t="s">
        <v>298</v>
      </c>
      <c r="AE84" s="3"/>
      <c r="AF84" s="3"/>
      <c r="AG84" s="3"/>
      <c r="AH84" s="3">
        <v>1</v>
      </c>
      <c r="AI84" s="3"/>
      <c r="AJ84" s="3">
        <v>0</v>
      </c>
    </row>
    <row r="85" spans="1:38" hidden="1" x14ac:dyDescent="0.3">
      <c r="A85" t="s">
        <v>180</v>
      </c>
      <c r="B85" s="1" t="s">
        <v>275</v>
      </c>
      <c r="C85" s="1"/>
      <c r="D85" t="s">
        <v>357</v>
      </c>
      <c r="F85" t="b">
        <v>0</v>
      </c>
      <c r="I85">
        <v>1</v>
      </c>
      <c r="J85">
        <v>40</v>
      </c>
      <c r="K85">
        <v>31</v>
      </c>
      <c r="L85">
        <v>58</v>
      </c>
      <c r="M85" t="s">
        <v>68</v>
      </c>
      <c r="N85" t="s">
        <v>33</v>
      </c>
      <c r="O85" t="b">
        <v>1</v>
      </c>
      <c r="Y85">
        <f t="shared" si="1"/>
        <v>0</v>
      </c>
      <c r="Z85" t="s">
        <v>293</v>
      </c>
      <c r="AA85" s="8"/>
      <c r="AB85" s="4">
        <v>579</v>
      </c>
      <c r="AC85" s="4">
        <v>23</v>
      </c>
      <c r="AD85" s="2" t="s">
        <v>298</v>
      </c>
      <c r="AE85" s="2"/>
      <c r="AF85" s="2"/>
      <c r="AG85" s="2"/>
      <c r="AH85" s="2"/>
      <c r="AI85" s="2"/>
      <c r="AJ85" s="2">
        <v>0</v>
      </c>
    </row>
    <row r="86" spans="1:38" hidden="1" x14ac:dyDescent="0.3">
      <c r="A86" t="s">
        <v>181</v>
      </c>
      <c r="B86" s="1" t="s">
        <v>275</v>
      </c>
      <c r="C86" s="1"/>
      <c r="D86" t="s">
        <v>357</v>
      </c>
      <c r="F86" t="b">
        <v>0</v>
      </c>
      <c r="I86">
        <v>1</v>
      </c>
      <c r="J86">
        <v>52</v>
      </c>
      <c r="K86">
        <v>36</v>
      </c>
      <c r="L86">
        <v>47</v>
      </c>
      <c r="M86" t="s">
        <v>69</v>
      </c>
      <c r="N86" t="s">
        <v>33</v>
      </c>
      <c r="O86" t="b">
        <v>1</v>
      </c>
      <c r="Y86">
        <f t="shared" si="1"/>
        <v>0</v>
      </c>
      <c r="Z86" t="s">
        <v>293</v>
      </c>
      <c r="AA86" s="8"/>
      <c r="AB86" s="5" t="s">
        <v>329</v>
      </c>
      <c r="AC86" s="5">
        <v>22</v>
      </c>
      <c r="AD86" s="3" t="s">
        <v>298</v>
      </c>
      <c r="AE86" s="3"/>
      <c r="AF86" s="3"/>
      <c r="AG86" s="3"/>
      <c r="AH86" s="3"/>
      <c r="AI86" s="3"/>
      <c r="AJ86" s="3">
        <v>0</v>
      </c>
    </row>
    <row r="87" spans="1:38" hidden="1" x14ac:dyDescent="0.3">
      <c r="A87" t="s">
        <v>182</v>
      </c>
      <c r="B87" s="1" t="s">
        <v>276</v>
      </c>
      <c r="C87" s="1"/>
      <c r="D87" t="s">
        <v>357</v>
      </c>
      <c r="F87" t="b">
        <v>0</v>
      </c>
      <c r="I87">
        <v>1</v>
      </c>
      <c r="J87">
        <v>40</v>
      </c>
      <c r="K87">
        <v>33</v>
      </c>
      <c r="L87">
        <v>52</v>
      </c>
      <c r="M87" t="s">
        <v>73</v>
      </c>
      <c r="N87" t="s">
        <v>33</v>
      </c>
      <c r="O87" t="b">
        <v>1</v>
      </c>
      <c r="X87">
        <v>10</v>
      </c>
      <c r="Y87">
        <f t="shared" si="1"/>
        <v>2</v>
      </c>
      <c r="AA87" s="8"/>
      <c r="AB87" s="4">
        <v>71</v>
      </c>
      <c r="AC87" s="4">
        <v>24</v>
      </c>
      <c r="AD87" s="2" t="s">
        <v>298</v>
      </c>
      <c r="AE87" s="2" t="b">
        <v>1</v>
      </c>
      <c r="AF87" s="2"/>
      <c r="AG87" s="2"/>
      <c r="AH87" s="2">
        <v>2</v>
      </c>
      <c r="AI87" s="2">
        <v>1</v>
      </c>
      <c r="AJ87" s="2">
        <v>0</v>
      </c>
    </row>
    <row r="88" spans="1:38" hidden="1" x14ac:dyDescent="0.3">
      <c r="A88" t="s">
        <v>183</v>
      </c>
      <c r="B88" s="1" t="s">
        <v>277</v>
      </c>
      <c r="C88" s="1"/>
      <c r="D88" t="s">
        <v>357</v>
      </c>
      <c r="F88" t="b">
        <v>0</v>
      </c>
      <c r="I88">
        <v>1</v>
      </c>
      <c r="J88">
        <v>97</v>
      </c>
      <c r="K88">
        <v>100</v>
      </c>
      <c r="L88">
        <v>65</v>
      </c>
      <c r="M88" t="s">
        <v>74</v>
      </c>
      <c r="N88" t="s">
        <v>33</v>
      </c>
      <c r="O88" t="b">
        <v>1</v>
      </c>
      <c r="X88">
        <v>11</v>
      </c>
      <c r="Y88">
        <f t="shared" si="1"/>
        <v>2</v>
      </c>
      <c r="AA88" s="8"/>
      <c r="AB88" s="5">
        <v>180</v>
      </c>
      <c r="AC88" s="5">
        <v>17</v>
      </c>
      <c r="AD88" s="3" t="s">
        <v>298</v>
      </c>
      <c r="AE88" s="3"/>
      <c r="AF88" s="3"/>
      <c r="AG88" s="3"/>
      <c r="AH88" s="3">
        <v>2</v>
      </c>
      <c r="AI88" s="3">
        <v>1</v>
      </c>
      <c r="AJ88" s="3">
        <v>0</v>
      </c>
    </row>
    <row r="89" spans="1:38" hidden="1" x14ac:dyDescent="0.3">
      <c r="A89" t="s">
        <v>184</v>
      </c>
      <c r="B89" s="1" t="s">
        <v>278</v>
      </c>
      <c r="C89" s="1"/>
      <c r="D89" t="s">
        <v>357</v>
      </c>
      <c r="E89" t="s">
        <v>376</v>
      </c>
      <c r="F89" t="b">
        <v>0</v>
      </c>
      <c r="I89">
        <v>1</v>
      </c>
      <c r="J89">
        <v>120</v>
      </c>
      <c r="K89">
        <v>100</v>
      </c>
      <c r="L89">
        <v>70</v>
      </c>
      <c r="M89" t="s">
        <v>68</v>
      </c>
      <c r="N89" t="s">
        <v>33</v>
      </c>
      <c r="O89" t="b">
        <v>1</v>
      </c>
      <c r="Y89">
        <f t="shared" si="1"/>
        <v>0</v>
      </c>
      <c r="Z89" t="s">
        <v>293</v>
      </c>
      <c r="AA89" s="8"/>
      <c r="AB89" s="4" t="s">
        <v>330</v>
      </c>
      <c r="AC89" s="4" t="s">
        <v>323</v>
      </c>
      <c r="AD89" s="2" t="s">
        <v>298</v>
      </c>
      <c r="AE89" s="2"/>
      <c r="AF89" s="2"/>
      <c r="AG89" s="2"/>
      <c r="AH89" s="2">
        <v>1</v>
      </c>
      <c r="AI89" s="2"/>
      <c r="AJ89" s="2">
        <v>0</v>
      </c>
    </row>
    <row r="90" spans="1:38" hidden="1" x14ac:dyDescent="0.3">
      <c r="A90" t="s">
        <v>185</v>
      </c>
      <c r="B90" s="1">
        <v>7009741102</v>
      </c>
      <c r="C90" s="1"/>
      <c r="D90" t="s">
        <v>357</v>
      </c>
      <c r="F90" t="b">
        <v>0</v>
      </c>
      <c r="I90">
        <v>1</v>
      </c>
      <c r="J90">
        <v>43</v>
      </c>
      <c r="K90">
        <v>40</v>
      </c>
      <c r="L90">
        <v>50</v>
      </c>
      <c r="M90" t="s">
        <v>68</v>
      </c>
      <c r="N90" t="s">
        <v>33</v>
      </c>
      <c r="O90" t="b">
        <v>1</v>
      </c>
      <c r="Y90">
        <f t="shared" si="1"/>
        <v>0</v>
      </c>
      <c r="Z90" t="s">
        <v>293</v>
      </c>
      <c r="AA90" s="8"/>
      <c r="AB90" s="4">
        <v>290</v>
      </c>
      <c r="AC90" s="4">
        <v>4</v>
      </c>
      <c r="AD90" s="2" t="s">
        <v>298</v>
      </c>
      <c r="AE90" s="2"/>
      <c r="AF90" s="2"/>
      <c r="AG90" s="2"/>
      <c r="AH90" s="2">
        <v>1</v>
      </c>
      <c r="AI90" s="2"/>
      <c r="AJ90" s="2">
        <v>0</v>
      </c>
    </row>
    <row r="91" spans="1:38" hidden="1" x14ac:dyDescent="0.3">
      <c r="A91" t="s">
        <v>370</v>
      </c>
      <c r="B91" s="1" t="s">
        <v>279</v>
      </c>
      <c r="C91" s="1"/>
      <c r="D91" t="s">
        <v>357</v>
      </c>
      <c r="F91" t="b">
        <v>0</v>
      </c>
      <c r="I91">
        <v>1</v>
      </c>
      <c r="J91">
        <v>61</v>
      </c>
      <c r="K91">
        <v>50</v>
      </c>
      <c r="L91">
        <v>87</v>
      </c>
      <c r="M91" t="s">
        <v>68</v>
      </c>
      <c r="N91" t="s">
        <v>33</v>
      </c>
      <c r="O91" t="b">
        <v>1</v>
      </c>
      <c r="Y91">
        <f t="shared" si="1"/>
        <v>0</v>
      </c>
      <c r="Z91" t="s">
        <v>293</v>
      </c>
      <c r="AA91" s="8"/>
      <c r="AB91" s="4">
        <v>177</v>
      </c>
      <c r="AC91" s="4">
        <v>10</v>
      </c>
      <c r="AD91" s="2" t="s">
        <v>298</v>
      </c>
      <c r="AE91" s="2" t="b">
        <v>1</v>
      </c>
      <c r="AF91" s="2"/>
      <c r="AG91" s="2"/>
      <c r="AH91" s="2"/>
      <c r="AI91" s="2"/>
      <c r="AJ91" s="2">
        <v>0</v>
      </c>
    </row>
    <row r="92" spans="1:38" hidden="1" x14ac:dyDescent="0.3">
      <c r="A92" t="s">
        <v>186</v>
      </c>
      <c r="B92" s="1">
        <v>7289063430</v>
      </c>
      <c r="C92" s="1"/>
      <c r="D92" t="s">
        <v>357</v>
      </c>
      <c r="F92" t="b">
        <v>0</v>
      </c>
      <c r="I92">
        <v>1</v>
      </c>
      <c r="J92">
        <v>54</v>
      </c>
      <c r="K92">
        <v>44</v>
      </c>
      <c r="L92">
        <v>47</v>
      </c>
      <c r="M92" t="s">
        <v>69</v>
      </c>
      <c r="N92" t="s">
        <v>33</v>
      </c>
      <c r="O92" t="b">
        <v>1</v>
      </c>
      <c r="X92">
        <v>10</v>
      </c>
      <c r="Y92">
        <f t="shared" si="1"/>
        <v>1</v>
      </c>
      <c r="AA92" s="8"/>
      <c r="AB92" s="5">
        <v>173</v>
      </c>
      <c r="AC92" s="5">
        <v>10</v>
      </c>
      <c r="AD92" s="3" t="s">
        <v>298</v>
      </c>
      <c r="AE92" s="3" t="b">
        <v>1</v>
      </c>
      <c r="AF92" s="3"/>
      <c r="AG92" s="3"/>
      <c r="AH92" s="3">
        <v>1</v>
      </c>
      <c r="AI92" s="3">
        <v>1</v>
      </c>
      <c r="AJ92" s="3">
        <v>0</v>
      </c>
    </row>
    <row r="93" spans="1:38" hidden="1" x14ac:dyDescent="0.3">
      <c r="A93" t="s">
        <v>187</v>
      </c>
      <c r="B93" s="1" t="s">
        <v>280</v>
      </c>
      <c r="C93" s="1"/>
      <c r="D93" t="s">
        <v>357</v>
      </c>
      <c r="F93" t="b">
        <v>0</v>
      </c>
      <c r="I93">
        <v>1</v>
      </c>
      <c r="J93">
        <v>80</v>
      </c>
      <c r="K93">
        <v>60</v>
      </c>
      <c r="L93">
        <v>58</v>
      </c>
      <c r="M93" t="s">
        <v>69</v>
      </c>
      <c r="N93" t="s">
        <v>33</v>
      </c>
      <c r="O93" t="b">
        <v>1</v>
      </c>
      <c r="X93">
        <v>10</v>
      </c>
      <c r="Y93">
        <f t="shared" si="1"/>
        <v>1</v>
      </c>
      <c r="AA93" s="8"/>
      <c r="AB93" s="4">
        <v>125</v>
      </c>
      <c r="AC93" s="4">
        <v>7</v>
      </c>
      <c r="AD93" s="2" t="s">
        <v>298</v>
      </c>
      <c r="AE93" s="2"/>
      <c r="AF93" s="2"/>
      <c r="AG93" s="2"/>
      <c r="AH93" s="2">
        <v>1</v>
      </c>
      <c r="AI93" s="2">
        <v>1</v>
      </c>
      <c r="AJ93" s="2">
        <v>0</v>
      </c>
    </row>
    <row r="94" spans="1:38" hidden="1" x14ac:dyDescent="0.3">
      <c r="A94" t="s">
        <v>188</v>
      </c>
      <c r="B94" s="1" t="s">
        <v>702</v>
      </c>
      <c r="C94" s="1"/>
      <c r="D94" t="s">
        <v>357</v>
      </c>
      <c r="F94" t="b">
        <v>0</v>
      </c>
      <c r="I94">
        <v>1</v>
      </c>
      <c r="J94">
        <v>40</v>
      </c>
      <c r="K94">
        <v>33</v>
      </c>
      <c r="L94">
        <v>52</v>
      </c>
      <c r="M94" t="s">
        <v>68</v>
      </c>
      <c r="N94" t="s">
        <v>33</v>
      </c>
      <c r="O94" t="b">
        <v>1</v>
      </c>
      <c r="X94">
        <v>10</v>
      </c>
      <c r="Y94">
        <f t="shared" si="1"/>
        <v>1</v>
      </c>
      <c r="AA94" s="8"/>
      <c r="AB94" s="5">
        <v>156</v>
      </c>
      <c r="AC94" s="5">
        <v>8</v>
      </c>
      <c r="AD94" s="3" t="s">
        <v>298</v>
      </c>
      <c r="AE94" s="3"/>
      <c r="AF94" s="3"/>
      <c r="AG94" s="3"/>
      <c r="AH94" s="3">
        <v>1</v>
      </c>
      <c r="AI94" s="3">
        <v>1</v>
      </c>
      <c r="AJ94" s="3">
        <v>0</v>
      </c>
    </row>
    <row r="95" spans="1:38" hidden="1" x14ac:dyDescent="0.3">
      <c r="A95" t="s">
        <v>189</v>
      </c>
      <c r="B95" s="1" t="s">
        <v>281</v>
      </c>
      <c r="C95" s="1"/>
      <c r="D95" t="s">
        <v>357</v>
      </c>
      <c r="F95" t="b">
        <v>0</v>
      </c>
      <c r="I95">
        <v>1</v>
      </c>
      <c r="J95">
        <v>40</v>
      </c>
      <c r="K95">
        <v>35</v>
      </c>
      <c r="L95">
        <v>52</v>
      </c>
      <c r="M95" t="s">
        <v>72</v>
      </c>
      <c r="N95" t="s">
        <v>33</v>
      </c>
      <c r="O95" t="b">
        <v>1</v>
      </c>
      <c r="X95">
        <v>10</v>
      </c>
      <c r="Y95">
        <f t="shared" si="1"/>
        <v>1</v>
      </c>
      <c r="AA95" s="8"/>
      <c r="AB95" s="4">
        <v>572</v>
      </c>
      <c r="AC95" s="4">
        <v>7</v>
      </c>
      <c r="AD95" s="2" t="s">
        <v>298</v>
      </c>
      <c r="AE95" s="2"/>
      <c r="AF95" s="2"/>
      <c r="AG95" s="2"/>
      <c r="AH95" s="2">
        <v>1</v>
      </c>
      <c r="AI95" s="2">
        <v>1</v>
      </c>
      <c r="AJ95" s="2">
        <v>0</v>
      </c>
    </row>
    <row r="96" spans="1:38" hidden="1" x14ac:dyDescent="0.3">
      <c r="A96" t="s">
        <v>190</v>
      </c>
      <c r="B96" s="1" t="s">
        <v>735</v>
      </c>
      <c r="C96" s="1"/>
      <c r="D96" t="s">
        <v>357</v>
      </c>
      <c r="F96" t="b">
        <v>0</v>
      </c>
      <c r="I96">
        <v>1</v>
      </c>
      <c r="J96">
        <v>45</v>
      </c>
      <c r="K96">
        <v>40</v>
      </c>
      <c r="L96">
        <v>46</v>
      </c>
      <c r="M96" t="s">
        <v>73</v>
      </c>
      <c r="N96" t="s">
        <v>33</v>
      </c>
      <c r="O96" t="b">
        <v>1</v>
      </c>
      <c r="X96">
        <v>10</v>
      </c>
      <c r="Y96">
        <f t="shared" si="1"/>
        <v>2</v>
      </c>
      <c r="AA96" s="8"/>
      <c r="AB96" s="4">
        <v>573</v>
      </c>
      <c r="AC96" s="4">
        <v>8</v>
      </c>
      <c r="AD96" s="2" t="s">
        <v>298</v>
      </c>
      <c r="AE96" s="2"/>
      <c r="AF96" s="2"/>
      <c r="AG96" s="2"/>
      <c r="AH96" s="2">
        <v>2</v>
      </c>
      <c r="AI96" s="2">
        <v>1</v>
      </c>
      <c r="AJ96" s="2">
        <v>0</v>
      </c>
    </row>
    <row r="97" spans="1:39" hidden="1" x14ac:dyDescent="0.3">
      <c r="A97" t="s">
        <v>191</v>
      </c>
      <c r="B97" s="1" t="s">
        <v>282</v>
      </c>
      <c r="C97" s="1"/>
      <c r="D97" t="s">
        <v>357</v>
      </c>
      <c r="F97" t="b">
        <v>0</v>
      </c>
      <c r="I97">
        <v>1</v>
      </c>
      <c r="J97">
        <v>45</v>
      </c>
      <c r="K97">
        <v>35</v>
      </c>
      <c r="L97">
        <v>47</v>
      </c>
      <c r="M97" t="s">
        <v>73</v>
      </c>
      <c r="N97" t="s">
        <v>33</v>
      </c>
      <c r="O97" t="b">
        <v>1</v>
      </c>
      <c r="X97">
        <v>10</v>
      </c>
      <c r="Y97">
        <f t="shared" si="1"/>
        <v>2</v>
      </c>
      <c r="AA97" s="8"/>
      <c r="AB97" s="5">
        <v>574</v>
      </c>
      <c r="AC97" s="5">
        <v>11</v>
      </c>
      <c r="AD97" s="3" t="s">
        <v>298</v>
      </c>
      <c r="AE97" s="3"/>
      <c r="AF97" s="3"/>
      <c r="AG97" s="3"/>
      <c r="AH97" s="3">
        <v>2</v>
      </c>
      <c r="AI97" s="3">
        <v>1</v>
      </c>
      <c r="AJ97" s="3">
        <v>0</v>
      </c>
    </row>
    <row r="98" spans="1:39" hidden="1" x14ac:dyDescent="0.3">
      <c r="A98" t="s">
        <v>192</v>
      </c>
      <c r="B98" s="1">
        <v>7047135830</v>
      </c>
      <c r="C98" s="1"/>
      <c r="D98" t="s">
        <v>360</v>
      </c>
      <c r="F98" t="b">
        <v>0</v>
      </c>
      <c r="I98">
        <v>1</v>
      </c>
      <c r="J98">
        <v>31</v>
      </c>
      <c r="K98">
        <v>20</v>
      </c>
      <c r="L98">
        <v>55</v>
      </c>
      <c r="M98" t="s">
        <v>69</v>
      </c>
      <c r="N98" t="s">
        <v>33</v>
      </c>
      <c r="O98" t="b">
        <v>1</v>
      </c>
      <c r="Y98">
        <f t="shared" si="1"/>
        <v>0</v>
      </c>
      <c r="Z98" t="s">
        <v>293</v>
      </c>
      <c r="AA98" s="8"/>
      <c r="AB98" s="2"/>
      <c r="AC98" s="2"/>
      <c r="AD98" s="2" t="s">
        <v>331</v>
      </c>
      <c r="AE98" s="2"/>
      <c r="AF98" s="2" t="s">
        <v>332</v>
      </c>
      <c r="AG98" s="2"/>
      <c r="AH98" s="2">
        <v>1</v>
      </c>
      <c r="AI98" s="2"/>
      <c r="AJ98" s="2">
        <v>0</v>
      </c>
    </row>
    <row r="99" spans="1:39" hidden="1" x14ac:dyDescent="0.3">
      <c r="A99" t="s">
        <v>193</v>
      </c>
      <c r="B99" s="1">
        <v>7047186030</v>
      </c>
      <c r="C99" s="1"/>
      <c r="D99" t="s">
        <v>360</v>
      </c>
      <c r="E99" t="s">
        <v>294</v>
      </c>
      <c r="F99" t="b">
        <v>0</v>
      </c>
      <c r="I99">
        <v>1</v>
      </c>
      <c r="J99">
        <v>35</v>
      </c>
      <c r="K99">
        <v>20</v>
      </c>
      <c r="L99">
        <v>47</v>
      </c>
      <c r="M99" t="s">
        <v>69</v>
      </c>
      <c r="N99" t="s">
        <v>33</v>
      </c>
      <c r="O99" t="b">
        <v>1</v>
      </c>
      <c r="Q99" t="b">
        <v>1</v>
      </c>
      <c r="R99">
        <v>105</v>
      </c>
      <c r="S99">
        <v>35</v>
      </c>
      <c r="T99">
        <v>47</v>
      </c>
      <c r="U99">
        <v>5</v>
      </c>
      <c r="X99">
        <v>10</v>
      </c>
      <c r="Y99">
        <f t="shared" si="1"/>
        <v>60</v>
      </c>
      <c r="AA99" s="8"/>
      <c r="AB99" s="3"/>
      <c r="AC99" s="3"/>
      <c r="AD99" s="3" t="s">
        <v>331</v>
      </c>
      <c r="AE99" s="3"/>
      <c r="AF99" s="3" t="s">
        <v>333</v>
      </c>
      <c r="AG99" s="3"/>
      <c r="AH99" s="3">
        <v>60</v>
      </c>
      <c r="AI99" s="3">
        <v>1</v>
      </c>
      <c r="AJ99" s="3">
        <v>0</v>
      </c>
      <c r="AL99" s="3"/>
    </row>
    <row r="100" spans="1:39" hidden="1" x14ac:dyDescent="0.3">
      <c r="A100" t="s">
        <v>194</v>
      </c>
      <c r="B100" s="1">
        <v>7047273930</v>
      </c>
      <c r="C100" s="1"/>
      <c r="D100" t="s">
        <v>360</v>
      </c>
      <c r="F100" t="b">
        <v>0</v>
      </c>
      <c r="I100">
        <v>1</v>
      </c>
      <c r="J100">
        <v>34</v>
      </c>
      <c r="K100">
        <v>20</v>
      </c>
      <c r="L100">
        <v>50</v>
      </c>
      <c r="M100" t="s">
        <v>69</v>
      </c>
      <c r="N100" t="s">
        <v>33</v>
      </c>
      <c r="O100" t="b">
        <v>1</v>
      </c>
      <c r="Y100">
        <f t="shared" si="1"/>
        <v>0</v>
      </c>
      <c r="Z100" t="s">
        <v>293</v>
      </c>
      <c r="AA100" s="8"/>
      <c r="AB100" s="2"/>
      <c r="AC100" s="2"/>
      <c r="AD100" s="2" t="s">
        <v>331</v>
      </c>
      <c r="AE100" s="2"/>
      <c r="AF100" s="2" t="s">
        <v>333</v>
      </c>
      <c r="AG100" s="2"/>
      <c r="AH100" s="2">
        <v>2</v>
      </c>
      <c r="AI100" s="2"/>
      <c r="AJ100" s="2">
        <v>0</v>
      </c>
    </row>
    <row r="101" spans="1:39" hidden="1" x14ac:dyDescent="0.3">
      <c r="A101" t="s">
        <v>195</v>
      </c>
      <c r="B101" s="1">
        <v>7047305630</v>
      </c>
      <c r="C101" s="1"/>
      <c r="D101" t="s">
        <v>360</v>
      </c>
      <c r="F101" t="b">
        <v>0</v>
      </c>
      <c r="I101">
        <v>1</v>
      </c>
      <c r="J101">
        <v>37</v>
      </c>
      <c r="K101">
        <v>30</v>
      </c>
      <c r="L101">
        <v>45</v>
      </c>
      <c r="M101" t="s">
        <v>69</v>
      </c>
      <c r="N101" t="s">
        <v>33</v>
      </c>
      <c r="O101" t="b">
        <v>1</v>
      </c>
      <c r="Y101">
        <f t="shared" si="1"/>
        <v>0</v>
      </c>
      <c r="Z101" t="s">
        <v>293</v>
      </c>
      <c r="AA101" s="8"/>
      <c r="AB101" s="3"/>
      <c r="AC101" s="3"/>
      <c r="AD101" s="3" t="s">
        <v>331</v>
      </c>
      <c r="AE101" s="3"/>
      <c r="AF101" s="3" t="s">
        <v>332</v>
      </c>
      <c r="AG101" s="3"/>
      <c r="AH101" s="3">
        <v>1</v>
      </c>
      <c r="AI101" s="3"/>
      <c r="AJ101" s="3">
        <v>0</v>
      </c>
    </row>
    <row r="102" spans="1:39" hidden="1" x14ac:dyDescent="0.3">
      <c r="A102" t="s">
        <v>196</v>
      </c>
      <c r="B102" s="1">
        <v>7052161430</v>
      </c>
      <c r="C102" s="1"/>
      <c r="D102" t="s">
        <v>360</v>
      </c>
      <c r="F102" t="b">
        <v>0</v>
      </c>
      <c r="I102">
        <v>1</v>
      </c>
      <c r="J102">
        <v>34</v>
      </c>
      <c r="K102">
        <v>25</v>
      </c>
      <c r="L102">
        <v>50</v>
      </c>
      <c r="M102" t="s">
        <v>69</v>
      </c>
      <c r="N102" t="s">
        <v>33</v>
      </c>
      <c r="O102" t="b">
        <v>1</v>
      </c>
      <c r="Y102">
        <f t="shared" si="1"/>
        <v>0</v>
      </c>
      <c r="Z102" t="s">
        <v>293</v>
      </c>
      <c r="AA102" s="8"/>
      <c r="AB102" s="2"/>
      <c r="AC102" s="2"/>
      <c r="AD102" s="2" t="s">
        <v>331</v>
      </c>
      <c r="AE102" s="2"/>
      <c r="AF102" s="2" t="s">
        <v>332</v>
      </c>
      <c r="AG102" s="2"/>
      <c r="AH102" s="2">
        <v>1</v>
      </c>
      <c r="AI102" s="2"/>
      <c r="AJ102" s="2">
        <v>0</v>
      </c>
    </row>
    <row r="103" spans="1:39" hidden="1" x14ac:dyDescent="0.3">
      <c r="A103" t="s">
        <v>197</v>
      </c>
      <c r="B103" s="1">
        <v>7047178330</v>
      </c>
      <c r="C103" s="1"/>
      <c r="D103" t="s">
        <v>360</v>
      </c>
      <c r="F103" t="b">
        <v>0</v>
      </c>
      <c r="I103">
        <v>1</v>
      </c>
      <c r="J103">
        <v>30</v>
      </c>
      <c r="K103">
        <v>20</v>
      </c>
      <c r="L103">
        <v>48</v>
      </c>
      <c r="M103" t="s">
        <v>69</v>
      </c>
      <c r="N103" t="s">
        <v>33</v>
      </c>
      <c r="O103" t="b">
        <v>1</v>
      </c>
      <c r="Y103">
        <f t="shared" si="1"/>
        <v>0</v>
      </c>
      <c r="Z103" t="s">
        <v>293</v>
      </c>
      <c r="AA103" s="8"/>
      <c r="AB103" s="3"/>
      <c r="AC103" s="3"/>
      <c r="AD103" s="3" t="s">
        <v>331</v>
      </c>
      <c r="AE103" s="3"/>
      <c r="AF103" s="3" t="s">
        <v>332</v>
      </c>
      <c r="AG103" s="3"/>
      <c r="AH103" s="3">
        <v>1</v>
      </c>
      <c r="AI103" s="3"/>
      <c r="AJ103" s="3">
        <v>0</v>
      </c>
    </row>
    <row r="104" spans="1:39" hidden="1" x14ac:dyDescent="0.3">
      <c r="A104" t="s">
        <v>198</v>
      </c>
      <c r="B104" s="1">
        <v>7147882430</v>
      </c>
      <c r="C104" s="1"/>
      <c r="D104" t="s">
        <v>360</v>
      </c>
      <c r="E104" t="s">
        <v>295</v>
      </c>
      <c r="F104" t="b">
        <v>0</v>
      </c>
      <c r="I104">
        <v>1</v>
      </c>
      <c r="J104">
        <v>35</v>
      </c>
      <c r="K104">
        <v>26</v>
      </c>
      <c r="L104">
        <v>40</v>
      </c>
      <c r="M104" t="s">
        <v>69</v>
      </c>
      <c r="N104" t="s">
        <v>33</v>
      </c>
      <c r="O104" t="b">
        <v>1</v>
      </c>
      <c r="Q104" t="b">
        <v>1</v>
      </c>
      <c r="R104">
        <v>138</v>
      </c>
      <c r="S104">
        <v>35</v>
      </c>
      <c r="T104">
        <v>40</v>
      </c>
      <c r="U104">
        <v>5</v>
      </c>
      <c r="X104">
        <v>10</v>
      </c>
      <c r="Y104">
        <f t="shared" si="1"/>
        <v>11</v>
      </c>
      <c r="AA104" s="8"/>
      <c r="AB104" s="3"/>
      <c r="AC104" s="3"/>
      <c r="AD104" s="3" t="s">
        <v>331</v>
      </c>
      <c r="AE104" s="3"/>
      <c r="AF104" s="3" t="s">
        <v>333</v>
      </c>
      <c r="AG104" s="3"/>
      <c r="AH104" s="3">
        <v>11</v>
      </c>
      <c r="AI104" s="3">
        <v>1</v>
      </c>
      <c r="AJ104" s="3">
        <v>0</v>
      </c>
      <c r="AL104" s="3"/>
      <c r="AM104" t="s">
        <v>1213</v>
      </c>
    </row>
    <row r="105" spans="1:39" hidden="1" x14ac:dyDescent="0.3">
      <c r="A105" t="s">
        <v>199</v>
      </c>
      <c r="B105" s="1">
        <v>7247075530</v>
      </c>
      <c r="C105" s="1"/>
      <c r="D105" t="s">
        <v>360</v>
      </c>
      <c r="F105" t="b">
        <v>0</v>
      </c>
      <c r="I105">
        <v>1</v>
      </c>
      <c r="J105">
        <v>34</v>
      </c>
      <c r="K105">
        <v>26</v>
      </c>
      <c r="L105">
        <v>50</v>
      </c>
      <c r="M105" t="s">
        <v>69</v>
      </c>
      <c r="N105" t="s">
        <v>33</v>
      </c>
      <c r="O105" t="b">
        <v>1</v>
      </c>
      <c r="Y105">
        <f t="shared" si="1"/>
        <v>0</v>
      </c>
      <c r="Z105" t="s">
        <v>293</v>
      </c>
      <c r="AA105" s="8"/>
      <c r="AB105" s="3"/>
      <c r="AC105" s="3"/>
      <c r="AD105" s="3" t="s">
        <v>331</v>
      </c>
      <c r="AE105" s="3"/>
      <c r="AF105" s="3" t="s">
        <v>332</v>
      </c>
      <c r="AG105" s="3"/>
      <c r="AH105" s="3">
        <v>1</v>
      </c>
      <c r="AI105" s="3"/>
      <c r="AJ105" s="3">
        <v>0</v>
      </c>
    </row>
    <row r="106" spans="1:39" hidden="1" x14ac:dyDescent="0.3">
      <c r="A106" t="s">
        <v>200</v>
      </c>
      <c r="B106" s="1">
        <v>7247374530</v>
      </c>
      <c r="C106" s="1"/>
      <c r="D106" t="s">
        <v>360</v>
      </c>
      <c r="F106" t="b">
        <v>0</v>
      </c>
      <c r="I106">
        <v>1</v>
      </c>
      <c r="J106">
        <v>36</v>
      </c>
      <c r="K106">
        <v>26</v>
      </c>
      <c r="L106">
        <v>49</v>
      </c>
      <c r="M106" t="s">
        <v>69</v>
      </c>
      <c r="N106" t="s">
        <v>33</v>
      </c>
      <c r="O106" t="b">
        <v>1</v>
      </c>
      <c r="Y106">
        <f t="shared" si="1"/>
        <v>0</v>
      </c>
      <c r="Z106" t="s">
        <v>293</v>
      </c>
      <c r="AA106" s="8"/>
      <c r="AB106" s="2"/>
      <c r="AC106" s="2"/>
      <c r="AD106" s="2" t="s">
        <v>331</v>
      </c>
      <c r="AE106" s="2"/>
      <c r="AF106" s="2" t="s">
        <v>333</v>
      </c>
      <c r="AG106" s="2"/>
      <c r="AH106" s="2">
        <v>2</v>
      </c>
      <c r="AI106" s="2"/>
      <c r="AJ106" s="2">
        <v>0</v>
      </c>
    </row>
    <row r="107" spans="1:39" hidden="1" x14ac:dyDescent="0.3">
      <c r="A107" t="s">
        <v>201</v>
      </c>
      <c r="B107" s="1">
        <v>7247374930</v>
      </c>
      <c r="C107" s="1"/>
      <c r="D107" t="s">
        <v>360</v>
      </c>
      <c r="F107" t="b">
        <v>0</v>
      </c>
      <c r="I107">
        <v>1</v>
      </c>
      <c r="J107">
        <v>36</v>
      </c>
      <c r="K107">
        <v>26</v>
      </c>
      <c r="L107">
        <v>48</v>
      </c>
      <c r="M107" t="s">
        <v>69</v>
      </c>
      <c r="N107" t="s">
        <v>33</v>
      </c>
      <c r="O107" t="b">
        <v>1</v>
      </c>
      <c r="Y107">
        <f t="shared" si="1"/>
        <v>0</v>
      </c>
      <c r="Z107" t="s">
        <v>293</v>
      </c>
      <c r="AA107" s="8"/>
      <c r="AB107" s="2"/>
      <c r="AC107" s="2"/>
      <c r="AD107" s="2" t="s">
        <v>331</v>
      </c>
      <c r="AE107" s="2"/>
      <c r="AF107" s="2" t="s">
        <v>332</v>
      </c>
      <c r="AG107" s="2"/>
      <c r="AH107" s="2">
        <v>2</v>
      </c>
      <c r="AI107" s="2"/>
      <c r="AJ107" s="2">
        <v>0</v>
      </c>
    </row>
    <row r="108" spans="1:39" hidden="1" x14ac:dyDescent="0.3">
      <c r="A108" t="s">
        <v>202</v>
      </c>
      <c r="B108" s="1">
        <v>7247760830</v>
      </c>
      <c r="C108" s="1"/>
      <c r="D108" t="s">
        <v>360</v>
      </c>
      <c r="F108" t="b">
        <v>0</v>
      </c>
      <c r="I108">
        <v>1</v>
      </c>
      <c r="J108">
        <v>35</v>
      </c>
      <c r="K108">
        <v>35</v>
      </c>
      <c r="L108">
        <v>61</v>
      </c>
      <c r="M108" t="s">
        <v>69</v>
      </c>
      <c r="N108" t="s">
        <v>33</v>
      </c>
      <c r="O108" t="b">
        <v>1</v>
      </c>
      <c r="Y108">
        <f t="shared" si="1"/>
        <v>0</v>
      </c>
      <c r="Z108" t="s">
        <v>293</v>
      </c>
      <c r="AA108" s="8"/>
      <c r="AB108" s="3"/>
      <c r="AC108" s="3"/>
      <c r="AD108" s="3" t="s">
        <v>331</v>
      </c>
      <c r="AE108" s="3"/>
      <c r="AF108" s="3" t="s">
        <v>333</v>
      </c>
      <c r="AG108" s="3"/>
      <c r="AH108" s="3">
        <v>1</v>
      </c>
      <c r="AI108" s="3"/>
      <c r="AJ108" s="3">
        <v>0</v>
      </c>
    </row>
    <row r="109" spans="1:39" hidden="1" x14ac:dyDescent="0.3">
      <c r="A109" t="s">
        <v>203</v>
      </c>
      <c r="B109" s="1">
        <v>7247760930</v>
      </c>
      <c r="C109" s="1"/>
      <c r="D109" t="s">
        <v>360</v>
      </c>
      <c r="F109" t="b">
        <v>0</v>
      </c>
      <c r="I109">
        <v>1</v>
      </c>
      <c r="J109">
        <v>36</v>
      </c>
      <c r="K109">
        <v>26</v>
      </c>
      <c r="L109">
        <v>50</v>
      </c>
      <c r="M109" t="s">
        <v>69</v>
      </c>
      <c r="N109" t="s">
        <v>33</v>
      </c>
      <c r="O109" t="b">
        <v>1</v>
      </c>
      <c r="X109">
        <v>8</v>
      </c>
      <c r="Y109">
        <f t="shared" si="1"/>
        <v>2</v>
      </c>
      <c r="AA109" s="8"/>
      <c r="AB109" s="2"/>
      <c r="AC109" s="2"/>
      <c r="AD109" s="2" t="s">
        <v>331</v>
      </c>
      <c r="AE109" s="2"/>
      <c r="AF109" s="2" t="s">
        <v>332</v>
      </c>
      <c r="AG109" s="2"/>
      <c r="AH109" s="2">
        <v>2</v>
      </c>
      <c r="AI109" s="2">
        <v>1</v>
      </c>
      <c r="AJ109" s="2">
        <v>0</v>
      </c>
    </row>
    <row r="110" spans="1:39" hidden="1" x14ac:dyDescent="0.3">
      <c r="A110" t="s">
        <v>204</v>
      </c>
      <c r="B110" s="1">
        <v>7247761330</v>
      </c>
      <c r="C110" s="1"/>
      <c r="D110" t="s">
        <v>360</v>
      </c>
      <c r="E110" t="s">
        <v>1175</v>
      </c>
      <c r="F110" t="b">
        <v>0</v>
      </c>
      <c r="I110">
        <v>1</v>
      </c>
      <c r="J110">
        <v>30</v>
      </c>
      <c r="K110">
        <v>30</v>
      </c>
      <c r="L110">
        <v>48</v>
      </c>
      <c r="M110" t="s">
        <v>69</v>
      </c>
      <c r="N110" t="s">
        <v>33</v>
      </c>
      <c r="O110" t="b">
        <v>1</v>
      </c>
      <c r="Q110" t="b">
        <v>1</v>
      </c>
      <c r="R110">
        <v>123</v>
      </c>
      <c r="S110">
        <v>30</v>
      </c>
      <c r="T110">
        <v>48</v>
      </c>
      <c r="U110">
        <v>4</v>
      </c>
      <c r="Y110">
        <f t="shared" si="1"/>
        <v>0</v>
      </c>
      <c r="Z110" t="s">
        <v>293</v>
      </c>
      <c r="AA110" s="8"/>
      <c r="AB110" s="3"/>
      <c r="AC110" s="3"/>
      <c r="AD110" s="3" t="s">
        <v>331</v>
      </c>
      <c r="AE110" s="3"/>
      <c r="AF110" s="3" t="s">
        <v>332</v>
      </c>
      <c r="AG110" s="3"/>
      <c r="AH110" s="3">
        <v>3</v>
      </c>
      <c r="AI110" s="3"/>
      <c r="AJ110" s="3">
        <v>0</v>
      </c>
    </row>
    <row r="111" spans="1:39" hidden="1" x14ac:dyDescent="0.3">
      <c r="A111" t="s">
        <v>205</v>
      </c>
      <c r="B111" s="1">
        <v>7247764130</v>
      </c>
      <c r="C111" s="1"/>
      <c r="D111" t="s">
        <v>360</v>
      </c>
      <c r="F111" t="b">
        <v>0</v>
      </c>
      <c r="I111">
        <v>1</v>
      </c>
      <c r="J111">
        <v>36</v>
      </c>
      <c r="K111">
        <v>26</v>
      </c>
      <c r="L111">
        <v>50</v>
      </c>
      <c r="M111" t="s">
        <v>69</v>
      </c>
      <c r="N111" t="s">
        <v>33</v>
      </c>
      <c r="O111" t="b">
        <v>1</v>
      </c>
      <c r="Y111">
        <f t="shared" si="1"/>
        <v>0</v>
      </c>
      <c r="Z111" t="s">
        <v>293</v>
      </c>
      <c r="AA111" s="8"/>
      <c r="AB111" s="3"/>
      <c r="AC111" s="3"/>
      <c r="AD111" s="3" t="s">
        <v>331</v>
      </c>
      <c r="AE111" s="3"/>
      <c r="AF111" s="3" t="s">
        <v>333</v>
      </c>
      <c r="AG111" s="3"/>
      <c r="AH111" s="3"/>
      <c r="AI111" s="3"/>
      <c r="AJ111" s="3">
        <v>0</v>
      </c>
    </row>
    <row r="112" spans="1:39" hidden="1" x14ac:dyDescent="0.3">
      <c r="A112" t="s">
        <v>206</v>
      </c>
      <c r="B112" s="1">
        <v>7247776330</v>
      </c>
      <c r="C112" s="1"/>
      <c r="D112" t="s">
        <v>360</v>
      </c>
      <c r="F112" t="b">
        <v>0</v>
      </c>
      <c r="I112">
        <v>1</v>
      </c>
      <c r="J112">
        <v>36</v>
      </c>
      <c r="K112">
        <v>25</v>
      </c>
      <c r="L112">
        <v>49</v>
      </c>
      <c r="M112" t="s">
        <v>69</v>
      </c>
      <c r="N112" t="s">
        <v>33</v>
      </c>
      <c r="O112" t="b">
        <v>1</v>
      </c>
      <c r="Y112">
        <f t="shared" si="1"/>
        <v>0</v>
      </c>
      <c r="Z112" t="s">
        <v>293</v>
      </c>
      <c r="AA112" s="8"/>
      <c r="AB112" s="3"/>
      <c r="AC112" s="3"/>
      <c r="AD112" s="3" t="s">
        <v>331</v>
      </c>
      <c r="AE112" s="3"/>
      <c r="AF112" s="3" t="s">
        <v>333</v>
      </c>
      <c r="AG112" s="3"/>
      <c r="AH112" s="3">
        <v>1</v>
      </c>
      <c r="AI112" s="3"/>
      <c r="AJ112" s="3">
        <v>0</v>
      </c>
    </row>
    <row r="113" spans="1:39" hidden="1" x14ac:dyDescent="0.3">
      <c r="A113" t="s">
        <v>207</v>
      </c>
      <c r="B113" s="1">
        <v>7247781230</v>
      </c>
      <c r="C113" s="1"/>
      <c r="D113" t="s">
        <v>360</v>
      </c>
      <c r="F113" t="b">
        <v>0</v>
      </c>
      <c r="I113">
        <v>1</v>
      </c>
      <c r="J113">
        <v>39</v>
      </c>
      <c r="K113">
        <v>30</v>
      </c>
      <c r="L113">
        <v>45</v>
      </c>
      <c r="M113" t="s">
        <v>69</v>
      </c>
      <c r="N113" t="s">
        <v>33</v>
      </c>
      <c r="O113" t="b">
        <v>1</v>
      </c>
      <c r="X113">
        <v>16</v>
      </c>
      <c r="Y113">
        <f t="shared" si="1"/>
        <v>13</v>
      </c>
      <c r="Z113" t="s">
        <v>293</v>
      </c>
      <c r="AA113" s="8"/>
      <c r="AB113" s="2"/>
      <c r="AC113" s="2"/>
      <c r="AD113" s="2" t="s">
        <v>331</v>
      </c>
      <c r="AE113" s="2"/>
      <c r="AF113" s="2" t="s">
        <v>333</v>
      </c>
      <c r="AG113" s="2"/>
      <c r="AH113" s="2">
        <v>1</v>
      </c>
      <c r="AI113" s="2">
        <v>13</v>
      </c>
      <c r="AJ113" s="2">
        <v>0</v>
      </c>
    </row>
    <row r="114" spans="1:39" hidden="1" x14ac:dyDescent="0.3">
      <c r="A114" t="s">
        <v>208</v>
      </c>
      <c r="B114" s="1">
        <v>7247781730</v>
      </c>
      <c r="C114" s="1"/>
      <c r="D114" t="s">
        <v>360</v>
      </c>
      <c r="F114" t="b">
        <v>0</v>
      </c>
      <c r="I114">
        <v>1</v>
      </c>
      <c r="J114">
        <v>38</v>
      </c>
      <c r="K114">
        <v>35</v>
      </c>
      <c r="L114">
        <v>40</v>
      </c>
      <c r="M114" t="s">
        <v>69</v>
      </c>
      <c r="N114" t="s">
        <v>33</v>
      </c>
      <c r="O114" t="b">
        <v>1</v>
      </c>
      <c r="X114">
        <v>10</v>
      </c>
      <c r="Y114">
        <f t="shared" si="1"/>
        <v>4</v>
      </c>
      <c r="AA114" s="8"/>
      <c r="AB114" s="2"/>
      <c r="AC114" s="2"/>
      <c r="AD114" s="2" t="s">
        <v>331</v>
      </c>
      <c r="AE114" s="2"/>
      <c r="AF114" s="2" t="s">
        <v>332</v>
      </c>
      <c r="AG114" s="2"/>
      <c r="AH114" s="2">
        <v>4</v>
      </c>
      <c r="AI114" s="2">
        <v>1</v>
      </c>
      <c r="AJ114" s="2">
        <v>0</v>
      </c>
    </row>
    <row r="115" spans="1:39" hidden="1" x14ac:dyDescent="0.3">
      <c r="A115" t="s">
        <v>209</v>
      </c>
      <c r="B115" s="1">
        <v>7247787730</v>
      </c>
      <c r="C115" s="1"/>
      <c r="D115" t="s">
        <v>360</v>
      </c>
      <c r="F115" t="b">
        <v>0</v>
      </c>
      <c r="I115">
        <v>1</v>
      </c>
      <c r="J115">
        <v>36</v>
      </c>
      <c r="K115">
        <v>28</v>
      </c>
      <c r="L115">
        <v>42</v>
      </c>
      <c r="M115" t="s">
        <v>69</v>
      </c>
      <c r="N115" t="s">
        <v>33</v>
      </c>
      <c r="O115" t="b">
        <v>1</v>
      </c>
      <c r="Y115">
        <f t="shared" si="1"/>
        <v>0</v>
      </c>
      <c r="Z115" t="s">
        <v>293</v>
      </c>
      <c r="AA115" s="8"/>
      <c r="AB115" s="2"/>
      <c r="AC115" s="2"/>
      <c r="AD115" s="2" t="s">
        <v>331</v>
      </c>
      <c r="AE115" s="2"/>
      <c r="AF115" s="2" t="s">
        <v>332</v>
      </c>
      <c r="AG115" s="2"/>
      <c r="AH115" s="2">
        <v>3</v>
      </c>
      <c r="AI115" s="2"/>
      <c r="AJ115" s="2">
        <v>0</v>
      </c>
    </row>
    <row r="116" spans="1:39" hidden="1" x14ac:dyDescent="0.3">
      <c r="A116" t="s">
        <v>210</v>
      </c>
      <c r="B116" s="1">
        <v>72478572</v>
      </c>
      <c r="C116" s="1"/>
      <c r="D116" t="s">
        <v>360</v>
      </c>
      <c r="F116" t="b">
        <v>0</v>
      </c>
      <c r="I116">
        <v>1</v>
      </c>
      <c r="J116">
        <v>34</v>
      </c>
      <c r="K116">
        <v>20</v>
      </c>
      <c r="L116">
        <v>55</v>
      </c>
      <c r="M116" t="s">
        <v>69</v>
      </c>
      <c r="N116" t="s">
        <v>33</v>
      </c>
      <c r="O116" t="b">
        <v>1</v>
      </c>
      <c r="Y116">
        <f t="shared" si="1"/>
        <v>0</v>
      </c>
      <c r="Z116" t="s">
        <v>293</v>
      </c>
      <c r="AA116" s="8"/>
      <c r="AB116" s="3"/>
      <c r="AC116" s="3"/>
      <c r="AD116" s="3" t="s">
        <v>331</v>
      </c>
      <c r="AE116" s="3"/>
      <c r="AF116" s="3" t="s">
        <v>333</v>
      </c>
      <c r="AG116" s="3"/>
      <c r="AH116" s="3">
        <v>2</v>
      </c>
      <c r="AI116" s="3"/>
      <c r="AJ116" s="3">
        <v>0</v>
      </c>
    </row>
    <row r="117" spans="1:39" hidden="1" x14ac:dyDescent="0.3">
      <c r="A117" t="s">
        <v>211</v>
      </c>
      <c r="B117" s="1">
        <v>7252726530</v>
      </c>
      <c r="C117" s="1"/>
      <c r="D117" t="s">
        <v>360</v>
      </c>
      <c r="F117" t="b">
        <v>0</v>
      </c>
      <c r="I117">
        <v>1</v>
      </c>
      <c r="J117">
        <v>37</v>
      </c>
      <c r="K117">
        <v>35</v>
      </c>
      <c r="L117">
        <v>60</v>
      </c>
      <c r="M117" t="s">
        <v>69</v>
      </c>
      <c r="N117" t="s">
        <v>33</v>
      </c>
      <c r="O117" t="b">
        <v>1</v>
      </c>
      <c r="X117">
        <v>10</v>
      </c>
      <c r="Y117">
        <f t="shared" si="1"/>
        <v>2</v>
      </c>
      <c r="AA117" s="8"/>
      <c r="AB117" s="3"/>
      <c r="AC117" s="3"/>
      <c r="AD117" s="3" t="s">
        <v>331</v>
      </c>
      <c r="AE117" s="3"/>
      <c r="AF117" s="3" t="s">
        <v>333</v>
      </c>
      <c r="AG117" s="3"/>
      <c r="AH117" s="3">
        <v>2</v>
      </c>
      <c r="AI117" s="3">
        <v>1</v>
      </c>
      <c r="AJ117" s="3">
        <v>0</v>
      </c>
      <c r="AL117" s="3"/>
      <c r="AM117" t="s">
        <v>1211</v>
      </c>
    </row>
    <row r="118" spans="1:39" hidden="1" x14ac:dyDescent="0.3">
      <c r="A118" t="s">
        <v>378</v>
      </c>
      <c r="B118" s="1">
        <v>7252735930</v>
      </c>
      <c r="C118" s="1"/>
      <c r="D118" t="s">
        <v>360</v>
      </c>
      <c r="F118" t="b">
        <v>0</v>
      </c>
      <c r="I118">
        <v>1</v>
      </c>
      <c r="J118">
        <v>50</v>
      </c>
      <c r="K118">
        <v>20</v>
      </c>
      <c r="L118">
        <v>50</v>
      </c>
      <c r="M118" t="s">
        <v>69</v>
      </c>
      <c r="N118" t="s">
        <v>33</v>
      </c>
      <c r="O118" t="b">
        <v>1</v>
      </c>
      <c r="Y118">
        <f t="shared" si="1"/>
        <v>0</v>
      </c>
      <c r="Z118" t="s">
        <v>293</v>
      </c>
      <c r="AA118" s="8"/>
      <c r="AB118" s="2"/>
      <c r="AC118" s="2"/>
      <c r="AD118" s="2" t="s">
        <v>331</v>
      </c>
      <c r="AE118" s="2"/>
      <c r="AF118" s="2" t="s">
        <v>333</v>
      </c>
      <c r="AG118" s="2"/>
      <c r="AH118" s="2">
        <v>2</v>
      </c>
      <c r="AI118" s="2"/>
      <c r="AJ118" s="2">
        <v>0</v>
      </c>
    </row>
    <row r="119" spans="1:39" hidden="1" x14ac:dyDescent="0.3">
      <c r="A119" t="s">
        <v>366</v>
      </c>
      <c r="B119" s="1">
        <v>7252779130</v>
      </c>
      <c r="C119" s="1"/>
      <c r="D119" t="s">
        <v>360</v>
      </c>
      <c r="E119" t="s">
        <v>296</v>
      </c>
      <c r="F119" t="b">
        <v>0</v>
      </c>
      <c r="I119">
        <v>1</v>
      </c>
      <c r="J119">
        <v>44</v>
      </c>
      <c r="K119">
        <v>30</v>
      </c>
      <c r="L119">
        <v>40</v>
      </c>
      <c r="M119" t="s">
        <v>69</v>
      </c>
      <c r="N119" t="s">
        <v>33</v>
      </c>
      <c r="O119" t="b">
        <v>1</v>
      </c>
      <c r="Q119" t="b">
        <v>1</v>
      </c>
      <c r="R119">
        <v>160</v>
      </c>
      <c r="S119">
        <v>45</v>
      </c>
      <c r="T119">
        <v>40</v>
      </c>
      <c r="U119">
        <v>5</v>
      </c>
      <c r="X119">
        <v>10</v>
      </c>
      <c r="Y119">
        <f t="shared" si="1"/>
        <v>2</v>
      </c>
      <c r="AA119" s="8"/>
      <c r="AB119" s="3"/>
      <c r="AC119" s="3"/>
      <c r="AD119" s="3" t="s">
        <v>331</v>
      </c>
      <c r="AE119" s="3"/>
      <c r="AF119" s="3" t="s">
        <v>334</v>
      </c>
      <c r="AG119" s="3"/>
      <c r="AH119" s="3">
        <v>2</v>
      </c>
      <c r="AI119" s="3">
        <v>1</v>
      </c>
      <c r="AJ119" s="3">
        <v>0</v>
      </c>
    </row>
    <row r="120" spans="1:39" hidden="1" x14ac:dyDescent="0.3">
      <c r="A120" t="s">
        <v>213</v>
      </c>
      <c r="B120" s="1">
        <v>7252785330</v>
      </c>
      <c r="C120" s="1">
        <v>7247075530</v>
      </c>
      <c r="D120" t="s">
        <v>360</v>
      </c>
      <c r="E120" t="s">
        <v>297</v>
      </c>
      <c r="F120" t="b">
        <v>0</v>
      </c>
      <c r="I120">
        <v>1</v>
      </c>
      <c r="J120">
        <v>36</v>
      </c>
      <c r="K120">
        <v>26</v>
      </c>
      <c r="L120">
        <v>47</v>
      </c>
      <c r="M120" t="s">
        <v>69</v>
      </c>
      <c r="N120" t="s">
        <v>33</v>
      </c>
      <c r="O120" t="b">
        <v>1</v>
      </c>
      <c r="Q120" t="b">
        <v>1</v>
      </c>
      <c r="R120">
        <v>138</v>
      </c>
      <c r="S120">
        <v>36</v>
      </c>
      <c r="T120">
        <v>47</v>
      </c>
      <c r="U120">
        <v>5</v>
      </c>
      <c r="X120">
        <v>10</v>
      </c>
      <c r="Y120">
        <f t="shared" si="1"/>
        <v>24</v>
      </c>
      <c r="AA120" s="8"/>
      <c r="AB120" s="2"/>
      <c r="AC120" s="2"/>
      <c r="AD120" s="2" t="s">
        <v>331</v>
      </c>
      <c r="AE120" s="2"/>
      <c r="AF120" s="2" t="s">
        <v>333</v>
      </c>
      <c r="AG120" s="2"/>
      <c r="AH120" s="2">
        <v>24</v>
      </c>
      <c r="AI120" s="2">
        <v>1</v>
      </c>
      <c r="AJ120" s="2">
        <v>0</v>
      </c>
      <c r="AL120" s="2"/>
    </row>
    <row r="121" spans="1:39" hidden="1" x14ac:dyDescent="0.3">
      <c r="A121" t="s">
        <v>212</v>
      </c>
      <c r="B121" s="1">
        <v>7252815130</v>
      </c>
      <c r="C121" s="1"/>
      <c r="D121" t="s">
        <v>360</v>
      </c>
      <c r="E121" t="s">
        <v>296</v>
      </c>
      <c r="F121" t="b">
        <v>0</v>
      </c>
      <c r="I121">
        <v>1</v>
      </c>
      <c r="J121">
        <v>44</v>
      </c>
      <c r="K121">
        <v>30</v>
      </c>
      <c r="L121">
        <v>40</v>
      </c>
      <c r="M121" t="s">
        <v>69</v>
      </c>
      <c r="N121" t="s">
        <v>33</v>
      </c>
      <c r="O121" t="b">
        <v>1</v>
      </c>
      <c r="Q121" t="b">
        <v>1</v>
      </c>
      <c r="R121">
        <v>160</v>
      </c>
      <c r="S121">
        <v>45</v>
      </c>
      <c r="T121">
        <v>40</v>
      </c>
      <c r="U121">
        <v>5</v>
      </c>
      <c r="X121">
        <v>10</v>
      </c>
      <c r="Y121">
        <f t="shared" si="1"/>
        <v>24</v>
      </c>
      <c r="AA121" s="8"/>
      <c r="AB121" s="3"/>
      <c r="AC121" s="3"/>
      <c r="AD121" s="3" t="s">
        <v>331</v>
      </c>
      <c r="AE121" s="3"/>
      <c r="AF121" s="3" t="s">
        <v>332</v>
      </c>
      <c r="AG121" s="3"/>
      <c r="AH121" s="3">
        <v>24</v>
      </c>
      <c r="AI121" s="3">
        <v>1</v>
      </c>
      <c r="AJ121" s="3">
        <v>0</v>
      </c>
      <c r="AL121" s="3"/>
      <c r="AM121" t="s">
        <v>1215</v>
      </c>
    </row>
    <row r="122" spans="1:39" hidden="1" x14ac:dyDescent="0.3">
      <c r="A122" t="s">
        <v>214</v>
      </c>
      <c r="B122" s="1">
        <v>7252832130</v>
      </c>
      <c r="C122" s="1"/>
      <c r="D122" t="s">
        <v>360</v>
      </c>
      <c r="F122" t="b">
        <v>0</v>
      </c>
      <c r="I122">
        <v>1</v>
      </c>
      <c r="J122">
        <v>39</v>
      </c>
      <c r="K122">
        <v>30</v>
      </c>
      <c r="L122">
        <v>49</v>
      </c>
      <c r="M122" t="s">
        <v>69</v>
      </c>
      <c r="N122" t="s">
        <v>33</v>
      </c>
      <c r="O122" t="b">
        <v>1</v>
      </c>
      <c r="Y122">
        <f t="shared" si="1"/>
        <v>0</v>
      </c>
      <c r="Z122" t="s">
        <v>293</v>
      </c>
      <c r="AA122" s="8"/>
      <c r="AB122" s="3"/>
      <c r="AC122" s="3"/>
      <c r="AD122" s="3" t="s">
        <v>331</v>
      </c>
      <c r="AE122" s="3"/>
      <c r="AF122" s="3" t="s">
        <v>333</v>
      </c>
      <c r="AG122" s="3"/>
      <c r="AH122" s="3"/>
      <c r="AI122" s="3"/>
      <c r="AJ122" s="3">
        <v>0</v>
      </c>
    </row>
    <row r="123" spans="1:39" hidden="1" x14ac:dyDescent="0.3">
      <c r="A123" t="s">
        <v>215</v>
      </c>
      <c r="B123" s="1">
        <v>7298331130</v>
      </c>
      <c r="C123" s="1"/>
      <c r="D123" t="s">
        <v>357</v>
      </c>
      <c r="F123" t="b">
        <v>0</v>
      </c>
      <c r="I123">
        <v>1</v>
      </c>
      <c r="J123">
        <v>74</v>
      </c>
      <c r="K123">
        <v>56</v>
      </c>
      <c r="L123">
        <v>73</v>
      </c>
      <c r="M123" t="s">
        <v>69</v>
      </c>
      <c r="N123" t="s">
        <v>33</v>
      </c>
      <c r="O123" t="b">
        <v>1</v>
      </c>
      <c r="Y123">
        <f t="shared" si="1"/>
        <v>0</v>
      </c>
      <c r="Z123" t="s">
        <v>293</v>
      </c>
      <c r="AA123" s="8"/>
      <c r="AB123" s="4">
        <v>512</v>
      </c>
      <c r="AC123" s="4">
        <v>2</v>
      </c>
      <c r="AD123" s="2" t="s">
        <v>298</v>
      </c>
      <c r="AE123" s="2" t="b">
        <v>1</v>
      </c>
      <c r="AF123" s="2"/>
      <c r="AG123" s="2"/>
      <c r="AH123" s="2"/>
      <c r="AI123" s="2"/>
      <c r="AJ123" s="2">
        <v>0</v>
      </c>
    </row>
    <row r="124" spans="1:39" hidden="1" x14ac:dyDescent="0.3">
      <c r="A124" t="s">
        <v>216</v>
      </c>
      <c r="B124" s="1" t="s">
        <v>284</v>
      </c>
      <c r="C124" s="1"/>
      <c r="D124" t="s">
        <v>357</v>
      </c>
      <c r="F124" t="b">
        <v>0</v>
      </c>
      <c r="I124">
        <v>1</v>
      </c>
      <c r="J124">
        <v>46</v>
      </c>
      <c r="K124">
        <v>45</v>
      </c>
      <c r="L124">
        <v>62</v>
      </c>
      <c r="M124" t="s">
        <v>69</v>
      </c>
      <c r="N124" t="s">
        <v>33</v>
      </c>
      <c r="O124" t="b">
        <v>1</v>
      </c>
      <c r="X124">
        <v>10</v>
      </c>
      <c r="Y124">
        <f t="shared" si="1"/>
        <v>4</v>
      </c>
      <c r="AA124" s="8"/>
      <c r="AB124" s="5">
        <v>511</v>
      </c>
      <c r="AC124" s="5">
        <v>1</v>
      </c>
      <c r="AD124" s="3" t="s">
        <v>298</v>
      </c>
      <c r="AE124" s="3" t="b">
        <v>1</v>
      </c>
      <c r="AF124" s="3"/>
      <c r="AG124" s="3"/>
      <c r="AH124" s="3">
        <v>4</v>
      </c>
      <c r="AI124" s="3">
        <v>1</v>
      </c>
      <c r="AJ124" s="3">
        <v>0</v>
      </c>
    </row>
    <row r="125" spans="1:39" hidden="1" x14ac:dyDescent="0.3">
      <c r="A125" t="s">
        <v>217</v>
      </c>
      <c r="B125" s="1">
        <v>71196350</v>
      </c>
      <c r="C125" s="1"/>
      <c r="D125" t="s">
        <v>357</v>
      </c>
      <c r="F125" t="b">
        <v>0</v>
      </c>
      <c r="I125">
        <v>1</v>
      </c>
      <c r="J125">
        <v>40</v>
      </c>
      <c r="K125">
        <v>35</v>
      </c>
      <c r="L125">
        <v>50</v>
      </c>
      <c r="M125" t="s">
        <v>68</v>
      </c>
      <c r="N125" t="s">
        <v>33</v>
      </c>
      <c r="O125" t="b">
        <v>1</v>
      </c>
      <c r="Y125">
        <f t="shared" si="1"/>
        <v>0</v>
      </c>
      <c r="Z125" t="s">
        <v>293</v>
      </c>
      <c r="AA125" s="8"/>
      <c r="AB125" s="4" t="s">
        <v>335</v>
      </c>
      <c r="AC125" s="4">
        <v>19</v>
      </c>
      <c r="AD125" s="2" t="s">
        <v>298</v>
      </c>
      <c r="AE125" s="2" t="b">
        <v>1</v>
      </c>
      <c r="AF125" s="2"/>
      <c r="AG125" s="2"/>
      <c r="AH125" s="2">
        <v>3</v>
      </c>
      <c r="AI125" s="2"/>
      <c r="AJ125" s="2">
        <v>0</v>
      </c>
    </row>
    <row r="126" spans="1:39" hidden="1" x14ac:dyDescent="0.3">
      <c r="A126" t="s">
        <v>367</v>
      </c>
      <c r="B126" s="1" t="s">
        <v>286</v>
      </c>
      <c r="C126" s="1"/>
      <c r="D126" t="s">
        <v>357</v>
      </c>
      <c r="F126" t="b">
        <v>0</v>
      </c>
      <c r="I126">
        <v>1</v>
      </c>
      <c r="J126">
        <v>66</v>
      </c>
      <c r="K126">
        <v>66</v>
      </c>
      <c r="L126">
        <v>66</v>
      </c>
      <c r="M126" t="s">
        <v>69</v>
      </c>
      <c r="N126" t="s">
        <v>33</v>
      </c>
      <c r="O126" t="b">
        <v>1</v>
      </c>
      <c r="Y126">
        <f t="shared" si="1"/>
        <v>0</v>
      </c>
      <c r="Z126" t="s">
        <v>293</v>
      </c>
      <c r="AA126" s="8"/>
      <c r="AB126" s="5">
        <v>469</v>
      </c>
      <c r="AC126" s="5">
        <v>31</v>
      </c>
      <c r="AD126" s="3" t="s">
        <v>298</v>
      </c>
      <c r="AE126" s="3"/>
      <c r="AF126" s="3"/>
      <c r="AG126" s="3"/>
      <c r="AH126" s="3"/>
      <c r="AI126" s="3"/>
      <c r="AJ126" s="3">
        <v>0</v>
      </c>
    </row>
    <row r="127" spans="1:39" hidden="1" x14ac:dyDescent="0.3">
      <c r="A127" t="s">
        <v>220</v>
      </c>
      <c r="B127" s="1">
        <v>72191763</v>
      </c>
      <c r="C127" s="1"/>
      <c r="D127" t="s">
        <v>357</v>
      </c>
      <c r="F127" t="b">
        <v>0</v>
      </c>
      <c r="I127">
        <v>1</v>
      </c>
      <c r="J127">
        <v>42</v>
      </c>
      <c r="K127">
        <v>40</v>
      </c>
      <c r="L127">
        <v>65</v>
      </c>
      <c r="M127" t="s">
        <v>69</v>
      </c>
      <c r="N127" t="s">
        <v>33</v>
      </c>
      <c r="O127" t="b">
        <v>1</v>
      </c>
      <c r="Y127">
        <f t="shared" si="1"/>
        <v>0</v>
      </c>
      <c r="Z127" t="s">
        <v>293</v>
      </c>
      <c r="AA127" s="8"/>
      <c r="AB127" s="4">
        <v>450</v>
      </c>
      <c r="AC127" s="4">
        <v>17</v>
      </c>
      <c r="AD127" s="2" t="s">
        <v>298</v>
      </c>
      <c r="AE127" s="2" t="b">
        <v>1</v>
      </c>
      <c r="AF127" s="2"/>
      <c r="AG127" s="2"/>
      <c r="AH127" s="2"/>
      <c r="AI127" s="2"/>
      <c r="AJ127" s="2">
        <v>0</v>
      </c>
    </row>
    <row r="128" spans="1:39" hidden="1" x14ac:dyDescent="0.3">
      <c r="A128" t="s">
        <v>221</v>
      </c>
      <c r="B128" s="1" t="s">
        <v>287</v>
      </c>
      <c r="C128" s="1"/>
      <c r="D128" t="s">
        <v>357</v>
      </c>
      <c r="F128" t="b">
        <v>0</v>
      </c>
      <c r="I128">
        <v>1</v>
      </c>
      <c r="J128">
        <v>105</v>
      </c>
      <c r="K128">
        <v>53</v>
      </c>
      <c r="L128">
        <v>53</v>
      </c>
      <c r="M128" t="s">
        <v>68</v>
      </c>
      <c r="N128" t="s">
        <v>33</v>
      </c>
      <c r="O128" t="b">
        <v>1</v>
      </c>
      <c r="Y128">
        <f t="shared" si="1"/>
        <v>0</v>
      </c>
      <c r="Z128" t="s">
        <v>293</v>
      </c>
      <c r="AA128" s="8"/>
      <c r="AB128" s="5">
        <v>606</v>
      </c>
      <c r="AC128" s="5">
        <v>30</v>
      </c>
      <c r="AD128" s="3" t="s">
        <v>298</v>
      </c>
      <c r="AE128" s="3"/>
      <c r="AF128" s="3"/>
      <c r="AG128" s="3"/>
      <c r="AH128" s="3">
        <v>1</v>
      </c>
      <c r="AI128" s="3"/>
      <c r="AJ128" s="3">
        <v>0</v>
      </c>
    </row>
    <row r="129" spans="1:38" hidden="1" x14ac:dyDescent="0.3">
      <c r="A129" t="s">
        <v>218</v>
      </c>
      <c r="B129" s="1" t="s">
        <v>285</v>
      </c>
      <c r="C129" s="1"/>
      <c r="D129" t="s">
        <v>357</v>
      </c>
      <c r="F129" t="b">
        <v>0</v>
      </c>
      <c r="I129">
        <v>1</v>
      </c>
      <c r="J129">
        <v>64</v>
      </c>
      <c r="K129">
        <v>53</v>
      </c>
      <c r="L129">
        <v>87</v>
      </c>
      <c r="M129" t="s">
        <v>70</v>
      </c>
      <c r="N129" t="s">
        <v>33</v>
      </c>
      <c r="O129" t="b">
        <v>1</v>
      </c>
      <c r="Y129">
        <f t="shared" si="1"/>
        <v>0</v>
      </c>
      <c r="Z129" t="s">
        <v>293</v>
      </c>
      <c r="AA129" s="8"/>
      <c r="AB129" s="3">
        <v>392</v>
      </c>
      <c r="AC129" s="5">
        <v>25</v>
      </c>
      <c r="AD129" s="3" t="s">
        <v>298</v>
      </c>
      <c r="AE129" s="3"/>
      <c r="AF129" s="3"/>
      <c r="AG129" s="3"/>
      <c r="AH129" s="3">
        <v>2</v>
      </c>
      <c r="AI129" s="3"/>
      <c r="AJ129" s="3">
        <v>0</v>
      </c>
    </row>
    <row r="130" spans="1:38" hidden="1" x14ac:dyDescent="0.3">
      <c r="A130" t="s">
        <v>369</v>
      </c>
      <c r="B130" s="1" t="s">
        <v>288</v>
      </c>
      <c r="C130" s="1"/>
      <c r="D130" t="s">
        <v>357</v>
      </c>
      <c r="F130" t="b">
        <v>0</v>
      </c>
      <c r="I130">
        <v>1</v>
      </c>
      <c r="J130">
        <v>64</v>
      </c>
      <c r="K130">
        <v>53</v>
      </c>
      <c r="L130">
        <v>87</v>
      </c>
      <c r="M130" t="s">
        <v>70</v>
      </c>
      <c r="N130" t="s">
        <v>33</v>
      </c>
      <c r="O130" t="b">
        <v>1</v>
      </c>
      <c r="Y130">
        <f t="shared" si="1"/>
        <v>0</v>
      </c>
      <c r="Z130" t="s">
        <v>293</v>
      </c>
      <c r="AA130" s="8"/>
      <c r="AB130" s="2">
        <v>392</v>
      </c>
      <c r="AC130" s="4">
        <v>17</v>
      </c>
      <c r="AD130" s="2" t="s">
        <v>298</v>
      </c>
      <c r="AE130" s="2"/>
      <c r="AF130" s="2"/>
      <c r="AG130" s="2"/>
      <c r="AH130" s="2"/>
      <c r="AI130" s="2"/>
      <c r="AJ130" s="2">
        <v>0</v>
      </c>
    </row>
    <row r="131" spans="1:38" hidden="1" x14ac:dyDescent="0.3">
      <c r="A131" t="s">
        <v>222</v>
      </c>
      <c r="B131" s="1">
        <v>71781227</v>
      </c>
      <c r="C131" s="1"/>
      <c r="D131" t="s">
        <v>357</v>
      </c>
      <c r="F131" t="b">
        <v>0</v>
      </c>
      <c r="I131">
        <v>1</v>
      </c>
      <c r="J131">
        <v>40</v>
      </c>
      <c r="K131">
        <v>40</v>
      </c>
      <c r="L131">
        <v>49</v>
      </c>
      <c r="M131" t="s">
        <v>68</v>
      </c>
      <c r="N131" t="s">
        <v>33</v>
      </c>
      <c r="O131" t="b">
        <v>1</v>
      </c>
      <c r="X131">
        <v>10</v>
      </c>
      <c r="Y131">
        <f t="shared" ref="Y131:Y194" si="2">AI131*AH131</f>
        <v>2</v>
      </c>
      <c r="AA131" s="8"/>
      <c r="AB131" s="3">
        <v>492</v>
      </c>
      <c r="AC131" s="5">
        <v>7</v>
      </c>
      <c r="AD131" s="3" t="s">
        <v>298</v>
      </c>
      <c r="AE131" s="3" t="b">
        <v>1</v>
      </c>
      <c r="AF131" s="3"/>
      <c r="AG131" s="3"/>
      <c r="AH131" s="3">
        <v>2</v>
      </c>
      <c r="AI131" s="3">
        <v>1</v>
      </c>
      <c r="AJ131" s="3">
        <v>0</v>
      </c>
    </row>
    <row r="132" spans="1:38" hidden="1" x14ac:dyDescent="0.3">
      <c r="A132" t="s">
        <v>223</v>
      </c>
      <c r="B132" s="1">
        <v>71799512</v>
      </c>
      <c r="C132" s="1"/>
      <c r="D132" t="s">
        <v>357</v>
      </c>
      <c r="F132" t="b">
        <v>0</v>
      </c>
      <c r="I132">
        <v>1</v>
      </c>
      <c r="J132">
        <v>80</v>
      </c>
      <c r="K132">
        <v>45</v>
      </c>
      <c r="L132">
        <v>66</v>
      </c>
      <c r="M132" t="s">
        <v>68</v>
      </c>
      <c r="N132" t="s">
        <v>33</v>
      </c>
      <c r="O132" t="b">
        <v>1</v>
      </c>
      <c r="X132">
        <v>10</v>
      </c>
      <c r="Y132">
        <f t="shared" si="2"/>
        <v>2</v>
      </c>
      <c r="AA132" s="8"/>
      <c r="AB132" s="3">
        <v>330</v>
      </c>
      <c r="AC132" s="5"/>
      <c r="AD132" s="3" t="s">
        <v>298</v>
      </c>
      <c r="AE132" s="3"/>
      <c r="AF132" s="3"/>
      <c r="AG132" s="3"/>
      <c r="AH132" s="3">
        <v>2</v>
      </c>
      <c r="AI132" s="3">
        <v>1</v>
      </c>
      <c r="AJ132" s="3">
        <v>0</v>
      </c>
      <c r="AL132" s="3"/>
    </row>
    <row r="133" spans="1:38" hidden="1" x14ac:dyDescent="0.3">
      <c r="A133" t="s">
        <v>224</v>
      </c>
      <c r="B133" s="1">
        <v>7183753630</v>
      </c>
      <c r="C133" s="1"/>
      <c r="D133" t="s">
        <v>357</v>
      </c>
      <c r="F133" t="b">
        <v>0</v>
      </c>
      <c r="I133">
        <v>1</v>
      </c>
      <c r="J133">
        <v>41</v>
      </c>
      <c r="K133">
        <v>38</v>
      </c>
      <c r="L133">
        <v>48</v>
      </c>
      <c r="M133" t="s">
        <v>69</v>
      </c>
      <c r="N133" t="s">
        <v>33</v>
      </c>
      <c r="O133" t="b">
        <v>1</v>
      </c>
      <c r="X133">
        <v>10</v>
      </c>
      <c r="Y133">
        <f t="shared" si="2"/>
        <v>2</v>
      </c>
      <c r="AA133" s="8"/>
      <c r="AB133" s="3">
        <v>496</v>
      </c>
      <c r="AC133" s="5">
        <v>31</v>
      </c>
      <c r="AD133" s="3" t="s">
        <v>298</v>
      </c>
      <c r="AE133" s="3" t="b">
        <v>1</v>
      </c>
      <c r="AF133" s="3"/>
      <c r="AG133" s="3"/>
      <c r="AH133" s="3">
        <v>2</v>
      </c>
      <c r="AI133" s="3">
        <v>1</v>
      </c>
      <c r="AJ133" s="3">
        <v>0</v>
      </c>
    </row>
    <row r="134" spans="1:38" hidden="1" x14ac:dyDescent="0.3">
      <c r="A134" t="s">
        <v>225</v>
      </c>
      <c r="B134" s="1">
        <v>72186417</v>
      </c>
      <c r="C134" s="1"/>
      <c r="D134" t="s">
        <v>357</v>
      </c>
      <c r="F134" t="b">
        <v>0</v>
      </c>
      <c r="I134">
        <v>1</v>
      </c>
      <c r="J134">
        <v>60</v>
      </c>
      <c r="K134">
        <v>38</v>
      </c>
      <c r="L134">
        <v>49</v>
      </c>
      <c r="M134" t="s">
        <v>68</v>
      </c>
      <c r="N134" t="s">
        <v>33</v>
      </c>
      <c r="O134" t="b">
        <v>1</v>
      </c>
      <c r="X134">
        <v>10</v>
      </c>
      <c r="Y134">
        <f t="shared" si="2"/>
        <v>2</v>
      </c>
      <c r="AA134" s="8"/>
      <c r="AB134" s="2">
        <v>567</v>
      </c>
      <c r="AC134" s="4">
        <v>3</v>
      </c>
      <c r="AD134" s="2" t="s">
        <v>298</v>
      </c>
      <c r="AE134" s="2"/>
      <c r="AF134" s="2"/>
      <c r="AG134" s="2"/>
      <c r="AH134" s="2">
        <v>2</v>
      </c>
      <c r="AI134" s="2">
        <v>1</v>
      </c>
      <c r="AJ134" s="2">
        <v>0</v>
      </c>
    </row>
    <row r="135" spans="1:38" hidden="1" x14ac:dyDescent="0.3">
      <c r="A135" t="s">
        <v>226</v>
      </c>
      <c r="B135" s="1" t="s">
        <v>289</v>
      </c>
      <c r="C135" s="1"/>
      <c r="D135" t="s">
        <v>357</v>
      </c>
      <c r="F135" t="b">
        <v>0</v>
      </c>
      <c r="I135">
        <v>1</v>
      </c>
      <c r="J135">
        <v>65</v>
      </c>
      <c r="K135">
        <v>58</v>
      </c>
      <c r="L135">
        <v>52</v>
      </c>
      <c r="M135" t="s">
        <v>68</v>
      </c>
      <c r="N135" t="s">
        <v>33</v>
      </c>
      <c r="O135" t="b">
        <v>1</v>
      </c>
      <c r="X135">
        <v>10</v>
      </c>
      <c r="Y135">
        <f t="shared" si="2"/>
        <v>2</v>
      </c>
      <c r="AA135" s="8"/>
      <c r="AB135" s="3" t="s">
        <v>344</v>
      </c>
      <c r="AC135" s="5">
        <v>16</v>
      </c>
      <c r="AD135" s="3" t="s">
        <v>298</v>
      </c>
      <c r="AE135" s="3"/>
      <c r="AF135" s="3"/>
      <c r="AG135" s="3"/>
      <c r="AH135" s="3">
        <v>2</v>
      </c>
      <c r="AI135" s="3">
        <v>1</v>
      </c>
      <c r="AJ135" s="3">
        <v>0</v>
      </c>
      <c r="AL135" s="3"/>
    </row>
    <row r="136" spans="1:38" hidden="1" x14ac:dyDescent="0.3">
      <c r="A136" t="s">
        <v>227</v>
      </c>
      <c r="B136" s="1">
        <v>7271262590</v>
      </c>
      <c r="C136" s="1"/>
      <c r="D136" t="s">
        <v>357</v>
      </c>
      <c r="F136" t="b">
        <v>0</v>
      </c>
      <c r="I136">
        <v>1</v>
      </c>
      <c r="J136">
        <v>85</v>
      </c>
      <c r="K136">
        <v>62</v>
      </c>
      <c r="L136">
        <v>57</v>
      </c>
      <c r="M136" t="s">
        <v>70</v>
      </c>
      <c r="N136" t="s">
        <v>33</v>
      </c>
      <c r="O136" t="b">
        <v>1</v>
      </c>
      <c r="Y136">
        <f t="shared" si="2"/>
        <v>0</v>
      </c>
      <c r="Z136" t="s">
        <v>293</v>
      </c>
      <c r="AA136" s="8"/>
      <c r="AB136" s="2">
        <v>311</v>
      </c>
      <c r="AC136" s="4">
        <v>4</v>
      </c>
      <c r="AD136" s="2" t="s">
        <v>298</v>
      </c>
      <c r="AE136" s="2"/>
      <c r="AF136" s="2"/>
      <c r="AG136" s="2"/>
      <c r="AH136" s="2"/>
      <c r="AI136" s="2"/>
      <c r="AJ136" s="2">
        <v>0</v>
      </c>
    </row>
    <row r="137" spans="1:38" hidden="1" x14ac:dyDescent="0.3">
      <c r="A137" t="s">
        <v>371</v>
      </c>
      <c r="B137" s="1" t="s">
        <v>290</v>
      </c>
      <c r="C137" s="1"/>
      <c r="D137" t="s">
        <v>357</v>
      </c>
      <c r="F137" t="b">
        <v>0</v>
      </c>
      <c r="I137">
        <v>1</v>
      </c>
      <c r="J137">
        <v>49</v>
      </c>
      <c r="K137">
        <v>32</v>
      </c>
      <c r="L137">
        <v>44</v>
      </c>
      <c r="M137" t="s">
        <v>69</v>
      </c>
      <c r="N137" t="s">
        <v>33</v>
      </c>
      <c r="O137" t="b">
        <v>1</v>
      </c>
      <c r="X137">
        <v>10</v>
      </c>
      <c r="Y137">
        <f t="shared" si="2"/>
        <v>2</v>
      </c>
      <c r="AA137" s="8"/>
      <c r="AB137" s="3">
        <v>89</v>
      </c>
      <c r="AC137" s="5">
        <v>26</v>
      </c>
      <c r="AD137" s="3" t="s">
        <v>298</v>
      </c>
      <c r="AE137" s="3" t="b">
        <v>1</v>
      </c>
      <c r="AF137" s="3"/>
      <c r="AG137" s="3"/>
      <c r="AH137" s="3">
        <v>2</v>
      </c>
      <c r="AI137" s="3">
        <v>1</v>
      </c>
      <c r="AJ137" s="3">
        <v>0</v>
      </c>
    </row>
    <row r="138" spans="1:38" hidden="1" x14ac:dyDescent="0.3">
      <c r="A138" t="s">
        <v>228</v>
      </c>
      <c r="B138" s="1" t="s">
        <v>291</v>
      </c>
      <c r="C138" s="1"/>
      <c r="D138" t="s">
        <v>357</v>
      </c>
      <c r="F138" t="b">
        <v>0</v>
      </c>
      <c r="I138">
        <v>1</v>
      </c>
      <c r="J138">
        <v>47</v>
      </c>
      <c r="K138">
        <v>41</v>
      </c>
      <c r="L138">
        <v>54</v>
      </c>
      <c r="M138" t="s">
        <v>70</v>
      </c>
      <c r="N138" t="s">
        <v>33</v>
      </c>
      <c r="O138" t="b">
        <v>1</v>
      </c>
      <c r="X138">
        <v>15</v>
      </c>
      <c r="Y138">
        <f t="shared" si="2"/>
        <v>15</v>
      </c>
      <c r="AA138" s="8"/>
      <c r="AB138" s="2"/>
      <c r="AC138" s="4">
        <v>7</v>
      </c>
      <c r="AD138" s="2" t="s">
        <v>298</v>
      </c>
      <c r="AE138" s="2"/>
      <c r="AF138" s="2"/>
      <c r="AG138" s="2"/>
      <c r="AH138" s="2">
        <v>1</v>
      </c>
      <c r="AI138" s="2">
        <v>15</v>
      </c>
      <c r="AJ138" s="2">
        <v>0</v>
      </c>
    </row>
    <row r="139" spans="1:38" hidden="1" x14ac:dyDescent="0.3">
      <c r="A139" t="s">
        <v>229</v>
      </c>
      <c r="B139" s="1">
        <v>7119141030</v>
      </c>
      <c r="C139" s="1"/>
      <c r="D139" t="s">
        <v>357</v>
      </c>
      <c r="F139" t="b">
        <v>0</v>
      </c>
      <c r="I139">
        <v>1</v>
      </c>
      <c r="J139">
        <v>42</v>
      </c>
      <c r="K139">
        <v>35</v>
      </c>
      <c r="L139">
        <v>44</v>
      </c>
      <c r="M139" t="s">
        <v>69</v>
      </c>
      <c r="N139" t="s">
        <v>33</v>
      </c>
      <c r="O139" t="b">
        <v>1</v>
      </c>
      <c r="Y139">
        <f t="shared" si="2"/>
        <v>0</v>
      </c>
      <c r="Z139" t="s">
        <v>293</v>
      </c>
      <c r="AA139" s="8"/>
      <c r="AB139" s="2"/>
      <c r="AC139" s="4"/>
      <c r="AD139" s="2" t="s">
        <v>298</v>
      </c>
      <c r="AE139" s="2"/>
      <c r="AF139" s="2"/>
      <c r="AG139" s="2"/>
      <c r="AH139" s="2"/>
      <c r="AI139" s="2"/>
      <c r="AJ139" s="2">
        <v>0</v>
      </c>
    </row>
    <row r="140" spans="1:38" hidden="1" x14ac:dyDescent="0.3">
      <c r="A140" t="s">
        <v>230</v>
      </c>
      <c r="B140" s="1" t="s">
        <v>292</v>
      </c>
      <c r="C140" s="1"/>
      <c r="D140" t="s">
        <v>357</v>
      </c>
      <c r="F140" t="b">
        <v>0</v>
      </c>
      <c r="I140">
        <v>1</v>
      </c>
      <c r="J140">
        <v>70</v>
      </c>
      <c r="K140">
        <v>45</v>
      </c>
      <c r="L140">
        <v>52</v>
      </c>
      <c r="M140" t="s">
        <v>68</v>
      </c>
      <c r="N140" t="s">
        <v>33</v>
      </c>
      <c r="O140" t="b">
        <v>1</v>
      </c>
      <c r="V140" t="b">
        <v>1</v>
      </c>
      <c r="Y140">
        <f t="shared" si="2"/>
        <v>0</v>
      </c>
      <c r="Z140" t="s">
        <v>293</v>
      </c>
      <c r="AA140" s="8"/>
      <c r="AB140" s="3"/>
      <c r="AC140" s="5"/>
      <c r="AD140" s="3" t="s">
        <v>298</v>
      </c>
      <c r="AE140" s="3"/>
      <c r="AF140" s="3"/>
      <c r="AG140" s="3"/>
      <c r="AH140" s="3">
        <v>1</v>
      </c>
      <c r="AI140" s="3"/>
      <c r="AJ140" s="3">
        <v>0</v>
      </c>
    </row>
    <row r="141" spans="1:38" ht="15" hidden="1" thickBot="1" x14ac:dyDescent="0.35">
      <c r="A141" t="s">
        <v>231</v>
      </c>
      <c r="B141" s="1" t="s">
        <v>960</v>
      </c>
      <c r="C141" s="1"/>
      <c r="D141" t="s">
        <v>357</v>
      </c>
      <c r="F141" t="b">
        <v>0</v>
      </c>
      <c r="I141">
        <v>1</v>
      </c>
      <c r="J141">
        <v>55</v>
      </c>
      <c r="K141">
        <v>40</v>
      </c>
      <c r="L141">
        <v>50</v>
      </c>
      <c r="M141" t="s">
        <v>68</v>
      </c>
      <c r="N141" t="s">
        <v>33</v>
      </c>
      <c r="O141" t="b">
        <v>1</v>
      </c>
      <c r="X141">
        <v>10</v>
      </c>
      <c r="Y141">
        <f t="shared" si="2"/>
        <v>2</v>
      </c>
      <c r="AA141" s="8"/>
      <c r="AB141" s="6"/>
      <c r="AC141" s="7"/>
      <c r="AD141" s="6" t="s">
        <v>298</v>
      </c>
      <c r="AE141" s="6"/>
      <c r="AF141" s="6"/>
      <c r="AG141" s="6"/>
      <c r="AH141" s="6">
        <v>2</v>
      </c>
      <c r="AI141" s="6">
        <v>1</v>
      </c>
      <c r="AJ141" s="6">
        <v>0</v>
      </c>
    </row>
    <row r="142" spans="1:38" ht="15" hidden="1" thickBot="1" x14ac:dyDescent="0.35">
      <c r="A142" t="s">
        <v>340</v>
      </c>
      <c r="B142" s="9">
        <v>7075226830</v>
      </c>
      <c r="C142" s="9" t="s">
        <v>912</v>
      </c>
      <c r="D142" t="s">
        <v>357</v>
      </c>
      <c r="F142" t="b">
        <v>0</v>
      </c>
      <c r="I142">
        <v>1</v>
      </c>
      <c r="J142">
        <v>60</v>
      </c>
      <c r="K142">
        <v>43</v>
      </c>
      <c r="L142">
        <v>65</v>
      </c>
      <c r="M142" t="s">
        <v>69</v>
      </c>
      <c r="N142" t="s">
        <v>33</v>
      </c>
      <c r="O142" t="b">
        <v>1</v>
      </c>
      <c r="Y142">
        <f t="shared" si="2"/>
        <v>0</v>
      </c>
      <c r="Z142" t="s">
        <v>293</v>
      </c>
      <c r="AA142" s="8"/>
      <c r="AB142" t="s">
        <v>299</v>
      </c>
      <c r="AH142">
        <v>1</v>
      </c>
      <c r="AI142" s="6"/>
      <c r="AJ142" s="6">
        <v>0</v>
      </c>
    </row>
    <row r="143" spans="1:38" ht="15" hidden="1" thickBot="1" x14ac:dyDescent="0.35">
      <c r="A143" t="s">
        <v>219</v>
      </c>
      <c r="B143" s="9" t="s">
        <v>362</v>
      </c>
      <c r="C143" s="9"/>
      <c r="D143" t="s">
        <v>357</v>
      </c>
      <c r="F143" t="b">
        <v>0</v>
      </c>
      <c r="I143">
        <v>1</v>
      </c>
      <c r="J143">
        <v>66</v>
      </c>
      <c r="K143">
        <v>66</v>
      </c>
      <c r="L143">
        <v>66</v>
      </c>
      <c r="M143" t="s">
        <v>69</v>
      </c>
      <c r="N143" t="s">
        <v>33</v>
      </c>
      <c r="O143" t="b">
        <v>1</v>
      </c>
      <c r="Y143">
        <f t="shared" si="2"/>
        <v>0</v>
      </c>
      <c r="Z143" t="s">
        <v>293</v>
      </c>
      <c r="AA143" s="8"/>
      <c r="AB143" t="s">
        <v>341</v>
      </c>
      <c r="AH143">
        <v>1</v>
      </c>
      <c r="AI143" s="6"/>
      <c r="AJ143" s="6">
        <v>0</v>
      </c>
    </row>
    <row r="144" spans="1:38" ht="15" hidden="1" thickBot="1" x14ac:dyDescent="0.35">
      <c r="A144" t="s">
        <v>379</v>
      </c>
      <c r="B144" s="1" t="s">
        <v>374</v>
      </c>
      <c r="C144" s="1"/>
      <c r="D144" t="s">
        <v>357</v>
      </c>
      <c r="F144" t="b">
        <v>0</v>
      </c>
      <c r="I144">
        <v>1</v>
      </c>
      <c r="J144">
        <v>40</v>
      </c>
      <c r="K144">
        <v>35</v>
      </c>
      <c r="L144">
        <v>52</v>
      </c>
      <c r="M144" t="s">
        <v>70</v>
      </c>
      <c r="N144" t="s">
        <v>33</v>
      </c>
      <c r="O144" t="b">
        <v>1</v>
      </c>
      <c r="X144">
        <v>15</v>
      </c>
      <c r="Y144">
        <f t="shared" si="2"/>
        <v>15</v>
      </c>
      <c r="AA144" s="8"/>
      <c r="AB144">
        <v>74</v>
      </c>
      <c r="AH144">
        <v>1</v>
      </c>
      <c r="AI144" s="6">
        <v>15</v>
      </c>
      <c r="AJ144" s="6">
        <v>0</v>
      </c>
    </row>
    <row r="145" spans="1:38" ht="15" hidden="1" thickBot="1" x14ac:dyDescent="0.35">
      <c r="A145" t="s">
        <v>382</v>
      </c>
      <c r="B145" s="1" t="s">
        <v>381</v>
      </c>
      <c r="C145" s="1" t="s">
        <v>1116</v>
      </c>
      <c r="D145" t="s">
        <v>357</v>
      </c>
      <c r="F145" t="b">
        <v>0</v>
      </c>
      <c r="I145">
        <v>1</v>
      </c>
      <c r="J145">
        <v>45</v>
      </c>
      <c r="K145">
        <v>35</v>
      </c>
      <c r="L145">
        <v>42</v>
      </c>
      <c r="M145" t="s">
        <v>72</v>
      </c>
      <c r="N145" t="s">
        <v>33</v>
      </c>
      <c r="O145" t="b">
        <v>1</v>
      </c>
      <c r="X145">
        <v>10</v>
      </c>
      <c r="Y145">
        <f t="shared" si="2"/>
        <v>4</v>
      </c>
      <c r="AA145" s="8"/>
      <c r="AB145" t="s">
        <v>342</v>
      </c>
      <c r="AH145">
        <v>4</v>
      </c>
      <c r="AI145" s="6">
        <v>1</v>
      </c>
      <c r="AJ145" s="6">
        <v>0</v>
      </c>
    </row>
    <row r="146" spans="1:38" ht="15" hidden="1" thickBot="1" x14ac:dyDescent="0.35">
      <c r="A146" t="s">
        <v>343</v>
      </c>
      <c r="B146" s="9" t="s">
        <v>363</v>
      </c>
      <c r="C146" s="9"/>
      <c r="D146" t="s">
        <v>357</v>
      </c>
      <c r="F146" t="b">
        <v>0</v>
      </c>
      <c r="I146">
        <v>1</v>
      </c>
      <c r="J146">
        <v>60</v>
      </c>
      <c r="K146">
        <v>40</v>
      </c>
      <c r="L146">
        <v>50</v>
      </c>
      <c r="M146" t="s">
        <v>70</v>
      </c>
      <c r="N146" t="s">
        <v>33</v>
      </c>
      <c r="O146" t="b">
        <v>1</v>
      </c>
      <c r="Y146">
        <f t="shared" si="2"/>
        <v>0</v>
      </c>
      <c r="Z146" t="s">
        <v>293</v>
      </c>
      <c r="AA146" s="8"/>
      <c r="AB146">
        <v>242</v>
      </c>
      <c r="AH146">
        <v>1</v>
      </c>
      <c r="AI146" s="6"/>
      <c r="AJ146" s="6">
        <v>0</v>
      </c>
    </row>
    <row r="147" spans="1:38" ht="15" hidden="1" thickBot="1" x14ac:dyDescent="0.35">
      <c r="A147" t="s">
        <v>375</v>
      </c>
      <c r="B147" s="1" t="s">
        <v>364</v>
      </c>
      <c r="C147" s="1"/>
      <c r="D147" t="s">
        <v>357</v>
      </c>
      <c r="F147" t="b">
        <v>0</v>
      </c>
      <c r="I147">
        <v>1</v>
      </c>
      <c r="J147">
        <v>81</v>
      </c>
      <c r="K147">
        <v>60</v>
      </c>
      <c r="L147">
        <v>54</v>
      </c>
      <c r="M147" t="s">
        <v>69</v>
      </c>
      <c r="N147" t="s">
        <v>33</v>
      </c>
      <c r="O147" t="b">
        <v>1</v>
      </c>
      <c r="Y147">
        <f t="shared" si="2"/>
        <v>0</v>
      </c>
      <c r="Z147" t="s">
        <v>293</v>
      </c>
      <c r="AA147" s="8"/>
      <c r="AB147">
        <v>534</v>
      </c>
      <c r="AH147">
        <v>1</v>
      </c>
      <c r="AI147" s="6"/>
      <c r="AJ147" s="6">
        <v>0</v>
      </c>
    </row>
    <row r="148" spans="1:38" ht="15" hidden="1" thickBot="1" x14ac:dyDescent="0.35">
      <c r="A148" t="s">
        <v>380</v>
      </c>
      <c r="B148" s="1">
        <v>7047275330</v>
      </c>
      <c r="C148" s="1"/>
      <c r="D148" t="s">
        <v>360</v>
      </c>
      <c r="F148" t="b">
        <v>0</v>
      </c>
      <c r="I148">
        <v>1</v>
      </c>
      <c r="J148">
        <v>41</v>
      </c>
      <c r="K148">
        <v>30</v>
      </c>
      <c r="L148">
        <v>40</v>
      </c>
      <c r="M148" t="s">
        <v>69</v>
      </c>
      <c r="N148" t="s">
        <v>33</v>
      </c>
      <c r="O148" t="b">
        <v>1</v>
      </c>
      <c r="Y148">
        <f t="shared" si="2"/>
        <v>0</v>
      </c>
      <c r="Z148" t="s">
        <v>293</v>
      </c>
      <c r="AA148" s="8"/>
      <c r="AH148">
        <v>2</v>
      </c>
      <c r="AI148" s="6"/>
      <c r="AJ148" s="6">
        <v>0</v>
      </c>
    </row>
    <row r="149" spans="1:38" ht="15" hidden="1" thickBot="1" x14ac:dyDescent="0.35">
      <c r="A149" t="s">
        <v>345</v>
      </c>
      <c r="B149" s="1" t="s">
        <v>365</v>
      </c>
      <c r="C149" s="1"/>
      <c r="D149" t="s">
        <v>357</v>
      </c>
      <c r="F149" t="b">
        <v>0</v>
      </c>
      <c r="I149">
        <v>1</v>
      </c>
      <c r="J149">
        <v>65</v>
      </c>
      <c r="K149">
        <v>58</v>
      </c>
      <c r="L149">
        <v>50</v>
      </c>
      <c r="M149" t="s">
        <v>70</v>
      </c>
      <c r="N149" t="s">
        <v>33</v>
      </c>
      <c r="O149" t="b">
        <v>1</v>
      </c>
      <c r="Y149">
        <f t="shared" si="2"/>
        <v>0</v>
      </c>
      <c r="Z149" t="s">
        <v>293</v>
      </c>
      <c r="AA149" s="8"/>
      <c r="AB149">
        <v>218</v>
      </c>
      <c r="AH149">
        <v>1</v>
      </c>
      <c r="AI149" s="6"/>
      <c r="AJ149" s="6">
        <v>0</v>
      </c>
    </row>
    <row r="150" spans="1:38" hidden="1" x14ac:dyDescent="0.3">
      <c r="A150" t="s">
        <v>147</v>
      </c>
      <c r="B150" s="1">
        <v>7271007230</v>
      </c>
      <c r="C150" s="1"/>
      <c r="D150" t="s">
        <v>357</v>
      </c>
      <c r="F150" t="b">
        <v>1</v>
      </c>
      <c r="I150">
        <v>1</v>
      </c>
      <c r="X150">
        <v>10</v>
      </c>
      <c r="Y150">
        <f t="shared" si="2"/>
        <v>2</v>
      </c>
      <c r="AA150" s="8"/>
      <c r="AB150" s="5" t="s">
        <v>318</v>
      </c>
      <c r="AC150" s="5" t="s">
        <v>319</v>
      </c>
      <c r="AD150" s="3" t="s">
        <v>298</v>
      </c>
      <c r="AE150" s="3"/>
      <c r="AF150" s="3"/>
      <c r="AG150" s="3"/>
      <c r="AH150" s="3">
        <v>2</v>
      </c>
      <c r="AI150" s="3">
        <v>1</v>
      </c>
      <c r="AJ150" s="3">
        <v>0</v>
      </c>
      <c r="AK150" s="12" t="s">
        <v>529</v>
      </c>
    </row>
    <row r="151" spans="1:38" ht="15" hidden="1" thickBot="1" x14ac:dyDescent="0.35">
      <c r="B151" s="1">
        <v>7271007230</v>
      </c>
      <c r="C151" s="1"/>
      <c r="G151" t="s">
        <v>147</v>
      </c>
      <c r="H151" t="s">
        <v>524</v>
      </c>
      <c r="I151">
        <v>1</v>
      </c>
      <c r="J151">
        <v>185</v>
      </c>
      <c r="K151">
        <v>136</v>
      </c>
      <c r="L151">
        <v>60</v>
      </c>
      <c r="M151" t="s">
        <v>68</v>
      </c>
      <c r="N151" t="s">
        <v>33</v>
      </c>
      <c r="O151" t="b">
        <v>1</v>
      </c>
      <c r="Y151">
        <f t="shared" si="2"/>
        <v>0</v>
      </c>
      <c r="Z151" t="s">
        <v>293</v>
      </c>
      <c r="AA151" s="8"/>
      <c r="AI151" s="6"/>
      <c r="AJ151" s="6">
        <v>0</v>
      </c>
    </row>
    <row r="152" spans="1:38" ht="15" hidden="1" thickBot="1" x14ac:dyDescent="0.35">
      <c r="B152" s="1">
        <v>7271007230</v>
      </c>
      <c r="C152" s="1"/>
      <c r="G152" t="s">
        <v>147</v>
      </c>
      <c r="H152" t="s">
        <v>525</v>
      </c>
      <c r="I152">
        <v>1</v>
      </c>
      <c r="J152">
        <v>131</v>
      </c>
      <c r="K152">
        <v>20</v>
      </c>
      <c r="L152">
        <v>25</v>
      </c>
      <c r="M152" t="s">
        <v>68</v>
      </c>
      <c r="N152" t="s">
        <v>33</v>
      </c>
      <c r="O152" t="b">
        <v>1</v>
      </c>
      <c r="Y152">
        <f t="shared" si="2"/>
        <v>0</v>
      </c>
      <c r="Z152" t="s">
        <v>293</v>
      </c>
      <c r="AA152" s="8"/>
      <c r="AI152" s="6"/>
      <c r="AJ152" s="6">
        <v>0</v>
      </c>
    </row>
    <row r="153" spans="1:38" ht="15" hidden="1" thickBot="1" x14ac:dyDescent="0.35">
      <c r="B153" s="1">
        <v>7271007230</v>
      </c>
      <c r="C153" s="1"/>
      <c r="G153" t="s">
        <v>147</v>
      </c>
      <c r="H153" t="s">
        <v>526</v>
      </c>
      <c r="I153">
        <v>1</v>
      </c>
      <c r="J153">
        <v>174</v>
      </c>
      <c r="K153">
        <v>20</v>
      </c>
      <c r="L153">
        <v>25</v>
      </c>
      <c r="M153" t="s">
        <v>68</v>
      </c>
      <c r="N153" t="s">
        <v>33</v>
      </c>
      <c r="O153" t="b">
        <v>1</v>
      </c>
      <c r="Y153">
        <f t="shared" si="2"/>
        <v>0</v>
      </c>
      <c r="Z153" t="s">
        <v>293</v>
      </c>
      <c r="AA153" s="8"/>
      <c r="AI153" s="6"/>
      <c r="AJ153" s="6">
        <v>0</v>
      </c>
    </row>
    <row r="154" spans="1:38" ht="15" hidden="1" thickBot="1" x14ac:dyDescent="0.35">
      <c r="B154" s="1">
        <v>7271007230</v>
      </c>
      <c r="C154" s="1"/>
      <c r="G154" t="s">
        <v>147</v>
      </c>
      <c r="H154" t="s">
        <v>527</v>
      </c>
      <c r="I154">
        <v>1</v>
      </c>
      <c r="J154">
        <v>131</v>
      </c>
      <c r="K154">
        <v>20</v>
      </c>
      <c r="L154">
        <v>25</v>
      </c>
      <c r="M154" t="s">
        <v>68</v>
      </c>
      <c r="N154" t="s">
        <v>33</v>
      </c>
      <c r="O154" t="b">
        <v>1</v>
      </c>
      <c r="Y154">
        <f t="shared" si="2"/>
        <v>0</v>
      </c>
      <c r="Z154" t="s">
        <v>293</v>
      </c>
      <c r="AA154" s="8"/>
      <c r="AI154" s="6"/>
      <c r="AJ154" s="6">
        <v>0</v>
      </c>
    </row>
    <row r="155" spans="1:38" ht="15" hidden="1" thickBot="1" x14ac:dyDescent="0.35">
      <c r="B155" s="1">
        <v>7271007230</v>
      </c>
      <c r="C155" s="1"/>
      <c r="G155" t="s">
        <v>147</v>
      </c>
      <c r="H155" t="s">
        <v>528</v>
      </c>
      <c r="I155">
        <v>1</v>
      </c>
      <c r="J155">
        <v>51</v>
      </c>
      <c r="K155">
        <v>32</v>
      </c>
      <c r="L155">
        <v>80</v>
      </c>
      <c r="M155" t="s">
        <v>68</v>
      </c>
      <c r="N155" t="s">
        <v>33</v>
      </c>
      <c r="O155" t="b">
        <v>1</v>
      </c>
      <c r="Y155">
        <f t="shared" si="2"/>
        <v>0</v>
      </c>
      <c r="Z155" t="s">
        <v>293</v>
      </c>
      <c r="AA155" s="8"/>
      <c r="AI155" s="6"/>
      <c r="AJ155" s="6">
        <v>0</v>
      </c>
    </row>
    <row r="156" spans="1:38" ht="15" thickBot="1" x14ac:dyDescent="0.35">
      <c r="A156" t="s">
        <v>377</v>
      </c>
      <c r="B156" s="1" t="s">
        <v>283</v>
      </c>
      <c r="C156" s="1" t="s">
        <v>1266</v>
      </c>
      <c r="D156" t="s">
        <v>357</v>
      </c>
      <c r="F156" t="b">
        <v>1</v>
      </c>
      <c r="I156">
        <v>1</v>
      </c>
      <c r="X156">
        <v>10</v>
      </c>
      <c r="Y156">
        <f t="shared" si="2"/>
        <v>2</v>
      </c>
      <c r="AA156" s="8"/>
      <c r="AB156">
        <v>435</v>
      </c>
      <c r="AC156">
        <v>4</v>
      </c>
      <c r="AD156" t="s">
        <v>298</v>
      </c>
      <c r="AH156">
        <v>2</v>
      </c>
      <c r="AI156" s="6">
        <v>1</v>
      </c>
      <c r="AJ156" s="6">
        <v>0</v>
      </c>
      <c r="AK156" s="12" t="s">
        <v>853</v>
      </c>
      <c r="AL156">
        <v>1</v>
      </c>
    </row>
    <row r="157" spans="1:38" hidden="1" x14ac:dyDescent="0.3">
      <c r="B157" s="1" t="s">
        <v>283</v>
      </c>
      <c r="C157" s="1"/>
      <c r="G157" t="s">
        <v>377</v>
      </c>
      <c r="H157" t="s">
        <v>850</v>
      </c>
      <c r="I157">
        <v>1</v>
      </c>
      <c r="J157">
        <v>111</v>
      </c>
      <c r="K157">
        <v>39</v>
      </c>
      <c r="L157">
        <v>56</v>
      </c>
      <c r="M157" t="s">
        <v>69</v>
      </c>
      <c r="N157" t="s">
        <v>33</v>
      </c>
      <c r="P157" t="b">
        <v>1</v>
      </c>
      <c r="Y157">
        <f t="shared" si="2"/>
        <v>0</v>
      </c>
      <c r="Z157" t="s">
        <v>293</v>
      </c>
      <c r="AA157" s="8"/>
    </row>
    <row r="158" spans="1:38" hidden="1" x14ac:dyDescent="0.3">
      <c r="B158" s="1" t="s">
        <v>283</v>
      </c>
      <c r="C158" s="1"/>
      <c r="G158" t="s">
        <v>377</v>
      </c>
      <c r="H158" t="s">
        <v>851</v>
      </c>
      <c r="I158">
        <v>1</v>
      </c>
      <c r="J158">
        <v>111</v>
      </c>
      <c r="K158">
        <v>37</v>
      </c>
      <c r="L158">
        <v>56</v>
      </c>
      <c r="M158" t="s">
        <v>69</v>
      </c>
      <c r="N158" t="s">
        <v>33</v>
      </c>
      <c r="P158" t="b">
        <v>1</v>
      </c>
      <c r="Y158">
        <f t="shared" si="2"/>
        <v>0</v>
      </c>
      <c r="Z158" t="s">
        <v>293</v>
      </c>
      <c r="AA158" s="8"/>
    </row>
    <row r="159" spans="1:38" hidden="1" x14ac:dyDescent="0.3">
      <c r="B159" s="1" t="s">
        <v>283</v>
      </c>
      <c r="C159" s="1"/>
      <c r="G159" t="s">
        <v>377</v>
      </c>
      <c r="H159" t="s">
        <v>852</v>
      </c>
      <c r="I159">
        <v>1</v>
      </c>
      <c r="J159">
        <v>111</v>
      </c>
      <c r="K159">
        <v>47</v>
      </c>
      <c r="L159">
        <v>56</v>
      </c>
      <c r="M159" t="s">
        <v>68</v>
      </c>
      <c r="N159" t="s">
        <v>33</v>
      </c>
      <c r="P159" t="b">
        <v>1</v>
      </c>
      <c r="Y159">
        <f t="shared" si="2"/>
        <v>0</v>
      </c>
      <c r="Z159" t="s">
        <v>293</v>
      </c>
      <c r="AA159" s="8"/>
    </row>
    <row r="160" spans="1:38" hidden="1" x14ac:dyDescent="0.3">
      <c r="A160" t="s">
        <v>872</v>
      </c>
      <c r="B160" s="1">
        <v>7003293002</v>
      </c>
      <c r="C160" s="1"/>
      <c r="D160" t="s">
        <v>357</v>
      </c>
      <c r="F160" t="b">
        <v>0</v>
      </c>
      <c r="I160">
        <v>1</v>
      </c>
      <c r="J160">
        <v>60</v>
      </c>
      <c r="K160">
        <v>39</v>
      </c>
      <c r="L160">
        <v>45</v>
      </c>
      <c r="M160" t="s">
        <v>68</v>
      </c>
      <c r="N160" t="s">
        <v>33</v>
      </c>
      <c r="O160" t="b">
        <v>1</v>
      </c>
      <c r="X160">
        <v>8</v>
      </c>
      <c r="Y160">
        <f t="shared" si="2"/>
        <v>2</v>
      </c>
      <c r="AA160" s="8"/>
      <c r="AH160">
        <v>2</v>
      </c>
      <c r="AI160">
        <v>1</v>
      </c>
    </row>
    <row r="161" spans="1:37" hidden="1" x14ac:dyDescent="0.3">
      <c r="A161" t="s">
        <v>873</v>
      </c>
      <c r="B161" s="1">
        <v>7003789102</v>
      </c>
      <c r="C161" s="1"/>
      <c r="D161" t="s">
        <v>357</v>
      </c>
      <c r="F161" t="b">
        <v>0</v>
      </c>
      <c r="I161">
        <v>1</v>
      </c>
      <c r="J161">
        <v>53</v>
      </c>
      <c r="K161">
        <v>46</v>
      </c>
      <c r="L161">
        <v>49</v>
      </c>
      <c r="M161" t="s">
        <v>68</v>
      </c>
      <c r="N161" t="s">
        <v>33</v>
      </c>
      <c r="O161" t="b">
        <v>1</v>
      </c>
      <c r="X161">
        <v>8</v>
      </c>
      <c r="Y161">
        <f t="shared" si="2"/>
        <v>1</v>
      </c>
      <c r="AA161" s="8"/>
      <c r="AH161">
        <v>1</v>
      </c>
      <c r="AI161">
        <v>1</v>
      </c>
    </row>
    <row r="162" spans="1:37" hidden="1" x14ac:dyDescent="0.3">
      <c r="A162" t="s">
        <v>874</v>
      </c>
      <c r="B162" s="1">
        <v>7003803702</v>
      </c>
      <c r="C162" s="1"/>
      <c r="D162" t="s">
        <v>357</v>
      </c>
      <c r="F162" t="b">
        <v>0</v>
      </c>
      <c r="I162">
        <v>1</v>
      </c>
      <c r="J162">
        <v>45</v>
      </c>
      <c r="K162">
        <v>42</v>
      </c>
      <c r="L162">
        <v>45</v>
      </c>
      <c r="M162" t="s">
        <v>68</v>
      </c>
      <c r="N162" t="s">
        <v>33</v>
      </c>
      <c r="O162" t="b">
        <v>1</v>
      </c>
      <c r="X162">
        <v>8</v>
      </c>
      <c r="Y162">
        <f t="shared" si="2"/>
        <v>2</v>
      </c>
      <c r="AA162" s="8"/>
      <c r="AH162">
        <v>2</v>
      </c>
      <c r="AI162">
        <v>1</v>
      </c>
    </row>
    <row r="163" spans="1:37" hidden="1" x14ac:dyDescent="0.3">
      <c r="A163" t="s">
        <v>875</v>
      </c>
      <c r="B163" s="1">
        <v>7003827402</v>
      </c>
      <c r="C163" s="1"/>
      <c r="D163" t="s">
        <v>357</v>
      </c>
      <c r="F163" t="b">
        <v>0</v>
      </c>
      <c r="I163">
        <v>1</v>
      </c>
      <c r="J163">
        <v>70</v>
      </c>
      <c r="K163">
        <v>46</v>
      </c>
      <c r="L163">
        <v>45</v>
      </c>
      <c r="M163" t="s">
        <v>68</v>
      </c>
      <c r="N163" t="s">
        <v>33</v>
      </c>
      <c r="O163" t="b">
        <v>1</v>
      </c>
      <c r="X163">
        <v>8</v>
      </c>
      <c r="Y163">
        <f t="shared" si="2"/>
        <v>1</v>
      </c>
      <c r="AA163" s="8"/>
      <c r="AH163">
        <v>1</v>
      </c>
      <c r="AI163">
        <v>1</v>
      </c>
    </row>
    <row r="164" spans="1:37" hidden="1" x14ac:dyDescent="0.3">
      <c r="A164" t="s">
        <v>876</v>
      </c>
      <c r="B164" s="1">
        <v>7009630402</v>
      </c>
      <c r="C164" s="1"/>
      <c r="D164" t="s">
        <v>357</v>
      </c>
      <c r="F164" t="b">
        <v>0</v>
      </c>
      <c r="I164">
        <v>1</v>
      </c>
      <c r="J164">
        <v>55</v>
      </c>
      <c r="K164">
        <v>41</v>
      </c>
      <c r="L164">
        <v>45</v>
      </c>
      <c r="M164" t="s">
        <v>68</v>
      </c>
      <c r="N164" t="s">
        <v>33</v>
      </c>
      <c r="O164" t="b">
        <v>1</v>
      </c>
      <c r="X164">
        <v>8</v>
      </c>
      <c r="Y164">
        <f t="shared" si="2"/>
        <v>2</v>
      </c>
      <c r="AA164" s="8"/>
      <c r="AH164">
        <v>2</v>
      </c>
      <c r="AI164">
        <v>1</v>
      </c>
    </row>
    <row r="165" spans="1:37" hidden="1" x14ac:dyDescent="0.3">
      <c r="A165" t="s">
        <v>877</v>
      </c>
      <c r="B165" s="1">
        <v>7009639402</v>
      </c>
      <c r="C165" s="1"/>
      <c r="D165" t="s">
        <v>357</v>
      </c>
      <c r="F165" t="b">
        <v>0</v>
      </c>
      <c r="I165">
        <v>1</v>
      </c>
      <c r="J165">
        <v>46</v>
      </c>
      <c r="K165">
        <v>36</v>
      </c>
      <c r="L165">
        <v>42</v>
      </c>
      <c r="M165" t="s">
        <v>68</v>
      </c>
      <c r="N165" t="s">
        <v>33</v>
      </c>
      <c r="O165" t="b">
        <v>1</v>
      </c>
      <c r="X165">
        <v>8</v>
      </c>
      <c r="Y165">
        <f t="shared" si="2"/>
        <v>2</v>
      </c>
      <c r="AA165" s="8"/>
      <c r="AH165">
        <v>2</v>
      </c>
      <c r="AI165">
        <v>1</v>
      </c>
    </row>
    <row r="166" spans="1:37" hidden="1" x14ac:dyDescent="0.3">
      <c r="A166" t="s">
        <v>878</v>
      </c>
      <c r="B166" s="1">
        <v>7009741202</v>
      </c>
      <c r="C166" s="1"/>
      <c r="D166" t="s">
        <v>357</v>
      </c>
      <c r="F166" t="b">
        <v>0</v>
      </c>
      <c r="I166">
        <v>1</v>
      </c>
      <c r="J166">
        <v>41</v>
      </c>
      <c r="K166">
        <v>42</v>
      </c>
      <c r="L166">
        <v>45</v>
      </c>
      <c r="M166" t="s">
        <v>68</v>
      </c>
      <c r="N166" t="s">
        <v>33</v>
      </c>
      <c r="O166" t="b">
        <v>1</v>
      </c>
      <c r="Y166">
        <f t="shared" si="2"/>
        <v>0</v>
      </c>
      <c r="AA166" s="8"/>
    </row>
    <row r="167" spans="1:37" hidden="1" x14ac:dyDescent="0.3">
      <c r="A167" t="s">
        <v>879</v>
      </c>
      <c r="B167" s="1">
        <v>7009741502</v>
      </c>
      <c r="C167" s="1"/>
      <c r="D167" t="s">
        <v>357</v>
      </c>
      <c r="F167" t="b">
        <v>0</v>
      </c>
      <c r="I167">
        <v>1</v>
      </c>
      <c r="J167">
        <v>41</v>
      </c>
      <c r="K167">
        <v>42</v>
      </c>
      <c r="L167">
        <v>45</v>
      </c>
      <c r="M167" t="s">
        <v>68</v>
      </c>
      <c r="N167" t="s">
        <v>33</v>
      </c>
      <c r="O167" t="b">
        <v>1</v>
      </c>
      <c r="X167">
        <v>8</v>
      </c>
      <c r="Y167">
        <f t="shared" si="2"/>
        <v>2</v>
      </c>
      <c r="AA167" s="8"/>
      <c r="AH167">
        <v>2</v>
      </c>
      <c r="AI167">
        <v>1</v>
      </c>
    </row>
    <row r="168" spans="1:37" hidden="1" x14ac:dyDescent="0.3">
      <c r="A168" t="s">
        <v>880</v>
      </c>
      <c r="B168" s="1">
        <v>7009741602</v>
      </c>
      <c r="C168" s="1"/>
      <c r="D168" t="s">
        <v>357</v>
      </c>
      <c r="F168" t="b">
        <v>0</v>
      </c>
      <c r="I168">
        <v>1</v>
      </c>
      <c r="J168">
        <v>41</v>
      </c>
      <c r="K168">
        <v>42</v>
      </c>
      <c r="L168">
        <v>45</v>
      </c>
      <c r="M168" t="s">
        <v>68</v>
      </c>
      <c r="N168" t="s">
        <v>33</v>
      </c>
      <c r="O168" t="b">
        <v>1</v>
      </c>
      <c r="Y168">
        <f t="shared" si="2"/>
        <v>0</v>
      </c>
      <c r="AA168" s="8"/>
    </row>
    <row r="169" spans="1:37" hidden="1" x14ac:dyDescent="0.3">
      <c r="A169" t="s">
        <v>881</v>
      </c>
      <c r="B169" s="1">
        <v>7003803502</v>
      </c>
      <c r="C169" s="1"/>
      <c r="D169" t="s">
        <v>357</v>
      </c>
      <c r="F169" t="b">
        <v>0</v>
      </c>
      <c r="I169">
        <v>1</v>
      </c>
      <c r="J169">
        <v>45</v>
      </c>
      <c r="K169">
        <v>46</v>
      </c>
      <c r="L169">
        <v>46</v>
      </c>
      <c r="M169" t="s">
        <v>68</v>
      </c>
      <c r="N169" t="s">
        <v>33</v>
      </c>
      <c r="O169" t="b">
        <v>1</v>
      </c>
      <c r="X169">
        <v>8</v>
      </c>
      <c r="Y169">
        <f t="shared" si="2"/>
        <v>2</v>
      </c>
      <c r="AA169" s="8"/>
      <c r="AH169">
        <v>2</v>
      </c>
      <c r="AI169">
        <v>1</v>
      </c>
    </row>
    <row r="170" spans="1:37" hidden="1" x14ac:dyDescent="0.3">
      <c r="A170" t="s">
        <v>882</v>
      </c>
      <c r="B170" s="1">
        <v>7219182630</v>
      </c>
      <c r="C170" s="1"/>
      <c r="D170" t="s">
        <v>357</v>
      </c>
      <c r="F170" t="b">
        <v>0</v>
      </c>
      <c r="I170">
        <v>1</v>
      </c>
      <c r="J170">
        <v>52</v>
      </c>
      <c r="K170">
        <v>46</v>
      </c>
      <c r="L170">
        <v>60</v>
      </c>
      <c r="M170" t="s">
        <v>69</v>
      </c>
      <c r="N170" t="s">
        <v>33</v>
      </c>
      <c r="O170" t="b">
        <v>1</v>
      </c>
      <c r="X170">
        <v>8</v>
      </c>
      <c r="Y170">
        <f t="shared" si="2"/>
        <v>1</v>
      </c>
      <c r="AA170" s="8"/>
      <c r="AH170">
        <v>1</v>
      </c>
      <c r="AI170">
        <v>1</v>
      </c>
    </row>
    <row r="171" spans="1:37" hidden="1" x14ac:dyDescent="0.3">
      <c r="A171" t="s">
        <v>883</v>
      </c>
      <c r="B171" s="1">
        <v>7219622130</v>
      </c>
      <c r="C171" s="1"/>
      <c r="D171" t="s">
        <v>357</v>
      </c>
      <c r="F171" t="b">
        <v>0</v>
      </c>
      <c r="I171">
        <v>1</v>
      </c>
      <c r="J171">
        <v>47</v>
      </c>
      <c r="K171">
        <v>39</v>
      </c>
      <c r="L171">
        <v>50</v>
      </c>
      <c r="M171" t="s">
        <v>69</v>
      </c>
      <c r="N171" t="s">
        <v>33</v>
      </c>
      <c r="O171" t="b">
        <v>1</v>
      </c>
      <c r="X171">
        <v>8</v>
      </c>
      <c r="Y171">
        <f t="shared" si="2"/>
        <v>4</v>
      </c>
      <c r="AA171" s="8"/>
      <c r="AH171">
        <v>4</v>
      </c>
      <c r="AI171">
        <v>1</v>
      </c>
    </row>
    <row r="172" spans="1:37" hidden="1" x14ac:dyDescent="0.3">
      <c r="A172" t="s">
        <v>884</v>
      </c>
      <c r="B172" s="1">
        <v>7219632030</v>
      </c>
      <c r="C172" s="1"/>
      <c r="D172" t="s">
        <v>357</v>
      </c>
      <c r="F172" t="b">
        <v>0</v>
      </c>
      <c r="I172">
        <v>1</v>
      </c>
      <c r="J172">
        <v>43</v>
      </c>
      <c r="K172">
        <v>41</v>
      </c>
      <c r="L172">
        <v>54</v>
      </c>
      <c r="M172" t="s">
        <v>69</v>
      </c>
      <c r="N172" t="s">
        <v>33</v>
      </c>
      <c r="O172" t="b">
        <v>1</v>
      </c>
      <c r="X172">
        <v>8</v>
      </c>
      <c r="Y172">
        <f t="shared" si="2"/>
        <v>2</v>
      </c>
      <c r="AA172" s="8"/>
      <c r="AH172">
        <v>2</v>
      </c>
      <c r="AI172">
        <v>1</v>
      </c>
    </row>
    <row r="173" spans="1:37" hidden="1" x14ac:dyDescent="0.3">
      <c r="A173" t="s">
        <v>909</v>
      </c>
      <c r="B173" s="1">
        <v>7219632230</v>
      </c>
      <c r="C173" s="1"/>
      <c r="D173" t="s">
        <v>357</v>
      </c>
      <c r="F173" t="b">
        <v>0</v>
      </c>
      <c r="I173">
        <v>1</v>
      </c>
      <c r="J173">
        <v>47</v>
      </c>
      <c r="K173">
        <v>46</v>
      </c>
      <c r="L173">
        <v>50</v>
      </c>
      <c r="M173" t="s">
        <v>69</v>
      </c>
      <c r="N173" t="s">
        <v>33</v>
      </c>
      <c r="O173" t="b">
        <v>1</v>
      </c>
      <c r="X173">
        <v>8</v>
      </c>
      <c r="Y173">
        <f t="shared" si="2"/>
        <v>3</v>
      </c>
      <c r="AA173" s="8"/>
      <c r="AH173">
        <v>3</v>
      </c>
      <c r="AI173">
        <v>1</v>
      </c>
      <c r="AK173" t="s">
        <v>918</v>
      </c>
    </row>
    <row r="174" spans="1:37" hidden="1" x14ac:dyDescent="0.3">
      <c r="A174" t="s">
        <v>885</v>
      </c>
      <c r="B174" s="1">
        <v>7219648530</v>
      </c>
      <c r="C174" s="1"/>
      <c r="D174" t="s">
        <v>357</v>
      </c>
      <c r="F174" t="b">
        <v>0</v>
      </c>
      <c r="I174">
        <v>1</v>
      </c>
      <c r="J174">
        <v>47</v>
      </c>
      <c r="K174">
        <v>39</v>
      </c>
      <c r="L174">
        <v>50</v>
      </c>
      <c r="M174" t="s">
        <v>69</v>
      </c>
      <c r="N174" t="s">
        <v>33</v>
      </c>
      <c r="O174" t="b">
        <v>1</v>
      </c>
      <c r="X174">
        <v>8</v>
      </c>
      <c r="Y174">
        <f t="shared" si="2"/>
        <v>1</v>
      </c>
      <c r="AA174" s="8"/>
      <c r="AH174">
        <v>1</v>
      </c>
      <c r="AI174">
        <v>1</v>
      </c>
    </row>
    <row r="175" spans="1:37" hidden="1" x14ac:dyDescent="0.3">
      <c r="A175" t="s">
        <v>886</v>
      </c>
      <c r="B175" s="1">
        <v>7219652330</v>
      </c>
      <c r="C175" s="1"/>
      <c r="D175" t="s">
        <v>357</v>
      </c>
      <c r="F175" t="b">
        <v>0</v>
      </c>
      <c r="I175">
        <v>1</v>
      </c>
      <c r="J175">
        <v>48</v>
      </c>
      <c r="K175">
        <v>37</v>
      </c>
      <c r="L175">
        <v>60</v>
      </c>
      <c r="M175" t="s">
        <v>69</v>
      </c>
      <c r="N175" t="s">
        <v>33</v>
      </c>
      <c r="O175" t="b">
        <v>1</v>
      </c>
      <c r="X175">
        <v>8</v>
      </c>
      <c r="Y175">
        <f t="shared" si="2"/>
        <v>1</v>
      </c>
      <c r="AA175" s="8"/>
      <c r="AH175">
        <v>1</v>
      </c>
      <c r="AI175">
        <v>1</v>
      </c>
    </row>
    <row r="176" spans="1:37" hidden="1" x14ac:dyDescent="0.3">
      <c r="A176" t="s">
        <v>910</v>
      </c>
      <c r="B176" s="1" t="s">
        <v>907</v>
      </c>
      <c r="C176" s="1"/>
      <c r="D176" t="s">
        <v>357</v>
      </c>
      <c r="F176" t="b">
        <v>0</v>
      </c>
      <c r="I176">
        <v>1</v>
      </c>
      <c r="J176">
        <v>115</v>
      </c>
      <c r="K176">
        <v>81</v>
      </c>
      <c r="L176">
        <v>66</v>
      </c>
      <c r="M176" t="s">
        <v>69</v>
      </c>
      <c r="N176" t="s">
        <v>33</v>
      </c>
      <c r="O176" t="b">
        <v>1</v>
      </c>
      <c r="Y176">
        <f t="shared" si="2"/>
        <v>0</v>
      </c>
      <c r="AA176" s="8"/>
      <c r="AK176" t="s">
        <v>917</v>
      </c>
    </row>
    <row r="177" spans="1:35" hidden="1" x14ac:dyDescent="0.3">
      <c r="A177" t="s">
        <v>922</v>
      </c>
      <c r="B177" s="1">
        <v>7278099530</v>
      </c>
      <c r="C177" s="1"/>
      <c r="D177" t="s">
        <v>357</v>
      </c>
      <c r="F177" t="b">
        <v>0</v>
      </c>
      <c r="I177">
        <v>1</v>
      </c>
      <c r="J177">
        <v>45</v>
      </c>
      <c r="K177">
        <v>40</v>
      </c>
      <c r="L177">
        <v>50</v>
      </c>
      <c r="M177" t="s">
        <v>69</v>
      </c>
      <c r="N177" t="s">
        <v>33</v>
      </c>
      <c r="O177" t="b">
        <v>1</v>
      </c>
      <c r="Y177">
        <f t="shared" si="2"/>
        <v>0</v>
      </c>
      <c r="AA177" s="8"/>
    </row>
    <row r="178" spans="1:35" hidden="1" x14ac:dyDescent="0.3">
      <c r="A178" t="s">
        <v>888</v>
      </c>
      <c r="B178" s="1">
        <v>7278258330</v>
      </c>
      <c r="C178" s="1"/>
      <c r="D178" t="s">
        <v>357</v>
      </c>
      <c r="F178" t="b">
        <v>0</v>
      </c>
      <c r="I178">
        <v>1</v>
      </c>
      <c r="J178">
        <v>47</v>
      </c>
      <c r="K178">
        <v>47</v>
      </c>
      <c r="L178">
        <v>70</v>
      </c>
      <c r="M178" t="s">
        <v>69</v>
      </c>
      <c r="N178" t="s">
        <v>33</v>
      </c>
      <c r="O178" t="b">
        <v>1</v>
      </c>
      <c r="Y178">
        <f t="shared" si="2"/>
        <v>0</v>
      </c>
      <c r="AA178" s="8"/>
    </row>
    <row r="179" spans="1:35" hidden="1" x14ac:dyDescent="0.3">
      <c r="A179" t="s">
        <v>919</v>
      </c>
      <c r="B179" s="1">
        <v>7289059730</v>
      </c>
      <c r="C179" s="1"/>
      <c r="D179" t="s">
        <v>357</v>
      </c>
      <c r="F179" t="b">
        <v>0</v>
      </c>
      <c r="I179">
        <v>1</v>
      </c>
      <c r="J179">
        <v>46</v>
      </c>
      <c r="K179">
        <v>44</v>
      </c>
      <c r="L179">
        <v>75</v>
      </c>
      <c r="M179" t="s">
        <v>69</v>
      </c>
      <c r="N179" t="s">
        <v>33</v>
      </c>
      <c r="O179" t="b">
        <v>1</v>
      </c>
      <c r="X179">
        <v>8</v>
      </c>
      <c r="Y179">
        <f t="shared" si="2"/>
        <v>1</v>
      </c>
      <c r="AA179" s="8"/>
      <c r="AH179">
        <v>1</v>
      </c>
      <c r="AI179">
        <v>1</v>
      </c>
    </row>
    <row r="180" spans="1:35" hidden="1" x14ac:dyDescent="0.3">
      <c r="A180" t="s">
        <v>889</v>
      </c>
      <c r="B180" s="1">
        <v>7289063730</v>
      </c>
      <c r="C180" s="1"/>
      <c r="D180" t="s">
        <v>357</v>
      </c>
      <c r="F180" t="b">
        <v>0</v>
      </c>
      <c r="I180">
        <v>1</v>
      </c>
      <c r="J180">
        <v>44</v>
      </c>
      <c r="K180">
        <v>43</v>
      </c>
      <c r="L180">
        <v>47</v>
      </c>
      <c r="M180" t="s">
        <v>69</v>
      </c>
      <c r="N180" t="s">
        <v>33</v>
      </c>
      <c r="O180" t="b">
        <v>1</v>
      </c>
      <c r="X180">
        <v>13</v>
      </c>
      <c r="Y180">
        <f t="shared" si="2"/>
        <v>2</v>
      </c>
      <c r="AA180" s="8"/>
      <c r="AH180">
        <v>2</v>
      </c>
      <c r="AI180">
        <v>1</v>
      </c>
    </row>
    <row r="181" spans="1:35" hidden="1" x14ac:dyDescent="0.3">
      <c r="A181" t="s">
        <v>890</v>
      </c>
      <c r="B181" s="1">
        <v>72893837</v>
      </c>
      <c r="C181" s="1"/>
      <c r="D181" t="s">
        <v>357</v>
      </c>
      <c r="F181" t="b">
        <v>0</v>
      </c>
      <c r="I181">
        <v>1</v>
      </c>
      <c r="J181">
        <v>48</v>
      </c>
      <c r="K181">
        <v>40</v>
      </c>
      <c r="L181">
        <v>52</v>
      </c>
      <c r="M181" t="s">
        <v>69</v>
      </c>
      <c r="N181" t="s">
        <v>33</v>
      </c>
      <c r="O181" t="b">
        <v>1</v>
      </c>
      <c r="X181">
        <v>8</v>
      </c>
      <c r="Y181">
        <f t="shared" si="2"/>
        <v>3</v>
      </c>
      <c r="AA181" s="8"/>
      <c r="AH181">
        <v>3</v>
      </c>
      <c r="AI181">
        <v>1</v>
      </c>
    </row>
    <row r="182" spans="1:35" hidden="1" x14ac:dyDescent="0.3">
      <c r="A182" t="s">
        <v>891</v>
      </c>
      <c r="B182" s="1">
        <v>7289405130</v>
      </c>
      <c r="C182" s="1"/>
      <c r="D182" t="s">
        <v>357</v>
      </c>
      <c r="F182" t="b">
        <v>0</v>
      </c>
      <c r="I182">
        <v>1</v>
      </c>
      <c r="J182">
        <v>45</v>
      </c>
      <c r="K182">
        <v>44</v>
      </c>
      <c r="L182">
        <v>47</v>
      </c>
      <c r="M182" t="s">
        <v>69</v>
      </c>
      <c r="N182" t="s">
        <v>33</v>
      </c>
      <c r="O182" t="b">
        <v>1</v>
      </c>
      <c r="X182">
        <v>8</v>
      </c>
      <c r="Y182">
        <f t="shared" si="2"/>
        <v>1</v>
      </c>
      <c r="AA182" s="8"/>
      <c r="AH182">
        <v>1</v>
      </c>
      <c r="AI182">
        <v>1</v>
      </c>
    </row>
    <row r="183" spans="1:35" hidden="1" x14ac:dyDescent="0.3">
      <c r="A183" t="s">
        <v>892</v>
      </c>
      <c r="B183" s="1">
        <v>7289405830</v>
      </c>
      <c r="C183" s="1"/>
      <c r="D183" t="s">
        <v>357</v>
      </c>
      <c r="F183" t="b">
        <v>0</v>
      </c>
      <c r="I183">
        <v>1</v>
      </c>
      <c r="J183">
        <v>45</v>
      </c>
      <c r="K183">
        <v>40</v>
      </c>
      <c r="L183">
        <v>47</v>
      </c>
      <c r="M183" t="s">
        <v>69</v>
      </c>
      <c r="N183" t="s">
        <v>33</v>
      </c>
      <c r="O183" t="b">
        <v>1</v>
      </c>
      <c r="X183">
        <v>10</v>
      </c>
      <c r="Y183">
        <f t="shared" si="2"/>
        <v>2</v>
      </c>
      <c r="AA183" s="8"/>
      <c r="AH183">
        <v>2</v>
      </c>
      <c r="AI183">
        <v>1</v>
      </c>
    </row>
    <row r="184" spans="1:35" hidden="1" x14ac:dyDescent="0.3">
      <c r="A184" t="s">
        <v>893</v>
      </c>
      <c r="B184" s="1">
        <v>7289464330</v>
      </c>
      <c r="C184" s="1"/>
      <c r="D184" t="s">
        <v>357</v>
      </c>
      <c r="F184" t="b">
        <v>0</v>
      </c>
      <c r="I184">
        <v>1</v>
      </c>
      <c r="J184">
        <v>50</v>
      </c>
      <c r="K184">
        <v>38</v>
      </c>
      <c r="L184">
        <v>52</v>
      </c>
      <c r="M184" t="s">
        <v>70</v>
      </c>
      <c r="N184" t="s">
        <v>33</v>
      </c>
      <c r="O184" t="b">
        <v>1</v>
      </c>
      <c r="X184">
        <v>8</v>
      </c>
      <c r="Y184">
        <f t="shared" si="2"/>
        <v>1</v>
      </c>
      <c r="AA184" s="8"/>
      <c r="AH184">
        <v>1</v>
      </c>
      <c r="AI184">
        <v>1</v>
      </c>
    </row>
    <row r="185" spans="1:35" hidden="1" x14ac:dyDescent="0.3">
      <c r="A185" t="s">
        <v>894</v>
      </c>
      <c r="B185" s="1">
        <v>72895381</v>
      </c>
      <c r="C185" s="1"/>
      <c r="D185" t="s">
        <v>357</v>
      </c>
      <c r="F185" t="b">
        <v>0</v>
      </c>
      <c r="I185">
        <v>1</v>
      </c>
      <c r="J185">
        <v>44</v>
      </c>
      <c r="K185">
        <v>45</v>
      </c>
      <c r="L185">
        <v>78</v>
      </c>
      <c r="M185" t="s">
        <v>68</v>
      </c>
      <c r="N185" t="s">
        <v>33</v>
      </c>
      <c r="O185" t="b">
        <v>1</v>
      </c>
      <c r="X185">
        <v>8</v>
      </c>
      <c r="Y185">
        <f t="shared" si="2"/>
        <v>1</v>
      </c>
      <c r="AA185" s="8"/>
      <c r="AH185">
        <v>1</v>
      </c>
      <c r="AI185">
        <v>1</v>
      </c>
    </row>
    <row r="186" spans="1:35" hidden="1" x14ac:dyDescent="0.3">
      <c r="A186" t="s">
        <v>895</v>
      </c>
      <c r="B186" s="1">
        <v>7289734390</v>
      </c>
      <c r="C186" s="1"/>
      <c r="D186" t="s">
        <v>357</v>
      </c>
      <c r="F186" t="b">
        <v>0</v>
      </c>
      <c r="I186">
        <v>1</v>
      </c>
      <c r="J186">
        <v>45</v>
      </c>
      <c r="K186">
        <v>40</v>
      </c>
      <c r="L186">
        <v>50</v>
      </c>
      <c r="M186" t="s">
        <v>70</v>
      </c>
      <c r="N186" t="s">
        <v>33</v>
      </c>
      <c r="O186" t="b">
        <v>1</v>
      </c>
      <c r="X186">
        <v>8</v>
      </c>
      <c r="Y186">
        <f t="shared" si="2"/>
        <v>4</v>
      </c>
      <c r="AA186" s="8"/>
      <c r="AH186">
        <v>4</v>
      </c>
      <c r="AI186">
        <v>1</v>
      </c>
    </row>
    <row r="187" spans="1:35" hidden="1" x14ac:dyDescent="0.3">
      <c r="A187" t="s">
        <v>896</v>
      </c>
      <c r="B187" s="1">
        <v>7289921730</v>
      </c>
      <c r="C187" s="1"/>
      <c r="D187" t="s">
        <v>357</v>
      </c>
      <c r="F187" t="b">
        <v>0</v>
      </c>
      <c r="I187">
        <v>1</v>
      </c>
      <c r="J187">
        <v>47</v>
      </c>
      <c r="K187">
        <v>51</v>
      </c>
      <c r="L187">
        <v>80</v>
      </c>
      <c r="M187" t="s">
        <v>69</v>
      </c>
      <c r="N187" t="s">
        <v>33</v>
      </c>
      <c r="O187" t="b">
        <v>1</v>
      </c>
      <c r="X187">
        <v>8</v>
      </c>
      <c r="Y187">
        <f t="shared" si="2"/>
        <v>2</v>
      </c>
      <c r="AA187" s="8"/>
      <c r="AH187">
        <v>2</v>
      </c>
      <c r="AI187">
        <v>1</v>
      </c>
    </row>
    <row r="188" spans="1:35" hidden="1" x14ac:dyDescent="0.3">
      <c r="A188" t="s">
        <v>897</v>
      </c>
      <c r="B188" s="1">
        <v>72980475</v>
      </c>
      <c r="C188" s="1"/>
      <c r="D188" t="s">
        <v>357</v>
      </c>
      <c r="F188" t="b">
        <v>0</v>
      </c>
      <c r="I188">
        <v>1</v>
      </c>
      <c r="J188">
        <v>40</v>
      </c>
      <c r="K188">
        <v>34</v>
      </c>
      <c r="L188">
        <v>48</v>
      </c>
      <c r="M188" t="s">
        <v>68</v>
      </c>
      <c r="N188" t="s">
        <v>33</v>
      </c>
      <c r="O188" t="b">
        <v>1</v>
      </c>
      <c r="X188">
        <v>8</v>
      </c>
      <c r="Y188">
        <f t="shared" si="2"/>
        <v>2</v>
      </c>
      <c r="AA188" s="8"/>
      <c r="AH188">
        <v>2</v>
      </c>
      <c r="AI188">
        <v>1</v>
      </c>
    </row>
    <row r="189" spans="1:35" hidden="1" x14ac:dyDescent="0.3">
      <c r="A189" t="s">
        <v>898</v>
      </c>
      <c r="B189" s="1" t="s">
        <v>759</v>
      </c>
      <c r="C189" s="1"/>
      <c r="D189" t="s">
        <v>357</v>
      </c>
      <c r="F189" t="b">
        <v>0</v>
      </c>
      <c r="I189">
        <v>1</v>
      </c>
      <c r="J189">
        <v>52</v>
      </c>
      <c r="K189">
        <v>60</v>
      </c>
      <c r="L189">
        <v>56</v>
      </c>
      <c r="M189" t="s">
        <v>72</v>
      </c>
      <c r="N189" t="s">
        <v>33</v>
      </c>
      <c r="O189" t="b">
        <v>1</v>
      </c>
      <c r="Y189">
        <f t="shared" si="2"/>
        <v>0</v>
      </c>
      <c r="AA189" s="8"/>
    </row>
    <row r="190" spans="1:35" hidden="1" x14ac:dyDescent="0.3">
      <c r="A190" t="s">
        <v>899</v>
      </c>
      <c r="B190" s="1">
        <v>7298677930</v>
      </c>
      <c r="C190" s="1"/>
      <c r="D190" t="s">
        <v>357</v>
      </c>
      <c r="F190" t="b">
        <v>0</v>
      </c>
      <c r="I190">
        <v>1</v>
      </c>
      <c r="J190">
        <v>44</v>
      </c>
      <c r="K190">
        <v>42</v>
      </c>
      <c r="L190">
        <v>50</v>
      </c>
      <c r="M190" t="s">
        <v>69</v>
      </c>
      <c r="N190" t="s">
        <v>33</v>
      </c>
      <c r="O190" t="b">
        <v>1</v>
      </c>
      <c r="X190">
        <v>8</v>
      </c>
      <c r="Y190">
        <f t="shared" si="2"/>
        <v>1</v>
      </c>
      <c r="AA190" s="8"/>
      <c r="AH190">
        <v>1</v>
      </c>
      <c r="AI190">
        <v>1</v>
      </c>
    </row>
    <row r="191" spans="1:35" hidden="1" x14ac:dyDescent="0.3">
      <c r="A191" t="s">
        <v>900</v>
      </c>
      <c r="B191" s="1">
        <v>7298761730</v>
      </c>
      <c r="C191" s="1"/>
      <c r="D191" t="s">
        <v>357</v>
      </c>
      <c r="F191" t="b">
        <v>0</v>
      </c>
      <c r="I191">
        <v>1</v>
      </c>
      <c r="J191">
        <v>44</v>
      </c>
      <c r="K191">
        <v>42</v>
      </c>
      <c r="L191">
        <v>50</v>
      </c>
      <c r="M191" t="s">
        <v>69</v>
      </c>
      <c r="N191" t="s">
        <v>33</v>
      </c>
      <c r="O191" t="b">
        <v>1</v>
      </c>
      <c r="Y191">
        <f t="shared" si="2"/>
        <v>0</v>
      </c>
      <c r="AA191" s="8"/>
    </row>
    <row r="192" spans="1:35" hidden="1" x14ac:dyDescent="0.3">
      <c r="A192" t="s">
        <v>901</v>
      </c>
      <c r="B192" s="1">
        <v>7298912930</v>
      </c>
      <c r="C192" s="1"/>
      <c r="D192" t="s">
        <v>357</v>
      </c>
      <c r="F192" t="b">
        <v>0</v>
      </c>
      <c r="I192">
        <v>1</v>
      </c>
      <c r="J192">
        <v>48</v>
      </c>
      <c r="K192">
        <v>45</v>
      </c>
      <c r="L192">
        <v>58</v>
      </c>
      <c r="M192" t="s">
        <v>69</v>
      </c>
      <c r="N192" t="s">
        <v>33</v>
      </c>
      <c r="O192" t="b">
        <v>1</v>
      </c>
      <c r="X192">
        <v>8</v>
      </c>
      <c r="Y192">
        <f t="shared" si="2"/>
        <v>4</v>
      </c>
      <c r="AA192" s="8"/>
      <c r="AH192">
        <v>4</v>
      </c>
      <c r="AI192">
        <v>1</v>
      </c>
    </row>
    <row r="193" spans="1:38" hidden="1" x14ac:dyDescent="0.3">
      <c r="A193" t="s">
        <v>958</v>
      </c>
      <c r="B193" s="1">
        <v>7298913330</v>
      </c>
      <c r="C193" s="1"/>
      <c r="D193" t="s">
        <v>357</v>
      </c>
      <c r="F193" t="b">
        <v>0</v>
      </c>
      <c r="I193">
        <v>1</v>
      </c>
      <c r="J193">
        <v>44</v>
      </c>
      <c r="K193">
        <v>42</v>
      </c>
      <c r="L193">
        <v>51</v>
      </c>
      <c r="M193" t="s">
        <v>69</v>
      </c>
      <c r="N193" t="s">
        <v>33</v>
      </c>
      <c r="O193" t="b">
        <v>1</v>
      </c>
      <c r="X193">
        <v>8</v>
      </c>
      <c r="Y193">
        <f t="shared" si="2"/>
        <v>1</v>
      </c>
      <c r="AA193" s="8"/>
      <c r="AH193">
        <v>1</v>
      </c>
      <c r="AI193">
        <v>1</v>
      </c>
    </row>
    <row r="194" spans="1:38" hidden="1" x14ac:dyDescent="0.3">
      <c r="A194" t="s">
        <v>903</v>
      </c>
      <c r="B194" s="1">
        <v>7298948930</v>
      </c>
      <c r="C194" s="1" t="s">
        <v>924</v>
      </c>
      <c r="D194" t="s">
        <v>357</v>
      </c>
      <c r="F194" t="b">
        <v>0</v>
      </c>
      <c r="I194">
        <v>1</v>
      </c>
      <c r="J194">
        <v>44</v>
      </c>
      <c r="K194">
        <v>41</v>
      </c>
      <c r="L194">
        <v>50</v>
      </c>
      <c r="M194" t="s">
        <v>69</v>
      </c>
      <c r="N194" t="s">
        <v>33</v>
      </c>
      <c r="O194" t="b">
        <v>1</v>
      </c>
      <c r="X194">
        <v>10</v>
      </c>
      <c r="Y194">
        <f t="shared" si="2"/>
        <v>2</v>
      </c>
      <c r="AA194" s="8"/>
      <c r="AH194">
        <v>2</v>
      </c>
      <c r="AI194">
        <v>1</v>
      </c>
    </row>
    <row r="195" spans="1:38" hidden="1" x14ac:dyDescent="0.3">
      <c r="A195" t="s">
        <v>925</v>
      </c>
      <c r="B195" s="1">
        <v>7298949030</v>
      </c>
      <c r="C195" s="1"/>
      <c r="D195" t="s">
        <v>357</v>
      </c>
      <c r="F195" t="b">
        <v>0</v>
      </c>
      <c r="I195">
        <v>1</v>
      </c>
      <c r="J195">
        <v>44</v>
      </c>
      <c r="K195">
        <v>42</v>
      </c>
      <c r="L195">
        <v>50</v>
      </c>
      <c r="M195" t="s">
        <v>69</v>
      </c>
      <c r="N195" t="s">
        <v>33</v>
      </c>
      <c r="O195" t="b">
        <v>1</v>
      </c>
      <c r="X195">
        <v>10</v>
      </c>
      <c r="Y195">
        <f t="shared" ref="Y195:Y217" si="3">AI195*AH195</f>
        <v>2</v>
      </c>
      <c r="AA195" s="8"/>
      <c r="AH195">
        <v>2</v>
      </c>
      <c r="AI195">
        <v>1</v>
      </c>
      <c r="AL195">
        <v>1</v>
      </c>
    </row>
    <row r="196" spans="1:38" hidden="1" x14ac:dyDescent="0.3">
      <c r="A196" t="s">
        <v>905</v>
      </c>
      <c r="B196" s="1" t="s">
        <v>697</v>
      </c>
      <c r="C196" s="1"/>
      <c r="D196" t="s">
        <v>357</v>
      </c>
      <c r="F196" t="b">
        <v>0</v>
      </c>
      <c r="I196">
        <v>1</v>
      </c>
      <c r="J196">
        <v>52</v>
      </c>
      <c r="K196">
        <v>41</v>
      </c>
      <c r="L196">
        <v>50</v>
      </c>
      <c r="M196" t="s">
        <v>69</v>
      </c>
      <c r="N196" t="s">
        <v>33</v>
      </c>
      <c r="O196" t="b">
        <v>1</v>
      </c>
      <c r="X196">
        <v>8</v>
      </c>
      <c r="Y196">
        <f t="shared" si="3"/>
        <v>3</v>
      </c>
      <c r="AA196" s="8"/>
      <c r="AH196">
        <v>3</v>
      </c>
      <c r="AI196">
        <v>1</v>
      </c>
    </row>
    <row r="197" spans="1:38" hidden="1" x14ac:dyDescent="0.3">
      <c r="A197" t="s">
        <v>906</v>
      </c>
      <c r="B197" s="1" t="s">
        <v>764</v>
      </c>
      <c r="C197" s="1"/>
      <c r="D197" t="s">
        <v>357</v>
      </c>
      <c r="F197" t="b">
        <v>0</v>
      </c>
      <c r="I197">
        <v>1</v>
      </c>
      <c r="J197">
        <v>53</v>
      </c>
      <c r="K197">
        <v>36</v>
      </c>
      <c r="L197">
        <v>45</v>
      </c>
      <c r="M197" t="s">
        <v>71</v>
      </c>
      <c r="N197" t="s">
        <v>33</v>
      </c>
      <c r="O197" t="b">
        <v>1</v>
      </c>
      <c r="X197">
        <v>8</v>
      </c>
      <c r="Y197">
        <f t="shared" si="3"/>
        <v>1</v>
      </c>
      <c r="AA197" s="8"/>
      <c r="AH197">
        <v>1</v>
      </c>
      <c r="AI197">
        <v>1</v>
      </c>
    </row>
    <row r="198" spans="1:38" hidden="1" x14ac:dyDescent="0.3">
      <c r="A198" t="s">
        <v>908</v>
      </c>
      <c r="B198" s="1">
        <v>7003292202</v>
      </c>
      <c r="C198" s="1"/>
      <c r="D198" t="s">
        <v>357</v>
      </c>
      <c r="F198" t="b">
        <v>0</v>
      </c>
      <c r="I198">
        <v>1</v>
      </c>
      <c r="J198">
        <v>60</v>
      </c>
      <c r="K198">
        <v>39</v>
      </c>
      <c r="L198">
        <v>45</v>
      </c>
      <c r="M198" t="s">
        <v>68</v>
      </c>
      <c r="N198" t="s">
        <v>33</v>
      </c>
      <c r="O198" t="b">
        <v>1</v>
      </c>
      <c r="X198">
        <v>8</v>
      </c>
      <c r="Y198">
        <f t="shared" si="3"/>
        <v>1</v>
      </c>
      <c r="AA198" s="8"/>
      <c r="AH198">
        <v>1</v>
      </c>
      <c r="AI198">
        <v>1</v>
      </c>
    </row>
    <row r="199" spans="1:38" hidden="1" x14ac:dyDescent="0.3">
      <c r="A199" t="s">
        <v>920</v>
      </c>
      <c r="B199" s="1" t="s">
        <v>921</v>
      </c>
      <c r="C199" s="1"/>
      <c r="D199" t="s">
        <v>357</v>
      </c>
      <c r="F199" t="b">
        <v>0</v>
      </c>
      <c r="I199">
        <v>1</v>
      </c>
      <c r="J199">
        <v>46</v>
      </c>
      <c r="K199">
        <v>40</v>
      </c>
      <c r="L199">
        <v>48</v>
      </c>
      <c r="M199" t="s">
        <v>69</v>
      </c>
      <c r="N199" t="s">
        <v>33</v>
      </c>
      <c r="O199" t="b">
        <v>1</v>
      </c>
      <c r="X199">
        <v>10</v>
      </c>
      <c r="Y199">
        <f t="shared" si="3"/>
        <v>4</v>
      </c>
      <c r="AA199" s="8"/>
      <c r="AH199">
        <v>4</v>
      </c>
      <c r="AI199">
        <v>1</v>
      </c>
    </row>
    <row r="200" spans="1:38" hidden="1" x14ac:dyDescent="0.3">
      <c r="A200" t="s">
        <v>923</v>
      </c>
      <c r="B200" s="1">
        <v>7289042870</v>
      </c>
      <c r="C200" s="1"/>
      <c r="D200" t="s">
        <v>357</v>
      </c>
      <c r="F200" t="b">
        <v>0</v>
      </c>
      <c r="I200">
        <v>1</v>
      </c>
      <c r="J200">
        <v>45</v>
      </c>
      <c r="K200">
        <v>45</v>
      </c>
      <c r="L200">
        <v>52</v>
      </c>
      <c r="M200" t="s">
        <v>74</v>
      </c>
      <c r="N200" t="s">
        <v>33</v>
      </c>
      <c r="O200" t="b">
        <v>1</v>
      </c>
      <c r="Y200">
        <f t="shared" si="3"/>
        <v>0</v>
      </c>
      <c r="AA200" s="8"/>
    </row>
    <row r="201" spans="1:38" hidden="1" x14ac:dyDescent="0.3">
      <c r="A201" t="s">
        <v>926</v>
      </c>
      <c r="B201" s="1" t="s">
        <v>679</v>
      </c>
      <c r="C201" s="1"/>
      <c r="D201" t="s">
        <v>357</v>
      </c>
      <c r="F201" t="b">
        <v>0</v>
      </c>
      <c r="I201">
        <v>1</v>
      </c>
      <c r="J201">
        <v>38</v>
      </c>
      <c r="K201">
        <v>37</v>
      </c>
      <c r="L201">
        <v>69</v>
      </c>
      <c r="M201" t="s">
        <v>69</v>
      </c>
      <c r="N201" t="s">
        <v>33</v>
      </c>
      <c r="O201" t="b">
        <v>1</v>
      </c>
      <c r="X201">
        <v>8</v>
      </c>
      <c r="Y201">
        <f t="shared" si="3"/>
        <v>2</v>
      </c>
      <c r="AA201" s="8"/>
      <c r="AH201">
        <v>2</v>
      </c>
      <c r="AI201">
        <v>1</v>
      </c>
    </row>
    <row r="202" spans="1:38" hidden="1" x14ac:dyDescent="0.3">
      <c r="A202" t="s">
        <v>927</v>
      </c>
      <c r="B202" s="1" t="s">
        <v>762</v>
      </c>
      <c r="C202" s="1"/>
      <c r="D202" t="s">
        <v>357</v>
      </c>
      <c r="F202" t="b">
        <v>0</v>
      </c>
      <c r="I202">
        <v>1</v>
      </c>
      <c r="J202">
        <v>39</v>
      </c>
      <c r="K202">
        <v>34</v>
      </c>
      <c r="L202">
        <v>52</v>
      </c>
      <c r="M202" t="s">
        <v>70</v>
      </c>
      <c r="N202" t="s">
        <v>33</v>
      </c>
      <c r="O202" t="b">
        <v>1</v>
      </c>
      <c r="Y202">
        <f t="shared" si="3"/>
        <v>0</v>
      </c>
      <c r="AA202" s="8"/>
    </row>
    <row r="203" spans="1:38" hidden="1" x14ac:dyDescent="0.3">
      <c r="A203" t="s">
        <v>928</v>
      </c>
      <c r="B203" s="1">
        <v>7289689230</v>
      </c>
      <c r="C203" s="1"/>
      <c r="D203" t="s">
        <v>357</v>
      </c>
      <c r="F203" t="b">
        <v>0</v>
      </c>
      <c r="I203">
        <v>1</v>
      </c>
      <c r="J203">
        <v>47</v>
      </c>
      <c r="K203">
        <v>40</v>
      </c>
      <c r="L203">
        <v>50</v>
      </c>
      <c r="M203" t="s">
        <v>69</v>
      </c>
      <c r="N203" t="s">
        <v>33</v>
      </c>
      <c r="O203" t="b">
        <v>1</v>
      </c>
      <c r="Y203">
        <f t="shared" si="3"/>
        <v>0</v>
      </c>
      <c r="AA203" s="8"/>
    </row>
    <row r="204" spans="1:38" hidden="1" x14ac:dyDescent="0.3">
      <c r="A204" t="s">
        <v>929</v>
      </c>
      <c r="B204" s="1">
        <v>7009748202</v>
      </c>
      <c r="C204" s="1"/>
      <c r="D204" t="s">
        <v>357</v>
      </c>
      <c r="F204" t="b">
        <v>0</v>
      </c>
      <c r="I204">
        <v>1</v>
      </c>
      <c r="J204">
        <v>50</v>
      </c>
      <c r="K204">
        <v>42</v>
      </c>
      <c r="L204">
        <v>45</v>
      </c>
      <c r="M204" t="s">
        <v>68</v>
      </c>
      <c r="N204" t="s">
        <v>33</v>
      </c>
      <c r="O204" t="b">
        <v>1</v>
      </c>
      <c r="X204">
        <v>8</v>
      </c>
      <c r="Y204">
        <f t="shared" si="3"/>
        <v>1</v>
      </c>
      <c r="AA204" s="8"/>
      <c r="AH204">
        <v>1</v>
      </c>
      <c r="AI204">
        <v>1</v>
      </c>
    </row>
    <row r="205" spans="1:38" hidden="1" x14ac:dyDescent="0.3">
      <c r="A205" t="s">
        <v>930</v>
      </c>
      <c r="B205" s="1">
        <v>7298913530</v>
      </c>
      <c r="C205" s="1"/>
      <c r="D205" t="s">
        <v>357</v>
      </c>
      <c r="F205" t="b">
        <v>0</v>
      </c>
      <c r="I205">
        <v>1</v>
      </c>
      <c r="J205">
        <v>48</v>
      </c>
      <c r="K205">
        <v>45</v>
      </c>
      <c r="L205">
        <v>63</v>
      </c>
      <c r="M205" t="s">
        <v>69</v>
      </c>
      <c r="N205" t="s">
        <v>33</v>
      </c>
      <c r="O205" t="b">
        <v>1</v>
      </c>
      <c r="Y205">
        <f t="shared" si="3"/>
        <v>0</v>
      </c>
      <c r="AA205" s="8"/>
    </row>
    <row r="206" spans="1:38" hidden="1" x14ac:dyDescent="0.3">
      <c r="A206" t="s">
        <v>931</v>
      </c>
      <c r="B206" s="1">
        <v>7119665630</v>
      </c>
      <c r="C206" s="1"/>
      <c r="D206" t="s">
        <v>357</v>
      </c>
      <c r="F206" t="b">
        <v>0</v>
      </c>
      <c r="I206">
        <v>1</v>
      </c>
      <c r="J206">
        <v>46</v>
      </c>
      <c r="K206">
        <v>32</v>
      </c>
      <c r="L206">
        <v>49</v>
      </c>
      <c r="M206" t="s">
        <v>69</v>
      </c>
      <c r="N206" t="s">
        <v>33</v>
      </c>
      <c r="O206" t="b">
        <v>1</v>
      </c>
      <c r="Y206">
        <f t="shared" si="3"/>
        <v>0</v>
      </c>
      <c r="AA206" s="8"/>
    </row>
    <row r="207" spans="1:38" hidden="1" x14ac:dyDescent="0.3">
      <c r="A207" t="s">
        <v>932</v>
      </c>
      <c r="B207" s="1">
        <v>7119637880</v>
      </c>
      <c r="C207" s="1"/>
      <c r="D207" t="s">
        <v>357</v>
      </c>
      <c r="F207" t="b">
        <v>0</v>
      </c>
      <c r="I207">
        <v>1</v>
      </c>
      <c r="J207">
        <v>42</v>
      </c>
      <c r="K207">
        <v>41</v>
      </c>
      <c r="L207">
        <v>47</v>
      </c>
      <c r="M207" t="s">
        <v>71</v>
      </c>
      <c r="N207" t="s">
        <v>33</v>
      </c>
      <c r="O207" t="b">
        <v>1</v>
      </c>
      <c r="Y207">
        <f t="shared" si="3"/>
        <v>0</v>
      </c>
      <c r="AA207" s="8"/>
    </row>
    <row r="208" spans="1:38" hidden="1" x14ac:dyDescent="0.3">
      <c r="A208" t="s">
        <v>933</v>
      </c>
      <c r="B208" s="1">
        <v>7198600430</v>
      </c>
      <c r="C208" s="1"/>
      <c r="D208" t="s">
        <v>357</v>
      </c>
      <c r="F208" t="b">
        <v>0</v>
      </c>
      <c r="I208">
        <v>1</v>
      </c>
      <c r="J208">
        <v>91</v>
      </c>
      <c r="K208">
        <v>41</v>
      </c>
      <c r="L208">
        <v>54</v>
      </c>
      <c r="M208" t="s">
        <v>69</v>
      </c>
      <c r="N208" t="s">
        <v>33</v>
      </c>
      <c r="O208" t="b">
        <v>1</v>
      </c>
      <c r="X208">
        <v>15</v>
      </c>
      <c r="Y208">
        <f t="shared" si="3"/>
        <v>30</v>
      </c>
      <c r="AA208" s="8"/>
      <c r="AH208">
        <v>2</v>
      </c>
      <c r="AI208">
        <v>15</v>
      </c>
    </row>
    <row r="209" spans="1:40" hidden="1" x14ac:dyDescent="0.3">
      <c r="A209" t="s">
        <v>934</v>
      </c>
      <c r="B209" s="1">
        <v>7287065830</v>
      </c>
      <c r="C209" s="1"/>
      <c r="D209" t="s">
        <v>357</v>
      </c>
      <c r="F209" t="b">
        <v>0</v>
      </c>
      <c r="I209">
        <v>1</v>
      </c>
      <c r="J209">
        <v>42</v>
      </c>
      <c r="K209">
        <v>46</v>
      </c>
      <c r="L209">
        <v>56</v>
      </c>
      <c r="M209" t="s">
        <v>69</v>
      </c>
      <c r="N209" t="s">
        <v>33</v>
      </c>
      <c r="O209" t="b">
        <v>1</v>
      </c>
      <c r="X209">
        <v>8</v>
      </c>
      <c r="Y209">
        <f t="shared" si="3"/>
        <v>1</v>
      </c>
      <c r="AA209" s="8"/>
      <c r="AH209">
        <v>1</v>
      </c>
      <c r="AI209">
        <v>1</v>
      </c>
    </row>
    <row r="210" spans="1:40" hidden="1" x14ac:dyDescent="0.3">
      <c r="A210" t="s">
        <v>935</v>
      </c>
      <c r="B210" s="1" t="s">
        <v>936</v>
      </c>
      <c r="C210" s="1"/>
      <c r="D210" t="s">
        <v>357</v>
      </c>
      <c r="F210" t="b">
        <v>0</v>
      </c>
      <c r="I210">
        <v>1</v>
      </c>
      <c r="J210">
        <v>92</v>
      </c>
      <c r="K210">
        <v>75</v>
      </c>
      <c r="L210">
        <v>52</v>
      </c>
      <c r="M210" t="s">
        <v>68</v>
      </c>
      <c r="N210" t="s">
        <v>33</v>
      </c>
      <c r="O210" t="b">
        <v>1</v>
      </c>
      <c r="X210">
        <v>66</v>
      </c>
      <c r="Y210">
        <f t="shared" si="3"/>
        <v>1</v>
      </c>
      <c r="AA210" s="8"/>
      <c r="AH210">
        <v>1</v>
      </c>
      <c r="AI210">
        <v>1</v>
      </c>
    </row>
    <row r="211" spans="1:40" hidden="1" x14ac:dyDescent="0.3">
      <c r="A211" t="s">
        <v>962</v>
      </c>
      <c r="B211" s="1">
        <v>7035990830</v>
      </c>
      <c r="C211" s="1"/>
      <c r="D211" t="s">
        <v>357</v>
      </c>
      <c r="F211" t="b">
        <v>0</v>
      </c>
      <c r="I211">
        <v>1</v>
      </c>
      <c r="J211">
        <v>85</v>
      </c>
      <c r="K211">
        <v>48</v>
      </c>
      <c r="L211">
        <v>63</v>
      </c>
      <c r="M211" t="s">
        <v>69</v>
      </c>
      <c r="N211" t="s">
        <v>33</v>
      </c>
      <c r="O211" t="b">
        <v>1</v>
      </c>
      <c r="X211">
        <v>8</v>
      </c>
      <c r="Y211">
        <f t="shared" si="3"/>
        <v>2</v>
      </c>
      <c r="AA211" s="8"/>
      <c r="AH211">
        <v>2</v>
      </c>
      <c r="AI211">
        <v>1</v>
      </c>
    </row>
    <row r="212" spans="1:40" hidden="1" x14ac:dyDescent="0.3">
      <c r="A212" t="s">
        <v>963</v>
      </c>
      <c r="B212" s="1" t="s">
        <v>758</v>
      </c>
      <c r="C212" s="1"/>
      <c r="D212" t="s">
        <v>357</v>
      </c>
      <c r="F212" t="b">
        <v>0</v>
      </c>
      <c r="I212">
        <v>1</v>
      </c>
      <c r="J212">
        <v>105</v>
      </c>
      <c r="K212">
        <v>65</v>
      </c>
      <c r="L212">
        <v>68</v>
      </c>
      <c r="M212" t="s">
        <v>69</v>
      </c>
      <c r="N212" t="s">
        <v>33</v>
      </c>
      <c r="O212" t="b">
        <v>1</v>
      </c>
      <c r="X212">
        <v>8</v>
      </c>
      <c r="Y212">
        <f t="shared" si="3"/>
        <v>2</v>
      </c>
      <c r="AA212" s="8"/>
      <c r="AH212">
        <v>2</v>
      </c>
      <c r="AI212">
        <v>1</v>
      </c>
    </row>
    <row r="213" spans="1:40" hidden="1" x14ac:dyDescent="0.3">
      <c r="A213" t="s">
        <v>964</v>
      </c>
      <c r="B213" s="1">
        <v>7247781630</v>
      </c>
      <c r="C213" s="1"/>
      <c r="D213" t="s">
        <v>360</v>
      </c>
      <c r="E213" t="s">
        <v>965</v>
      </c>
      <c r="F213" t="b">
        <v>0</v>
      </c>
      <c r="I213">
        <v>1</v>
      </c>
      <c r="J213">
        <v>39</v>
      </c>
      <c r="K213">
        <v>34</v>
      </c>
      <c r="L213">
        <v>48</v>
      </c>
      <c r="M213" t="s">
        <v>69</v>
      </c>
      <c r="N213" t="s">
        <v>33</v>
      </c>
      <c r="O213" t="b">
        <v>1</v>
      </c>
      <c r="X213">
        <v>8</v>
      </c>
      <c r="Y213">
        <f t="shared" si="3"/>
        <v>3</v>
      </c>
      <c r="AA213" s="8"/>
      <c r="AH213">
        <v>3</v>
      </c>
      <c r="AI213">
        <v>1</v>
      </c>
    </row>
    <row r="214" spans="1:40" hidden="1" x14ac:dyDescent="0.3">
      <c r="A214" t="s">
        <v>1204</v>
      </c>
      <c r="B214" s="1">
        <v>7035964930</v>
      </c>
      <c r="C214" s="1"/>
      <c r="D214" t="s">
        <v>357</v>
      </c>
      <c r="F214" t="b">
        <v>0</v>
      </c>
      <c r="I214">
        <v>1</v>
      </c>
      <c r="J214">
        <v>83</v>
      </c>
      <c r="K214">
        <v>60</v>
      </c>
      <c r="L214">
        <v>80</v>
      </c>
      <c r="M214" t="s">
        <v>69</v>
      </c>
      <c r="N214" t="s">
        <v>33</v>
      </c>
      <c r="O214" t="b">
        <v>1</v>
      </c>
      <c r="X214">
        <v>17</v>
      </c>
      <c r="Y214">
        <f t="shared" si="3"/>
        <v>2</v>
      </c>
      <c r="AA214" s="8"/>
      <c r="AH214">
        <v>1</v>
      </c>
      <c r="AI214">
        <v>2</v>
      </c>
    </row>
    <row r="215" spans="1:40" hidden="1" x14ac:dyDescent="0.3">
      <c r="A215" t="s">
        <v>967</v>
      </c>
      <c r="B215" s="1">
        <v>7035990430</v>
      </c>
      <c r="C215" s="1" t="s">
        <v>966</v>
      </c>
      <c r="D215" t="s">
        <v>357</v>
      </c>
      <c r="F215" t="b">
        <v>0</v>
      </c>
      <c r="I215">
        <v>1</v>
      </c>
      <c r="J215">
        <v>65</v>
      </c>
      <c r="K215">
        <v>50</v>
      </c>
      <c r="L215">
        <v>70</v>
      </c>
      <c r="M215" t="s">
        <v>69</v>
      </c>
      <c r="N215" t="s">
        <v>33</v>
      </c>
      <c r="O215" t="b">
        <v>1</v>
      </c>
      <c r="X215">
        <v>10</v>
      </c>
      <c r="Y215">
        <f t="shared" si="3"/>
        <v>4</v>
      </c>
      <c r="AA215" s="8"/>
      <c r="AH215">
        <v>4</v>
      </c>
      <c r="AI215">
        <v>1</v>
      </c>
    </row>
    <row r="216" spans="1:40" hidden="1" x14ac:dyDescent="0.3">
      <c r="A216" t="s">
        <v>968</v>
      </c>
      <c r="B216" s="1" t="s">
        <v>961</v>
      </c>
      <c r="C216" s="1"/>
      <c r="D216" t="s">
        <v>357</v>
      </c>
      <c r="F216" t="b">
        <v>0</v>
      </c>
      <c r="I216">
        <v>1</v>
      </c>
      <c r="J216">
        <v>102</v>
      </c>
      <c r="K216">
        <v>47</v>
      </c>
      <c r="L216">
        <v>57</v>
      </c>
      <c r="M216" t="s">
        <v>69</v>
      </c>
      <c r="N216" t="s">
        <v>33</v>
      </c>
      <c r="O216" t="b">
        <v>1</v>
      </c>
      <c r="X216">
        <v>8</v>
      </c>
      <c r="Y216">
        <f t="shared" si="3"/>
        <v>1</v>
      </c>
      <c r="AA216" s="8"/>
      <c r="AH216">
        <v>1</v>
      </c>
      <c r="AI216">
        <v>1</v>
      </c>
    </row>
    <row r="217" spans="1:40" hidden="1" x14ac:dyDescent="0.3">
      <c r="A217" t="s">
        <v>1108</v>
      </c>
      <c r="B217" s="1">
        <v>6666666630</v>
      </c>
      <c r="C217" s="1"/>
      <c r="D217" t="s">
        <v>357</v>
      </c>
      <c r="E217" t="s">
        <v>1106</v>
      </c>
      <c r="F217" t="b">
        <v>0</v>
      </c>
      <c r="I217">
        <v>1</v>
      </c>
      <c r="J217">
        <v>66</v>
      </c>
      <c r="K217">
        <v>67</v>
      </c>
      <c r="L217">
        <v>68</v>
      </c>
      <c r="M217" t="s">
        <v>69</v>
      </c>
      <c r="N217" t="s">
        <v>33</v>
      </c>
      <c r="O217" t="b">
        <v>1</v>
      </c>
      <c r="Y217">
        <f t="shared" si="3"/>
        <v>45</v>
      </c>
      <c r="AA217" s="8"/>
      <c r="AH217">
        <v>45</v>
      </c>
      <c r="AI217">
        <v>1</v>
      </c>
    </row>
    <row r="218" spans="1:40" hidden="1" x14ac:dyDescent="0.3">
      <c r="A218" t="s">
        <v>1069</v>
      </c>
      <c r="B218" s="1" t="s">
        <v>1068</v>
      </c>
      <c r="C218" s="1"/>
      <c r="D218" t="s">
        <v>357</v>
      </c>
      <c r="F218" t="b">
        <v>0</v>
      </c>
      <c r="I218">
        <v>1</v>
      </c>
      <c r="J218">
        <v>45</v>
      </c>
      <c r="K218">
        <v>40</v>
      </c>
      <c r="L218">
        <v>46</v>
      </c>
      <c r="M218" t="s">
        <v>68</v>
      </c>
      <c r="N218" t="s">
        <v>33</v>
      </c>
      <c r="O218" t="b">
        <v>1</v>
      </c>
      <c r="X218">
        <v>10</v>
      </c>
      <c r="Y218">
        <f>AI218*AH218</f>
        <v>2</v>
      </c>
      <c r="AA218" s="8"/>
      <c r="AH218">
        <v>2</v>
      </c>
      <c r="AI218">
        <v>1</v>
      </c>
    </row>
    <row r="219" spans="1:40" hidden="1" x14ac:dyDescent="0.3">
      <c r="A219" t="s">
        <v>1070</v>
      </c>
      <c r="B219" s="1">
        <v>7235053630</v>
      </c>
      <c r="C219" s="1"/>
      <c r="D219" t="s">
        <v>357</v>
      </c>
      <c r="E219" t="s">
        <v>1229</v>
      </c>
      <c r="F219" t="b">
        <v>0</v>
      </c>
      <c r="I219">
        <v>1</v>
      </c>
      <c r="J219">
        <v>105</v>
      </c>
      <c r="K219">
        <v>63</v>
      </c>
      <c r="L219">
        <v>85</v>
      </c>
      <c r="M219" t="s">
        <v>69</v>
      </c>
      <c r="N219" t="s">
        <v>33</v>
      </c>
      <c r="O219" t="b">
        <v>1</v>
      </c>
      <c r="X219">
        <v>11</v>
      </c>
      <c r="Y219">
        <f t="shared" ref="Y219:Y243" si="4">AI219*AH219</f>
        <v>2</v>
      </c>
      <c r="AA219" s="8"/>
      <c r="AH219">
        <v>2</v>
      </c>
      <c r="AI219">
        <v>1</v>
      </c>
    </row>
    <row r="220" spans="1:40" hidden="1" x14ac:dyDescent="0.3">
      <c r="A220" t="s">
        <v>1071</v>
      </c>
      <c r="B220" s="1">
        <v>7235053630</v>
      </c>
      <c r="C220" s="1"/>
      <c r="D220" t="s">
        <v>357</v>
      </c>
      <c r="F220" t="b">
        <v>0</v>
      </c>
      <c r="I220">
        <v>1</v>
      </c>
      <c r="J220">
        <v>105</v>
      </c>
      <c r="K220">
        <v>63</v>
      </c>
      <c r="L220">
        <v>85</v>
      </c>
      <c r="M220" t="s">
        <v>69</v>
      </c>
      <c r="N220" t="s">
        <v>33</v>
      </c>
      <c r="O220" t="b">
        <v>1</v>
      </c>
      <c r="X220">
        <v>11</v>
      </c>
      <c r="Y220">
        <f t="shared" si="4"/>
        <v>2</v>
      </c>
      <c r="AA220" s="8"/>
      <c r="AH220">
        <v>2</v>
      </c>
      <c r="AI220">
        <v>1</v>
      </c>
    </row>
    <row r="221" spans="1:40" hidden="1" x14ac:dyDescent="0.3">
      <c r="A221" t="s">
        <v>1072</v>
      </c>
      <c r="B221" s="1">
        <v>7235053630</v>
      </c>
      <c r="C221" s="1"/>
      <c r="D221" t="s">
        <v>357</v>
      </c>
      <c r="E221" t="s">
        <v>1229</v>
      </c>
      <c r="F221" t="b">
        <v>0</v>
      </c>
      <c r="I221">
        <v>1</v>
      </c>
      <c r="J221">
        <v>105</v>
      </c>
      <c r="K221">
        <v>71</v>
      </c>
      <c r="L221">
        <v>85</v>
      </c>
      <c r="M221" t="s">
        <v>69</v>
      </c>
      <c r="N221" t="s">
        <v>33</v>
      </c>
      <c r="O221" t="b">
        <v>1</v>
      </c>
      <c r="X221">
        <v>11</v>
      </c>
      <c r="Y221">
        <f t="shared" si="4"/>
        <v>2</v>
      </c>
      <c r="AA221" s="8"/>
      <c r="AH221">
        <v>2</v>
      </c>
      <c r="AI221">
        <v>1</v>
      </c>
      <c r="AN221" t="s">
        <v>1058</v>
      </c>
    </row>
    <row r="222" spans="1:40" hidden="1" x14ac:dyDescent="0.3">
      <c r="A222" t="s">
        <v>1073</v>
      </c>
      <c r="B222" s="1">
        <v>7235053630</v>
      </c>
      <c r="C222" s="1"/>
      <c r="D222" t="s">
        <v>357</v>
      </c>
      <c r="F222" t="b">
        <v>0</v>
      </c>
      <c r="I222">
        <v>1</v>
      </c>
      <c r="J222">
        <v>105</v>
      </c>
      <c r="K222">
        <v>71</v>
      </c>
      <c r="L222">
        <v>85</v>
      </c>
      <c r="M222" t="s">
        <v>69</v>
      </c>
      <c r="N222" t="s">
        <v>33</v>
      </c>
      <c r="O222" t="b">
        <v>1</v>
      </c>
      <c r="X222">
        <v>11</v>
      </c>
      <c r="Y222">
        <f t="shared" si="4"/>
        <v>2</v>
      </c>
      <c r="AA222" s="8"/>
      <c r="AH222">
        <v>2</v>
      </c>
      <c r="AI222">
        <v>1</v>
      </c>
    </row>
    <row r="223" spans="1:40" hidden="1" x14ac:dyDescent="0.3">
      <c r="A223" t="s">
        <v>1088</v>
      </c>
      <c r="B223" s="1" t="s">
        <v>711</v>
      </c>
      <c r="C223" s="1"/>
      <c r="D223" t="s">
        <v>357</v>
      </c>
      <c r="F223" t="b">
        <v>0</v>
      </c>
      <c r="I223">
        <v>1</v>
      </c>
      <c r="J223">
        <v>49</v>
      </c>
      <c r="K223">
        <v>34</v>
      </c>
      <c r="L223">
        <v>44</v>
      </c>
      <c r="M223" t="s">
        <v>71</v>
      </c>
      <c r="N223" t="s">
        <v>33</v>
      </c>
      <c r="O223" t="b">
        <v>1</v>
      </c>
      <c r="X223">
        <v>11</v>
      </c>
      <c r="Y223">
        <f t="shared" si="4"/>
        <v>2</v>
      </c>
      <c r="AA223" s="8"/>
      <c r="AH223">
        <v>2</v>
      </c>
      <c r="AI223">
        <v>1</v>
      </c>
    </row>
    <row r="224" spans="1:40" x14ac:dyDescent="0.3">
      <c r="A224" t="s">
        <v>1090</v>
      </c>
      <c r="B224" s="1" t="s">
        <v>1089</v>
      </c>
      <c r="C224" s="1" t="s">
        <v>1217</v>
      </c>
      <c r="D224" t="s">
        <v>357</v>
      </c>
      <c r="E224" t="s">
        <v>1105</v>
      </c>
      <c r="F224" t="b">
        <v>0</v>
      </c>
      <c r="I224">
        <v>1</v>
      </c>
      <c r="N224" t="s">
        <v>33</v>
      </c>
      <c r="O224" t="b">
        <v>1</v>
      </c>
      <c r="X224">
        <v>12</v>
      </c>
      <c r="Y224">
        <f t="shared" si="4"/>
        <v>8</v>
      </c>
      <c r="AA224" s="8"/>
      <c r="AH224">
        <v>8</v>
      </c>
      <c r="AI224">
        <v>1</v>
      </c>
      <c r="AL224">
        <v>4</v>
      </c>
    </row>
    <row r="225" spans="1:40" hidden="1" x14ac:dyDescent="0.3">
      <c r="A225" t="s">
        <v>1091</v>
      </c>
      <c r="B225" s="1">
        <v>7003756102</v>
      </c>
      <c r="C225" s="1"/>
      <c r="D225" t="s">
        <v>357</v>
      </c>
      <c r="F225" t="b">
        <v>0</v>
      </c>
      <c r="I225">
        <v>1</v>
      </c>
      <c r="J225">
        <v>60</v>
      </c>
      <c r="K225">
        <v>42</v>
      </c>
      <c r="L225">
        <v>45</v>
      </c>
      <c r="M225" t="s">
        <v>68</v>
      </c>
      <c r="N225" t="s">
        <v>33</v>
      </c>
      <c r="O225" t="b">
        <v>1</v>
      </c>
      <c r="X225">
        <v>11</v>
      </c>
      <c r="Y225">
        <f t="shared" si="4"/>
        <v>2</v>
      </c>
      <c r="AA225" s="8"/>
      <c r="AH225">
        <v>2</v>
      </c>
      <c r="AI225">
        <v>1</v>
      </c>
    </row>
    <row r="226" spans="1:40" hidden="1" x14ac:dyDescent="0.3">
      <c r="A226" t="s">
        <v>1092</v>
      </c>
      <c r="B226" s="1">
        <v>7119163630</v>
      </c>
      <c r="C226" s="1"/>
      <c r="D226" t="s">
        <v>357</v>
      </c>
      <c r="F226" t="b">
        <v>0</v>
      </c>
      <c r="I226">
        <v>1</v>
      </c>
      <c r="J226">
        <v>42</v>
      </c>
      <c r="K226">
        <v>35</v>
      </c>
      <c r="L226">
        <v>42</v>
      </c>
      <c r="M226" t="s">
        <v>69</v>
      </c>
      <c r="N226" t="s">
        <v>33</v>
      </c>
      <c r="O226" t="b">
        <v>1</v>
      </c>
      <c r="X226">
        <v>11</v>
      </c>
      <c r="Y226">
        <f t="shared" si="4"/>
        <v>8</v>
      </c>
      <c r="AA226" s="8"/>
      <c r="AH226">
        <v>8</v>
      </c>
      <c r="AI226">
        <v>1</v>
      </c>
    </row>
    <row r="227" spans="1:40" hidden="1" x14ac:dyDescent="0.3">
      <c r="A227" t="s">
        <v>1095</v>
      </c>
      <c r="B227" s="1">
        <v>7047135830</v>
      </c>
      <c r="C227" s="1" t="s">
        <v>1093</v>
      </c>
      <c r="D227" t="s">
        <v>360</v>
      </c>
      <c r="E227" t="s">
        <v>1094</v>
      </c>
      <c r="F227" t="b">
        <v>1</v>
      </c>
      <c r="I227">
        <v>1</v>
      </c>
      <c r="X227">
        <v>11</v>
      </c>
      <c r="Y227">
        <f t="shared" si="4"/>
        <v>2</v>
      </c>
      <c r="AA227" s="8"/>
      <c r="AH227">
        <v>2</v>
      </c>
      <c r="AI227">
        <v>1</v>
      </c>
      <c r="AM227" t="s">
        <v>1210</v>
      </c>
    </row>
    <row r="228" spans="1:40" hidden="1" x14ac:dyDescent="0.3">
      <c r="B228" s="1">
        <v>7047135830</v>
      </c>
      <c r="C228" s="1"/>
      <c r="G228" t="s">
        <v>1095</v>
      </c>
      <c r="H228" t="s">
        <v>1096</v>
      </c>
      <c r="I228">
        <v>1</v>
      </c>
      <c r="J228">
        <v>30</v>
      </c>
      <c r="K228">
        <v>30</v>
      </c>
      <c r="L228">
        <v>60</v>
      </c>
      <c r="M228" t="s">
        <v>72</v>
      </c>
      <c r="N228" t="s">
        <v>33</v>
      </c>
      <c r="O228" t="b">
        <v>1</v>
      </c>
      <c r="Y228">
        <f t="shared" si="4"/>
        <v>0</v>
      </c>
      <c r="AA228" s="8"/>
    </row>
    <row r="229" spans="1:40" hidden="1" x14ac:dyDescent="0.3">
      <c r="B229" s="1">
        <v>7047135830</v>
      </c>
      <c r="C229" s="1"/>
      <c r="G229" t="s">
        <v>1095</v>
      </c>
      <c r="H229" t="s">
        <v>1097</v>
      </c>
      <c r="I229">
        <v>1</v>
      </c>
      <c r="J229">
        <v>44</v>
      </c>
      <c r="K229">
        <v>21</v>
      </c>
      <c r="L229">
        <v>24</v>
      </c>
      <c r="M229" t="s">
        <v>74</v>
      </c>
      <c r="N229" t="s">
        <v>33</v>
      </c>
      <c r="O229" t="b">
        <v>1</v>
      </c>
      <c r="Y229">
        <f t="shared" si="4"/>
        <v>0</v>
      </c>
      <c r="AA229" s="8"/>
    </row>
    <row r="230" spans="1:40" hidden="1" x14ac:dyDescent="0.3">
      <c r="A230" t="s">
        <v>1099</v>
      </c>
      <c r="B230" s="1">
        <v>7047186030</v>
      </c>
      <c r="C230" s="1" t="s">
        <v>1098</v>
      </c>
      <c r="D230" t="s">
        <v>360</v>
      </c>
      <c r="E230" t="s">
        <v>1094</v>
      </c>
      <c r="F230" t="b">
        <v>1</v>
      </c>
      <c r="I230">
        <v>1</v>
      </c>
      <c r="X230">
        <v>11</v>
      </c>
      <c r="Y230">
        <f t="shared" si="4"/>
        <v>10</v>
      </c>
      <c r="AA230" s="8"/>
      <c r="AH230">
        <v>10</v>
      </c>
      <c r="AI230">
        <v>1</v>
      </c>
      <c r="AM230" t="s">
        <v>1216</v>
      </c>
    </row>
    <row r="231" spans="1:40" hidden="1" x14ac:dyDescent="0.3">
      <c r="B231" s="1">
        <v>7047186030</v>
      </c>
      <c r="C231" s="1"/>
      <c r="G231" t="s">
        <v>1099</v>
      </c>
      <c r="H231" t="s">
        <v>1100</v>
      </c>
      <c r="I231">
        <v>1</v>
      </c>
      <c r="J231">
        <v>42</v>
      </c>
      <c r="K231">
        <v>20</v>
      </c>
      <c r="L231">
        <v>59</v>
      </c>
      <c r="M231" t="s">
        <v>72</v>
      </c>
      <c r="N231" t="s">
        <v>33</v>
      </c>
      <c r="O231" t="b">
        <v>1</v>
      </c>
      <c r="Y231">
        <f t="shared" si="4"/>
        <v>0</v>
      </c>
      <c r="AA231" s="8"/>
    </row>
    <row r="232" spans="1:40" hidden="1" x14ac:dyDescent="0.3">
      <c r="B232" s="1">
        <v>7047186030</v>
      </c>
      <c r="C232" s="1"/>
      <c r="G232" t="s">
        <v>1099</v>
      </c>
      <c r="H232" t="s">
        <v>1101</v>
      </c>
      <c r="I232">
        <v>1</v>
      </c>
      <c r="J232">
        <v>64</v>
      </c>
      <c r="K232">
        <v>32</v>
      </c>
      <c r="L232">
        <v>20</v>
      </c>
      <c r="M232" t="s">
        <v>74</v>
      </c>
      <c r="N232" t="s">
        <v>33</v>
      </c>
      <c r="O232" t="b">
        <v>1</v>
      </c>
      <c r="Y232">
        <f t="shared" si="4"/>
        <v>0</v>
      </c>
      <c r="AA232" s="8"/>
    </row>
    <row r="233" spans="1:40" hidden="1" x14ac:dyDescent="0.3">
      <c r="A233" t="s">
        <v>1232</v>
      </c>
      <c r="B233" s="1">
        <v>7119172930</v>
      </c>
      <c r="C233" s="1"/>
      <c r="D233" t="s">
        <v>357</v>
      </c>
      <c r="F233" t="b">
        <v>0</v>
      </c>
      <c r="I233">
        <v>1</v>
      </c>
      <c r="J233">
        <v>40</v>
      </c>
      <c r="K233">
        <v>32</v>
      </c>
      <c r="L233">
        <v>47</v>
      </c>
      <c r="M233" t="s">
        <v>69</v>
      </c>
      <c r="N233" t="s">
        <v>33</v>
      </c>
      <c r="O233" t="b">
        <v>1</v>
      </c>
      <c r="X233">
        <v>12</v>
      </c>
      <c r="Y233">
        <f t="shared" si="4"/>
        <v>2</v>
      </c>
      <c r="AA233" s="8"/>
      <c r="AH233">
        <v>2</v>
      </c>
      <c r="AI233">
        <v>1</v>
      </c>
    </row>
    <row r="234" spans="1:40" x14ac:dyDescent="0.3">
      <c r="A234" t="s">
        <v>1109</v>
      </c>
      <c r="B234" s="1">
        <v>71782472</v>
      </c>
      <c r="C234" s="1" t="s">
        <v>1218</v>
      </c>
      <c r="D234" t="s">
        <v>357</v>
      </c>
      <c r="E234" t="s">
        <v>1105</v>
      </c>
      <c r="I234">
        <v>1</v>
      </c>
      <c r="J234">
        <v>0</v>
      </c>
      <c r="K234">
        <v>0</v>
      </c>
      <c r="L234">
        <v>0</v>
      </c>
      <c r="M234" t="s">
        <v>68</v>
      </c>
      <c r="N234" t="s">
        <v>33</v>
      </c>
      <c r="O234" t="b">
        <v>1</v>
      </c>
      <c r="X234">
        <v>12</v>
      </c>
      <c r="Y234">
        <f t="shared" si="4"/>
        <v>2</v>
      </c>
      <c r="AA234" s="8"/>
      <c r="AH234">
        <v>2</v>
      </c>
      <c r="AI234">
        <v>1</v>
      </c>
      <c r="AL234">
        <v>1</v>
      </c>
      <c r="AN234" t="s">
        <v>1219</v>
      </c>
    </row>
    <row r="235" spans="1:40" hidden="1" x14ac:dyDescent="0.3">
      <c r="A235" t="s">
        <v>1235</v>
      </c>
      <c r="B235" s="1" t="s">
        <v>1104</v>
      </c>
      <c r="C235" s="1"/>
      <c r="D235" t="s">
        <v>357</v>
      </c>
      <c r="F235" t="b">
        <v>0</v>
      </c>
      <c r="I235">
        <v>1</v>
      </c>
      <c r="J235">
        <v>42</v>
      </c>
      <c r="K235">
        <v>35</v>
      </c>
      <c r="L235">
        <v>49</v>
      </c>
      <c r="M235" t="s">
        <v>68</v>
      </c>
      <c r="N235" t="s">
        <v>33</v>
      </c>
      <c r="O235" t="b">
        <v>1</v>
      </c>
      <c r="X235">
        <v>12</v>
      </c>
      <c r="Y235">
        <f t="shared" si="4"/>
        <v>2</v>
      </c>
      <c r="AA235" s="8"/>
      <c r="AH235">
        <v>2</v>
      </c>
      <c r="AI235">
        <v>1</v>
      </c>
      <c r="AN235" t="s">
        <v>1219</v>
      </c>
    </row>
    <row r="236" spans="1:40" x14ac:dyDescent="0.3">
      <c r="A236" t="s">
        <v>1240</v>
      </c>
      <c r="B236" s="1">
        <v>7289982670</v>
      </c>
      <c r="C236" s="1" t="s">
        <v>1218</v>
      </c>
      <c r="D236" t="s">
        <v>357</v>
      </c>
      <c r="I236">
        <v>1</v>
      </c>
      <c r="J236">
        <v>44</v>
      </c>
      <c r="K236">
        <v>40</v>
      </c>
      <c r="L236">
        <v>47</v>
      </c>
      <c r="M236" t="s">
        <v>74</v>
      </c>
      <c r="N236" t="s">
        <v>33</v>
      </c>
      <c r="O236" t="b">
        <v>1</v>
      </c>
      <c r="X236">
        <v>12</v>
      </c>
      <c r="Y236">
        <f t="shared" si="4"/>
        <v>2</v>
      </c>
      <c r="AA236" s="8"/>
      <c r="AH236">
        <v>2</v>
      </c>
      <c r="AI236">
        <v>1</v>
      </c>
      <c r="AL236">
        <v>1</v>
      </c>
    </row>
    <row r="237" spans="1:40" x14ac:dyDescent="0.3">
      <c r="A237" t="s">
        <v>1239</v>
      </c>
      <c r="B237" s="1">
        <v>7035990930</v>
      </c>
      <c r="C237" s="1" t="s">
        <v>1218</v>
      </c>
      <c r="D237" t="s">
        <v>357</v>
      </c>
      <c r="E237" t="s">
        <v>1237</v>
      </c>
      <c r="F237" t="b">
        <v>0</v>
      </c>
      <c r="I237">
        <v>1</v>
      </c>
      <c r="J237">
        <v>95</v>
      </c>
      <c r="K237">
        <v>50</v>
      </c>
      <c r="L237">
        <v>80</v>
      </c>
      <c r="M237" t="s">
        <v>69</v>
      </c>
      <c r="N237" t="s">
        <v>33</v>
      </c>
      <c r="O237" t="b">
        <v>1</v>
      </c>
      <c r="X237">
        <v>12</v>
      </c>
      <c r="Y237">
        <f t="shared" si="4"/>
        <v>2</v>
      </c>
      <c r="AA237" s="8"/>
      <c r="AH237">
        <v>2</v>
      </c>
      <c r="AI237">
        <v>1</v>
      </c>
      <c r="AL237">
        <v>1</v>
      </c>
    </row>
    <row r="238" spans="1:40" hidden="1" x14ac:dyDescent="0.3">
      <c r="A238" t="s">
        <v>1238</v>
      </c>
      <c r="B238" s="1">
        <v>7035990930</v>
      </c>
      <c r="C238" s="1"/>
      <c r="D238" t="s">
        <v>357</v>
      </c>
      <c r="E238" t="s">
        <v>1236</v>
      </c>
      <c r="F238" t="b">
        <v>0</v>
      </c>
      <c r="I238">
        <v>1</v>
      </c>
      <c r="J238">
        <v>95</v>
      </c>
      <c r="K238">
        <v>50</v>
      </c>
      <c r="L238">
        <v>80</v>
      </c>
      <c r="M238" t="s">
        <v>69</v>
      </c>
      <c r="N238" t="s">
        <v>33</v>
      </c>
      <c r="O238" t="b">
        <v>1</v>
      </c>
      <c r="X238">
        <v>12</v>
      </c>
      <c r="Y238">
        <f t="shared" si="4"/>
        <v>2</v>
      </c>
      <c r="AA238" s="8"/>
      <c r="AH238">
        <v>2</v>
      </c>
      <c r="AI238">
        <v>1</v>
      </c>
    </row>
    <row r="239" spans="1:40" x14ac:dyDescent="0.3">
      <c r="A239" t="s">
        <v>1234</v>
      </c>
      <c r="B239" s="1">
        <v>7075181330</v>
      </c>
      <c r="C239" s="1" t="s">
        <v>1058</v>
      </c>
      <c r="D239" t="s">
        <v>357</v>
      </c>
      <c r="F239" t="b">
        <v>0</v>
      </c>
      <c r="I239">
        <v>1</v>
      </c>
      <c r="M239" t="s">
        <v>69</v>
      </c>
      <c r="N239" t="s">
        <v>33</v>
      </c>
      <c r="O239" t="b">
        <v>1</v>
      </c>
      <c r="Q239" t="b">
        <v>1</v>
      </c>
      <c r="R239">
        <v>100</v>
      </c>
      <c r="S239">
        <v>20</v>
      </c>
      <c r="T239">
        <v>50</v>
      </c>
      <c r="U239">
        <v>2</v>
      </c>
      <c r="X239">
        <v>17</v>
      </c>
      <c r="Y239">
        <f t="shared" si="4"/>
        <v>2</v>
      </c>
      <c r="AA239" s="8"/>
      <c r="AH239">
        <v>2</v>
      </c>
      <c r="AI239">
        <v>1</v>
      </c>
      <c r="AL239">
        <v>1</v>
      </c>
    </row>
    <row r="240" spans="1:40" hidden="1" x14ac:dyDescent="0.3">
      <c r="A240" t="s">
        <v>1112</v>
      </c>
      <c r="B240" s="1">
        <v>7198599230</v>
      </c>
      <c r="C240" s="1"/>
      <c r="D240" t="s">
        <v>357</v>
      </c>
      <c r="E240" t="s">
        <v>1105</v>
      </c>
      <c r="I240">
        <v>1</v>
      </c>
      <c r="J240">
        <v>0</v>
      </c>
      <c r="K240">
        <v>0</v>
      </c>
      <c r="L240">
        <v>0</v>
      </c>
      <c r="M240" t="s">
        <v>69</v>
      </c>
      <c r="N240" t="s">
        <v>33</v>
      </c>
      <c r="O240" t="b">
        <v>1</v>
      </c>
      <c r="X240">
        <v>12</v>
      </c>
      <c r="Y240">
        <f t="shared" si="4"/>
        <v>2</v>
      </c>
      <c r="AA240" s="8"/>
      <c r="AH240">
        <v>2</v>
      </c>
      <c r="AI240">
        <v>1</v>
      </c>
    </row>
    <row r="241" spans="1:39" hidden="1" x14ac:dyDescent="0.3">
      <c r="A241" t="s">
        <v>1113</v>
      </c>
      <c r="B241" s="1">
        <v>7235952330</v>
      </c>
      <c r="C241" s="1"/>
      <c r="D241" t="s">
        <v>357</v>
      </c>
      <c r="E241" t="s">
        <v>1107</v>
      </c>
      <c r="I241">
        <v>1</v>
      </c>
      <c r="J241">
        <v>0</v>
      </c>
      <c r="K241">
        <v>0</v>
      </c>
      <c r="L241">
        <v>0</v>
      </c>
      <c r="M241" t="s">
        <v>69</v>
      </c>
      <c r="N241" t="s">
        <v>33</v>
      </c>
      <c r="O241" t="b">
        <v>1</v>
      </c>
      <c r="X241">
        <v>12</v>
      </c>
      <c r="Y241">
        <f t="shared" si="4"/>
        <v>2</v>
      </c>
      <c r="AA241" s="8"/>
      <c r="AH241">
        <v>2</v>
      </c>
      <c r="AI241">
        <v>1</v>
      </c>
    </row>
    <row r="242" spans="1:39" x14ac:dyDescent="0.3">
      <c r="A242" t="s">
        <v>1114</v>
      </c>
      <c r="B242" s="1">
        <v>7287547130</v>
      </c>
      <c r="C242" s="1" t="s">
        <v>1219</v>
      </c>
      <c r="D242" t="s">
        <v>357</v>
      </c>
      <c r="E242" t="s">
        <v>1105</v>
      </c>
      <c r="I242">
        <v>1</v>
      </c>
      <c r="J242">
        <v>0</v>
      </c>
      <c r="K242">
        <v>0</v>
      </c>
      <c r="L242">
        <v>0</v>
      </c>
      <c r="M242" t="s">
        <v>69</v>
      </c>
      <c r="N242" t="s">
        <v>33</v>
      </c>
      <c r="O242" t="b">
        <v>1</v>
      </c>
      <c r="X242">
        <v>12</v>
      </c>
      <c r="Y242">
        <f t="shared" si="4"/>
        <v>2</v>
      </c>
      <c r="AA242" s="8"/>
      <c r="AH242">
        <v>2</v>
      </c>
      <c r="AI242">
        <v>1</v>
      </c>
      <c r="AL242">
        <v>1</v>
      </c>
    </row>
    <row r="243" spans="1:39" x14ac:dyDescent="0.3">
      <c r="A243" t="s">
        <v>1259</v>
      </c>
      <c r="B243" s="1">
        <v>7252809330</v>
      </c>
      <c r="C243" s="1" t="s">
        <v>1058</v>
      </c>
      <c r="D243" t="s">
        <v>360</v>
      </c>
      <c r="E243" t="s">
        <v>1094</v>
      </c>
      <c r="F243" t="b">
        <v>1</v>
      </c>
      <c r="I243">
        <v>1</v>
      </c>
      <c r="M243" t="s">
        <v>69</v>
      </c>
      <c r="N243" t="s">
        <v>33</v>
      </c>
      <c r="O243" t="b">
        <v>1</v>
      </c>
      <c r="X243">
        <v>12</v>
      </c>
      <c r="Y243">
        <f t="shared" si="4"/>
        <v>2</v>
      </c>
      <c r="AA243" s="8"/>
      <c r="AH243">
        <v>2</v>
      </c>
      <c r="AI243">
        <v>1</v>
      </c>
      <c r="AL243">
        <v>1</v>
      </c>
      <c r="AM243" t="s">
        <v>1214</v>
      </c>
    </row>
    <row r="244" spans="1:39" hidden="1" x14ac:dyDescent="0.3">
      <c r="B244" s="1">
        <v>7252809330</v>
      </c>
      <c r="C244" s="1"/>
      <c r="G244" t="s">
        <v>1259</v>
      </c>
      <c r="H244" t="s">
        <v>1260</v>
      </c>
      <c r="I244">
        <v>1</v>
      </c>
      <c r="J244">
        <v>40</v>
      </c>
      <c r="K244">
        <v>44</v>
      </c>
      <c r="L244">
        <v>60</v>
      </c>
      <c r="M244" t="s">
        <v>72</v>
      </c>
      <c r="N244" t="s">
        <v>33</v>
      </c>
      <c r="O244" t="b">
        <v>1</v>
      </c>
      <c r="Y244">
        <f>AI244*AH244</f>
        <v>0</v>
      </c>
      <c r="AA244" s="8"/>
    </row>
    <row r="245" spans="1:39" hidden="1" x14ac:dyDescent="0.3">
      <c r="B245" s="1">
        <v>7252809330</v>
      </c>
      <c r="C245" s="1"/>
      <c r="G245" t="s">
        <v>1259</v>
      </c>
      <c r="H245" t="s">
        <v>1261</v>
      </c>
      <c r="I245">
        <v>1</v>
      </c>
      <c r="J245">
        <v>50</v>
      </c>
      <c r="K245">
        <v>24</v>
      </c>
      <c r="L245">
        <v>28</v>
      </c>
      <c r="M245" t="s">
        <v>74</v>
      </c>
      <c r="N245" t="s">
        <v>33</v>
      </c>
      <c r="O245" t="b">
        <v>1</v>
      </c>
      <c r="Y245">
        <f>AI245*AH245</f>
        <v>0</v>
      </c>
      <c r="AA245" s="8"/>
    </row>
    <row r="246" spans="1:39" x14ac:dyDescent="0.3">
      <c r="A246" t="s">
        <v>1110</v>
      </c>
      <c r="B246" s="1">
        <v>7047052330</v>
      </c>
      <c r="C246" s="1" t="s">
        <v>1058</v>
      </c>
      <c r="D246" t="s">
        <v>360</v>
      </c>
      <c r="E246" t="s">
        <v>1094</v>
      </c>
      <c r="F246" t="b">
        <v>1</v>
      </c>
      <c r="I246">
        <v>1</v>
      </c>
      <c r="X246">
        <v>12</v>
      </c>
      <c r="Y246">
        <f t="shared" ref="Y246:Y271" si="5">AI246*AH246</f>
        <v>4</v>
      </c>
      <c r="AA246" s="8"/>
      <c r="AH246">
        <v>4</v>
      </c>
      <c r="AI246">
        <v>1</v>
      </c>
      <c r="AL246">
        <v>2</v>
      </c>
      <c r="AM246" t="s">
        <v>1206</v>
      </c>
    </row>
    <row r="247" spans="1:39" hidden="1" x14ac:dyDescent="0.3">
      <c r="B247" s="1">
        <v>7047052330</v>
      </c>
      <c r="C247" s="1"/>
      <c r="G247" t="s">
        <v>1110</v>
      </c>
      <c r="H247" t="s">
        <v>1202</v>
      </c>
      <c r="I247">
        <v>1</v>
      </c>
      <c r="J247">
        <v>0</v>
      </c>
      <c r="K247">
        <v>0</v>
      </c>
      <c r="L247">
        <v>0</v>
      </c>
      <c r="M247" t="s">
        <v>72</v>
      </c>
      <c r="N247" t="s">
        <v>33</v>
      </c>
      <c r="O247" t="b">
        <v>1</v>
      </c>
      <c r="Y247">
        <f>AI247*AH247</f>
        <v>0</v>
      </c>
      <c r="AA247" s="8"/>
    </row>
    <row r="248" spans="1:39" hidden="1" x14ac:dyDescent="0.3">
      <c r="B248" s="1">
        <v>7047052330</v>
      </c>
      <c r="C248" s="1"/>
      <c r="G248" t="s">
        <v>1110</v>
      </c>
      <c r="H248" t="s">
        <v>1203</v>
      </c>
      <c r="I248">
        <v>1</v>
      </c>
      <c r="J248">
        <v>0</v>
      </c>
      <c r="K248">
        <v>0</v>
      </c>
      <c r="L248">
        <v>0</v>
      </c>
      <c r="M248" t="s">
        <v>74</v>
      </c>
      <c r="N248" t="s">
        <v>33</v>
      </c>
      <c r="O248" t="b">
        <v>1</v>
      </c>
      <c r="Y248">
        <f>AI248*AH248</f>
        <v>0</v>
      </c>
      <c r="AA248" s="8"/>
    </row>
    <row r="249" spans="1:39" x14ac:dyDescent="0.3">
      <c r="A249" t="s">
        <v>1243</v>
      </c>
      <c r="B249" s="1">
        <v>7052161430</v>
      </c>
      <c r="C249" s="1" t="s">
        <v>1265</v>
      </c>
      <c r="D249" t="s">
        <v>360</v>
      </c>
      <c r="E249" t="s">
        <v>1244</v>
      </c>
      <c r="F249" t="b">
        <v>1</v>
      </c>
      <c r="I249">
        <v>1</v>
      </c>
      <c r="X249">
        <v>12</v>
      </c>
      <c r="Y249">
        <f t="shared" si="5"/>
        <v>2</v>
      </c>
      <c r="AA249" s="8"/>
      <c r="AH249">
        <v>2</v>
      </c>
      <c r="AI249">
        <v>1</v>
      </c>
      <c r="AL249">
        <v>1</v>
      </c>
      <c r="AM249" t="s">
        <v>1210</v>
      </c>
    </row>
    <row r="250" spans="1:39" hidden="1" x14ac:dyDescent="0.3">
      <c r="B250" s="1">
        <v>7052161430</v>
      </c>
      <c r="C250" s="1"/>
      <c r="G250" t="s">
        <v>1243</v>
      </c>
      <c r="H250" t="s">
        <v>1245</v>
      </c>
      <c r="I250">
        <v>1</v>
      </c>
      <c r="J250">
        <v>30</v>
      </c>
      <c r="K250">
        <v>30</v>
      </c>
      <c r="L250">
        <v>60</v>
      </c>
      <c r="M250" t="s">
        <v>72</v>
      </c>
      <c r="N250" t="s">
        <v>33</v>
      </c>
      <c r="O250" t="b">
        <v>1</v>
      </c>
      <c r="Y250">
        <f>AI250*AH250</f>
        <v>0</v>
      </c>
      <c r="AA250" s="8"/>
    </row>
    <row r="251" spans="1:39" hidden="1" x14ac:dyDescent="0.3">
      <c r="B251" s="1">
        <v>7052161430</v>
      </c>
      <c r="C251" s="1"/>
      <c r="G251" t="s">
        <v>1243</v>
      </c>
      <c r="H251" t="s">
        <v>1246</v>
      </c>
      <c r="I251">
        <v>1</v>
      </c>
      <c r="J251">
        <v>44</v>
      </c>
      <c r="K251">
        <v>21</v>
      </c>
      <c r="L251">
        <v>24</v>
      </c>
      <c r="M251" t="s">
        <v>74</v>
      </c>
      <c r="N251" t="s">
        <v>33</v>
      </c>
      <c r="O251" t="b">
        <v>1</v>
      </c>
      <c r="Y251">
        <f>AI251*AH251</f>
        <v>0</v>
      </c>
      <c r="AA251" s="8"/>
    </row>
    <row r="252" spans="1:39" hidden="1" x14ac:dyDescent="0.3">
      <c r="B252" s="1">
        <v>7052161430</v>
      </c>
      <c r="C252" s="1"/>
      <c r="G252" t="s">
        <v>1243</v>
      </c>
      <c r="H252" t="s">
        <v>1247</v>
      </c>
      <c r="I252">
        <v>1</v>
      </c>
      <c r="J252">
        <v>0</v>
      </c>
      <c r="K252">
        <v>0</v>
      </c>
      <c r="L252">
        <v>0</v>
      </c>
      <c r="N252" t="s">
        <v>54</v>
      </c>
      <c r="O252" t="b">
        <v>1</v>
      </c>
      <c r="Y252">
        <f>AI252*AH252</f>
        <v>0</v>
      </c>
      <c r="AA252" s="8"/>
    </row>
    <row r="253" spans="1:39" hidden="1" x14ac:dyDescent="0.3">
      <c r="A253" t="s">
        <v>1117</v>
      </c>
      <c r="B253" s="1">
        <v>7147882430</v>
      </c>
      <c r="C253" s="1"/>
      <c r="D253" t="s">
        <v>360</v>
      </c>
      <c r="E253" t="s">
        <v>1094</v>
      </c>
      <c r="F253" t="b">
        <v>1</v>
      </c>
      <c r="I253">
        <v>1</v>
      </c>
      <c r="X253">
        <v>12</v>
      </c>
      <c r="Y253">
        <f t="shared" si="5"/>
        <v>6</v>
      </c>
      <c r="AA253" s="8"/>
      <c r="AH253">
        <v>6</v>
      </c>
      <c r="AI253">
        <v>1</v>
      </c>
    </row>
    <row r="254" spans="1:39" hidden="1" x14ac:dyDescent="0.3">
      <c r="B254" s="1">
        <v>7147882430</v>
      </c>
      <c r="C254" s="1"/>
      <c r="G254" t="s">
        <v>1117</v>
      </c>
      <c r="H254" t="s">
        <v>1118</v>
      </c>
      <c r="I254">
        <v>1</v>
      </c>
      <c r="J254">
        <v>44</v>
      </c>
      <c r="K254">
        <v>30</v>
      </c>
      <c r="L254">
        <v>60</v>
      </c>
      <c r="M254" t="s">
        <v>72</v>
      </c>
      <c r="N254" t="s">
        <v>33</v>
      </c>
      <c r="O254" t="b">
        <v>1</v>
      </c>
      <c r="Y254">
        <f>AI254*AH254</f>
        <v>0</v>
      </c>
      <c r="AA254" s="8"/>
      <c r="AI254">
        <v>1</v>
      </c>
    </row>
    <row r="255" spans="1:39" hidden="1" x14ac:dyDescent="0.3">
      <c r="B255" s="1">
        <v>7147882430</v>
      </c>
      <c r="C255" s="1"/>
      <c r="G255" t="s">
        <v>1117</v>
      </c>
      <c r="H255" t="s">
        <v>1119</v>
      </c>
      <c r="I255">
        <v>1</v>
      </c>
      <c r="J255">
        <v>49</v>
      </c>
      <c r="K255">
        <v>33</v>
      </c>
      <c r="L255">
        <v>28</v>
      </c>
      <c r="M255" t="s">
        <v>74</v>
      </c>
      <c r="N255" t="s">
        <v>33</v>
      </c>
      <c r="O255" t="b">
        <v>1</v>
      </c>
      <c r="Y255">
        <f>AI255*AH255</f>
        <v>0</v>
      </c>
      <c r="AA255" s="8"/>
      <c r="AI255">
        <v>1</v>
      </c>
    </row>
    <row r="256" spans="1:39" hidden="1" x14ac:dyDescent="0.3">
      <c r="A256" t="s">
        <v>1186</v>
      </c>
      <c r="B256" s="1">
        <v>7247760930</v>
      </c>
      <c r="C256" s="1"/>
      <c r="D256" t="s">
        <v>360</v>
      </c>
      <c r="E256" t="s">
        <v>1094</v>
      </c>
      <c r="F256" t="b">
        <v>1</v>
      </c>
      <c r="I256">
        <v>1</v>
      </c>
      <c r="X256">
        <v>12</v>
      </c>
      <c r="Y256">
        <f t="shared" si="5"/>
        <v>2</v>
      </c>
      <c r="AA256" s="8"/>
      <c r="AH256">
        <v>2</v>
      </c>
      <c r="AI256">
        <v>1</v>
      </c>
      <c r="AM256" t="s">
        <v>1210</v>
      </c>
    </row>
    <row r="257" spans="1:39" ht="15" hidden="1" customHeight="1" x14ac:dyDescent="0.3">
      <c r="B257" s="1">
        <v>7247760930</v>
      </c>
      <c r="C257" s="1"/>
      <c r="G257" t="s">
        <v>1186</v>
      </c>
      <c r="H257" t="s">
        <v>1187</v>
      </c>
      <c r="I257">
        <v>1</v>
      </c>
      <c r="J257">
        <v>42</v>
      </c>
      <c r="K257">
        <v>35</v>
      </c>
      <c r="L257">
        <v>60</v>
      </c>
      <c r="M257" t="s">
        <v>72</v>
      </c>
      <c r="N257" t="s">
        <v>33</v>
      </c>
      <c r="O257" t="b">
        <v>1</v>
      </c>
      <c r="Y257">
        <f>AI257*AH257</f>
        <v>0</v>
      </c>
      <c r="AA257" s="8"/>
    </row>
    <row r="258" spans="1:39" hidden="1" x14ac:dyDescent="0.3">
      <c r="B258" s="1">
        <v>7247760930</v>
      </c>
      <c r="C258" s="1"/>
      <c r="G258" t="s">
        <v>1186</v>
      </c>
      <c r="H258" t="s">
        <v>1188</v>
      </c>
      <c r="I258">
        <v>1</v>
      </c>
      <c r="J258">
        <v>47</v>
      </c>
      <c r="K258">
        <v>22</v>
      </c>
      <c r="L258">
        <v>35</v>
      </c>
      <c r="M258" t="s">
        <v>74</v>
      </c>
      <c r="N258" t="s">
        <v>33</v>
      </c>
      <c r="O258" t="b">
        <v>1</v>
      </c>
      <c r="Y258">
        <f>AI258*AH258</f>
        <v>0</v>
      </c>
      <c r="AA258" s="8"/>
    </row>
    <row r="259" spans="1:39" hidden="1" x14ac:dyDescent="0.3">
      <c r="A259" t="s">
        <v>1189</v>
      </c>
      <c r="B259" s="1">
        <v>7247761330</v>
      </c>
      <c r="C259" s="1"/>
      <c r="D259" t="s">
        <v>360</v>
      </c>
      <c r="E259" t="s">
        <v>1094</v>
      </c>
      <c r="F259" t="b">
        <v>1</v>
      </c>
      <c r="I259">
        <v>1</v>
      </c>
      <c r="X259">
        <v>12</v>
      </c>
      <c r="Y259">
        <v>2</v>
      </c>
      <c r="AA259" s="8"/>
      <c r="AH259">
        <v>2</v>
      </c>
      <c r="AI259">
        <v>1</v>
      </c>
      <c r="AM259" t="s">
        <v>1212</v>
      </c>
    </row>
    <row r="260" spans="1:39" hidden="1" x14ac:dyDescent="0.3">
      <c r="B260" s="1">
        <v>7247761330</v>
      </c>
      <c r="C260" s="1"/>
      <c r="G260" t="s">
        <v>1189</v>
      </c>
      <c r="H260" t="s">
        <v>1190</v>
      </c>
      <c r="I260">
        <v>1</v>
      </c>
      <c r="J260">
        <v>40</v>
      </c>
      <c r="K260">
        <v>35</v>
      </c>
      <c r="L260">
        <v>60</v>
      </c>
      <c r="M260" t="s">
        <v>72</v>
      </c>
      <c r="N260" t="s">
        <v>33</v>
      </c>
      <c r="O260" t="b">
        <v>1</v>
      </c>
      <c r="Y260">
        <f>AI260*AH260</f>
        <v>0</v>
      </c>
      <c r="AA260" s="8"/>
    </row>
    <row r="261" spans="1:39" hidden="1" x14ac:dyDescent="0.3">
      <c r="B261" s="1">
        <v>7247761330</v>
      </c>
      <c r="C261" s="1"/>
      <c r="G261" t="s">
        <v>1189</v>
      </c>
      <c r="H261" t="s">
        <v>1191</v>
      </c>
      <c r="I261">
        <v>1</v>
      </c>
      <c r="J261">
        <v>47</v>
      </c>
      <c r="K261">
        <v>22</v>
      </c>
      <c r="L261">
        <v>37</v>
      </c>
      <c r="M261" t="s">
        <v>74</v>
      </c>
      <c r="N261" t="s">
        <v>33</v>
      </c>
      <c r="O261" t="b">
        <v>1</v>
      </c>
      <c r="Y261">
        <f>AI261*AH261</f>
        <v>0</v>
      </c>
      <c r="AA261" s="8"/>
    </row>
    <row r="262" spans="1:39" hidden="1" x14ac:dyDescent="0.3">
      <c r="A262" t="s">
        <v>1197</v>
      </c>
      <c r="B262" s="1">
        <v>7247781230</v>
      </c>
      <c r="C262" s="1"/>
      <c r="D262" t="s">
        <v>360</v>
      </c>
      <c r="E262" t="s">
        <v>1094</v>
      </c>
      <c r="F262" t="b">
        <v>1</v>
      </c>
      <c r="I262">
        <v>1</v>
      </c>
      <c r="X262">
        <v>12</v>
      </c>
      <c r="Y262">
        <f t="shared" si="5"/>
        <v>2</v>
      </c>
      <c r="AA262" s="8"/>
      <c r="AH262">
        <v>2</v>
      </c>
      <c r="AI262">
        <v>1</v>
      </c>
      <c r="AM262" t="s">
        <v>1210</v>
      </c>
    </row>
    <row r="263" spans="1:39" hidden="1" x14ac:dyDescent="0.3">
      <c r="B263" s="1">
        <v>7247781230</v>
      </c>
      <c r="C263" s="1"/>
      <c r="G263" t="s">
        <v>1197</v>
      </c>
      <c r="H263" t="s">
        <v>1198</v>
      </c>
      <c r="I263">
        <v>1</v>
      </c>
      <c r="J263">
        <v>40</v>
      </c>
      <c r="K263">
        <v>35</v>
      </c>
      <c r="L263">
        <v>60</v>
      </c>
      <c r="M263" t="s">
        <v>72</v>
      </c>
      <c r="N263" t="s">
        <v>33</v>
      </c>
      <c r="O263" t="b">
        <v>1</v>
      </c>
      <c r="Y263">
        <f>AI263*AH263</f>
        <v>0</v>
      </c>
      <c r="AA263" s="8"/>
    </row>
    <row r="264" spans="1:39" hidden="1" x14ac:dyDescent="0.3">
      <c r="B264" s="1">
        <v>7247781230</v>
      </c>
      <c r="C264" s="1"/>
      <c r="G264" t="s">
        <v>1197</v>
      </c>
      <c r="H264" t="s">
        <v>1199</v>
      </c>
      <c r="I264">
        <v>1</v>
      </c>
      <c r="J264">
        <v>47</v>
      </c>
      <c r="K264">
        <v>22</v>
      </c>
      <c r="L264">
        <v>35</v>
      </c>
      <c r="M264" t="s">
        <v>74</v>
      </c>
      <c r="N264" t="s">
        <v>33</v>
      </c>
      <c r="O264" t="b">
        <v>1</v>
      </c>
      <c r="Y264">
        <f>AI264*AH264</f>
        <v>0</v>
      </c>
      <c r="AA264" s="8"/>
    </row>
    <row r="265" spans="1:39" x14ac:dyDescent="0.3">
      <c r="A265" t="s">
        <v>1111</v>
      </c>
      <c r="B265" s="1">
        <v>72478572</v>
      </c>
      <c r="C265" s="1" t="s">
        <v>1219</v>
      </c>
      <c r="D265" t="s">
        <v>360</v>
      </c>
      <c r="E265" t="s">
        <v>1094</v>
      </c>
      <c r="F265" t="b">
        <v>1</v>
      </c>
      <c r="I265">
        <v>1</v>
      </c>
      <c r="X265">
        <v>12</v>
      </c>
      <c r="Y265">
        <f t="shared" si="5"/>
        <v>2</v>
      </c>
      <c r="AA265" s="8"/>
      <c r="AH265">
        <v>2</v>
      </c>
      <c r="AI265">
        <v>1</v>
      </c>
      <c r="AL265">
        <v>1</v>
      </c>
      <c r="AM265" t="s">
        <v>1212</v>
      </c>
    </row>
    <row r="266" spans="1:39" hidden="1" x14ac:dyDescent="0.3">
      <c r="B266" s="1">
        <v>72478572</v>
      </c>
      <c r="C266" s="1"/>
      <c r="G266" t="s">
        <v>1111</v>
      </c>
      <c r="H266" t="s">
        <v>1201</v>
      </c>
      <c r="I266">
        <v>1</v>
      </c>
      <c r="J266">
        <v>0</v>
      </c>
      <c r="K266">
        <v>0</v>
      </c>
      <c r="L266">
        <v>0</v>
      </c>
      <c r="M266" t="s">
        <v>72</v>
      </c>
      <c r="N266" t="s">
        <v>33</v>
      </c>
      <c r="O266" t="b">
        <v>1</v>
      </c>
      <c r="Y266">
        <f>AI266*AH266</f>
        <v>0</v>
      </c>
      <c r="AA266" s="8"/>
    </row>
    <row r="267" spans="1:39" hidden="1" x14ac:dyDescent="0.3">
      <c r="B267" s="1">
        <v>72478572</v>
      </c>
      <c r="C267" s="1"/>
      <c r="G267" t="s">
        <v>1111</v>
      </c>
      <c r="H267" t="s">
        <v>1205</v>
      </c>
      <c r="I267">
        <v>1</v>
      </c>
      <c r="J267">
        <v>0</v>
      </c>
      <c r="K267">
        <v>0</v>
      </c>
      <c r="L267">
        <v>0</v>
      </c>
      <c r="M267" t="s">
        <v>74</v>
      </c>
      <c r="N267" t="s">
        <v>33</v>
      </c>
      <c r="O267" t="b">
        <v>1</v>
      </c>
      <c r="Y267">
        <f>AI267*AH267</f>
        <v>0</v>
      </c>
      <c r="AA267" s="8"/>
    </row>
    <row r="268" spans="1:39" hidden="1" x14ac:dyDescent="0.3">
      <c r="A268" t="s">
        <v>1192</v>
      </c>
      <c r="B268" s="1">
        <v>7252779130</v>
      </c>
      <c r="C268" s="1"/>
      <c r="D268" t="s">
        <v>360</v>
      </c>
      <c r="E268" t="s">
        <v>1094</v>
      </c>
      <c r="F268" t="b">
        <v>1</v>
      </c>
      <c r="I268">
        <v>1</v>
      </c>
      <c r="X268">
        <v>12</v>
      </c>
      <c r="Y268">
        <f t="shared" si="5"/>
        <v>4</v>
      </c>
      <c r="AA268" s="8"/>
      <c r="AH268">
        <v>4</v>
      </c>
      <c r="AI268">
        <v>1</v>
      </c>
      <c r="AM268" t="s">
        <v>1208</v>
      </c>
    </row>
    <row r="269" spans="1:39" hidden="1" x14ac:dyDescent="0.3">
      <c r="B269" s="1">
        <v>7252779130</v>
      </c>
      <c r="C269" s="1"/>
      <c r="G269" t="s">
        <v>1192</v>
      </c>
      <c r="H269" t="s">
        <v>1193</v>
      </c>
      <c r="I269">
        <v>1</v>
      </c>
      <c r="J269">
        <v>40</v>
      </c>
      <c r="K269">
        <v>35</v>
      </c>
      <c r="L269">
        <v>57</v>
      </c>
      <c r="M269" t="s">
        <v>72</v>
      </c>
      <c r="N269" t="s">
        <v>33</v>
      </c>
      <c r="O269" t="b">
        <v>1</v>
      </c>
      <c r="Y269">
        <f>AI269*AH269</f>
        <v>0</v>
      </c>
      <c r="AA269" s="8"/>
    </row>
    <row r="270" spans="1:39" hidden="1" x14ac:dyDescent="0.3">
      <c r="B270" s="1">
        <v>7252779130</v>
      </c>
      <c r="C270" s="1"/>
      <c r="G270" t="s">
        <v>1192</v>
      </c>
      <c r="H270" t="s">
        <v>1194</v>
      </c>
      <c r="I270">
        <v>1</v>
      </c>
      <c r="J270">
        <v>47</v>
      </c>
      <c r="K270">
        <v>22</v>
      </c>
      <c r="L270">
        <v>37</v>
      </c>
      <c r="M270" t="s">
        <v>74</v>
      </c>
      <c r="N270" t="s">
        <v>33</v>
      </c>
      <c r="O270" t="b">
        <v>1</v>
      </c>
      <c r="Y270">
        <f>AI270*AH270</f>
        <v>0</v>
      </c>
      <c r="AA270" s="8"/>
    </row>
    <row r="271" spans="1:39" x14ac:dyDescent="0.3">
      <c r="A271" t="s">
        <v>1223</v>
      </c>
      <c r="B271" s="1">
        <v>7252785330</v>
      </c>
      <c r="C271" s="1" t="s">
        <v>1218</v>
      </c>
      <c r="D271" t="s">
        <v>360</v>
      </c>
      <c r="E271" t="s">
        <v>1094</v>
      </c>
      <c r="F271" t="b">
        <v>1</v>
      </c>
      <c r="I271">
        <v>1</v>
      </c>
      <c r="X271">
        <v>12</v>
      </c>
      <c r="Y271">
        <f t="shared" si="5"/>
        <v>6</v>
      </c>
      <c r="AA271" s="8"/>
      <c r="AH271">
        <v>6</v>
      </c>
      <c r="AI271">
        <v>1</v>
      </c>
      <c r="AL271">
        <v>3</v>
      </c>
      <c r="AM271" t="s">
        <v>1209</v>
      </c>
    </row>
    <row r="272" spans="1:39" ht="13.8" hidden="1" customHeight="1" x14ac:dyDescent="0.3">
      <c r="B272" s="1">
        <v>7252785330</v>
      </c>
      <c r="C272" s="1"/>
      <c r="G272" t="s">
        <v>1223</v>
      </c>
      <c r="H272" t="s">
        <v>1224</v>
      </c>
      <c r="I272">
        <v>1</v>
      </c>
      <c r="J272">
        <v>40</v>
      </c>
      <c r="K272">
        <v>35</v>
      </c>
      <c r="L272">
        <v>60</v>
      </c>
      <c r="M272" t="s">
        <v>72</v>
      </c>
      <c r="N272" t="s">
        <v>33</v>
      </c>
      <c r="O272" t="b">
        <v>1</v>
      </c>
      <c r="Y272">
        <f>AI272*AH272</f>
        <v>0</v>
      </c>
      <c r="AA272" s="8"/>
    </row>
    <row r="273" spans="1:40" hidden="1" x14ac:dyDescent="0.3">
      <c r="B273" s="1">
        <v>7252785330</v>
      </c>
      <c r="C273" s="1"/>
      <c r="G273" t="s">
        <v>1223</v>
      </c>
      <c r="H273" t="s">
        <v>1225</v>
      </c>
      <c r="I273">
        <v>1</v>
      </c>
      <c r="J273">
        <v>47</v>
      </c>
      <c r="K273">
        <v>30</v>
      </c>
      <c r="L273">
        <v>28</v>
      </c>
      <c r="M273" t="s">
        <v>74</v>
      </c>
      <c r="N273" t="s">
        <v>33</v>
      </c>
      <c r="O273" t="b">
        <v>1</v>
      </c>
      <c r="Y273">
        <f>AI273*AH273</f>
        <v>0</v>
      </c>
      <c r="AA273" s="8"/>
    </row>
    <row r="274" spans="1:40" hidden="1" x14ac:dyDescent="0.3">
      <c r="A274" t="s">
        <v>1120</v>
      </c>
      <c r="B274" s="1">
        <v>7047052330</v>
      </c>
      <c r="C274" s="1"/>
      <c r="D274" t="s">
        <v>360</v>
      </c>
      <c r="F274" t="b">
        <v>0</v>
      </c>
      <c r="I274">
        <v>1</v>
      </c>
      <c r="J274">
        <v>35</v>
      </c>
      <c r="K274">
        <v>35</v>
      </c>
      <c r="L274">
        <v>45</v>
      </c>
      <c r="M274" t="s">
        <v>69</v>
      </c>
      <c r="N274" t="s">
        <v>33</v>
      </c>
      <c r="O274" t="b">
        <v>1</v>
      </c>
      <c r="AA274" s="8"/>
    </row>
    <row r="275" spans="1:40" hidden="1" x14ac:dyDescent="0.3">
      <c r="A275" t="s">
        <v>1177</v>
      </c>
      <c r="B275" s="1" t="s">
        <v>381</v>
      </c>
      <c r="C275" s="1"/>
      <c r="D275" t="s">
        <v>357</v>
      </c>
      <c r="F275" t="b">
        <v>0</v>
      </c>
      <c r="I275">
        <v>1</v>
      </c>
      <c r="J275">
        <v>42</v>
      </c>
      <c r="K275">
        <v>37</v>
      </c>
      <c r="L275">
        <v>43</v>
      </c>
      <c r="M275" t="s">
        <v>74</v>
      </c>
      <c r="N275" t="s">
        <v>33</v>
      </c>
      <c r="O275" t="b">
        <v>1</v>
      </c>
      <c r="Y275">
        <f t="shared" ref="Y275:Y276" si="6">AI275*AH275</f>
        <v>4</v>
      </c>
      <c r="AA275" s="8"/>
      <c r="AH275">
        <v>4</v>
      </c>
      <c r="AI275">
        <v>1</v>
      </c>
    </row>
    <row r="276" spans="1:40" x14ac:dyDescent="0.3">
      <c r="A276" t="s">
        <v>1179</v>
      </c>
      <c r="B276" s="1" t="s">
        <v>1178</v>
      </c>
      <c r="C276" s="1" t="s">
        <v>1217</v>
      </c>
      <c r="D276" t="s">
        <v>357</v>
      </c>
      <c r="E276" t="s">
        <v>1180</v>
      </c>
      <c r="F276" t="b">
        <v>0</v>
      </c>
      <c r="I276">
        <v>1</v>
      </c>
      <c r="J276">
        <v>0</v>
      </c>
      <c r="K276">
        <v>0</v>
      </c>
      <c r="L276">
        <v>0</v>
      </c>
      <c r="N276" t="s">
        <v>33</v>
      </c>
      <c r="O276" t="b">
        <v>1</v>
      </c>
      <c r="X276">
        <v>12</v>
      </c>
      <c r="Y276">
        <f t="shared" si="6"/>
        <v>2</v>
      </c>
      <c r="AA276" s="8"/>
      <c r="AH276">
        <v>2</v>
      </c>
      <c r="AI276">
        <v>1</v>
      </c>
      <c r="AL276">
        <v>1</v>
      </c>
      <c r="AN276" t="s">
        <v>1217</v>
      </c>
    </row>
  </sheetData>
  <conditionalFormatting sqref="A3:A276">
    <cfRule type="duplicateValues" dxfId="22" priority="11"/>
    <cfRule type="duplicateValues" dxfId="21" priority="12"/>
  </conditionalFormatting>
  <conditionalFormatting sqref="G231">
    <cfRule type="duplicateValues" dxfId="20" priority="10"/>
  </conditionalFormatting>
  <conditionalFormatting sqref="G232">
    <cfRule type="duplicateValues" dxfId="19" priority="9"/>
  </conditionalFormatting>
  <conditionalFormatting sqref="G254">
    <cfRule type="duplicateValues" dxfId="18" priority="5"/>
    <cfRule type="duplicateValues" dxfId="17" priority="6"/>
  </conditionalFormatting>
  <conditionalFormatting sqref="G255">
    <cfRule type="duplicateValues" dxfId="16" priority="3"/>
    <cfRule type="duplicateValues" dxfId="15" priority="4"/>
  </conditionalFormatting>
  <conditionalFormatting sqref="H231">
    <cfRule type="duplicateValues" dxfId="14" priority="8"/>
  </conditionalFormatting>
  <conditionalFormatting sqref="H232">
    <cfRule type="duplicateValues" dxfId="13" priority="7"/>
  </conditionalFormatting>
  <conditionalFormatting sqref="H254:H255">
    <cfRule type="duplicateValues" dxfId="12" priority="1"/>
    <cfRule type="duplicateValues" dxfId="11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7BDE56F-0BD2-4A5B-8FA7-C138C14B2EC4}">
          <x14:formula1>
            <xm:f>price_offer_list!$A$2:$A$8</xm:f>
          </x14:formula1>
          <xm:sqref>Z3:Z276</xm:sqref>
        </x14:dataValidation>
        <x14:dataValidation type="list" allowBlank="1" showInputMessage="1" showErrorMessage="1" xr:uid="{A0A31D7C-721E-41E8-A1B0-A21AE9F55811}">
          <x14:formula1>
            <xm:f>type_list!$A$2:$A$5</xm:f>
          </x14:formula1>
          <xm:sqref>D3:D276</xm:sqref>
        </x14:dataValidation>
        <x14:dataValidation type="list" allowBlank="1" showInputMessage="1" showErrorMessage="1" xr:uid="{02D0C2E5-6AD2-498A-870A-13DDC8E13602}">
          <x14:formula1>
            <xm:f>color_list!$A$2:$A$8</xm:f>
          </x14:formula1>
          <xm:sqref>M3:M276</xm:sqref>
        </x14:dataValidation>
        <x14:dataValidation type="list" allowBlank="1" showInputMessage="1" showErrorMessage="1" xr:uid="{3D5F229B-6691-4894-8B55-0888FA9F4B9A}">
          <x14:formula1>
            <xm:f>material_list!$A$2:$A$6</xm:f>
          </x14:formula1>
          <xm:sqref>N3:N276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3B41-42DA-4E4E-B0A5-86B9D053440B}">
  <sheetPr>
    <pageSetUpPr fitToPage="1"/>
  </sheetPr>
  <dimension ref="B2:F45"/>
  <sheetViews>
    <sheetView topLeftCell="A25" workbookViewId="0">
      <selection activeCell="M13" sqref="M13"/>
    </sheetView>
  </sheetViews>
  <sheetFormatPr defaultRowHeight="14.4" x14ac:dyDescent="0.3"/>
  <cols>
    <col min="3" max="3" width="22.88671875" bestFit="1" customWidth="1"/>
    <col min="4" max="4" width="74.109375" bestFit="1" customWidth="1"/>
    <col min="5" max="5" width="14.109375" bestFit="1" customWidth="1"/>
    <col min="6" max="6" width="17" bestFit="1" customWidth="1"/>
  </cols>
  <sheetData>
    <row r="2" spans="3:6" ht="25.8" x14ac:dyDescent="0.5">
      <c r="C2" s="77" t="s">
        <v>1288</v>
      </c>
      <c r="D2" s="77"/>
      <c r="E2" s="77"/>
      <c r="F2" s="77"/>
    </row>
    <row r="3" spans="3:6" ht="25.8" x14ac:dyDescent="0.5">
      <c r="C3" s="62" t="s">
        <v>1248</v>
      </c>
      <c r="D3" s="62" t="s">
        <v>1163</v>
      </c>
      <c r="E3" s="62" t="s">
        <v>1250</v>
      </c>
      <c r="F3" s="62" t="s">
        <v>1254</v>
      </c>
    </row>
    <row r="4" spans="3:6" ht="25.8" x14ac:dyDescent="0.5">
      <c r="C4" s="62" t="s">
        <v>1099</v>
      </c>
      <c r="D4" s="63" t="s">
        <v>1098</v>
      </c>
      <c r="E4" s="62">
        <v>1</v>
      </c>
      <c r="F4" s="64" t="s">
        <v>1255</v>
      </c>
    </row>
    <row r="5" spans="3:6" ht="25.8" x14ac:dyDescent="0.5">
      <c r="C5" s="62" t="s">
        <v>1117</v>
      </c>
      <c r="D5" s="63" t="s">
        <v>1289</v>
      </c>
      <c r="E5" s="62">
        <v>1</v>
      </c>
      <c r="F5" s="64" t="s">
        <v>1255</v>
      </c>
    </row>
    <row r="6" spans="3:6" ht="25.8" x14ac:dyDescent="0.5">
      <c r="C6" s="62" t="s">
        <v>101</v>
      </c>
      <c r="D6" s="63" t="s">
        <v>623</v>
      </c>
      <c r="E6" s="62">
        <v>1</v>
      </c>
      <c r="F6" s="64" t="s">
        <v>1255</v>
      </c>
    </row>
    <row r="7" spans="3:6" ht="25.8" x14ac:dyDescent="0.5">
      <c r="C7" s="62" t="s">
        <v>1240</v>
      </c>
      <c r="D7" s="63">
        <v>7289982670</v>
      </c>
      <c r="E7" s="62">
        <v>1</v>
      </c>
      <c r="F7" s="64" t="s">
        <v>1255</v>
      </c>
    </row>
    <row r="8" spans="3:6" ht="25.8" x14ac:dyDescent="0.5">
      <c r="C8" s="62" t="s">
        <v>1240</v>
      </c>
      <c r="D8" s="63">
        <v>7289982670</v>
      </c>
      <c r="E8" s="62">
        <v>1</v>
      </c>
      <c r="F8" s="64" t="s">
        <v>1256</v>
      </c>
    </row>
    <row r="9" spans="3:6" ht="25.8" x14ac:dyDescent="0.5">
      <c r="C9" s="62" t="s">
        <v>1267</v>
      </c>
      <c r="D9" s="63">
        <v>7287547130</v>
      </c>
      <c r="E9" s="62">
        <v>1</v>
      </c>
      <c r="F9" s="64" t="s">
        <v>1255</v>
      </c>
    </row>
    <row r="10" spans="3:6" ht="25.8" x14ac:dyDescent="0.5">
      <c r="C10" s="62" t="s">
        <v>1267</v>
      </c>
      <c r="D10" s="63">
        <v>7287547130</v>
      </c>
      <c r="E10" s="62">
        <v>1</v>
      </c>
      <c r="F10" s="64" t="s">
        <v>1256</v>
      </c>
    </row>
    <row r="11" spans="3:6" ht="25.8" x14ac:dyDescent="0.5">
      <c r="C11" s="62" t="s">
        <v>1238</v>
      </c>
      <c r="D11" s="63">
        <v>7035990930</v>
      </c>
      <c r="E11" s="62">
        <v>1</v>
      </c>
      <c r="F11" s="64" t="s">
        <v>1255</v>
      </c>
    </row>
    <row r="12" spans="3:6" ht="25.8" x14ac:dyDescent="0.5">
      <c r="C12" s="62" t="s">
        <v>1238</v>
      </c>
      <c r="D12" s="63">
        <v>7035990930</v>
      </c>
      <c r="E12" s="62">
        <v>1</v>
      </c>
      <c r="F12" s="64" t="s">
        <v>1256</v>
      </c>
    </row>
    <row r="13" spans="3:6" ht="25.8" customHeight="1" x14ac:dyDescent="0.3">
      <c r="C13" s="81" t="s">
        <v>1290</v>
      </c>
      <c r="D13" s="82"/>
      <c r="E13" s="82"/>
      <c r="F13" s="83"/>
    </row>
    <row r="14" spans="3:6" ht="25.8" customHeight="1" x14ac:dyDescent="0.3">
      <c r="C14" s="84"/>
      <c r="D14" s="85"/>
      <c r="E14" s="85"/>
      <c r="F14" s="86"/>
    </row>
    <row r="15" spans="3:6" ht="25.8" customHeight="1" x14ac:dyDescent="0.3">
      <c r="C15" s="84"/>
      <c r="D15" s="85"/>
      <c r="E15" s="85"/>
      <c r="F15" s="86"/>
    </row>
    <row r="16" spans="3:6" ht="25.8" customHeight="1" x14ac:dyDescent="0.3">
      <c r="C16" s="84"/>
      <c r="D16" s="85"/>
      <c r="E16" s="85"/>
      <c r="F16" s="86"/>
    </row>
    <row r="17" spans="2:6" ht="25.8" customHeight="1" x14ac:dyDescent="0.3">
      <c r="C17" s="87"/>
      <c r="D17" s="88"/>
      <c r="E17" s="88"/>
      <c r="F17" s="89"/>
    </row>
    <row r="19" spans="2:6" ht="25.8" x14ac:dyDescent="0.5">
      <c r="C19" s="77" t="s">
        <v>1252</v>
      </c>
      <c r="D19" s="77"/>
      <c r="E19" s="77"/>
    </row>
    <row r="20" spans="2:6" ht="25.8" x14ac:dyDescent="0.5">
      <c r="C20" s="62" t="s">
        <v>1248</v>
      </c>
      <c r="D20" s="62" t="s">
        <v>1163</v>
      </c>
      <c r="E20" s="62" t="s">
        <v>1250</v>
      </c>
      <c r="F20" s="62" t="s">
        <v>1254</v>
      </c>
    </row>
    <row r="21" spans="2:6" ht="25.8" x14ac:dyDescent="0.5">
      <c r="C21" s="62"/>
      <c r="D21" s="62"/>
      <c r="E21" s="62"/>
      <c r="F21" s="64" t="s">
        <v>1257</v>
      </c>
    </row>
    <row r="22" spans="2:6" ht="25.8" x14ac:dyDescent="0.5">
      <c r="C22" s="62"/>
      <c r="D22" s="62"/>
      <c r="E22" s="62"/>
      <c r="F22" s="64" t="s">
        <v>1257</v>
      </c>
    </row>
    <row r="23" spans="2:6" ht="25.8" x14ac:dyDescent="0.5">
      <c r="C23" s="62"/>
      <c r="D23" s="62"/>
      <c r="E23" s="62"/>
      <c r="F23" s="64" t="s">
        <v>1257</v>
      </c>
    </row>
    <row r="24" spans="2:6" ht="25.8" x14ac:dyDescent="0.5">
      <c r="C24" s="62"/>
      <c r="D24" s="62"/>
      <c r="E24" s="62"/>
      <c r="F24" s="64" t="s">
        <v>1257</v>
      </c>
    </row>
    <row r="25" spans="2:6" ht="25.8" x14ac:dyDescent="0.5">
      <c r="C25" s="62"/>
      <c r="D25" s="62"/>
      <c r="E25" s="62"/>
      <c r="F25" s="64" t="s">
        <v>1257</v>
      </c>
    </row>
    <row r="26" spans="2:6" ht="25.8" x14ac:dyDescent="0.5">
      <c r="C26" s="62"/>
      <c r="D26" s="62"/>
      <c r="E26" s="62"/>
      <c r="F26" s="64" t="s">
        <v>1257</v>
      </c>
    </row>
    <row r="27" spans="2:6" ht="25.8" x14ac:dyDescent="0.5">
      <c r="C27" s="62"/>
      <c r="D27" s="62"/>
      <c r="E27" s="62"/>
      <c r="F27" s="64" t="s">
        <v>1257</v>
      </c>
    </row>
    <row r="29" spans="2:6" ht="25.8" x14ac:dyDescent="0.5">
      <c r="B29" t="s">
        <v>1251</v>
      </c>
      <c r="C29" s="78" t="s">
        <v>1258</v>
      </c>
      <c r="D29" s="79"/>
      <c r="E29" s="79"/>
      <c r="F29" s="79"/>
    </row>
    <row r="30" spans="2:6" ht="25.8" x14ac:dyDescent="0.5">
      <c r="C30" s="62" t="s">
        <v>1248</v>
      </c>
      <c r="D30" s="62" t="s">
        <v>1163</v>
      </c>
      <c r="E30" s="62" t="s">
        <v>1250</v>
      </c>
      <c r="F30" s="62" t="s">
        <v>1254</v>
      </c>
    </row>
    <row r="31" spans="2:6" ht="25.8" x14ac:dyDescent="0.5">
      <c r="B31">
        <v>0</v>
      </c>
      <c r="C31" s="62"/>
      <c r="D31" s="63"/>
      <c r="E31" s="62"/>
      <c r="F31" s="66" t="s">
        <v>293</v>
      </c>
    </row>
    <row r="32" spans="2:6" ht="25.8" x14ac:dyDescent="0.5">
      <c r="B32">
        <v>1</v>
      </c>
      <c r="C32" s="62"/>
      <c r="D32" s="63"/>
      <c r="E32" s="62"/>
      <c r="F32" s="66" t="s">
        <v>293</v>
      </c>
    </row>
    <row r="33" spans="2:6" ht="25.8" x14ac:dyDescent="0.5">
      <c r="B33">
        <v>1</v>
      </c>
      <c r="C33" s="62"/>
      <c r="D33" s="63"/>
      <c r="E33" s="62"/>
      <c r="F33" s="66" t="s">
        <v>293</v>
      </c>
    </row>
    <row r="34" spans="2:6" ht="25.8" x14ac:dyDescent="0.5">
      <c r="B34">
        <v>1</v>
      </c>
      <c r="C34" s="62"/>
      <c r="D34" s="63"/>
      <c r="E34" s="62"/>
      <c r="F34" s="66" t="s">
        <v>293</v>
      </c>
    </row>
    <row r="35" spans="2:6" ht="25.8" x14ac:dyDescent="0.5">
      <c r="B35">
        <v>2</v>
      </c>
      <c r="C35" s="62"/>
      <c r="D35" s="63"/>
      <c r="E35" s="62"/>
      <c r="F35" s="66" t="s">
        <v>293</v>
      </c>
    </row>
    <row r="36" spans="2:6" ht="25.8" x14ac:dyDescent="0.5">
      <c r="B36">
        <v>2</v>
      </c>
      <c r="C36" s="62"/>
      <c r="D36" s="63"/>
      <c r="E36" s="62"/>
      <c r="F36" s="66" t="s">
        <v>293</v>
      </c>
    </row>
    <row r="37" spans="2:6" ht="25.8" x14ac:dyDescent="0.5">
      <c r="B37">
        <v>2</v>
      </c>
      <c r="C37" s="62"/>
      <c r="D37" s="63"/>
      <c r="E37" s="62"/>
      <c r="F37" s="66" t="s">
        <v>293</v>
      </c>
    </row>
    <row r="38" spans="2:6" x14ac:dyDescent="0.3">
      <c r="C38" s="60"/>
      <c r="D38" s="61"/>
      <c r="E38" s="60"/>
    </row>
    <row r="39" spans="2:6" x14ac:dyDescent="0.3">
      <c r="C39" s="60"/>
      <c r="D39" s="61"/>
      <c r="E39" s="60"/>
    </row>
    <row r="44" spans="2:6" ht="33.6" x14ac:dyDescent="0.65">
      <c r="C44" s="80" t="s">
        <v>1253</v>
      </c>
      <c r="D44" s="80"/>
      <c r="E44" s="80"/>
    </row>
    <row r="45" spans="2:6" ht="33.6" x14ac:dyDescent="0.65">
      <c r="C45" s="80" t="s">
        <v>1253</v>
      </c>
      <c r="D45" s="80"/>
      <c r="E45" s="80"/>
    </row>
  </sheetData>
  <mergeCells count="6">
    <mergeCell ref="C2:F2"/>
    <mergeCell ref="C19:E19"/>
    <mergeCell ref="C29:F29"/>
    <mergeCell ref="C44:E44"/>
    <mergeCell ref="C45:E45"/>
    <mergeCell ref="C13:F17"/>
  </mergeCells>
  <phoneticPr fontId="1" type="noConversion"/>
  <pageMargins left="0.7" right="0.7" top="0.75" bottom="0.75" header="0.3" footer="0.3"/>
  <pageSetup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207C-1B92-4CA6-BC01-732F91CF367C}">
  <dimension ref="B2:F46"/>
  <sheetViews>
    <sheetView topLeftCell="A4" workbookViewId="0">
      <selection activeCell="I17" sqref="I17"/>
    </sheetView>
  </sheetViews>
  <sheetFormatPr defaultRowHeight="14.4" x14ac:dyDescent="0.3"/>
  <cols>
    <col min="3" max="3" width="22.88671875" bestFit="1" customWidth="1"/>
    <col min="4" max="4" width="74.109375" bestFit="1" customWidth="1"/>
    <col min="5" max="5" width="14.109375" bestFit="1" customWidth="1"/>
    <col min="6" max="6" width="17" bestFit="1" customWidth="1"/>
  </cols>
  <sheetData>
    <row r="2" spans="3:6" ht="25.8" x14ac:dyDescent="0.5">
      <c r="C2" s="77" t="s">
        <v>1249</v>
      </c>
      <c r="D2" s="77"/>
      <c r="E2" s="77"/>
      <c r="F2" s="77"/>
    </row>
    <row r="3" spans="3:6" ht="25.8" x14ac:dyDescent="0.5">
      <c r="C3" s="62" t="s">
        <v>1248</v>
      </c>
      <c r="D3" s="62" t="s">
        <v>1163</v>
      </c>
      <c r="E3" s="62" t="s">
        <v>1250</v>
      </c>
      <c r="F3" s="62" t="s">
        <v>1254</v>
      </c>
    </row>
    <row r="4" spans="3:6" ht="25.8" x14ac:dyDescent="0.5">
      <c r="C4" s="62" t="s">
        <v>1232</v>
      </c>
      <c r="D4" s="63">
        <v>7119172930</v>
      </c>
      <c r="E4" s="62">
        <v>1</v>
      </c>
      <c r="F4" s="64" t="s">
        <v>1255</v>
      </c>
    </row>
    <row r="5" spans="3:6" ht="25.8" x14ac:dyDescent="0.5">
      <c r="C5" s="62" t="s">
        <v>1232</v>
      </c>
      <c r="D5" s="63">
        <v>7119172930</v>
      </c>
      <c r="E5" s="62">
        <v>1</v>
      </c>
      <c r="F5" s="64" t="s">
        <v>1256</v>
      </c>
    </row>
    <row r="6" spans="3:6" ht="25.8" x14ac:dyDescent="0.5">
      <c r="C6" s="62" t="s">
        <v>1204</v>
      </c>
      <c r="D6" s="63">
        <v>7035964930</v>
      </c>
      <c r="E6" s="62">
        <v>2</v>
      </c>
      <c r="F6" s="65" t="s">
        <v>1255</v>
      </c>
    </row>
    <row r="7" spans="3:6" ht="25.8" x14ac:dyDescent="0.5">
      <c r="C7" s="62" t="s">
        <v>1204</v>
      </c>
      <c r="D7" s="63">
        <v>7035964930</v>
      </c>
      <c r="E7" s="62">
        <v>2</v>
      </c>
      <c r="F7" s="64" t="s">
        <v>1256</v>
      </c>
    </row>
    <row r="8" spans="3:6" ht="25.8" x14ac:dyDescent="0.5">
      <c r="C8" s="62" t="s">
        <v>1204</v>
      </c>
      <c r="D8" s="63">
        <v>7035964930</v>
      </c>
      <c r="E8" s="62">
        <v>1</v>
      </c>
      <c r="F8" s="64" t="s">
        <v>1121</v>
      </c>
    </row>
    <row r="9" spans="3:6" ht="25.8" x14ac:dyDescent="0.5">
      <c r="C9" s="62" t="s">
        <v>100</v>
      </c>
      <c r="D9" s="63" t="s">
        <v>233</v>
      </c>
      <c r="E9" s="62">
        <v>1</v>
      </c>
      <c r="F9" s="65" t="s">
        <v>1255</v>
      </c>
    </row>
    <row r="10" spans="3:6" ht="25.8" x14ac:dyDescent="0.5">
      <c r="C10" s="62" t="s">
        <v>100</v>
      </c>
      <c r="D10" s="63" t="s">
        <v>233</v>
      </c>
      <c r="E10" s="62">
        <v>1</v>
      </c>
      <c r="F10" s="64" t="s">
        <v>1256</v>
      </c>
    </row>
    <row r="11" spans="3:6" ht="25.8" x14ac:dyDescent="0.5">
      <c r="C11" s="62" t="s">
        <v>169</v>
      </c>
      <c r="D11" s="63" t="s">
        <v>266</v>
      </c>
      <c r="E11" s="62">
        <v>1</v>
      </c>
      <c r="F11" s="64" t="s">
        <v>1256</v>
      </c>
    </row>
    <row r="12" spans="3:6" ht="25.8" x14ac:dyDescent="0.5">
      <c r="C12" s="62" t="s">
        <v>128</v>
      </c>
      <c r="D12" s="63">
        <v>71899503</v>
      </c>
      <c r="E12" s="62">
        <v>1</v>
      </c>
      <c r="F12" s="64" t="s">
        <v>1255</v>
      </c>
    </row>
    <row r="13" spans="3:6" ht="25.8" x14ac:dyDescent="0.5">
      <c r="C13" s="62" t="s">
        <v>128</v>
      </c>
      <c r="D13" s="63">
        <v>71899503</v>
      </c>
      <c r="E13" s="62">
        <v>1</v>
      </c>
      <c r="F13" s="64" t="s">
        <v>1256</v>
      </c>
    </row>
    <row r="14" spans="3:6" ht="25.8" x14ac:dyDescent="0.5">
      <c r="C14" s="62" t="s">
        <v>1235</v>
      </c>
      <c r="D14" s="63" t="s">
        <v>1104</v>
      </c>
      <c r="E14" s="62">
        <v>1</v>
      </c>
      <c r="F14" s="64" t="s">
        <v>1255</v>
      </c>
    </row>
    <row r="15" spans="3:6" ht="25.8" x14ac:dyDescent="0.5">
      <c r="C15" s="62" t="s">
        <v>1235</v>
      </c>
      <c r="D15" s="63" t="s">
        <v>1104</v>
      </c>
      <c r="E15" s="62">
        <v>1</v>
      </c>
      <c r="F15" s="64" t="s">
        <v>1256</v>
      </c>
    </row>
    <row r="16" spans="3:6" ht="25.8" x14ac:dyDescent="0.5">
      <c r="C16" s="62" t="s">
        <v>212</v>
      </c>
      <c r="D16" s="63">
        <v>7252815130</v>
      </c>
      <c r="E16" s="62">
        <v>10</v>
      </c>
      <c r="F16" s="64" t="s">
        <v>1255</v>
      </c>
    </row>
    <row r="17" spans="2:6" ht="25.8" x14ac:dyDescent="0.5">
      <c r="C17" s="62" t="s">
        <v>172</v>
      </c>
      <c r="D17" s="63" t="s">
        <v>269</v>
      </c>
      <c r="E17" s="62">
        <v>1</v>
      </c>
      <c r="F17" s="64" t="s">
        <v>1255</v>
      </c>
    </row>
    <row r="18" spans="2:6" ht="25.8" x14ac:dyDescent="0.5">
      <c r="C18" s="62" t="s">
        <v>183</v>
      </c>
      <c r="D18" s="63" t="s">
        <v>277</v>
      </c>
      <c r="E18" s="62">
        <v>1</v>
      </c>
      <c r="F18" s="64" t="s">
        <v>1255</v>
      </c>
    </row>
    <row r="20" spans="2:6" ht="25.8" x14ac:dyDescent="0.5">
      <c r="C20" s="77" t="s">
        <v>1252</v>
      </c>
      <c r="D20" s="77"/>
      <c r="E20" s="77"/>
    </row>
    <row r="21" spans="2:6" ht="25.8" x14ac:dyDescent="0.5">
      <c r="C21" s="62" t="s">
        <v>1248</v>
      </c>
      <c r="D21" s="62" t="s">
        <v>1163</v>
      </c>
      <c r="E21" s="62" t="s">
        <v>1250</v>
      </c>
      <c r="F21" s="62" t="s">
        <v>1254</v>
      </c>
    </row>
    <row r="22" spans="2:6" ht="25.8" x14ac:dyDescent="0.5">
      <c r="C22" s="62" t="s">
        <v>97</v>
      </c>
      <c r="D22" s="62" t="s">
        <v>939</v>
      </c>
      <c r="E22" s="62">
        <v>1</v>
      </c>
      <c r="F22" s="64" t="s">
        <v>1257</v>
      </c>
    </row>
    <row r="23" spans="2:6" ht="25.8" x14ac:dyDescent="0.5">
      <c r="C23" s="62" t="s">
        <v>106</v>
      </c>
      <c r="D23" s="62" t="s">
        <v>959</v>
      </c>
      <c r="E23" s="62">
        <v>1</v>
      </c>
      <c r="F23" s="64" t="s">
        <v>1257</v>
      </c>
    </row>
    <row r="24" spans="2:6" ht="25.8" x14ac:dyDescent="0.5">
      <c r="C24" s="62" t="s">
        <v>108</v>
      </c>
      <c r="D24" s="62" t="s">
        <v>1077</v>
      </c>
      <c r="E24" s="62">
        <v>2</v>
      </c>
      <c r="F24" s="64" t="s">
        <v>1257</v>
      </c>
    </row>
    <row r="25" spans="2:6" ht="25.8" x14ac:dyDescent="0.5">
      <c r="C25" s="62" t="s">
        <v>109</v>
      </c>
      <c r="D25" s="62" t="s">
        <v>409</v>
      </c>
      <c r="E25" s="62">
        <v>1</v>
      </c>
      <c r="F25" s="64" t="s">
        <v>1257</v>
      </c>
    </row>
    <row r="26" spans="2:6" ht="25.8" x14ac:dyDescent="0.5">
      <c r="C26" s="62" t="s">
        <v>114</v>
      </c>
      <c r="D26" s="62" t="s">
        <v>1080</v>
      </c>
      <c r="E26" s="62">
        <v>1</v>
      </c>
      <c r="F26" s="64" t="s">
        <v>1257</v>
      </c>
    </row>
    <row r="27" spans="2:6" ht="25.8" x14ac:dyDescent="0.5">
      <c r="C27" s="62" t="s">
        <v>166</v>
      </c>
      <c r="D27" s="62" t="s">
        <v>1067</v>
      </c>
      <c r="E27" s="62">
        <v>1</v>
      </c>
      <c r="F27" s="64" t="s">
        <v>1257</v>
      </c>
    </row>
    <row r="28" spans="2:6" ht="25.8" x14ac:dyDescent="0.5">
      <c r="C28" s="62" t="s">
        <v>177</v>
      </c>
      <c r="D28" s="62" t="s">
        <v>765</v>
      </c>
      <c r="E28" s="62">
        <v>1</v>
      </c>
      <c r="F28" s="64" t="s">
        <v>1257</v>
      </c>
    </row>
    <row r="30" spans="2:6" ht="25.8" x14ac:dyDescent="0.5">
      <c r="B30" t="s">
        <v>1251</v>
      </c>
      <c r="C30" s="78" t="s">
        <v>1258</v>
      </c>
      <c r="D30" s="79"/>
      <c r="E30" s="79"/>
      <c r="F30" s="79"/>
    </row>
    <row r="31" spans="2:6" ht="25.8" x14ac:dyDescent="0.5">
      <c r="C31" s="62" t="s">
        <v>1248</v>
      </c>
      <c r="D31" s="62" t="s">
        <v>1163</v>
      </c>
      <c r="E31" s="62" t="s">
        <v>1250</v>
      </c>
      <c r="F31" s="62" t="s">
        <v>1254</v>
      </c>
    </row>
    <row r="32" spans="2:6" ht="25.8" x14ac:dyDescent="0.5">
      <c r="B32">
        <v>0</v>
      </c>
      <c r="C32" s="62" t="s">
        <v>933</v>
      </c>
      <c r="D32" s="63">
        <v>7198600430</v>
      </c>
      <c r="E32" s="62">
        <v>14</v>
      </c>
      <c r="F32" s="66" t="s">
        <v>293</v>
      </c>
    </row>
    <row r="33" spans="2:6" ht="25.8" x14ac:dyDescent="0.5">
      <c r="B33">
        <v>1</v>
      </c>
      <c r="C33" s="62" t="s">
        <v>218</v>
      </c>
      <c r="D33" s="63" t="s">
        <v>285</v>
      </c>
      <c r="E33" s="62">
        <v>7</v>
      </c>
      <c r="F33" s="66" t="s">
        <v>293</v>
      </c>
    </row>
    <row r="34" spans="2:6" ht="25.8" x14ac:dyDescent="0.5">
      <c r="B34">
        <v>1</v>
      </c>
      <c r="C34" s="62" t="s">
        <v>888</v>
      </c>
      <c r="D34" s="63">
        <v>7298808730</v>
      </c>
      <c r="E34" s="62">
        <v>7</v>
      </c>
      <c r="F34" s="66" t="s">
        <v>293</v>
      </c>
    </row>
    <row r="35" spans="2:6" ht="25.8" x14ac:dyDescent="0.5">
      <c r="B35">
        <v>1</v>
      </c>
      <c r="C35" s="62" t="s">
        <v>140</v>
      </c>
      <c r="D35" s="63" t="s">
        <v>250</v>
      </c>
      <c r="E35" s="62">
        <v>7</v>
      </c>
      <c r="F35" s="66" t="s">
        <v>293</v>
      </c>
    </row>
    <row r="36" spans="2:6" ht="25.8" x14ac:dyDescent="0.5">
      <c r="B36">
        <v>2</v>
      </c>
      <c r="C36" s="62" t="s">
        <v>106</v>
      </c>
      <c r="D36" s="63" t="s">
        <v>959</v>
      </c>
      <c r="E36" s="62">
        <v>14</v>
      </c>
      <c r="F36" s="66" t="s">
        <v>293</v>
      </c>
    </row>
    <row r="37" spans="2:6" ht="25.8" x14ac:dyDescent="0.5">
      <c r="B37">
        <v>2</v>
      </c>
      <c r="C37" s="62" t="s">
        <v>379</v>
      </c>
      <c r="D37" s="63" t="s">
        <v>374</v>
      </c>
      <c r="E37" s="62">
        <v>7</v>
      </c>
      <c r="F37" s="66" t="s">
        <v>293</v>
      </c>
    </row>
    <row r="38" spans="2:6" ht="25.8" x14ac:dyDescent="0.5">
      <c r="B38">
        <v>2</v>
      </c>
      <c r="C38" s="62" t="s">
        <v>228</v>
      </c>
      <c r="D38" s="63" t="s">
        <v>291</v>
      </c>
      <c r="E38" s="62">
        <v>7</v>
      </c>
      <c r="F38" s="66" t="s">
        <v>293</v>
      </c>
    </row>
    <row r="39" spans="2:6" x14ac:dyDescent="0.3">
      <c r="C39" s="60"/>
      <c r="D39" s="61"/>
      <c r="E39" s="60"/>
    </row>
    <row r="40" spans="2:6" x14ac:dyDescent="0.3">
      <c r="C40" s="60"/>
      <c r="D40" s="61"/>
      <c r="E40" s="60"/>
    </row>
    <row r="45" spans="2:6" ht="33.6" x14ac:dyDescent="0.65">
      <c r="C45" s="80" t="s">
        <v>1253</v>
      </c>
      <c r="D45" s="80"/>
      <c r="E45" s="80"/>
    </row>
    <row r="46" spans="2:6" ht="33.6" x14ac:dyDescent="0.65">
      <c r="C46" s="80" t="s">
        <v>1253</v>
      </c>
      <c r="D46" s="80"/>
      <c r="E46" s="80"/>
    </row>
  </sheetData>
  <mergeCells count="5">
    <mergeCell ref="C20:E20"/>
    <mergeCell ref="C45:E45"/>
    <mergeCell ref="C46:E46"/>
    <mergeCell ref="C2:F2"/>
    <mergeCell ref="C30:F30"/>
  </mergeCells>
  <phoneticPr fontId="1" type="noConversion"/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70D9-8EC0-4A11-96FB-03AB1D1F4F72}">
  <sheetPr codeName="Sheet2"/>
  <dimension ref="A1:S17"/>
  <sheetViews>
    <sheetView topLeftCell="F1" workbookViewId="0">
      <selection activeCell="A13" sqref="A13:XFD15"/>
    </sheetView>
  </sheetViews>
  <sheetFormatPr defaultRowHeight="14.4" x14ac:dyDescent="0.3"/>
  <cols>
    <col min="1" max="1" width="13.77734375" customWidth="1"/>
    <col min="2" max="3" width="15.5546875" customWidth="1"/>
    <col min="4" max="4" width="12.6640625" bestFit="1" customWidth="1"/>
    <col min="5" max="6" width="13.21875" customWidth="1"/>
    <col min="7" max="7" width="14.21875" customWidth="1"/>
    <col min="8" max="8" width="12.44140625" customWidth="1"/>
    <col min="9" max="9" width="13.109375" customWidth="1"/>
    <col min="10" max="10" width="12.44140625" customWidth="1"/>
    <col min="11" max="11" width="14.33203125" customWidth="1"/>
    <col min="12" max="12" width="16.6640625" customWidth="1"/>
    <col min="13" max="15" width="14.33203125" customWidth="1"/>
    <col min="16" max="16" width="17.109375" bestFit="1" customWidth="1"/>
    <col min="17" max="17" width="10.5546875" bestFit="1" customWidth="1"/>
    <col min="19" max="19" width="20.33203125" bestFit="1" customWidth="1"/>
  </cols>
  <sheetData>
    <row r="1" spans="1:19" x14ac:dyDescent="0.3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61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48</v>
      </c>
      <c r="M1" t="s">
        <v>41</v>
      </c>
      <c r="N1" t="s">
        <v>93</v>
      </c>
      <c r="O1" t="s">
        <v>94</v>
      </c>
      <c r="P1" t="s">
        <v>9</v>
      </c>
      <c r="Q1" t="s">
        <v>23</v>
      </c>
      <c r="R1" t="s">
        <v>24</v>
      </c>
      <c r="S1" t="s">
        <v>12</v>
      </c>
    </row>
    <row r="2" spans="1:19" x14ac:dyDescent="0.3">
      <c r="A2" t="s">
        <v>25</v>
      </c>
      <c r="B2" t="s">
        <v>28</v>
      </c>
      <c r="C2" t="s">
        <v>19</v>
      </c>
      <c r="D2" t="s">
        <v>62</v>
      </c>
      <c r="E2" t="b">
        <v>0</v>
      </c>
      <c r="H2">
        <v>1111</v>
      </c>
      <c r="I2">
        <v>1111</v>
      </c>
      <c r="J2">
        <v>1111</v>
      </c>
      <c r="K2">
        <v>1111</v>
      </c>
      <c r="L2" t="s">
        <v>68</v>
      </c>
      <c r="M2" t="s">
        <v>33</v>
      </c>
      <c r="O2" t="b">
        <v>1</v>
      </c>
      <c r="Q2">
        <v>3</v>
      </c>
      <c r="R2">
        <v>10</v>
      </c>
      <c r="S2">
        <v>1000</v>
      </c>
    </row>
    <row r="3" spans="1:19" x14ac:dyDescent="0.3">
      <c r="A3" t="s">
        <v>26</v>
      </c>
      <c r="B3" t="s">
        <v>29</v>
      </c>
      <c r="C3" t="s">
        <v>11</v>
      </c>
      <c r="D3" t="s">
        <v>30</v>
      </c>
      <c r="E3" t="b">
        <v>0</v>
      </c>
      <c r="H3">
        <v>1</v>
      </c>
      <c r="I3">
        <v>666</v>
      </c>
      <c r="J3">
        <v>667</v>
      </c>
      <c r="K3">
        <v>668</v>
      </c>
      <c r="L3" t="s">
        <v>69</v>
      </c>
      <c r="M3" t="s">
        <v>56</v>
      </c>
      <c r="N3" t="b">
        <v>1</v>
      </c>
      <c r="Q3">
        <v>3</v>
      </c>
      <c r="R3">
        <v>11</v>
      </c>
      <c r="S3">
        <v>1000</v>
      </c>
    </row>
    <row r="4" spans="1:19" x14ac:dyDescent="0.3">
      <c r="A4" t="s">
        <v>27</v>
      </c>
      <c r="B4" t="s">
        <v>29</v>
      </c>
      <c r="C4" t="s">
        <v>11</v>
      </c>
      <c r="D4" t="s">
        <v>30</v>
      </c>
      <c r="E4" t="b">
        <v>1</v>
      </c>
      <c r="H4">
        <v>2</v>
      </c>
      <c r="I4">
        <v>44</v>
      </c>
      <c r="J4">
        <v>44</v>
      </c>
      <c r="K4">
        <v>44</v>
      </c>
      <c r="L4" t="s">
        <v>69</v>
      </c>
      <c r="M4" t="s">
        <v>56</v>
      </c>
      <c r="N4" t="b">
        <v>1</v>
      </c>
      <c r="Q4">
        <v>3</v>
      </c>
      <c r="R4">
        <v>12</v>
      </c>
      <c r="S4">
        <v>1001</v>
      </c>
    </row>
    <row r="5" spans="1:19" x14ac:dyDescent="0.3">
      <c r="B5" t="s">
        <v>29</v>
      </c>
      <c r="C5" t="s">
        <v>11</v>
      </c>
      <c r="D5" t="s">
        <v>30</v>
      </c>
      <c r="F5" t="s">
        <v>27</v>
      </c>
      <c r="G5" t="s">
        <v>31</v>
      </c>
      <c r="H5">
        <v>1</v>
      </c>
      <c r="I5">
        <v>55</v>
      </c>
      <c r="J5">
        <v>55</v>
      </c>
      <c r="K5">
        <v>55</v>
      </c>
      <c r="L5" t="s">
        <v>69</v>
      </c>
      <c r="M5" t="s">
        <v>56</v>
      </c>
      <c r="N5" t="b">
        <v>1</v>
      </c>
      <c r="Q5">
        <v>3</v>
      </c>
      <c r="R5">
        <v>13</v>
      </c>
      <c r="S5">
        <v>1001</v>
      </c>
    </row>
    <row r="6" spans="1:19" x14ac:dyDescent="0.3">
      <c r="B6" t="s">
        <v>29</v>
      </c>
      <c r="C6" t="s">
        <v>11</v>
      </c>
      <c r="D6" t="s">
        <v>30</v>
      </c>
      <c r="F6" t="s">
        <v>27</v>
      </c>
      <c r="G6" t="s">
        <v>32</v>
      </c>
      <c r="H6">
        <v>1</v>
      </c>
      <c r="I6">
        <v>66</v>
      </c>
      <c r="J6">
        <v>66</v>
      </c>
      <c r="K6">
        <v>66</v>
      </c>
      <c r="L6" t="s">
        <v>69</v>
      </c>
      <c r="M6" t="s">
        <v>56</v>
      </c>
      <c r="N6" t="b">
        <v>1</v>
      </c>
      <c r="Q6">
        <v>3</v>
      </c>
      <c r="R6">
        <v>14</v>
      </c>
      <c r="S6">
        <v>1005</v>
      </c>
    </row>
    <row r="7" spans="1:19" x14ac:dyDescent="0.3">
      <c r="A7" t="s">
        <v>34</v>
      </c>
      <c r="B7" t="s">
        <v>29</v>
      </c>
      <c r="C7" t="s">
        <v>19</v>
      </c>
      <c r="D7" t="s">
        <v>30</v>
      </c>
      <c r="E7" t="b">
        <v>0</v>
      </c>
      <c r="H7">
        <v>1</v>
      </c>
      <c r="I7">
        <v>10</v>
      </c>
      <c r="J7">
        <v>20</v>
      </c>
      <c r="K7">
        <v>30</v>
      </c>
      <c r="L7" t="s">
        <v>69</v>
      </c>
      <c r="M7" t="s">
        <v>56</v>
      </c>
      <c r="N7" t="b">
        <v>1</v>
      </c>
      <c r="Q7">
        <v>3</v>
      </c>
      <c r="R7">
        <v>15</v>
      </c>
      <c r="S7">
        <v>1005</v>
      </c>
    </row>
    <row r="8" spans="1:19" x14ac:dyDescent="0.3">
      <c r="A8" t="s">
        <v>35</v>
      </c>
      <c r="B8" t="s">
        <v>29</v>
      </c>
      <c r="C8" t="s">
        <v>19</v>
      </c>
      <c r="D8" t="s">
        <v>30</v>
      </c>
      <c r="E8" t="b">
        <v>0</v>
      </c>
      <c r="H8">
        <v>1</v>
      </c>
      <c r="I8">
        <v>10</v>
      </c>
      <c r="J8">
        <v>20</v>
      </c>
      <c r="K8">
        <v>30</v>
      </c>
      <c r="L8" t="s">
        <v>70</v>
      </c>
      <c r="M8" t="s">
        <v>56</v>
      </c>
      <c r="N8" t="b">
        <v>1</v>
      </c>
      <c r="Q8">
        <v>3</v>
      </c>
      <c r="R8">
        <v>16</v>
      </c>
      <c r="S8">
        <v>1005</v>
      </c>
    </row>
    <row r="9" spans="1:19" x14ac:dyDescent="0.3">
      <c r="A9" t="s">
        <v>36</v>
      </c>
      <c r="B9" t="s">
        <v>29</v>
      </c>
      <c r="C9" t="s">
        <v>19</v>
      </c>
      <c r="D9" t="s">
        <v>30</v>
      </c>
      <c r="E9" t="b">
        <v>0</v>
      </c>
      <c r="H9">
        <v>1</v>
      </c>
      <c r="I9">
        <v>10</v>
      </c>
      <c r="J9">
        <v>20</v>
      </c>
      <c r="K9">
        <v>30</v>
      </c>
      <c r="L9" t="s">
        <v>69</v>
      </c>
      <c r="M9" t="s">
        <v>56</v>
      </c>
      <c r="N9" t="b">
        <v>1</v>
      </c>
      <c r="Q9">
        <v>3</v>
      </c>
      <c r="R9">
        <v>17</v>
      </c>
      <c r="S9">
        <v>1005</v>
      </c>
    </row>
    <row r="10" spans="1:19" x14ac:dyDescent="0.3">
      <c r="A10" t="s">
        <v>37</v>
      </c>
      <c r="B10" t="s">
        <v>29</v>
      </c>
      <c r="C10" t="s">
        <v>11</v>
      </c>
      <c r="D10" t="s">
        <v>30</v>
      </c>
      <c r="E10" t="b">
        <v>1</v>
      </c>
      <c r="H10">
        <v>2</v>
      </c>
      <c r="I10">
        <v>50</v>
      </c>
      <c r="J10">
        <v>50</v>
      </c>
      <c r="K10">
        <v>50</v>
      </c>
      <c r="L10" t="s">
        <v>69</v>
      </c>
      <c r="M10" t="s">
        <v>56</v>
      </c>
      <c r="N10" t="b">
        <v>1</v>
      </c>
      <c r="Q10">
        <v>3</v>
      </c>
      <c r="R10">
        <v>18</v>
      </c>
      <c r="S10">
        <v>1005</v>
      </c>
    </row>
    <row r="11" spans="1:19" x14ac:dyDescent="0.3">
      <c r="B11" t="s">
        <v>29</v>
      </c>
      <c r="C11" t="s">
        <v>11</v>
      </c>
      <c r="D11" t="s">
        <v>30</v>
      </c>
      <c r="F11" t="s">
        <v>37</v>
      </c>
      <c r="G11" t="s">
        <v>58</v>
      </c>
      <c r="H11">
        <v>1</v>
      </c>
      <c r="I11">
        <v>30</v>
      </c>
      <c r="J11">
        <v>30</v>
      </c>
      <c r="K11">
        <v>30</v>
      </c>
      <c r="L11" t="s">
        <v>69</v>
      </c>
      <c r="M11" t="s">
        <v>56</v>
      </c>
      <c r="N11" t="b">
        <v>1</v>
      </c>
      <c r="Q11">
        <v>3</v>
      </c>
      <c r="R11">
        <v>19</v>
      </c>
      <c r="S11">
        <v>1005</v>
      </c>
    </row>
    <row r="12" spans="1:19" x14ac:dyDescent="0.3">
      <c r="B12" t="s">
        <v>29</v>
      </c>
      <c r="C12" t="s">
        <v>11</v>
      </c>
      <c r="D12" t="s">
        <v>30</v>
      </c>
      <c r="F12" t="s">
        <v>37</v>
      </c>
      <c r="G12" t="s">
        <v>59</v>
      </c>
      <c r="H12">
        <v>1</v>
      </c>
      <c r="I12">
        <v>20</v>
      </c>
      <c r="J12">
        <v>20</v>
      </c>
      <c r="K12">
        <v>20</v>
      </c>
      <c r="L12" t="s">
        <v>69</v>
      </c>
      <c r="M12" t="s">
        <v>56</v>
      </c>
      <c r="N12" t="b">
        <v>1</v>
      </c>
      <c r="Q12">
        <v>3</v>
      </c>
      <c r="R12">
        <v>20</v>
      </c>
      <c r="S12">
        <v>1005</v>
      </c>
    </row>
    <row r="13" spans="1:19" x14ac:dyDescent="0.3">
      <c r="A13" t="s">
        <v>38</v>
      </c>
      <c r="B13" t="s">
        <v>29</v>
      </c>
      <c r="C13" t="s">
        <v>11</v>
      </c>
      <c r="D13" t="s">
        <v>30</v>
      </c>
      <c r="E13" t="b">
        <v>1</v>
      </c>
      <c r="H13">
        <v>2</v>
      </c>
      <c r="I13">
        <v>50</v>
      </c>
      <c r="J13">
        <v>50</v>
      </c>
      <c r="K13">
        <v>50</v>
      </c>
      <c r="L13" t="s">
        <v>69</v>
      </c>
      <c r="M13" t="s">
        <v>56</v>
      </c>
      <c r="N13" t="b">
        <v>1</v>
      </c>
      <c r="Q13">
        <v>3</v>
      </c>
      <c r="R13">
        <v>21</v>
      </c>
      <c r="S13">
        <v>1005</v>
      </c>
    </row>
    <row r="14" spans="1:19" x14ac:dyDescent="0.3">
      <c r="B14" t="s">
        <v>29</v>
      </c>
      <c r="C14" t="s">
        <v>11</v>
      </c>
      <c r="D14" t="s">
        <v>30</v>
      </c>
      <c r="F14" t="s">
        <v>38</v>
      </c>
      <c r="G14" t="s">
        <v>39</v>
      </c>
      <c r="H14">
        <v>2</v>
      </c>
      <c r="I14">
        <v>30</v>
      </c>
      <c r="J14">
        <v>30</v>
      </c>
      <c r="K14">
        <v>30</v>
      </c>
      <c r="L14" t="s">
        <v>69</v>
      </c>
      <c r="M14" t="s">
        <v>56</v>
      </c>
      <c r="N14" t="b">
        <v>1</v>
      </c>
      <c r="Q14">
        <v>3</v>
      </c>
      <c r="R14">
        <v>22</v>
      </c>
      <c r="S14">
        <v>1005</v>
      </c>
    </row>
    <row r="15" spans="1:19" x14ac:dyDescent="0.3">
      <c r="B15" t="s">
        <v>29</v>
      </c>
      <c r="C15" t="s">
        <v>11</v>
      </c>
      <c r="D15" t="s">
        <v>30</v>
      </c>
      <c r="F15" t="s">
        <v>38</v>
      </c>
      <c r="G15" t="s">
        <v>60</v>
      </c>
      <c r="H15">
        <v>2</v>
      </c>
      <c r="I15">
        <v>20</v>
      </c>
      <c r="J15">
        <v>20</v>
      </c>
      <c r="K15">
        <v>20</v>
      </c>
      <c r="L15" t="s">
        <v>69</v>
      </c>
      <c r="M15" t="s">
        <v>56</v>
      </c>
      <c r="N15" t="b">
        <v>1</v>
      </c>
      <c r="Q15">
        <v>3</v>
      </c>
      <c r="R15">
        <v>23</v>
      </c>
      <c r="S15">
        <v>1005</v>
      </c>
    </row>
    <row r="16" spans="1:19" x14ac:dyDescent="0.3">
      <c r="A16" t="s">
        <v>40</v>
      </c>
      <c r="B16" t="s">
        <v>28</v>
      </c>
      <c r="C16" t="s">
        <v>11</v>
      </c>
      <c r="D16" t="s">
        <v>30</v>
      </c>
      <c r="E16" t="b">
        <v>0</v>
      </c>
      <c r="H16">
        <v>1</v>
      </c>
      <c r="I16">
        <v>50</v>
      </c>
      <c r="J16">
        <v>50</v>
      </c>
      <c r="K16">
        <v>50</v>
      </c>
      <c r="L16" t="s">
        <v>69</v>
      </c>
      <c r="M16" t="s">
        <v>56</v>
      </c>
      <c r="N16" t="b">
        <v>1</v>
      </c>
      <c r="Q16">
        <v>3</v>
      </c>
      <c r="R16">
        <v>24</v>
      </c>
      <c r="S16">
        <v>1005</v>
      </c>
    </row>
    <row r="17" spans="1:18" x14ac:dyDescent="0.3">
      <c r="A17" t="s">
        <v>92</v>
      </c>
      <c r="B17">
        <v>7283554430</v>
      </c>
      <c r="C17" t="s">
        <v>11</v>
      </c>
      <c r="D17" t="s">
        <v>30</v>
      </c>
      <c r="E17" t="b">
        <v>0</v>
      </c>
      <c r="H17">
        <v>1</v>
      </c>
      <c r="I17">
        <v>66</v>
      </c>
      <c r="J17">
        <v>67</v>
      </c>
      <c r="K17">
        <v>68</v>
      </c>
      <c r="L17" t="s">
        <v>68</v>
      </c>
      <c r="M17" t="s">
        <v>33</v>
      </c>
      <c r="N17" t="b">
        <v>1</v>
      </c>
      <c r="Q17">
        <v>3</v>
      </c>
      <c r="R17">
        <v>888</v>
      </c>
    </row>
  </sheetData>
  <conditionalFormatting sqref="A2:S2">
    <cfRule type="expression" dxfId="10" priority="1" stopIfTrue="1">
      <formula>$E$2=FALSE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B5CF021B-4916-4816-99DC-C86467403EB6}">
          <x14:formula1>
            <xm:f>color_list!$A$2:$A$8</xm:f>
          </x14:formula1>
          <xm:sqref>L2:L24</xm:sqref>
        </x14:dataValidation>
        <x14:dataValidation type="list" allowBlank="1" showInputMessage="1" showErrorMessage="1" xr:uid="{EBA57813-15EB-4D94-BDF4-1E4E58554DE7}">
          <x14:formula1>
            <xm:f>material_list!$A$2:$A$6</xm:f>
          </x14:formula1>
          <xm:sqref>M2:M24</xm:sqref>
        </x14:dataValidation>
        <x14:dataValidation type="list" allowBlank="1" showInputMessage="1" showErrorMessage="1" xr:uid="{30A972CD-225B-4C7A-A212-45F79D5DAB6C}">
          <x14:formula1>
            <xm:f>type_list!$A$2:$A$4</xm:f>
          </x14:formula1>
          <xm:sqref>C2:C24</xm:sqref>
        </x14:dataValidation>
        <x14:dataValidation type="list" allowBlank="1" showInputMessage="1" showErrorMessage="1" xr:uid="{5F584ACB-A234-4EE9-93C0-B1312ACC0642}">
          <x14:formula1>
            <xm:f>price_offer_list!#REF!</xm:f>
          </x14:formula1>
          <xm:sqref>S2:S24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62B7-834F-4BD2-A629-C95740306FF3}">
  <sheetPr codeName="Sheet3"/>
  <dimension ref="A1:F6"/>
  <sheetViews>
    <sheetView workbookViewId="0">
      <selection activeCell="D15" sqref="D15"/>
    </sheetView>
  </sheetViews>
  <sheetFormatPr defaultRowHeight="14.4" x14ac:dyDescent="0.3"/>
  <cols>
    <col min="1" max="1" width="11.77734375" customWidth="1"/>
    <col min="2" max="2" width="24.33203125" bestFit="1" customWidth="1"/>
    <col min="3" max="3" width="12.21875" customWidth="1"/>
    <col min="4" max="4" width="11.88671875" customWidth="1"/>
    <col min="5" max="5" width="12.6640625" customWidth="1"/>
    <col min="6" max="6" width="12.33203125" customWidth="1"/>
  </cols>
  <sheetData>
    <row r="1" spans="1:6" x14ac:dyDescent="0.3">
      <c r="A1" t="s">
        <v>16</v>
      </c>
      <c r="B1" t="s">
        <v>17</v>
      </c>
      <c r="C1" t="s">
        <v>18</v>
      </c>
      <c r="D1" t="s">
        <v>13</v>
      </c>
      <c r="E1" t="s">
        <v>14</v>
      </c>
      <c r="F1" t="s">
        <v>15</v>
      </c>
    </row>
    <row r="2" spans="1:6" x14ac:dyDescent="0.3">
      <c r="A2" t="s">
        <v>357</v>
      </c>
      <c r="B2" t="s">
        <v>20</v>
      </c>
    </row>
    <row r="3" spans="1:6" x14ac:dyDescent="0.3">
      <c r="A3" t="s">
        <v>358</v>
      </c>
      <c r="B3" t="s">
        <v>21</v>
      </c>
    </row>
    <row r="4" spans="1:6" x14ac:dyDescent="0.3">
      <c r="A4" t="s">
        <v>359</v>
      </c>
      <c r="B4" t="s">
        <v>22</v>
      </c>
    </row>
    <row r="5" spans="1:6" x14ac:dyDescent="0.3">
      <c r="A5" t="s">
        <v>360</v>
      </c>
      <c r="B5" t="s">
        <v>361</v>
      </c>
    </row>
    <row r="6" spans="1:6" x14ac:dyDescent="0.3">
      <c r="A6" t="s">
        <v>1470</v>
      </c>
      <c r="B6" t="s">
        <v>1471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2B84-8070-4117-898A-E74DE867410F}">
  <sheetPr codeName="Sheet4"/>
  <dimension ref="A1:D5"/>
  <sheetViews>
    <sheetView workbookViewId="0">
      <selection activeCell="D12" sqref="D12"/>
    </sheetView>
  </sheetViews>
  <sheetFormatPr defaultRowHeight="14.4" x14ac:dyDescent="0.3"/>
  <cols>
    <col min="1" max="1" width="14.77734375" bestFit="1" customWidth="1"/>
    <col min="2" max="2" width="20.77734375" customWidth="1"/>
    <col min="3" max="4" width="10.4414062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293</v>
      </c>
    </row>
    <row r="3" spans="1:4" x14ac:dyDescent="0.3">
      <c r="A3" t="s">
        <v>865</v>
      </c>
    </row>
    <row r="4" spans="1:4" x14ac:dyDescent="0.3">
      <c r="A4" t="s">
        <v>1623</v>
      </c>
    </row>
    <row r="5" spans="1:4" x14ac:dyDescent="0.3">
      <c r="A5" t="s">
        <v>1624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D32C-13AE-4999-A106-C2CB899069D5}">
  <sheetPr codeName="Sheet6"/>
  <dimension ref="A1:I9"/>
  <sheetViews>
    <sheetView workbookViewId="0">
      <selection activeCell="E14" sqref="E14"/>
    </sheetView>
  </sheetViews>
  <sheetFormatPr defaultRowHeight="14.4" x14ac:dyDescent="0.3"/>
  <cols>
    <col min="1" max="1" width="12.21875" customWidth="1"/>
    <col min="2" max="2" width="12.88671875" customWidth="1"/>
    <col min="3" max="3" width="16.44140625" bestFit="1" customWidth="1"/>
    <col min="4" max="4" width="11.21875" customWidth="1"/>
    <col min="5" max="5" width="15.109375" customWidth="1"/>
    <col min="6" max="6" width="10.109375" customWidth="1"/>
    <col min="7" max="7" width="11.88671875" customWidth="1"/>
    <col min="8" max="8" width="12.6640625" customWidth="1"/>
    <col min="9" max="9" width="12.33203125" customWidth="1"/>
  </cols>
  <sheetData>
    <row r="1" spans="1:9" x14ac:dyDescent="0.3">
      <c r="A1" t="s">
        <v>48</v>
      </c>
      <c r="B1" t="s">
        <v>49</v>
      </c>
      <c r="C1" t="s">
        <v>75</v>
      </c>
      <c r="D1" t="s">
        <v>50</v>
      </c>
      <c r="E1" t="s">
        <v>51</v>
      </c>
      <c r="F1" t="s">
        <v>47</v>
      </c>
      <c r="G1" t="s">
        <v>13</v>
      </c>
      <c r="H1" t="s">
        <v>14</v>
      </c>
      <c r="I1" t="s">
        <v>15</v>
      </c>
    </row>
    <row r="2" spans="1:9" x14ac:dyDescent="0.3">
      <c r="A2" t="s">
        <v>68</v>
      </c>
      <c r="B2" t="s">
        <v>52</v>
      </c>
      <c r="C2" t="s">
        <v>76</v>
      </c>
      <c r="F2" t="b">
        <v>1</v>
      </c>
    </row>
    <row r="3" spans="1:9" x14ac:dyDescent="0.3">
      <c r="A3" t="s">
        <v>69</v>
      </c>
      <c r="B3" t="s">
        <v>53</v>
      </c>
      <c r="C3" t="s">
        <v>77</v>
      </c>
      <c r="F3" t="b">
        <v>1</v>
      </c>
    </row>
    <row r="4" spans="1:9" x14ac:dyDescent="0.3">
      <c r="A4" t="s">
        <v>70</v>
      </c>
      <c r="B4" t="s">
        <v>63</v>
      </c>
      <c r="C4" t="s">
        <v>78</v>
      </c>
      <c r="F4" t="b">
        <v>1</v>
      </c>
    </row>
    <row r="5" spans="1:9" x14ac:dyDescent="0.3">
      <c r="A5" t="s">
        <v>71</v>
      </c>
      <c r="B5" t="s">
        <v>64</v>
      </c>
      <c r="C5" t="s">
        <v>79</v>
      </c>
      <c r="F5" t="b">
        <v>1</v>
      </c>
    </row>
    <row r="6" spans="1:9" x14ac:dyDescent="0.3">
      <c r="A6" t="s">
        <v>72</v>
      </c>
      <c r="B6" t="s">
        <v>65</v>
      </c>
      <c r="C6" t="s">
        <v>80</v>
      </c>
      <c r="F6" t="b">
        <v>1</v>
      </c>
    </row>
    <row r="7" spans="1:9" x14ac:dyDescent="0.3">
      <c r="A7" t="s">
        <v>73</v>
      </c>
      <c r="B7" t="s">
        <v>66</v>
      </c>
      <c r="C7" t="s">
        <v>81</v>
      </c>
      <c r="F7" t="b">
        <v>1</v>
      </c>
    </row>
    <row r="8" spans="1:9" x14ac:dyDescent="0.3">
      <c r="A8" t="s">
        <v>74</v>
      </c>
      <c r="B8" t="s">
        <v>67</v>
      </c>
      <c r="C8" t="s">
        <v>82</v>
      </c>
      <c r="F8" t="b">
        <v>1</v>
      </c>
    </row>
    <row r="9" spans="1:9" x14ac:dyDescent="0.3">
      <c r="A9" t="s">
        <v>1295</v>
      </c>
      <c r="B9" t="s">
        <v>1296</v>
      </c>
      <c r="C9" t="s">
        <v>1297</v>
      </c>
      <c r="F9" t="b">
        <v>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790C-BB2F-431D-BC71-3A4FB5BCFE42}">
  <sheetPr codeName="Sheet7"/>
  <dimension ref="A1:K6"/>
  <sheetViews>
    <sheetView workbookViewId="0">
      <selection activeCell="F14" sqref="F14"/>
    </sheetView>
  </sheetViews>
  <sheetFormatPr defaultRowHeight="14.4" x14ac:dyDescent="0.3"/>
  <cols>
    <col min="1" max="1" width="14.88671875" customWidth="1"/>
    <col min="2" max="3" width="15.5546875" customWidth="1"/>
    <col min="4" max="4" width="10.21875" customWidth="1"/>
    <col min="5" max="5" width="19.44140625" customWidth="1"/>
    <col min="6" max="6" width="21.109375" customWidth="1"/>
    <col min="7" max="7" width="13.109375" customWidth="1"/>
    <col min="8" max="8" width="10.109375" customWidth="1"/>
    <col min="9" max="9" width="11.88671875" customWidth="1"/>
    <col min="10" max="10" width="12.6640625" customWidth="1"/>
    <col min="11" max="11" width="12.33203125" customWidth="1"/>
  </cols>
  <sheetData>
    <row r="1" spans="1:11" x14ac:dyDescent="0.3">
      <c r="A1" t="s">
        <v>41</v>
      </c>
      <c r="B1" t="s">
        <v>42</v>
      </c>
      <c r="C1" t="s">
        <v>83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13</v>
      </c>
      <c r="J1" t="s">
        <v>14</v>
      </c>
      <c r="K1" t="s">
        <v>15</v>
      </c>
    </row>
    <row r="2" spans="1:11" x14ac:dyDescent="0.3">
      <c r="A2" t="s">
        <v>54</v>
      </c>
      <c r="B2" t="s">
        <v>10</v>
      </c>
      <c r="C2" t="s">
        <v>84</v>
      </c>
      <c r="H2" t="b">
        <v>1</v>
      </c>
    </row>
    <row r="3" spans="1:11" x14ac:dyDescent="0.3">
      <c r="A3" t="s">
        <v>33</v>
      </c>
      <c r="B3" t="s">
        <v>55</v>
      </c>
      <c r="C3" t="s">
        <v>523</v>
      </c>
      <c r="H3" t="b">
        <v>1</v>
      </c>
    </row>
    <row r="4" spans="1:11" x14ac:dyDescent="0.3">
      <c r="A4" t="s">
        <v>56</v>
      </c>
      <c r="B4" t="s">
        <v>57</v>
      </c>
      <c r="C4" t="s">
        <v>85</v>
      </c>
      <c r="H4" t="b">
        <v>1</v>
      </c>
    </row>
    <row r="5" spans="1:11" x14ac:dyDescent="0.3">
      <c r="A5" t="s">
        <v>86</v>
      </c>
      <c r="B5" t="s">
        <v>87</v>
      </c>
      <c r="C5" t="s">
        <v>88</v>
      </c>
      <c r="H5" t="b">
        <v>1</v>
      </c>
    </row>
    <row r="6" spans="1:11" x14ac:dyDescent="0.3">
      <c r="A6" t="s">
        <v>91</v>
      </c>
      <c r="B6" t="s">
        <v>90</v>
      </c>
      <c r="C6" t="s">
        <v>89</v>
      </c>
      <c r="H6" t="b">
        <v>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2694-8912-4BF8-B220-264E1EDB358B}">
  <sheetPr codeName="Sheet8"/>
  <dimension ref="A1:B207"/>
  <sheetViews>
    <sheetView topLeftCell="A179" workbookViewId="0">
      <selection activeCell="G191" sqref="G191"/>
    </sheetView>
  </sheetViews>
  <sheetFormatPr defaultRowHeight="14.4" x14ac:dyDescent="0.3"/>
  <cols>
    <col min="1" max="1" width="13.21875" customWidth="1"/>
    <col min="2" max="2" width="14.6640625" customWidth="1"/>
  </cols>
  <sheetData>
    <row r="1" spans="1:2" x14ac:dyDescent="0.3">
      <c r="A1" t="s">
        <v>869</v>
      </c>
      <c r="B1" t="s">
        <v>870</v>
      </c>
    </row>
    <row r="2" spans="1:2" x14ac:dyDescent="0.3">
      <c r="A2" s="23" t="s">
        <v>95</v>
      </c>
      <c r="B2" s="22" t="s">
        <v>866</v>
      </c>
    </row>
    <row r="3" spans="1:2" x14ac:dyDescent="0.3">
      <c r="A3" s="23" t="s">
        <v>96</v>
      </c>
      <c r="B3" s="22" t="s">
        <v>866</v>
      </c>
    </row>
    <row r="4" spans="1:2" x14ac:dyDescent="0.3">
      <c r="A4" s="23" t="s">
        <v>97</v>
      </c>
      <c r="B4" s="22" t="s">
        <v>866</v>
      </c>
    </row>
    <row r="5" spans="1:2" x14ac:dyDescent="0.3">
      <c r="A5" s="23" t="s">
        <v>98</v>
      </c>
      <c r="B5" s="22" t="s">
        <v>866</v>
      </c>
    </row>
    <row r="6" spans="1:2" x14ac:dyDescent="0.3">
      <c r="A6" s="23" t="s">
        <v>99</v>
      </c>
      <c r="B6" s="22" t="s">
        <v>866</v>
      </c>
    </row>
    <row r="7" spans="1:2" x14ac:dyDescent="0.3">
      <c r="A7" s="23" t="s">
        <v>100</v>
      </c>
      <c r="B7" s="22" t="s">
        <v>866</v>
      </c>
    </row>
    <row r="8" spans="1:2" x14ac:dyDescent="0.3">
      <c r="A8" s="23" t="s">
        <v>101</v>
      </c>
      <c r="B8" s="22" t="s">
        <v>866</v>
      </c>
    </row>
    <row r="9" spans="1:2" x14ac:dyDescent="0.3">
      <c r="A9" s="23" t="s">
        <v>102</v>
      </c>
      <c r="B9" s="22" t="s">
        <v>866</v>
      </c>
    </row>
    <row r="10" spans="1:2" x14ac:dyDescent="0.3">
      <c r="A10" s="23" t="s">
        <v>103</v>
      </c>
      <c r="B10" s="22" t="s">
        <v>866</v>
      </c>
    </row>
    <row r="11" spans="1:2" x14ac:dyDescent="0.3">
      <c r="A11" s="23" t="s">
        <v>104</v>
      </c>
      <c r="B11" s="22" t="s">
        <v>866</v>
      </c>
    </row>
    <row r="12" spans="1:2" x14ac:dyDescent="0.3">
      <c r="A12" s="23" t="s">
        <v>105</v>
      </c>
      <c r="B12" s="22" t="s">
        <v>866</v>
      </c>
    </row>
    <row r="13" spans="1:2" x14ac:dyDescent="0.3">
      <c r="A13" s="23" t="s">
        <v>106</v>
      </c>
      <c r="B13" s="22" t="s">
        <v>866</v>
      </c>
    </row>
    <row r="14" spans="1:2" x14ac:dyDescent="0.3">
      <c r="A14" s="23" t="s">
        <v>107</v>
      </c>
      <c r="B14" s="22" t="s">
        <v>866</v>
      </c>
    </row>
    <row r="15" spans="1:2" x14ac:dyDescent="0.3">
      <c r="A15" s="23" t="s">
        <v>108</v>
      </c>
      <c r="B15" s="22" t="s">
        <v>866</v>
      </c>
    </row>
    <row r="16" spans="1:2" x14ac:dyDescent="0.3">
      <c r="A16" s="23" t="s">
        <v>109</v>
      </c>
      <c r="B16" s="22" t="s">
        <v>866</v>
      </c>
    </row>
    <row r="17" spans="1:2" x14ac:dyDescent="0.3">
      <c r="A17" s="23" t="s">
        <v>110</v>
      </c>
      <c r="B17" s="22" t="s">
        <v>866</v>
      </c>
    </row>
    <row r="18" spans="1:2" x14ac:dyDescent="0.3">
      <c r="A18" s="23" t="s">
        <v>111</v>
      </c>
      <c r="B18" s="22" t="s">
        <v>866</v>
      </c>
    </row>
    <row r="19" spans="1:2" x14ac:dyDescent="0.3">
      <c r="A19" s="23" t="s">
        <v>112</v>
      </c>
      <c r="B19" s="22" t="s">
        <v>866</v>
      </c>
    </row>
    <row r="20" spans="1:2" x14ac:dyDescent="0.3">
      <c r="A20" s="23" t="s">
        <v>113</v>
      </c>
      <c r="B20" s="22" t="s">
        <v>866</v>
      </c>
    </row>
    <row r="21" spans="1:2" x14ac:dyDescent="0.3">
      <c r="A21" s="23" t="s">
        <v>114</v>
      </c>
      <c r="B21" s="22" t="s">
        <v>866</v>
      </c>
    </row>
    <row r="22" spans="1:2" x14ac:dyDescent="0.3">
      <c r="A22" s="23" t="s">
        <v>115</v>
      </c>
      <c r="B22" s="22" t="s">
        <v>866</v>
      </c>
    </row>
    <row r="23" spans="1:2" x14ac:dyDescent="0.3">
      <c r="A23" s="23" t="s">
        <v>116</v>
      </c>
      <c r="B23" s="22" t="s">
        <v>866</v>
      </c>
    </row>
    <row r="24" spans="1:2" x14ac:dyDescent="0.3">
      <c r="A24" s="23" t="s">
        <v>117</v>
      </c>
      <c r="B24" s="22" t="s">
        <v>866</v>
      </c>
    </row>
    <row r="25" spans="1:2" x14ac:dyDescent="0.3">
      <c r="A25" s="23" t="s">
        <v>118</v>
      </c>
      <c r="B25" s="22" t="s">
        <v>866</v>
      </c>
    </row>
    <row r="26" spans="1:2" x14ac:dyDescent="0.3">
      <c r="A26" s="23" t="s">
        <v>119</v>
      </c>
      <c r="B26" s="22" t="s">
        <v>866</v>
      </c>
    </row>
    <row r="27" spans="1:2" x14ac:dyDescent="0.3">
      <c r="A27" s="23" t="s">
        <v>120</v>
      </c>
      <c r="B27" s="22" t="s">
        <v>866</v>
      </c>
    </row>
    <row r="28" spans="1:2" x14ac:dyDescent="0.3">
      <c r="A28" s="23" t="s">
        <v>121</v>
      </c>
      <c r="B28" s="22" t="s">
        <v>866</v>
      </c>
    </row>
    <row r="29" spans="1:2" x14ac:dyDescent="0.3">
      <c r="A29" s="23" t="s">
        <v>122</v>
      </c>
      <c r="B29" s="22" t="s">
        <v>866</v>
      </c>
    </row>
    <row r="30" spans="1:2" x14ac:dyDescent="0.3">
      <c r="A30" s="23" t="s">
        <v>123</v>
      </c>
      <c r="B30" s="22" t="s">
        <v>866</v>
      </c>
    </row>
    <row r="31" spans="1:2" x14ac:dyDescent="0.3">
      <c r="A31" s="23" t="s">
        <v>124</v>
      </c>
      <c r="B31" s="22" t="s">
        <v>866</v>
      </c>
    </row>
    <row r="32" spans="1:2" x14ac:dyDescent="0.3">
      <c r="A32" s="23" t="s">
        <v>125</v>
      </c>
      <c r="B32" s="22" t="s">
        <v>866</v>
      </c>
    </row>
    <row r="33" spans="1:2" x14ac:dyDescent="0.3">
      <c r="A33" s="23" t="s">
        <v>126</v>
      </c>
      <c r="B33" s="22" t="s">
        <v>866</v>
      </c>
    </row>
    <row r="34" spans="1:2" x14ac:dyDescent="0.3">
      <c r="A34" s="23" t="s">
        <v>127</v>
      </c>
      <c r="B34" s="22" t="s">
        <v>866</v>
      </c>
    </row>
    <row r="35" spans="1:2" x14ac:dyDescent="0.3">
      <c r="A35" s="23" t="s">
        <v>855</v>
      </c>
      <c r="B35" s="22" t="s">
        <v>866</v>
      </c>
    </row>
    <row r="36" spans="1:2" x14ac:dyDescent="0.3">
      <c r="A36" s="23" t="s">
        <v>128</v>
      </c>
      <c r="B36" s="22" t="s">
        <v>866</v>
      </c>
    </row>
    <row r="37" spans="1:2" x14ac:dyDescent="0.3">
      <c r="A37" s="23" t="s">
        <v>129</v>
      </c>
      <c r="B37" s="22" t="s">
        <v>866</v>
      </c>
    </row>
    <row r="38" spans="1:2" x14ac:dyDescent="0.3">
      <c r="A38" s="23" t="s">
        <v>130</v>
      </c>
      <c r="B38" s="22" t="s">
        <v>866</v>
      </c>
    </row>
    <row r="39" spans="1:2" x14ac:dyDescent="0.3">
      <c r="A39" s="23" t="s">
        <v>131</v>
      </c>
      <c r="B39" s="22" t="s">
        <v>866</v>
      </c>
    </row>
    <row r="40" spans="1:2" x14ac:dyDescent="0.3">
      <c r="A40" s="23" t="s">
        <v>132</v>
      </c>
      <c r="B40" s="22" t="s">
        <v>866</v>
      </c>
    </row>
    <row r="41" spans="1:2" x14ac:dyDescent="0.3">
      <c r="A41" s="23" t="s">
        <v>133</v>
      </c>
      <c r="B41" s="22" t="s">
        <v>866</v>
      </c>
    </row>
    <row r="42" spans="1:2" x14ac:dyDescent="0.3">
      <c r="A42" s="23" t="s">
        <v>134</v>
      </c>
      <c r="B42" s="22" t="s">
        <v>866</v>
      </c>
    </row>
    <row r="43" spans="1:2" x14ac:dyDescent="0.3">
      <c r="A43" s="23" t="s">
        <v>854</v>
      </c>
      <c r="B43" s="22" t="s">
        <v>866</v>
      </c>
    </row>
    <row r="44" spans="1:2" x14ac:dyDescent="0.3">
      <c r="A44" s="23" t="s">
        <v>135</v>
      </c>
      <c r="B44" s="22" t="s">
        <v>866</v>
      </c>
    </row>
    <row r="45" spans="1:2" x14ac:dyDescent="0.3">
      <c r="A45" s="23" t="s">
        <v>136</v>
      </c>
      <c r="B45" s="22" t="s">
        <v>866</v>
      </c>
    </row>
    <row r="46" spans="1:2" x14ac:dyDescent="0.3">
      <c r="A46" s="23" t="s">
        <v>137</v>
      </c>
      <c r="B46" s="22" t="s">
        <v>866</v>
      </c>
    </row>
    <row r="47" spans="1:2" x14ac:dyDescent="0.3">
      <c r="A47" s="23" t="s">
        <v>138</v>
      </c>
      <c r="B47" s="22" t="s">
        <v>866</v>
      </c>
    </row>
    <row r="48" spans="1:2" x14ac:dyDescent="0.3">
      <c r="A48" s="23" t="s">
        <v>139</v>
      </c>
      <c r="B48" s="22" t="s">
        <v>866</v>
      </c>
    </row>
    <row r="49" spans="1:2" x14ac:dyDescent="0.3">
      <c r="A49" s="23" t="s">
        <v>140</v>
      </c>
      <c r="B49" s="22" t="s">
        <v>866</v>
      </c>
    </row>
    <row r="50" spans="1:2" x14ac:dyDescent="0.3">
      <c r="A50" s="23" t="s">
        <v>141</v>
      </c>
      <c r="B50" s="22" t="s">
        <v>866</v>
      </c>
    </row>
    <row r="51" spans="1:2" x14ac:dyDescent="0.3">
      <c r="A51" s="23" t="s">
        <v>142</v>
      </c>
      <c r="B51" s="22" t="s">
        <v>866</v>
      </c>
    </row>
    <row r="52" spans="1:2" x14ac:dyDescent="0.3">
      <c r="A52" s="23" t="s">
        <v>143</v>
      </c>
      <c r="B52" s="22" t="s">
        <v>866</v>
      </c>
    </row>
    <row r="53" spans="1:2" x14ac:dyDescent="0.3">
      <c r="A53" s="23" t="s">
        <v>144</v>
      </c>
      <c r="B53" s="22" t="s">
        <v>866</v>
      </c>
    </row>
    <row r="54" spans="1:2" x14ac:dyDescent="0.3">
      <c r="A54" s="23" t="s">
        <v>145</v>
      </c>
      <c r="B54" s="22" t="s">
        <v>866</v>
      </c>
    </row>
    <row r="55" spans="1:2" x14ac:dyDescent="0.3">
      <c r="A55" s="23" t="s">
        <v>146</v>
      </c>
      <c r="B55" s="22" t="s">
        <v>866</v>
      </c>
    </row>
    <row r="56" spans="1:2" x14ac:dyDescent="0.3">
      <c r="A56" s="23" t="s">
        <v>148</v>
      </c>
      <c r="B56" s="22" t="s">
        <v>866</v>
      </c>
    </row>
    <row r="57" spans="1:2" x14ac:dyDescent="0.3">
      <c r="A57" s="23" t="s">
        <v>149</v>
      </c>
      <c r="B57" s="22" t="s">
        <v>866</v>
      </c>
    </row>
    <row r="58" spans="1:2" x14ac:dyDescent="0.3">
      <c r="A58" s="23" t="s">
        <v>150</v>
      </c>
      <c r="B58" s="22" t="s">
        <v>866</v>
      </c>
    </row>
    <row r="59" spans="1:2" x14ac:dyDescent="0.3">
      <c r="A59" s="23" t="s">
        <v>151</v>
      </c>
      <c r="B59" s="22" t="s">
        <v>866</v>
      </c>
    </row>
    <row r="60" spans="1:2" x14ac:dyDescent="0.3">
      <c r="A60" s="23" t="s">
        <v>152</v>
      </c>
      <c r="B60" s="22" t="s">
        <v>866</v>
      </c>
    </row>
    <row r="61" spans="1:2" x14ac:dyDescent="0.3">
      <c r="A61" s="23" t="s">
        <v>153</v>
      </c>
      <c r="B61" s="22" t="s">
        <v>866</v>
      </c>
    </row>
    <row r="62" spans="1:2" x14ac:dyDescent="0.3">
      <c r="A62" s="23" t="s">
        <v>154</v>
      </c>
      <c r="B62" s="22" t="s">
        <v>866</v>
      </c>
    </row>
    <row r="63" spans="1:2" x14ac:dyDescent="0.3">
      <c r="A63" s="23" t="s">
        <v>155</v>
      </c>
      <c r="B63" s="22" t="s">
        <v>866</v>
      </c>
    </row>
    <row r="64" spans="1:2" x14ac:dyDescent="0.3">
      <c r="A64" s="23" t="s">
        <v>372</v>
      </c>
      <c r="B64" s="22" t="s">
        <v>866</v>
      </c>
    </row>
    <row r="65" spans="1:2" x14ac:dyDescent="0.3">
      <c r="A65" s="23" t="s">
        <v>156</v>
      </c>
      <c r="B65" s="22" t="s">
        <v>866</v>
      </c>
    </row>
    <row r="66" spans="1:2" x14ac:dyDescent="0.3">
      <c r="A66" s="23" t="s">
        <v>368</v>
      </c>
      <c r="B66" s="22" t="s">
        <v>866</v>
      </c>
    </row>
    <row r="67" spans="1:2" x14ac:dyDescent="0.3">
      <c r="A67" s="23" t="s">
        <v>157</v>
      </c>
      <c r="B67" s="22" t="s">
        <v>866</v>
      </c>
    </row>
    <row r="68" spans="1:2" x14ac:dyDescent="0.3">
      <c r="A68" s="23" t="s">
        <v>158</v>
      </c>
      <c r="B68" s="22" t="s">
        <v>866</v>
      </c>
    </row>
    <row r="69" spans="1:2" x14ac:dyDescent="0.3">
      <c r="A69" s="23" t="s">
        <v>159</v>
      </c>
      <c r="B69" s="22" t="s">
        <v>866</v>
      </c>
    </row>
    <row r="70" spans="1:2" x14ac:dyDescent="0.3">
      <c r="A70" s="23" t="s">
        <v>160</v>
      </c>
      <c r="B70" s="22" t="s">
        <v>866</v>
      </c>
    </row>
    <row r="71" spans="1:2" x14ac:dyDescent="0.3">
      <c r="A71" s="23" t="s">
        <v>161</v>
      </c>
      <c r="B71" s="22" t="s">
        <v>866</v>
      </c>
    </row>
    <row r="72" spans="1:2" x14ac:dyDescent="0.3">
      <c r="A72" s="23" t="s">
        <v>162</v>
      </c>
      <c r="B72" s="22" t="s">
        <v>866</v>
      </c>
    </row>
    <row r="73" spans="1:2" x14ac:dyDescent="0.3">
      <c r="A73" s="23" t="s">
        <v>163</v>
      </c>
      <c r="B73" s="22" t="s">
        <v>866</v>
      </c>
    </row>
    <row r="74" spans="1:2" x14ac:dyDescent="0.3">
      <c r="A74" s="23" t="s">
        <v>164</v>
      </c>
      <c r="B74" s="22" t="s">
        <v>866</v>
      </c>
    </row>
    <row r="75" spans="1:2" x14ac:dyDescent="0.3">
      <c r="A75" s="23" t="s">
        <v>165</v>
      </c>
      <c r="B75" s="22" t="s">
        <v>866</v>
      </c>
    </row>
    <row r="76" spans="1:2" x14ac:dyDescent="0.3">
      <c r="A76" s="23" t="s">
        <v>166</v>
      </c>
      <c r="B76" s="22" t="s">
        <v>866</v>
      </c>
    </row>
    <row r="77" spans="1:2" x14ac:dyDescent="0.3">
      <c r="A77" s="23" t="s">
        <v>167</v>
      </c>
      <c r="B77" s="22" t="s">
        <v>866</v>
      </c>
    </row>
    <row r="78" spans="1:2" x14ac:dyDescent="0.3">
      <c r="A78" s="23" t="s">
        <v>168</v>
      </c>
      <c r="B78" s="22" t="s">
        <v>866</v>
      </c>
    </row>
    <row r="79" spans="1:2" x14ac:dyDescent="0.3">
      <c r="A79" s="23" t="s">
        <v>169</v>
      </c>
      <c r="B79" s="22" t="s">
        <v>866</v>
      </c>
    </row>
    <row r="80" spans="1:2" x14ac:dyDescent="0.3">
      <c r="A80" s="23" t="s">
        <v>170</v>
      </c>
      <c r="B80" s="22" t="s">
        <v>866</v>
      </c>
    </row>
    <row r="81" spans="1:2" x14ac:dyDescent="0.3">
      <c r="A81" s="23" t="s">
        <v>171</v>
      </c>
      <c r="B81" s="22" t="s">
        <v>866</v>
      </c>
    </row>
    <row r="82" spans="1:2" x14ac:dyDescent="0.3">
      <c r="A82" s="23" t="s">
        <v>172</v>
      </c>
      <c r="B82" s="22" t="s">
        <v>866</v>
      </c>
    </row>
    <row r="83" spans="1:2" x14ac:dyDescent="0.3">
      <c r="A83" s="23" t="s">
        <v>173</v>
      </c>
      <c r="B83" s="22" t="s">
        <v>866</v>
      </c>
    </row>
    <row r="84" spans="1:2" x14ac:dyDescent="0.3">
      <c r="A84" s="23" t="s">
        <v>174</v>
      </c>
      <c r="B84" s="22" t="s">
        <v>866</v>
      </c>
    </row>
    <row r="85" spans="1:2" x14ac:dyDescent="0.3">
      <c r="A85" s="23" t="s">
        <v>175</v>
      </c>
      <c r="B85" s="22" t="s">
        <v>866</v>
      </c>
    </row>
    <row r="86" spans="1:2" x14ac:dyDescent="0.3">
      <c r="A86" s="23" t="s">
        <v>176</v>
      </c>
      <c r="B86" s="22" t="s">
        <v>866</v>
      </c>
    </row>
    <row r="87" spans="1:2" x14ac:dyDescent="0.3">
      <c r="A87" s="23" t="s">
        <v>177</v>
      </c>
      <c r="B87" s="22" t="s">
        <v>866</v>
      </c>
    </row>
    <row r="88" spans="1:2" x14ac:dyDescent="0.3">
      <c r="A88" s="23" t="s">
        <v>178</v>
      </c>
      <c r="B88" s="22" t="s">
        <v>866</v>
      </c>
    </row>
    <row r="89" spans="1:2" x14ac:dyDescent="0.3">
      <c r="A89" s="23" t="s">
        <v>179</v>
      </c>
      <c r="B89" s="22" t="s">
        <v>866</v>
      </c>
    </row>
    <row r="90" spans="1:2" x14ac:dyDescent="0.3">
      <c r="A90" s="23" t="s">
        <v>180</v>
      </c>
      <c r="B90" s="22" t="s">
        <v>866</v>
      </c>
    </row>
    <row r="91" spans="1:2" x14ac:dyDescent="0.3">
      <c r="A91" s="23" t="s">
        <v>181</v>
      </c>
      <c r="B91" s="22" t="s">
        <v>866</v>
      </c>
    </row>
    <row r="92" spans="1:2" x14ac:dyDescent="0.3">
      <c r="A92" s="23" t="s">
        <v>182</v>
      </c>
      <c r="B92" s="22" t="s">
        <v>866</v>
      </c>
    </row>
    <row r="93" spans="1:2" x14ac:dyDescent="0.3">
      <c r="A93" s="23" t="s">
        <v>183</v>
      </c>
      <c r="B93" s="22" t="s">
        <v>866</v>
      </c>
    </row>
    <row r="94" spans="1:2" x14ac:dyDescent="0.3">
      <c r="A94" s="23" t="s">
        <v>184</v>
      </c>
      <c r="B94" s="22" t="s">
        <v>866</v>
      </c>
    </row>
    <row r="95" spans="1:2" x14ac:dyDescent="0.3">
      <c r="A95" s="23" t="s">
        <v>185</v>
      </c>
      <c r="B95" s="22" t="s">
        <v>866</v>
      </c>
    </row>
    <row r="96" spans="1:2" x14ac:dyDescent="0.3">
      <c r="A96" s="23" t="s">
        <v>370</v>
      </c>
      <c r="B96" s="22" t="s">
        <v>866</v>
      </c>
    </row>
    <row r="97" spans="1:2" x14ac:dyDescent="0.3">
      <c r="A97" s="23" t="s">
        <v>186</v>
      </c>
      <c r="B97" s="22" t="s">
        <v>866</v>
      </c>
    </row>
    <row r="98" spans="1:2" x14ac:dyDescent="0.3">
      <c r="A98" s="23" t="s">
        <v>187</v>
      </c>
      <c r="B98" s="22" t="s">
        <v>866</v>
      </c>
    </row>
    <row r="99" spans="1:2" x14ac:dyDescent="0.3">
      <c r="A99" s="23" t="s">
        <v>188</v>
      </c>
      <c r="B99" s="22" t="s">
        <v>866</v>
      </c>
    </row>
    <row r="100" spans="1:2" x14ac:dyDescent="0.3">
      <c r="A100" s="23" t="s">
        <v>189</v>
      </c>
      <c r="B100" s="22" t="s">
        <v>866</v>
      </c>
    </row>
    <row r="101" spans="1:2" x14ac:dyDescent="0.3">
      <c r="A101" s="23" t="s">
        <v>190</v>
      </c>
      <c r="B101" s="22" t="s">
        <v>866</v>
      </c>
    </row>
    <row r="102" spans="1:2" x14ac:dyDescent="0.3">
      <c r="A102" s="23" t="s">
        <v>191</v>
      </c>
      <c r="B102" s="22" t="s">
        <v>866</v>
      </c>
    </row>
    <row r="103" spans="1:2" x14ac:dyDescent="0.3">
      <c r="A103" s="23" t="s">
        <v>192</v>
      </c>
      <c r="B103" s="22" t="s">
        <v>866</v>
      </c>
    </row>
    <row r="104" spans="1:2" x14ac:dyDescent="0.3">
      <c r="A104" s="23" t="s">
        <v>193</v>
      </c>
      <c r="B104" s="22" t="s">
        <v>866</v>
      </c>
    </row>
    <row r="105" spans="1:2" x14ac:dyDescent="0.3">
      <c r="A105" s="23" t="s">
        <v>194</v>
      </c>
      <c r="B105" s="22" t="s">
        <v>866</v>
      </c>
    </row>
    <row r="106" spans="1:2" x14ac:dyDescent="0.3">
      <c r="A106" s="23" t="s">
        <v>195</v>
      </c>
      <c r="B106" s="22" t="s">
        <v>866</v>
      </c>
    </row>
    <row r="107" spans="1:2" x14ac:dyDescent="0.3">
      <c r="A107" s="23" t="s">
        <v>196</v>
      </c>
      <c r="B107" s="22" t="s">
        <v>866</v>
      </c>
    </row>
    <row r="108" spans="1:2" x14ac:dyDescent="0.3">
      <c r="A108" s="23" t="s">
        <v>197</v>
      </c>
      <c r="B108" s="22" t="s">
        <v>866</v>
      </c>
    </row>
    <row r="109" spans="1:2" x14ac:dyDescent="0.3">
      <c r="A109" s="23" t="s">
        <v>198</v>
      </c>
      <c r="B109" s="22" t="s">
        <v>866</v>
      </c>
    </row>
    <row r="110" spans="1:2" x14ac:dyDescent="0.3">
      <c r="A110" s="23" t="s">
        <v>199</v>
      </c>
      <c r="B110" s="22" t="s">
        <v>866</v>
      </c>
    </row>
    <row r="111" spans="1:2" x14ac:dyDescent="0.3">
      <c r="A111" s="23" t="s">
        <v>200</v>
      </c>
      <c r="B111" s="22" t="s">
        <v>866</v>
      </c>
    </row>
    <row r="112" spans="1:2" x14ac:dyDescent="0.3">
      <c r="A112" s="23" t="s">
        <v>201</v>
      </c>
      <c r="B112" s="22" t="s">
        <v>866</v>
      </c>
    </row>
    <row r="113" spans="1:2" x14ac:dyDescent="0.3">
      <c r="A113" s="23" t="s">
        <v>202</v>
      </c>
      <c r="B113" s="22" t="s">
        <v>866</v>
      </c>
    </row>
    <row r="114" spans="1:2" x14ac:dyDescent="0.3">
      <c r="A114" s="23" t="s">
        <v>203</v>
      </c>
      <c r="B114" s="22" t="s">
        <v>866</v>
      </c>
    </row>
    <row r="115" spans="1:2" x14ac:dyDescent="0.3">
      <c r="A115" s="23" t="s">
        <v>204</v>
      </c>
      <c r="B115" s="22" t="s">
        <v>866</v>
      </c>
    </row>
    <row r="116" spans="1:2" x14ac:dyDescent="0.3">
      <c r="A116" s="23" t="s">
        <v>205</v>
      </c>
      <c r="B116" s="22" t="s">
        <v>866</v>
      </c>
    </row>
    <row r="117" spans="1:2" x14ac:dyDescent="0.3">
      <c r="A117" s="23" t="s">
        <v>206</v>
      </c>
      <c r="B117" s="22" t="s">
        <v>866</v>
      </c>
    </row>
    <row r="118" spans="1:2" x14ac:dyDescent="0.3">
      <c r="A118" s="23" t="s">
        <v>207</v>
      </c>
      <c r="B118" s="22" t="s">
        <v>866</v>
      </c>
    </row>
    <row r="119" spans="1:2" x14ac:dyDescent="0.3">
      <c r="A119" s="23" t="s">
        <v>208</v>
      </c>
      <c r="B119" s="22" t="s">
        <v>866</v>
      </c>
    </row>
    <row r="120" spans="1:2" x14ac:dyDescent="0.3">
      <c r="A120" s="23" t="s">
        <v>209</v>
      </c>
      <c r="B120" s="22" t="s">
        <v>866</v>
      </c>
    </row>
    <row r="121" spans="1:2" x14ac:dyDescent="0.3">
      <c r="A121" s="23" t="s">
        <v>210</v>
      </c>
      <c r="B121" s="22" t="s">
        <v>866</v>
      </c>
    </row>
    <row r="122" spans="1:2" x14ac:dyDescent="0.3">
      <c r="A122" s="23" t="s">
        <v>211</v>
      </c>
      <c r="B122" s="22" t="s">
        <v>866</v>
      </c>
    </row>
    <row r="123" spans="1:2" x14ac:dyDescent="0.3">
      <c r="A123" s="23" t="s">
        <v>378</v>
      </c>
      <c r="B123" s="22" t="s">
        <v>866</v>
      </c>
    </row>
    <row r="124" spans="1:2" x14ac:dyDescent="0.3">
      <c r="A124" s="23" t="s">
        <v>366</v>
      </c>
      <c r="B124" s="22" t="s">
        <v>866</v>
      </c>
    </row>
    <row r="125" spans="1:2" x14ac:dyDescent="0.3">
      <c r="A125" s="23" t="s">
        <v>213</v>
      </c>
      <c r="B125" s="22" t="s">
        <v>866</v>
      </c>
    </row>
    <row r="126" spans="1:2" x14ac:dyDescent="0.3">
      <c r="A126" s="23" t="s">
        <v>212</v>
      </c>
      <c r="B126" s="22" t="s">
        <v>866</v>
      </c>
    </row>
    <row r="127" spans="1:2" x14ac:dyDescent="0.3">
      <c r="A127" s="23" t="s">
        <v>214</v>
      </c>
      <c r="B127" s="22" t="s">
        <v>866</v>
      </c>
    </row>
    <row r="128" spans="1:2" x14ac:dyDescent="0.3">
      <c r="A128" s="23" t="s">
        <v>215</v>
      </c>
      <c r="B128" s="22" t="s">
        <v>866</v>
      </c>
    </row>
    <row r="129" spans="1:2" x14ac:dyDescent="0.3">
      <c r="A129" s="23" t="s">
        <v>216</v>
      </c>
      <c r="B129" s="22" t="s">
        <v>866</v>
      </c>
    </row>
    <row r="130" spans="1:2" x14ac:dyDescent="0.3">
      <c r="A130" s="23" t="s">
        <v>217</v>
      </c>
      <c r="B130" s="22" t="s">
        <v>866</v>
      </c>
    </row>
    <row r="131" spans="1:2" x14ac:dyDescent="0.3">
      <c r="A131" s="23" t="s">
        <v>367</v>
      </c>
      <c r="B131" s="22" t="s">
        <v>866</v>
      </c>
    </row>
    <row r="132" spans="1:2" x14ac:dyDescent="0.3">
      <c r="A132" s="23" t="s">
        <v>220</v>
      </c>
      <c r="B132" s="22" t="s">
        <v>866</v>
      </c>
    </row>
    <row r="133" spans="1:2" x14ac:dyDescent="0.3">
      <c r="A133" s="23" t="s">
        <v>221</v>
      </c>
      <c r="B133" s="22" t="s">
        <v>866</v>
      </c>
    </row>
    <row r="134" spans="1:2" x14ac:dyDescent="0.3">
      <c r="A134" s="23" t="s">
        <v>218</v>
      </c>
      <c r="B134" s="22" t="s">
        <v>866</v>
      </c>
    </row>
    <row r="135" spans="1:2" x14ac:dyDescent="0.3">
      <c r="A135" s="23" t="s">
        <v>369</v>
      </c>
      <c r="B135" s="22" t="s">
        <v>866</v>
      </c>
    </row>
    <row r="136" spans="1:2" x14ac:dyDescent="0.3">
      <c r="A136" s="23" t="s">
        <v>222</v>
      </c>
      <c r="B136" s="22" t="s">
        <v>866</v>
      </c>
    </row>
    <row r="137" spans="1:2" x14ac:dyDescent="0.3">
      <c r="A137" s="23" t="s">
        <v>223</v>
      </c>
      <c r="B137" s="22" t="s">
        <v>866</v>
      </c>
    </row>
    <row r="138" spans="1:2" x14ac:dyDescent="0.3">
      <c r="A138" s="23" t="s">
        <v>224</v>
      </c>
      <c r="B138" s="22" t="s">
        <v>866</v>
      </c>
    </row>
    <row r="139" spans="1:2" x14ac:dyDescent="0.3">
      <c r="A139" s="23" t="s">
        <v>225</v>
      </c>
      <c r="B139" s="22" t="s">
        <v>866</v>
      </c>
    </row>
    <row r="140" spans="1:2" x14ac:dyDescent="0.3">
      <c r="A140" s="23" t="s">
        <v>226</v>
      </c>
      <c r="B140" s="22" t="s">
        <v>866</v>
      </c>
    </row>
    <row r="141" spans="1:2" x14ac:dyDescent="0.3">
      <c r="A141" s="23" t="s">
        <v>227</v>
      </c>
      <c r="B141" s="22" t="s">
        <v>866</v>
      </c>
    </row>
    <row r="142" spans="1:2" x14ac:dyDescent="0.3">
      <c r="A142" s="23" t="s">
        <v>371</v>
      </c>
      <c r="B142" s="22" t="s">
        <v>866</v>
      </c>
    </row>
    <row r="143" spans="1:2" x14ac:dyDescent="0.3">
      <c r="A143" s="23" t="s">
        <v>228</v>
      </c>
      <c r="B143" s="22" t="s">
        <v>866</v>
      </c>
    </row>
    <row r="144" spans="1:2" x14ac:dyDescent="0.3">
      <c r="A144" s="23" t="s">
        <v>229</v>
      </c>
      <c r="B144" s="22" t="s">
        <v>866</v>
      </c>
    </row>
    <row r="145" spans="1:2" x14ac:dyDescent="0.3">
      <c r="A145" s="23" t="s">
        <v>230</v>
      </c>
      <c r="B145" s="22" t="s">
        <v>866</v>
      </c>
    </row>
    <row r="146" spans="1:2" x14ac:dyDescent="0.3">
      <c r="A146" s="23" t="s">
        <v>231</v>
      </c>
      <c r="B146" s="22" t="s">
        <v>866</v>
      </c>
    </row>
    <row r="147" spans="1:2" x14ac:dyDescent="0.3">
      <c r="A147" s="23" t="s">
        <v>340</v>
      </c>
      <c r="B147" s="22" t="s">
        <v>866</v>
      </c>
    </row>
    <row r="148" spans="1:2" x14ac:dyDescent="0.3">
      <c r="A148" s="23" t="s">
        <v>219</v>
      </c>
      <c r="B148" s="22" t="s">
        <v>866</v>
      </c>
    </row>
    <row r="149" spans="1:2" x14ac:dyDescent="0.3">
      <c r="A149" s="23" t="s">
        <v>379</v>
      </c>
      <c r="B149" s="22" t="s">
        <v>866</v>
      </c>
    </row>
    <row r="150" spans="1:2" x14ac:dyDescent="0.3">
      <c r="A150" s="23" t="s">
        <v>382</v>
      </c>
      <c r="B150" s="22" t="s">
        <v>866</v>
      </c>
    </row>
    <row r="151" spans="1:2" x14ac:dyDescent="0.3">
      <c r="A151" s="23" t="s">
        <v>343</v>
      </c>
      <c r="B151" s="22" t="s">
        <v>866</v>
      </c>
    </row>
    <row r="152" spans="1:2" x14ac:dyDescent="0.3">
      <c r="A152" s="23" t="s">
        <v>375</v>
      </c>
      <c r="B152" s="22" t="s">
        <v>866</v>
      </c>
    </row>
    <row r="153" spans="1:2" x14ac:dyDescent="0.3">
      <c r="A153" s="23" t="s">
        <v>380</v>
      </c>
      <c r="B153" s="22" t="s">
        <v>866</v>
      </c>
    </row>
    <row r="154" spans="1:2" x14ac:dyDescent="0.3">
      <c r="A154" s="23" t="s">
        <v>345</v>
      </c>
      <c r="B154" s="22" t="s">
        <v>866</v>
      </c>
    </row>
    <row r="155" spans="1:2" x14ac:dyDescent="0.3">
      <c r="A155" s="23" t="s">
        <v>147</v>
      </c>
      <c r="B155" s="22" t="s">
        <v>866</v>
      </c>
    </row>
    <row r="156" spans="1:2" x14ac:dyDescent="0.3">
      <c r="A156" s="23" t="s">
        <v>377</v>
      </c>
      <c r="B156" s="22" t="s">
        <v>866</v>
      </c>
    </row>
    <row r="157" spans="1:2" x14ac:dyDescent="0.3">
      <c r="A157" s="23" t="s">
        <v>872</v>
      </c>
      <c r="B157" s="22" t="s">
        <v>866</v>
      </c>
    </row>
    <row r="158" spans="1:2" x14ac:dyDescent="0.3">
      <c r="A158" s="23" t="s">
        <v>873</v>
      </c>
      <c r="B158" s="22" t="s">
        <v>866</v>
      </c>
    </row>
    <row r="159" spans="1:2" x14ac:dyDescent="0.3">
      <c r="A159" s="23" t="s">
        <v>874</v>
      </c>
      <c r="B159" s="22" t="s">
        <v>866</v>
      </c>
    </row>
    <row r="160" spans="1:2" x14ac:dyDescent="0.3">
      <c r="A160" s="23" t="s">
        <v>875</v>
      </c>
      <c r="B160" s="22" t="s">
        <v>866</v>
      </c>
    </row>
    <row r="161" spans="1:2" x14ac:dyDescent="0.3">
      <c r="A161" s="23" t="s">
        <v>876</v>
      </c>
      <c r="B161" s="22" t="s">
        <v>866</v>
      </c>
    </row>
    <row r="162" spans="1:2" x14ac:dyDescent="0.3">
      <c r="A162" s="23" t="s">
        <v>877</v>
      </c>
      <c r="B162" s="22" t="s">
        <v>866</v>
      </c>
    </row>
    <row r="163" spans="1:2" x14ac:dyDescent="0.3">
      <c r="A163" s="23" t="s">
        <v>878</v>
      </c>
      <c r="B163" s="22" t="s">
        <v>866</v>
      </c>
    </row>
    <row r="164" spans="1:2" x14ac:dyDescent="0.3">
      <c r="A164" s="23" t="s">
        <v>879</v>
      </c>
      <c r="B164" s="22" t="s">
        <v>866</v>
      </c>
    </row>
    <row r="165" spans="1:2" x14ac:dyDescent="0.3">
      <c r="A165" s="23" t="s">
        <v>880</v>
      </c>
      <c r="B165" s="22" t="s">
        <v>866</v>
      </c>
    </row>
    <row r="166" spans="1:2" x14ac:dyDescent="0.3">
      <c r="A166" s="23" t="s">
        <v>881</v>
      </c>
      <c r="B166" s="22" t="s">
        <v>866</v>
      </c>
    </row>
    <row r="167" spans="1:2" x14ac:dyDescent="0.3">
      <c r="A167" s="23" t="s">
        <v>882</v>
      </c>
      <c r="B167" s="22" t="s">
        <v>866</v>
      </c>
    </row>
    <row r="168" spans="1:2" x14ac:dyDescent="0.3">
      <c r="A168" s="23" t="s">
        <v>883</v>
      </c>
      <c r="B168" s="22" t="s">
        <v>866</v>
      </c>
    </row>
    <row r="169" spans="1:2" x14ac:dyDescent="0.3">
      <c r="A169" s="23" t="s">
        <v>884</v>
      </c>
      <c r="B169" s="22" t="s">
        <v>866</v>
      </c>
    </row>
    <row r="170" spans="1:2" x14ac:dyDescent="0.3">
      <c r="A170" s="23" t="s">
        <v>909</v>
      </c>
      <c r="B170" s="22" t="s">
        <v>866</v>
      </c>
    </row>
    <row r="171" spans="1:2" x14ac:dyDescent="0.3">
      <c r="A171" s="23" t="s">
        <v>885</v>
      </c>
      <c r="B171" s="22" t="s">
        <v>866</v>
      </c>
    </row>
    <row r="172" spans="1:2" x14ac:dyDescent="0.3">
      <c r="A172" s="23" t="s">
        <v>886</v>
      </c>
      <c r="B172" s="22" t="s">
        <v>866</v>
      </c>
    </row>
    <row r="173" spans="1:2" x14ac:dyDescent="0.3">
      <c r="A173" s="23" t="s">
        <v>910</v>
      </c>
      <c r="B173" s="22" t="s">
        <v>866</v>
      </c>
    </row>
    <row r="174" spans="1:2" x14ac:dyDescent="0.3">
      <c r="A174" s="23" t="s">
        <v>887</v>
      </c>
      <c r="B174" s="22" t="s">
        <v>866</v>
      </c>
    </row>
    <row r="175" spans="1:2" x14ac:dyDescent="0.3">
      <c r="A175" s="23" t="s">
        <v>888</v>
      </c>
      <c r="B175" s="22" t="s">
        <v>866</v>
      </c>
    </row>
    <row r="176" spans="1:2" x14ac:dyDescent="0.3">
      <c r="A176" s="23" t="s">
        <v>919</v>
      </c>
      <c r="B176" s="22" t="s">
        <v>866</v>
      </c>
    </row>
    <row r="177" spans="1:2" x14ac:dyDescent="0.3">
      <c r="A177" s="23" t="s">
        <v>889</v>
      </c>
      <c r="B177" s="22" t="s">
        <v>866</v>
      </c>
    </row>
    <row r="178" spans="1:2" x14ac:dyDescent="0.3">
      <c r="A178" s="23" t="s">
        <v>890</v>
      </c>
      <c r="B178" s="22" t="s">
        <v>866</v>
      </c>
    </row>
    <row r="179" spans="1:2" x14ac:dyDescent="0.3">
      <c r="A179" s="23" t="s">
        <v>891</v>
      </c>
      <c r="B179" s="22" t="s">
        <v>866</v>
      </c>
    </row>
    <row r="180" spans="1:2" x14ac:dyDescent="0.3">
      <c r="A180" s="23" t="s">
        <v>892</v>
      </c>
      <c r="B180" s="22" t="s">
        <v>866</v>
      </c>
    </row>
    <row r="181" spans="1:2" x14ac:dyDescent="0.3">
      <c r="A181" s="23" t="s">
        <v>893</v>
      </c>
      <c r="B181" s="22" t="s">
        <v>866</v>
      </c>
    </row>
    <row r="182" spans="1:2" x14ac:dyDescent="0.3">
      <c r="A182" s="23" t="s">
        <v>894</v>
      </c>
      <c r="B182" s="22" t="s">
        <v>866</v>
      </c>
    </row>
    <row r="183" spans="1:2" x14ac:dyDescent="0.3">
      <c r="A183" s="23" t="s">
        <v>895</v>
      </c>
      <c r="B183" s="22" t="s">
        <v>866</v>
      </c>
    </row>
    <row r="184" spans="1:2" x14ac:dyDescent="0.3">
      <c r="A184" s="23" t="s">
        <v>896</v>
      </c>
      <c r="B184" s="22" t="s">
        <v>866</v>
      </c>
    </row>
    <row r="185" spans="1:2" x14ac:dyDescent="0.3">
      <c r="A185" s="23" t="s">
        <v>897</v>
      </c>
      <c r="B185" s="22" t="s">
        <v>866</v>
      </c>
    </row>
    <row r="186" spans="1:2" x14ac:dyDescent="0.3">
      <c r="A186" s="23" t="s">
        <v>898</v>
      </c>
      <c r="B186" s="22" t="s">
        <v>866</v>
      </c>
    </row>
    <row r="187" spans="1:2" x14ac:dyDescent="0.3">
      <c r="A187" s="23" t="s">
        <v>899</v>
      </c>
      <c r="B187" s="22" t="s">
        <v>866</v>
      </c>
    </row>
    <row r="188" spans="1:2" x14ac:dyDescent="0.3">
      <c r="A188" s="23" t="s">
        <v>900</v>
      </c>
      <c r="B188" s="22" t="s">
        <v>866</v>
      </c>
    </row>
    <row r="189" spans="1:2" x14ac:dyDescent="0.3">
      <c r="A189" s="23" t="s">
        <v>901</v>
      </c>
      <c r="B189" s="22" t="s">
        <v>866</v>
      </c>
    </row>
    <row r="190" spans="1:2" x14ac:dyDescent="0.3">
      <c r="A190" s="23" t="s">
        <v>902</v>
      </c>
      <c r="B190" s="22" t="s">
        <v>866</v>
      </c>
    </row>
    <row r="191" spans="1:2" x14ac:dyDescent="0.3">
      <c r="A191" s="23" t="s">
        <v>903</v>
      </c>
      <c r="B191" s="22" t="s">
        <v>866</v>
      </c>
    </row>
    <row r="192" spans="1:2" x14ac:dyDescent="0.3">
      <c r="A192" s="23" t="s">
        <v>904</v>
      </c>
      <c r="B192" s="22" t="s">
        <v>866</v>
      </c>
    </row>
    <row r="193" spans="1:2" x14ac:dyDescent="0.3">
      <c r="A193" s="23" t="s">
        <v>905</v>
      </c>
      <c r="B193" s="22" t="s">
        <v>866</v>
      </c>
    </row>
    <row r="194" spans="1:2" x14ac:dyDescent="0.3">
      <c r="A194" s="23" t="s">
        <v>906</v>
      </c>
      <c r="B194" s="22" t="s">
        <v>866</v>
      </c>
    </row>
    <row r="195" spans="1:2" x14ac:dyDescent="0.3">
      <c r="A195" s="23" t="s">
        <v>908</v>
      </c>
      <c r="B195" s="22" t="s">
        <v>866</v>
      </c>
    </row>
    <row r="196" spans="1:2" x14ac:dyDescent="0.3">
      <c r="A196" s="23" t="s">
        <v>920</v>
      </c>
      <c r="B196" s="22" t="s">
        <v>866</v>
      </c>
    </row>
    <row r="197" spans="1:2" x14ac:dyDescent="0.3">
      <c r="A197" s="23" t="s">
        <v>923</v>
      </c>
      <c r="B197" s="22" t="s">
        <v>866</v>
      </c>
    </row>
    <row r="198" spans="1:2" x14ac:dyDescent="0.3">
      <c r="A198" s="23" t="s">
        <v>926</v>
      </c>
      <c r="B198" s="22" t="s">
        <v>866</v>
      </c>
    </row>
    <row r="199" spans="1:2" x14ac:dyDescent="0.3">
      <c r="A199" s="23" t="s">
        <v>927</v>
      </c>
      <c r="B199" s="22" t="s">
        <v>866</v>
      </c>
    </row>
    <row r="200" spans="1:2" x14ac:dyDescent="0.3">
      <c r="A200" s="23" t="s">
        <v>928</v>
      </c>
      <c r="B200" s="22" t="s">
        <v>866</v>
      </c>
    </row>
    <row r="201" spans="1:2" x14ac:dyDescent="0.3">
      <c r="A201" s="23" t="s">
        <v>929</v>
      </c>
      <c r="B201" s="22" t="s">
        <v>866</v>
      </c>
    </row>
    <row r="202" spans="1:2" x14ac:dyDescent="0.3">
      <c r="A202" s="23" t="s">
        <v>930</v>
      </c>
      <c r="B202" s="22" t="s">
        <v>866</v>
      </c>
    </row>
    <row r="203" spans="1:2" x14ac:dyDescent="0.3">
      <c r="A203" s="23" t="s">
        <v>931</v>
      </c>
      <c r="B203" s="22" t="s">
        <v>866</v>
      </c>
    </row>
    <row r="204" spans="1:2" x14ac:dyDescent="0.3">
      <c r="A204" s="23" t="s">
        <v>932</v>
      </c>
      <c r="B204" s="22" t="s">
        <v>866</v>
      </c>
    </row>
    <row r="205" spans="1:2" x14ac:dyDescent="0.3">
      <c r="A205" s="23" t="s">
        <v>933</v>
      </c>
      <c r="B205" s="22" t="s">
        <v>866</v>
      </c>
    </row>
    <row r="206" spans="1:2" x14ac:dyDescent="0.3">
      <c r="A206" s="23" t="s">
        <v>934</v>
      </c>
      <c r="B206" s="22" t="s">
        <v>866</v>
      </c>
    </row>
    <row r="207" spans="1:2" x14ac:dyDescent="0.3">
      <c r="A207" s="23" t="s">
        <v>935</v>
      </c>
      <c r="B207" s="22" t="s">
        <v>866</v>
      </c>
    </row>
  </sheetData>
  <conditionalFormatting sqref="A1:A1048576">
    <cfRule type="duplicateValues" dxfId="9" priority="1"/>
    <cfRule type="duplicateValues" dxfId="8" priority="2"/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733C-7609-4A44-BB56-55A3FBEA7777}">
  <sheetPr codeName="Sheet9"/>
  <dimension ref="A1:B213"/>
  <sheetViews>
    <sheetView topLeftCell="A193" workbookViewId="0">
      <selection activeCell="E205" sqref="E205"/>
    </sheetView>
  </sheetViews>
  <sheetFormatPr defaultRowHeight="14.4" x14ac:dyDescent="0.3"/>
  <cols>
    <col min="1" max="1" width="13.21875" customWidth="1"/>
    <col min="2" max="2" width="13.88671875" customWidth="1"/>
  </cols>
  <sheetData>
    <row r="1" spans="1:2" x14ac:dyDescent="0.3">
      <c r="A1" t="s">
        <v>869</v>
      </c>
      <c r="B1" t="s">
        <v>871</v>
      </c>
    </row>
    <row r="2" spans="1:2" x14ac:dyDescent="0.3">
      <c r="A2" t="s">
        <v>95</v>
      </c>
      <c r="B2" t="s">
        <v>867</v>
      </c>
    </row>
    <row r="3" spans="1:2" x14ac:dyDescent="0.3">
      <c r="A3" t="s">
        <v>96</v>
      </c>
      <c r="B3" t="s">
        <v>867</v>
      </c>
    </row>
    <row r="4" spans="1:2" x14ac:dyDescent="0.3">
      <c r="A4" t="s">
        <v>97</v>
      </c>
      <c r="B4" t="s">
        <v>867</v>
      </c>
    </row>
    <row r="5" spans="1:2" x14ac:dyDescent="0.3">
      <c r="A5" t="s">
        <v>98</v>
      </c>
      <c r="B5" t="s">
        <v>867</v>
      </c>
    </row>
    <row r="6" spans="1:2" x14ac:dyDescent="0.3">
      <c r="A6" t="s">
        <v>99</v>
      </c>
      <c r="B6" t="s">
        <v>867</v>
      </c>
    </row>
    <row r="7" spans="1:2" x14ac:dyDescent="0.3">
      <c r="A7" t="s">
        <v>100</v>
      </c>
      <c r="B7" t="s">
        <v>867</v>
      </c>
    </row>
    <row r="8" spans="1:2" x14ac:dyDescent="0.3">
      <c r="A8" t="s">
        <v>101</v>
      </c>
      <c r="B8" t="s">
        <v>867</v>
      </c>
    </row>
    <row r="9" spans="1:2" x14ac:dyDescent="0.3">
      <c r="A9" t="s">
        <v>102</v>
      </c>
      <c r="B9" t="s">
        <v>867</v>
      </c>
    </row>
    <row r="10" spans="1:2" x14ac:dyDescent="0.3">
      <c r="A10" t="s">
        <v>103</v>
      </c>
      <c r="B10" t="s">
        <v>867</v>
      </c>
    </row>
    <row r="11" spans="1:2" x14ac:dyDescent="0.3">
      <c r="A11" t="s">
        <v>104</v>
      </c>
      <c r="B11" t="s">
        <v>867</v>
      </c>
    </row>
    <row r="12" spans="1:2" x14ac:dyDescent="0.3">
      <c r="A12" t="s">
        <v>105</v>
      </c>
      <c r="B12" t="s">
        <v>867</v>
      </c>
    </row>
    <row r="13" spans="1:2" x14ac:dyDescent="0.3">
      <c r="A13" t="s">
        <v>106</v>
      </c>
      <c r="B13" t="s">
        <v>867</v>
      </c>
    </row>
    <row r="14" spans="1:2" x14ac:dyDescent="0.3">
      <c r="A14" t="s">
        <v>107</v>
      </c>
      <c r="B14" t="s">
        <v>867</v>
      </c>
    </row>
    <row r="15" spans="1:2" x14ac:dyDescent="0.3">
      <c r="A15" t="s">
        <v>108</v>
      </c>
      <c r="B15" t="s">
        <v>867</v>
      </c>
    </row>
    <row r="16" spans="1:2" x14ac:dyDescent="0.3">
      <c r="A16" t="s">
        <v>109</v>
      </c>
      <c r="B16" t="s">
        <v>867</v>
      </c>
    </row>
    <row r="17" spans="1:2" x14ac:dyDescent="0.3">
      <c r="A17" t="s">
        <v>110</v>
      </c>
      <c r="B17" t="s">
        <v>867</v>
      </c>
    </row>
    <row r="18" spans="1:2" x14ac:dyDescent="0.3">
      <c r="A18" t="s">
        <v>111</v>
      </c>
      <c r="B18" t="s">
        <v>867</v>
      </c>
    </row>
    <row r="19" spans="1:2" x14ac:dyDescent="0.3">
      <c r="A19" t="s">
        <v>112</v>
      </c>
      <c r="B19" t="s">
        <v>867</v>
      </c>
    </row>
    <row r="20" spans="1:2" x14ac:dyDescent="0.3">
      <c r="A20" t="s">
        <v>113</v>
      </c>
      <c r="B20" t="s">
        <v>867</v>
      </c>
    </row>
    <row r="21" spans="1:2" x14ac:dyDescent="0.3">
      <c r="A21" t="s">
        <v>114</v>
      </c>
      <c r="B21" t="s">
        <v>867</v>
      </c>
    </row>
    <row r="22" spans="1:2" x14ac:dyDescent="0.3">
      <c r="A22" t="s">
        <v>115</v>
      </c>
      <c r="B22" t="s">
        <v>867</v>
      </c>
    </row>
    <row r="23" spans="1:2" x14ac:dyDescent="0.3">
      <c r="A23" t="s">
        <v>116</v>
      </c>
      <c r="B23" t="s">
        <v>867</v>
      </c>
    </row>
    <row r="24" spans="1:2" x14ac:dyDescent="0.3">
      <c r="A24" t="s">
        <v>117</v>
      </c>
      <c r="B24" t="s">
        <v>867</v>
      </c>
    </row>
    <row r="25" spans="1:2" x14ac:dyDescent="0.3">
      <c r="A25" t="s">
        <v>118</v>
      </c>
      <c r="B25" t="s">
        <v>867</v>
      </c>
    </row>
    <row r="26" spans="1:2" x14ac:dyDescent="0.3">
      <c r="A26" t="s">
        <v>119</v>
      </c>
      <c r="B26" t="s">
        <v>867</v>
      </c>
    </row>
    <row r="27" spans="1:2" x14ac:dyDescent="0.3">
      <c r="A27" t="s">
        <v>120</v>
      </c>
      <c r="B27" t="s">
        <v>867</v>
      </c>
    </row>
    <row r="28" spans="1:2" x14ac:dyDescent="0.3">
      <c r="A28" t="s">
        <v>121</v>
      </c>
      <c r="B28" t="s">
        <v>867</v>
      </c>
    </row>
    <row r="29" spans="1:2" x14ac:dyDescent="0.3">
      <c r="A29" t="s">
        <v>122</v>
      </c>
      <c r="B29" t="s">
        <v>867</v>
      </c>
    </row>
    <row r="30" spans="1:2" x14ac:dyDescent="0.3">
      <c r="A30" t="s">
        <v>123</v>
      </c>
      <c r="B30" t="s">
        <v>867</v>
      </c>
    </row>
    <row r="31" spans="1:2" x14ac:dyDescent="0.3">
      <c r="A31" t="s">
        <v>124</v>
      </c>
      <c r="B31" t="s">
        <v>867</v>
      </c>
    </row>
    <row r="32" spans="1:2" x14ac:dyDescent="0.3">
      <c r="A32" t="s">
        <v>125</v>
      </c>
      <c r="B32" t="s">
        <v>867</v>
      </c>
    </row>
    <row r="33" spans="1:2" x14ac:dyDescent="0.3">
      <c r="A33" t="s">
        <v>126</v>
      </c>
      <c r="B33" t="s">
        <v>867</v>
      </c>
    </row>
    <row r="34" spans="1:2" x14ac:dyDescent="0.3">
      <c r="A34" t="s">
        <v>127</v>
      </c>
      <c r="B34" t="s">
        <v>867</v>
      </c>
    </row>
    <row r="35" spans="1:2" x14ac:dyDescent="0.3">
      <c r="A35" t="s">
        <v>855</v>
      </c>
      <c r="B35" t="s">
        <v>867</v>
      </c>
    </row>
    <row r="36" spans="1:2" x14ac:dyDescent="0.3">
      <c r="A36" t="s">
        <v>128</v>
      </c>
      <c r="B36" t="s">
        <v>867</v>
      </c>
    </row>
    <row r="37" spans="1:2" x14ac:dyDescent="0.3">
      <c r="A37" t="s">
        <v>129</v>
      </c>
      <c r="B37" t="s">
        <v>867</v>
      </c>
    </row>
    <row r="38" spans="1:2" x14ac:dyDescent="0.3">
      <c r="A38" t="s">
        <v>130</v>
      </c>
      <c r="B38" t="s">
        <v>867</v>
      </c>
    </row>
    <row r="39" spans="1:2" x14ac:dyDescent="0.3">
      <c r="A39" t="s">
        <v>131</v>
      </c>
      <c r="B39" t="s">
        <v>867</v>
      </c>
    </row>
    <row r="40" spans="1:2" x14ac:dyDescent="0.3">
      <c r="A40" t="s">
        <v>132</v>
      </c>
      <c r="B40" t="s">
        <v>867</v>
      </c>
    </row>
    <row r="41" spans="1:2" x14ac:dyDescent="0.3">
      <c r="A41" t="s">
        <v>133</v>
      </c>
      <c r="B41" t="s">
        <v>867</v>
      </c>
    </row>
    <row r="42" spans="1:2" x14ac:dyDescent="0.3">
      <c r="A42" t="s">
        <v>134</v>
      </c>
      <c r="B42" t="s">
        <v>867</v>
      </c>
    </row>
    <row r="43" spans="1:2" x14ac:dyDescent="0.3">
      <c r="A43" t="s">
        <v>854</v>
      </c>
      <c r="B43" t="s">
        <v>867</v>
      </c>
    </row>
    <row r="44" spans="1:2" x14ac:dyDescent="0.3">
      <c r="A44" t="s">
        <v>135</v>
      </c>
      <c r="B44" t="s">
        <v>867</v>
      </c>
    </row>
    <row r="45" spans="1:2" x14ac:dyDescent="0.3">
      <c r="A45" t="s">
        <v>136</v>
      </c>
      <c r="B45" t="s">
        <v>867</v>
      </c>
    </row>
    <row r="46" spans="1:2" x14ac:dyDescent="0.3">
      <c r="A46" t="s">
        <v>137</v>
      </c>
      <c r="B46" t="s">
        <v>867</v>
      </c>
    </row>
    <row r="47" spans="1:2" x14ac:dyDescent="0.3">
      <c r="A47" t="s">
        <v>138</v>
      </c>
      <c r="B47" t="s">
        <v>867</v>
      </c>
    </row>
    <row r="48" spans="1:2" x14ac:dyDescent="0.3">
      <c r="A48" t="s">
        <v>139</v>
      </c>
      <c r="B48" t="s">
        <v>867</v>
      </c>
    </row>
    <row r="49" spans="1:2" x14ac:dyDescent="0.3">
      <c r="A49" t="s">
        <v>140</v>
      </c>
      <c r="B49" t="s">
        <v>867</v>
      </c>
    </row>
    <row r="50" spans="1:2" x14ac:dyDescent="0.3">
      <c r="A50" t="s">
        <v>141</v>
      </c>
      <c r="B50" t="s">
        <v>867</v>
      </c>
    </row>
    <row r="51" spans="1:2" x14ac:dyDescent="0.3">
      <c r="A51" t="s">
        <v>142</v>
      </c>
      <c r="B51" t="s">
        <v>867</v>
      </c>
    </row>
    <row r="52" spans="1:2" x14ac:dyDescent="0.3">
      <c r="A52" t="s">
        <v>143</v>
      </c>
      <c r="B52" t="s">
        <v>867</v>
      </c>
    </row>
    <row r="53" spans="1:2" x14ac:dyDescent="0.3">
      <c r="A53" t="s">
        <v>144</v>
      </c>
      <c r="B53" t="s">
        <v>867</v>
      </c>
    </row>
    <row r="54" spans="1:2" x14ac:dyDescent="0.3">
      <c r="A54" t="s">
        <v>145</v>
      </c>
      <c r="B54" t="s">
        <v>867</v>
      </c>
    </row>
    <row r="55" spans="1:2" x14ac:dyDescent="0.3">
      <c r="A55" t="s">
        <v>146</v>
      </c>
      <c r="B55" t="s">
        <v>867</v>
      </c>
    </row>
    <row r="56" spans="1:2" x14ac:dyDescent="0.3">
      <c r="A56" t="s">
        <v>148</v>
      </c>
      <c r="B56" t="s">
        <v>867</v>
      </c>
    </row>
    <row r="57" spans="1:2" x14ac:dyDescent="0.3">
      <c r="A57" t="s">
        <v>149</v>
      </c>
      <c r="B57" t="s">
        <v>867</v>
      </c>
    </row>
    <row r="58" spans="1:2" x14ac:dyDescent="0.3">
      <c r="A58" t="s">
        <v>150</v>
      </c>
      <c r="B58" t="s">
        <v>867</v>
      </c>
    </row>
    <row r="59" spans="1:2" x14ac:dyDescent="0.3">
      <c r="A59" t="s">
        <v>151</v>
      </c>
      <c r="B59" t="s">
        <v>867</v>
      </c>
    </row>
    <row r="60" spans="1:2" x14ac:dyDescent="0.3">
      <c r="A60" t="s">
        <v>152</v>
      </c>
      <c r="B60" t="s">
        <v>867</v>
      </c>
    </row>
    <row r="61" spans="1:2" x14ac:dyDescent="0.3">
      <c r="A61" t="s">
        <v>153</v>
      </c>
      <c r="B61" t="s">
        <v>867</v>
      </c>
    </row>
    <row r="62" spans="1:2" x14ac:dyDescent="0.3">
      <c r="A62" t="s">
        <v>154</v>
      </c>
      <c r="B62" t="s">
        <v>867</v>
      </c>
    </row>
    <row r="63" spans="1:2" x14ac:dyDescent="0.3">
      <c r="A63" t="s">
        <v>155</v>
      </c>
      <c r="B63" t="s">
        <v>867</v>
      </c>
    </row>
    <row r="64" spans="1:2" x14ac:dyDescent="0.3">
      <c r="A64" t="s">
        <v>372</v>
      </c>
      <c r="B64" t="s">
        <v>867</v>
      </c>
    </row>
    <row r="65" spans="1:2" x14ac:dyDescent="0.3">
      <c r="A65" t="s">
        <v>156</v>
      </c>
      <c r="B65" t="s">
        <v>867</v>
      </c>
    </row>
    <row r="66" spans="1:2" x14ac:dyDescent="0.3">
      <c r="A66" t="s">
        <v>368</v>
      </c>
      <c r="B66" t="s">
        <v>867</v>
      </c>
    </row>
    <row r="67" spans="1:2" x14ac:dyDescent="0.3">
      <c r="A67" t="s">
        <v>157</v>
      </c>
      <c r="B67" t="s">
        <v>867</v>
      </c>
    </row>
    <row r="68" spans="1:2" x14ac:dyDescent="0.3">
      <c r="A68" t="s">
        <v>158</v>
      </c>
      <c r="B68" t="s">
        <v>867</v>
      </c>
    </row>
    <row r="69" spans="1:2" x14ac:dyDescent="0.3">
      <c r="A69" t="s">
        <v>159</v>
      </c>
      <c r="B69" t="s">
        <v>867</v>
      </c>
    </row>
    <row r="70" spans="1:2" x14ac:dyDescent="0.3">
      <c r="A70" t="s">
        <v>160</v>
      </c>
      <c r="B70" t="s">
        <v>867</v>
      </c>
    </row>
    <row r="71" spans="1:2" x14ac:dyDescent="0.3">
      <c r="A71" t="s">
        <v>161</v>
      </c>
      <c r="B71" t="s">
        <v>867</v>
      </c>
    </row>
    <row r="72" spans="1:2" x14ac:dyDescent="0.3">
      <c r="A72" t="s">
        <v>162</v>
      </c>
      <c r="B72" t="s">
        <v>867</v>
      </c>
    </row>
    <row r="73" spans="1:2" x14ac:dyDescent="0.3">
      <c r="A73" t="s">
        <v>163</v>
      </c>
      <c r="B73" t="s">
        <v>867</v>
      </c>
    </row>
    <row r="74" spans="1:2" x14ac:dyDescent="0.3">
      <c r="A74" t="s">
        <v>164</v>
      </c>
      <c r="B74" t="s">
        <v>867</v>
      </c>
    </row>
    <row r="75" spans="1:2" x14ac:dyDescent="0.3">
      <c r="A75" t="s">
        <v>165</v>
      </c>
      <c r="B75" t="s">
        <v>867</v>
      </c>
    </row>
    <row r="76" spans="1:2" x14ac:dyDescent="0.3">
      <c r="A76" t="s">
        <v>166</v>
      </c>
      <c r="B76" t="s">
        <v>867</v>
      </c>
    </row>
    <row r="77" spans="1:2" x14ac:dyDescent="0.3">
      <c r="A77" t="s">
        <v>167</v>
      </c>
      <c r="B77" t="s">
        <v>867</v>
      </c>
    </row>
    <row r="78" spans="1:2" x14ac:dyDescent="0.3">
      <c r="A78" t="s">
        <v>168</v>
      </c>
      <c r="B78" t="s">
        <v>867</v>
      </c>
    </row>
    <row r="79" spans="1:2" x14ac:dyDescent="0.3">
      <c r="A79" t="s">
        <v>169</v>
      </c>
      <c r="B79" t="s">
        <v>867</v>
      </c>
    </row>
    <row r="80" spans="1:2" x14ac:dyDescent="0.3">
      <c r="A80" t="s">
        <v>170</v>
      </c>
      <c r="B80" t="s">
        <v>867</v>
      </c>
    </row>
    <row r="81" spans="1:2" x14ac:dyDescent="0.3">
      <c r="A81" t="s">
        <v>171</v>
      </c>
      <c r="B81" t="s">
        <v>867</v>
      </c>
    </row>
    <row r="82" spans="1:2" x14ac:dyDescent="0.3">
      <c r="A82" t="s">
        <v>172</v>
      </c>
      <c r="B82" t="s">
        <v>867</v>
      </c>
    </row>
    <row r="83" spans="1:2" x14ac:dyDescent="0.3">
      <c r="A83" t="s">
        <v>173</v>
      </c>
      <c r="B83" t="s">
        <v>867</v>
      </c>
    </row>
    <row r="84" spans="1:2" x14ac:dyDescent="0.3">
      <c r="A84" t="s">
        <v>174</v>
      </c>
      <c r="B84" t="s">
        <v>867</v>
      </c>
    </row>
    <row r="85" spans="1:2" x14ac:dyDescent="0.3">
      <c r="A85" t="s">
        <v>175</v>
      </c>
      <c r="B85" t="s">
        <v>867</v>
      </c>
    </row>
    <row r="86" spans="1:2" x14ac:dyDescent="0.3">
      <c r="A86" t="s">
        <v>176</v>
      </c>
      <c r="B86" t="s">
        <v>867</v>
      </c>
    </row>
    <row r="87" spans="1:2" x14ac:dyDescent="0.3">
      <c r="A87" t="s">
        <v>177</v>
      </c>
      <c r="B87" t="s">
        <v>867</v>
      </c>
    </row>
    <row r="88" spans="1:2" x14ac:dyDescent="0.3">
      <c r="A88" t="s">
        <v>178</v>
      </c>
      <c r="B88" t="s">
        <v>867</v>
      </c>
    </row>
    <row r="89" spans="1:2" x14ac:dyDescent="0.3">
      <c r="A89" t="s">
        <v>179</v>
      </c>
      <c r="B89" t="s">
        <v>867</v>
      </c>
    </row>
    <row r="90" spans="1:2" x14ac:dyDescent="0.3">
      <c r="A90" t="s">
        <v>180</v>
      </c>
      <c r="B90" t="s">
        <v>867</v>
      </c>
    </row>
    <row r="91" spans="1:2" x14ac:dyDescent="0.3">
      <c r="A91" t="s">
        <v>181</v>
      </c>
      <c r="B91" t="s">
        <v>867</v>
      </c>
    </row>
    <row r="92" spans="1:2" x14ac:dyDescent="0.3">
      <c r="A92" t="s">
        <v>182</v>
      </c>
      <c r="B92" t="s">
        <v>867</v>
      </c>
    </row>
    <row r="93" spans="1:2" x14ac:dyDescent="0.3">
      <c r="A93" t="s">
        <v>183</v>
      </c>
      <c r="B93" t="s">
        <v>867</v>
      </c>
    </row>
    <row r="94" spans="1:2" x14ac:dyDescent="0.3">
      <c r="A94" t="s">
        <v>184</v>
      </c>
      <c r="B94" t="s">
        <v>867</v>
      </c>
    </row>
    <row r="95" spans="1:2" x14ac:dyDescent="0.3">
      <c r="A95" t="s">
        <v>185</v>
      </c>
      <c r="B95" t="s">
        <v>867</v>
      </c>
    </row>
    <row r="96" spans="1:2" x14ac:dyDescent="0.3">
      <c r="A96" t="s">
        <v>370</v>
      </c>
      <c r="B96" t="s">
        <v>867</v>
      </c>
    </row>
    <row r="97" spans="1:2" x14ac:dyDescent="0.3">
      <c r="A97" t="s">
        <v>186</v>
      </c>
      <c r="B97" t="s">
        <v>867</v>
      </c>
    </row>
    <row r="98" spans="1:2" x14ac:dyDescent="0.3">
      <c r="A98" t="s">
        <v>187</v>
      </c>
      <c r="B98" t="s">
        <v>867</v>
      </c>
    </row>
    <row r="99" spans="1:2" x14ac:dyDescent="0.3">
      <c r="A99" t="s">
        <v>188</v>
      </c>
      <c r="B99" t="s">
        <v>867</v>
      </c>
    </row>
    <row r="100" spans="1:2" x14ac:dyDescent="0.3">
      <c r="A100" t="s">
        <v>189</v>
      </c>
      <c r="B100" t="s">
        <v>867</v>
      </c>
    </row>
    <row r="101" spans="1:2" x14ac:dyDescent="0.3">
      <c r="A101" t="s">
        <v>190</v>
      </c>
      <c r="B101" t="s">
        <v>867</v>
      </c>
    </row>
    <row r="102" spans="1:2" x14ac:dyDescent="0.3">
      <c r="A102" t="s">
        <v>191</v>
      </c>
      <c r="B102" t="s">
        <v>867</v>
      </c>
    </row>
    <row r="103" spans="1:2" x14ac:dyDescent="0.3">
      <c r="A103" t="s">
        <v>192</v>
      </c>
      <c r="B103" t="s">
        <v>867</v>
      </c>
    </row>
    <row r="104" spans="1:2" x14ac:dyDescent="0.3">
      <c r="A104" t="s">
        <v>193</v>
      </c>
      <c r="B104" t="s">
        <v>867</v>
      </c>
    </row>
    <row r="105" spans="1:2" x14ac:dyDescent="0.3">
      <c r="A105" t="s">
        <v>194</v>
      </c>
      <c r="B105" t="s">
        <v>867</v>
      </c>
    </row>
    <row r="106" spans="1:2" x14ac:dyDescent="0.3">
      <c r="A106" t="s">
        <v>195</v>
      </c>
      <c r="B106" t="s">
        <v>867</v>
      </c>
    </row>
    <row r="107" spans="1:2" x14ac:dyDescent="0.3">
      <c r="A107" t="s">
        <v>196</v>
      </c>
      <c r="B107" t="s">
        <v>867</v>
      </c>
    </row>
    <row r="108" spans="1:2" x14ac:dyDescent="0.3">
      <c r="A108" t="s">
        <v>197</v>
      </c>
      <c r="B108" t="s">
        <v>867</v>
      </c>
    </row>
    <row r="109" spans="1:2" x14ac:dyDescent="0.3">
      <c r="A109" t="s">
        <v>198</v>
      </c>
      <c r="B109" t="s">
        <v>867</v>
      </c>
    </row>
    <row r="110" spans="1:2" x14ac:dyDescent="0.3">
      <c r="A110" t="s">
        <v>199</v>
      </c>
      <c r="B110" t="s">
        <v>867</v>
      </c>
    </row>
    <row r="111" spans="1:2" x14ac:dyDescent="0.3">
      <c r="A111" t="s">
        <v>200</v>
      </c>
      <c r="B111" t="s">
        <v>867</v>
      </c>
    </row>
    <row r="112" spans="1:2" x14ac:dyDescent="0.3">
      <c r="A112" t="s">
        <v>201</v>
      </c>
      <c r="B112" t="s">
        <v>867</v>
      </c>
    </row>
    <row r="113" spans="1:2" x14ac:dyDescent="0.3">
      <c r="A113" t="s">
        <v>202</v>
      </c>
      <c r="B113" t="s">
        <v>867</v>
      </c>
    </row>
    <row r="114" spans="1:2" x14ac:dyDescent="0.3">
      <c r="A114" t="s">
        <v>203</v>
      </c>
      <c r="B114" t="s">
        <v>867</v>
      </c>
    </row>
    <row r="115" spans="1:2" x14ac:dyDescent="0.3">
      <c r="A115" t="s">
        <v>204</v>
      </c>
      <c r="B115" t="s">
        <v>867</v>
      </c>
    </row>
    <row r="116" spans="1:2" x14ac:dyDescent="0.3">
      <c r="A116" t="s">
        <v>205</v>
      </c>
      <c r="B116" t="s">
        <v>867</v>
      </c>
    </row>
    <row r="117" spans="1:2" x14ac:dyDescent="0.3">
      <c r="A117" t="s">
        <v>206</v>
      </c>
      <c r="B117" t="s">
        <v>867</v>
      </c>
    </row>
    <row r="118" spans="1:2" x14ac:dyDescent="0.3">
      <c r="A118" t="s">
        <v>207</v>
      </c>
      <c r="B118" t="s">
        <v>867</v>
      </c>
    </row>
    <row r="119" spans="1:2" x14ac:dyDescent="0.3">
      <c r="A119" t="s">
        <v>208</v>
      </c>
      <c r="B119" t="s">
        <v>867</v>
      </c>
    </row>
    <row r="120" spans="1:2" x14ac:dyDescent="0.3">
      <c r="A120" t="s">
        <v>209</v>
      </c>
      <c r="B120" t="s">
        <v>867</v>
      </c>
    </row>
    <row r="121" spans="1:2" x14ac:dyDescent="0.3">
      <c r="A121" t="s">
        <v>210</v>
      </c>
      <c r="B121" t="s">
        <v>867</v>
      </c>
    </row>
    <row r="122" spans="1:2" x14ac:dyDescent="0.3">
      <c r="A122" t="s">
        <v>211</v>
      </c>
      <c r="B122" t="s">
        <v>867</v>
      </c>
    </row>
    <row r="123" spans="1:2" x14ac:dyDescent="0.3">
      <c r="A123" t="s">
        <v>378</v>
      </c>
      <c r="B123" t="s">
        <v>867</v>
      </c>
    </row>
    <row r="124" spans="1:2" x14ac:dyDescent="0.3">
      <c r="A124" t="s">
        <v>366</v>
      </c>
      <c r="B124" t="s">
        <v>867</v>
      </c>
    </row>
    <row r="125" spans="1:2" x14ac:dyDescent="0.3">
      <c r="A125" t="s">
        <v>213</v>
      </c>
      <c r="B125" t="s">
        <v>867</v>
      </c>
    </row>
    <row r="126" spans="1:2" x14ac:dyDescent="0.3">
      <c r="A126" t="s">
        <v>212</v>
      </c>
      <c r="B126" t="s">
        <v>867</v>
      </c>
    </row>
    <row r="127" spans="1:2" x14ac:dyDescent="0.3">
      <c r="A127" t="s">
        <v>214</v>
      </c>
      <c r="B127" t="s">
        <v>867</v>
      </c>
    </row>
    <row r="128" spans="1:2" x14ac:dyDescent="0.3">
      <c r="A128" t="s">
        <v>215</v>
      </c>
      <c r="B128" t="s">
        <v>867</v>
      </c>
    </row>
    <row r="129" spans="1:2" x14ac:dyDescent="0.3">
      <c r="A129" t="s">
        <v>216</v>
      </c>
      <c r="B129" t="s">
        <v>867</v>
      </c>
    </row>
    <row r="130" spans="1:2" x14ac:dyDescent="0.3">
      <c r="A130" t="s">
        <v>217</v>
      </c>
      <c r="B130" t="s">
        <v>867</v>
      </c>
    </row>
    <row r="131" spans="1:2" x14ac:dyDescent="0.3">
      <c r="A131" t="s">
        <v>367</v>
      </c>
      <c r="B131" t="s">
        <v>867</v>
      </c>
    </row>
    <row r="132" spans="1:2" x14ac:dyDescent="0.3">
      <c r="A132" t="s">
        <v>220</v>
      </c>
      <c r="B132" t="s">
        <v>867</v>
      </c>
    </row>
    <row r="133" spans="1:2" x14ac:dyDescent="0.3">
      <c r="A133" t="s">
        <v>221</v>
      </c>
      <c r="B133" t="s">
        <v>867</v>
      </c>
    </row>
    <row r="134" spans="1:2" x14ac:dyDescent="0.3">
      <c r="A134" t="s">
        <v>218</v>
      </c>
      <c r="B134" t="s">
        <v>867</v>
      </c>
    </row>
    <row r="135" spans="1:2" x14ac:dyDescent="0.3">
      <c r="A135" t="s">
        <v>369</v>
      </c>
      <c r="B135" t="s">
        <v>867</v>
      </c>
    </row>
    <row r="136" spans="1:2" x14ac:dyDescent="0.3">
      <c r="A136" t="s">
        <v>222</v>
      </c>
      <c r="B136" t="s">
        <v>867</v>
      </c>
    </row>
    <row r="137" spans="1:2" x14ac:dyDescent="0.3">
      <c r="A137" t="s">
        <v>223</v>
      </c>
      <c r="B137" t="s">
        <v>867</v>
      </c>
    </row>
    <row r="138" spans="1:2" x14ac:dyDescent="0.3">
      <c r="A138" t="s">
        <v>224</v>
      </c>
      <c r="B138" t="s">
        <v>867</v>
      </c>
    </row>
    <row r="139" spans="1:2" x14ac:dyDescent="0.3">
      <c r="A139" t="s">
        <v>225</v>
      </c>
      <c r="B139" t="s">
        <v>867</v>
      </c>
    </row>
    <row r="140" spans="1:2" x14ac:dyDescent="0.3">
      <c r="A140" t="s">
        <v>226</v>
      </c>
      <c r="B140" t="s">
        <v>867</v>
      </c>
    </row>
    <row r="141" spans="1:2" x14ac:dyDescent="0.3">
      <c r="A141" t="s">
        <v>227</v>
      </c>
      <c r="B141" t="s">
        <v>867</v>
      </c>
    </row>
    <row r="142" spans="1:2" x14ac:dyDescent="0.3">
      <c r="A142" t="s">
        <v>371</v>
      </c>
      <c r="B142" t="s">
        <v>867</v>
      </c>
    </row>
    <row r="143" spans="1:2" x14ac:dyDescent="0.3">
      <c r="A143" t="s">
        <v>228</v>
      </c>
      <c r="B143" t="s">
        <v>867</v>
      </c>
    </row>
    <row r="144" spans="1:2" x14ac:dyDescent="0.3">
      <c r="A144" t="s">
        <v>229</v>
      </c>
      <c r="B144" t="s">
        <v>867</v>
      </c>
    </row>
    <row r="145" spans="1:2" x14ac:dyDescent="0.3">
      <c r="A145" t="s">
        <v>230</v>
      </c>
      <c r="B145" t="s">
        <v>867</v>
      </c>
    </row>
    <row r="146" spans="1:2" x14ac:dyDescent="0.3">
      <c r="A146" t="s">
        <v>231</v>
      </c>
      <c r="B146" t="s">
        <v>867</v>
      </c>
    </row>
    <row r="147" spans="1:2" x14ac:dyDescent="0.3">
      <c r="A147" t="s">
        <v>340</v>
      </c>
      <c r="B147" t="s">
        <v>867</v>
      </c>
    </row>
    <row r="148" spans="1:2" x14ac:dyDescent="0.3">
      <c r="A148" t="s">
        <v>219</v>
      </c>
      <c r="B148" t="s">
        <v>867</v>
      </c>
    </row>
    <row r="149" spans="1:2" x14ac:dyDescent="0.3">
      <c r="A149" t="s">
        <v>379</v>
      </c>
      <c r="B149" t="s">
        <v>867</v>
      </c>
    </row>
    <row r="150" spans="1:2" x14ac:dyDescent="0.3">
      <c r="A150" t="s">
        <v>382</v>
      </c>
      <c r="B150" t="s">
        <v>867</v>
      </c>
    </row>
    <row r="151" spans="1:2" x14ac:dyDescent="0.3">
      <c r="A151" t="s">
        <v>343</v>
      </c>
      <c r="B151" t="s">
        <v>867</v>
      </c>
    </row>
    <row r="152" spans="1:2" x14ac:dyDescent="0.3">
      <c r="A152" t="s">
        <v>375</v>
      </c>
      <c r="B152" t="s">
        <v>867</v>
      </c>
    </row>
    <row r="153" spans="1:2" x14ac:dyDescent="0.3">
      <c r="A153" t="s">
        <v>380</v>
      </c>
      <c r="B153" t="s">
        <v>867</v>
      </c>
    </row>
    <row r="154" spans="1:2" x14ac:dyDescent="0.3">
      <c r="A154" t="s">
        <v>345</v>
      </c>
      <c r="B154" t="s">
        <v>867</v>
      </c>
    </row>
    <row r="155" spans="1:2" x14ac:dyDescent="0.3">
      <c r="A155" t="s">
        <v>147</v>
      </c>
      <c r="B155" t="s">
        <v>867</v>
      </c>
    </row>
    <row r="156" spans="1:2" x14ac:dyDescent="0.3">
      <c r="A156" t="s">
        <v>377</v>
      </c>
      <c r="B156" t="s">
        <v>867</v>
      </c>
    </row>
    <row r="157" spans="1:2" x14ac:dyDescent="0.3">
      <c r="A157" t="s">
        <v>872</v>
      </c>
      <c r="B157" t="s">
        <v>868</v>
      </c>
    </row>
    <row r="158" spans="1:2" x14ac:dyDescent="0.3">
      <c r="A158" t="s">
        <v>873</v>
      </c>
      <c r="B158" t="s">
        <v>868</v>
      </c>
    </row>
    <row r="159" spans="1:2" x14ac:dyDescent="0.3">
      <c r="A159" t="s">
        <v>874</v>
      </c>
      <c r="B159" t="s">
        <v>868</v>
      </c>
    </row>
    <row r="160" spans="1:2" x14ac:dyDescent="0.3">
      <c r="A160" t="s">
        <v>875</v>
      </c>
      <c r="B160" t="s">
        <v>868</v>
      </c>
    </row>
    <row r="161" spans="1:2" x14ac:dyDescent="0.3">
      <c r="A161" t="s">
        <v>876</v>
      </c>
      <c r="B161" t="s">
        <v>868</v>
      </c>
    </row>
    <row r="162" spans="1:2" x14ac:dyDescent="0.3">
      <c r="A162" t="s">
        <v>877</v>
      </c>
      <c r="B162" t="s">
        <v>868</v>
      </c>
    </row>
    <row r="163" spans="1:2" x14ac:dyDescent="0.3">
      <c r="A163" t="s">
        <v>878</v>
      </c>
      <c r="B163" t="s">
        <v>868</v>
      </c>
    </row>
    <row r="164" spans="1:2" x14ac:dyDescent="0.3">
      <c r="A164" t="s">
        <v>879</v>
      </c>
      <c r="B164" t="s">
        <v>868</v>
      </c>
    </row>
    <row r="165" spans="1:2" x14ac:dyDescent="0.3">
      <c r="A165" t="s">
        <v>880</v>
      </c>
      <c r="B165" t="s">
        <v>868</v>
      </c>
    </row>
    <row r="166" spans="1:2" x14ac:dyDescent="0.3">
      <c r="A166" t="s">
        <v>881</v>
      </c>
      <c r="B166" t="s">
        <v>868</v>
      </c>
    </row>
    <row r="167" spans="1:2" x14ac:dyDescent="0.3">
      <c r="A167" t="s">
        <v>95</v>
      </c>
      <c r="B167" t="s">
        <v>868</v>
      </c>
    </row>
    <row r="168" spans="1:2" x14ac:dyDescent="0.3">
      <c r="A168" t="s">
        <v>96</v>
      </c>
      <c r="B168" t="s">
        <v>868</v>
      </c>
    </row>
    <row r="169" spans="1:2" x14ac:dyDescent="0.3">
      <c r="A169" t="s">
        <v>882</v>
      </c>
      <c r="B169" t="s">
        <v>868</v>
      </c>
    </row>
    <row r="170" spans="1:2" x14ac:dyDescent="0.3">
      <c r="A170" t="s">
        <v>883</v>
      </c>
      <c r="B170" t="s">
        <v>868</v>
      </c>
    </row>
    <row r="171" spans="1:2" x14ac:dyDescent="0.3">
      <c r="A171" t="s">
        <v>884</v>
      </c>
      <c r="B171" t="s">
        <v>868</v>
      </c>
    </row>
    <row r="172" spans="1:2" x14ac:dyDescent="0.3">
      <c r="A172" t="s">
        <v>909</v>
      </c>
      <c r="B172" t="s">
        <v>868</v>
      </c>
    </row>
    <row r="173" spans="1:2" x14ac:dyDescent="0.3">
      <c r="A173" t="s">
        <v>885</v>
      </c>
      <c r="B173" t="s">
        <v>868</v>
      </c>
    </row>
    <row r="174" spans="1:2" x14ac:dyDescent="0.3">
      <c r="A174" t="s">
        <v>886</v>
      </c>
      <c r="B174" t="s">
        <v>868</v>
      </c>
    </row>
    <row r="175" spans="1:2" x14ac:dyDescent="0.3">
      <c r="A175" t="s">
        <v>910</v>
      </c>
      <c r="B175" t="s">
        <v>868</v>
      </c>
    </row>
    <row r="176" spans="1:2" x14ac:dyDescent="0.3">
      <c r="A176" t="s">
        <v>887</v>
      </c>
      <c r="B176" t="s">
        <v>868</v>
      </c>
    </row>
    <row r="177" spans="1:2" x14ac:dyDescent="0.3">
      <c r="A177" t="s">
        <v>888</v>
      </c>
      <c r="B177" t="s">
        <v>868</v>
      </c>
    </row>
    <row r="178" spans="1:2" x14ac:dyDescent="0.3">
      <c r="A178" t="s">
        <v>919</v>
      </c>
      <c r="B178" t="s">
        <v>868</v>
      </c>
    </row>
    <row r="179" spans="1:2" x14ac:dyDescent="0.3">
      <c r="A179" t="s">
        <v>889</v>
      </c>
      <c r="B179" t="s">
        <v>868</v>
      </c>
    </row>
    <row r="180" spans="1:2" x14ac:dyDescent="0.3">
      <c r="A180" t="s">
        <v>890</v>
      </c>
      <c r="B180" t="s">
        <v>868</v>
      </c>
    </row>
    <row r="181" spans="1:2" x14ac:dyDescent="0.3">
      <c r="A181" t="s">
        <v>891</v>
      </c>
      <c r="B181" t="s">
        <v>868</v>
      </c>
    </row>
    <row r="182" spans="1:2" x14ac:dyDescent="0.3">
      <c r="A182" t="s">
        <v>892</v>
      </c>
      <c r="B182" t="s">
        <v>868</v>
      </c>
    </row>
    <row r="183" spans="1:2" x14ac:dyDescent="0.3">
      <c r="A183" t="s">
        <v>893</v>
      </c>
      <c r="B183" t="s">
        <v>868</v>
      </c>
    </row>
    <row r="184" spans="1:2" x14ac:dyDescent="0.3">
      <c r="A184" t="s">
        <v>894</v>
      </c>
      <c r="B184" t="s">
        <v>868</v>
      </c>
    </row>
    <row r="185" spans="1:2" x14ac:dyDescent="0.3">
      <c r="A185" t="s">
        <v>895</v>
      </c>
      <c r="B185" t="s">
        <v>868</v>
      </c>
    </row>
    <row r="186" spans="1:2" x14ac:dyDescent="0.3">
      <c r="A186" t="s">
        <v>896</v>
      </c>
      <c r="B186" t="s">
        <v>868</v>
      </c>
    </row>
    <row r="187" spans="1:2" x14ac:dyDescent="0.3">
      <c r="A187" t="s">
        <v>897</v>
      </c>
      <c r="B187" t="s">
        <v>868</v>
      </c>
    </row>
    <row r="188" spans="1:2" x14ac:dyDescent="0.3">
      <c r="A188" t="s">
        <v>898</v>
      </c>
      <c r="B188" t="s">
        <v>868</v>
      </c>
    </row>
    <row r="189" spans="1:2" x14ac:dyDescent="0.3">
      <c r="A189" t="s">
        <v>899</v>
      </c>
      <c r="B189" t="s">
        <v>868</v>
      </c>
    </row>
    <row r="190" spans="1:2" x14ac:dyDescent="0.3">
      <c r="A190" t="s">
        <v>900</v>
      </c>
      <c r="B190" t="s">
        <v>868</v>
      </c>
    </row>
    <row r="191" spans="1:2" x14ac:dyDescent="0.3">
      <c r="A191" t="s">
        <v>901</v>
      </c>
      <c r="B191" t="s">
        <v>868</v>
      </c>
    </row>
    <row r="192" spans="1:2" x14ac:dyDescent="0.3">
      <c r="A192" t="s">
        <v>902</v>
      </c>
      <c r="B192" t="s">
        <v>868</v>
      </c>
    </row>
    <row r="193" spans="1:2" x14ac:dyDescent="0.3">
      <c r="A193" t="s">
        <v>903</v>
      </c>
      <c r="B193" t="s">
        <v>868</v>
      </c>
    </row>
    <row r="194" spans="1:2" x14ac:dyDescent="0.3">
      <c r="A194" t="s">
        <v>904</v>
      </c>
      <c r="B194" t="s">
        <v>868</v>
      </c>
    </row>
    <row r="195" spans="1:2" x14ac:dyDescent="0.3">
      <c r="A195" t="s">
        <v>157</v>
      </c>
      <c r="B195" t="s">
        <v>868</v>
      </c>
    </row>
    <row r="196" spans="1:2" x14ac:dyDescent="0.3">
      <c r="A196" t="s">
        <v>905</v>
      </c>
      <c r="B196" t="s">
        <v>868</v>
      </c>
    </row>
    <row r="197" spans="1:2" x14ac:dyDescent="0.3">
      <c r="A197" t="s">
        <v>906</v>
      </c>
      <c r="B197" t="s">
        <v>868</v>
      </c>
    </row>
    <row r="198" spans="1:2" x14ac:dyDescent="0.3">
      <c r="A198" t="s">
        <v>172</v>
      </c>
      <c r="B198" t="s">
        <v>868</v>
      </c>
    </row>
    <row r="199" spans="1:2" x14ac:dyDescent="0.3">
      <c r="A199" t="s">
        <v>96</v>
      </c>
      <c r="B199" t="s">
        <v>868</v>
      </c>
    </row>
    <row r="200" spans="1:2" x14ac:dyDescent="0.3">
      <c r="A200" t="s">
        <v>908</v>
      </c>
      <c r="B200" t="s">
        <v>868</v>
      </c>
    </row>
    <row r="201" spans="1:2" x14ac:dyDescent="0.3">
      <c r="A201" t="s">
        <v>920</v>
      </c>
      <c r="B201" t="s">
        <v>868</v>
      </c>
    </row>
    <row r="202" spans="1:2" x14ac:dyDescent="0.3">
      <c r="A202" t="s">
        <v>923</v>
      </c>
      <c r="B202" t="s">
        <v>867</v>
      </c>
    </row>
    <row r="203" spans="1:2" x14ac:dyDescent="0.3">
      <c r="A203" t="s">
        <v>923</v>
      </c>
      <c r="B203" t="s">
        <v>868</v>
      </c>
    </row>
    <row r="204" spans="1:2" x14ac:dyDescent="0.3">
      <c r="A204" t="s">
        <v>926</v>
      </c>
      <c r="B204" t="s">
        <v>868</v>
      </c>
    </row>
    <row r="205" spans="1:2" x14ac:dyDescent="0.3">
      <c r="A205" t="s">
        <v>927</v>
      </c>
      <c r="B205" t="s">
        <v>868</v>
      </c>
    </row>
    <row r="206" spans="1:2" x14ac:dyDescent="0.3">
      <c r="A206" t="s">
        <v>928</v>
      </c>
      <c r="B206" t="s">
        <v>868</v>
      </c>
    </row>
    <row r="207" spans="1:2" x14ac:dyDescent="0.3">
      <c r="A207" t="s">
        <v>928</v>
      </c>
      <c r="B207" t="s">
        <v>867</v>
      </c>
    </row>
    <row r="208" spans="1:2" x14ac:dyDescent="0.3">
      <c r="A208" t="s">
        <v>929</v>
      </c>
      <c r="B208" t="s">
        <v>868</v>
      </c>
    </row>
    <row r="209" spans="1:2" x14ac:dyDescent="0.3">
      <c r="A209" t="s">
        <v>930</v>
      </c>
      <c r="B209" t="s">
        <v>868</v>
      </c>
    </row>
    <row r="210" spans="1:2" x14ac:dyDescent="0.3">
      <c r="A210" t="s">
        <v>931</v>
      </c>
      <c r="B210" t="s">
        <v>867</v>
      </c>
    </row>
    <row r="211" spans="1:2" x14ac:dyDescent="0.3">
      <c r="A211" t="s">
        <v>932</v>
      </c>
      <c r="B211" t="s">
        <v>867</v>
      </c>
    </row>
    <row r="212" spans="1:2" x14ac:dyDescent="0.3">
      <c r="A212" t="s">
        <v>934</v>
      </c>
      <c r="B212" t="s">
        <v>868</v>
      </c>
    </row>
    <row r="213" spans="1:2" x14ac:dyDescent="0.3">
      <c r="A213" t="s">
        <v>935</v>
      </c>
      <c r="B213" t="s">
        <v>867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5E61-9ADE-4063-8F8B-7E9C5F05F70B}">
  <sheetPr codeName="Sheet5"/>
  <dimension ref="B1:H97"/>
  <sheetViews>
    <sheetView view="pageBreakPreview" zoomScale="115" zoomScaleNormal="100" zoomScaleSheetLayoutView="115" workbookViewId="0">
      <selection activeCell="C5" sqref="C5"/>
    </sheetView>
  </sheetViews>
  <sheetFormatPr defaultRowHeight="14.4" x14ac:dyDescent="0.3"/>
  <cols>
    <col min="2" max="2" width="8.88671875" style="25"/>
    <col min="3" max="3" width="53.44140625" style="25" bestFit="1" customWidth="1"/>
  </cols>
  <sheetData>
    <row r="1" spans="2:8" ht="67.8" x14ac:dyDescent="0.3">
      <c r="B1" s="25">
        <v>0</v>
      </c>
      <c r="C1" s="27" t="str">
        <f t="shared" ref="C1:C66" si="0">"*"&amp;B1&amp;"*"</f>
        <v>*0*</v>
      </c>
    </row>
    <row r="2" spans="2:8" ht="67.8" x14ac:dyDescent="0.4">
      <c r="B2" s="26">
        <v>261493</v>
      </c>
      <c r="C2" s="27" t="str">
        <f t="shared" si="0"/>
        <v>*261493*</v>
      </c>
      <c r="H2" s="24"/>
    </row>
    <row r="3" spans="2:8" ht="67.8" x14ac:dyDescent="0.3">
      <c r="B3" s="26">
        <v>261494</v>
      </c>
      <c r="C3" s="27" t="str">
        <f t="shared" si="0"/>
        <v>*261494*</v>
      </c>
    </row>
    <row r="4" spans="2:8" ht="67.8" x14ac:dyDescent="0.3">
      <c r="B4" s="26" t="s">
        <v>405</v>
      </c>
      <c r="C4" s="27" t="str">
        <f t="shared" si="0"/>
        <v>*261495*</v>
      </c>
    </row>
    <row r="5" spans="2:8" ht="67.8" x14ac:dyDescent="0.3">
      <c r="B5" s="26" t="s">
        <v>406</v>
      </c>
      <c r="C5" s="27" t="str">
        <f t="shared" si="0"/>
        <v>*261496*</v>
      </c>
    </row>
    <row r="6" spans="2:8" ht="67.8" x14ac:dyDescent="0.3">
      <c r="B6" s="26" t="s">
        <v>407</v>
      </c>
      <c r="C6" s="27" t="str">
        <f t="shared" si="0"/>
        <v>*261497*</v>
      </c>
    </row>
    <row r="7" spans="2:8" ht="67.8" x14ac:dyDescent="0.3">
      <c r="B7" s="26" t="s">
        <v>408</v>
      </c>
      <c r="C7" s="27" t="str">
        <f t="shared" si="0"/>
        <v>*261498*</v>
      </c>
    </row>
    <row r="8" spans="2:8" ht="67.8" x14ac:dyDescent="0.3">
      <c r="B8" s="26" t="s">
        <v>410</v>
      </c>
      <c r="C8" s="27" t="str">
        <f t="shared" si="0"/>
        <v>*261499*</v>
      </c>
    </row>
    <row r="9" spans="2:8" ht="67.8" x14ac:dyDescent="0.3">
      <c r="B9" s="26" t="s">
        <v>411</v>
      </c>
      <c r="C9" s="27" t="str">
        <f t="shared" si="0"/>
        <v>*261500*</v>
      </c>
    </row>
    <row r="10" spans="2:8" ht="67.8" x14ac:dyDescent="0.3">
      <c r="B10" s="26" t="s">
        <v>413</v>
      </c>
      <c r="C10" s="27" t="str">
        <f t="shared" si="0"/>
        <v>*261501*</v>
      </c>
    </row>
    <row r="11" spans="2:8" ht="67.8" x14ac:dyDescent="0.3">
      <c r="B11" s="26" t="s">
        <v>414</v>
      </c>
      <c r="C11" s="27" t="str">
        <f t="shared" si="0"/>
        <v>*261502*</v>
      </c>
    </row>
    <row r="12" spans="2:8" ht="67.8" x14ac:dyDescent="0.3">
      <c r="B12" s="26" t="s">
        <v>416</v>
      </c>
      <c r="C12" s="27" t="str">
        <f t="shared" si="0"/>
        <v>*261503*</v>
      </c>
    </row>
    <row r="13" spans="2:8" ht="67.8" x14ac:dyDescent="0.3">
      <c r="B13" s="26" t="s">
        <v>417</v>
      </c>
      <c r="C13" s="27" t="str">
        <f t="shared" si="0"/>
        <v>*261504*</v>
      </c>
    </row>
    <row r="14" spans="2:8" ht="67.8" x14ac:dyDescent="0.3">
      <c r="B14" s="26" t="s">
        <v>419</v>
      </c>
      <c r="C14" s="27" t="str">
        <f t="shared" si="0"/>
        <v>*261505*</v>
      </c>
    </row>
    <row r="15" spans="2:8" ht="67.8" x14ac:dyDescent="0.3">
      <c r="B15" s="26" t="s">
        <v>420</v>
      </c>
      <c r="C15" s="27" t="str">
        <f t="shared" si="0"/>
        <v>*261506*</v>
      </c>
    </row>
    <row r="16" spans="2:8" ht="67.8" x14ac:dyDescent="0.3">
      <c r="B16" s="26" t="s">
        <v>421</v>
      </c>
      <c r="C16" s="27" t="str">
        <f t="shared" si="0"/>
        <v>*261507*</v>
      </c>
    </row>
    <row r="17" spans="2:3" ht="67.8" x14ac:dyDescent="0.3">
      <c r="B17" s="26" t="s">
        <v>422</v>
      </c>
      <c r="C17" s="27" t="str">
        <f t="shared" si="0"/>
        <v>*261508*</v>
      </c>
    </row>
    <row r="18" spans="2:3" ht="67.8" x14ac:dyDescent="0.3">
      <c r="B18" s="26" t="s">
        <v>423</v>
      </c>
      <c r="C18" s="27" t="str">
        <f t="shared" si="0"/>
        <v>*261509*</v>
      </c>
    </row>
    <row r="19" spans="2:3" ht="67.8" x14ac:dyDescent="0.3">
      <c r="B19" s="26" t="s">
        <v>424</v>
      </c>
      <c r="C19" s="27" t="str">
        <f t="shared" si="0"/>
        <v>*261510*</v>
      </c>
    </row>
    <row r="20" spans="2:3" ht="67.8" x14ac:dyDescent="0.3">
      <c r="B20" s="26" t="s">
        <v>425</v>
      </c>
      <c r="C20" s="27" t="str">
        <f t="shared" si="0"/>
        <v>*261511*</v>
      </c>
    </row>
    <row r="21" spans="2:3" ht="67.8" x14ac:dyDescent="0.3">
      <c r="B21" s="26" t="s">
        <v>426</v>
      </c>
      <c r="C21" s="27" t="str">
        <f t="shared" si="0"/>
        <v>*261512*</v>
      </c>
    </row>
    <row r="22" spans="2:3" ht="67.8" x14ac:dyDescent="0.3">
      <c r="B22" s="26" t="s">
        <v>427</v>
      </c>
      <c r="C22" s="27" t="str">
        <f t="shared" si="0"/>
        <v>*261513*</v>
      </c>
    </row>
    <row r="23" spans="2:3" ht="67.8" x14ac:dyDescent="0.3">
      <c r="B23" s="26" t="s">
        <v>428</v>
      </c>
      <c r="C23" s="27" t="str">
        <f t="shared" si="0"/>
        <v>*261514*</v>
      </c>
    </row>
    <row r="24" spans="2:3" ht="67.8" x14ac:dyDescent="0.3">
      <c r="B24" s="26" t="s">
        <v>429</v>
      </c>
      <c r="C24" s="27" t="str">
        <f t="shared" si="0"/>
        <v>*261515*</v>
      </c>
    </row>
    <row r="25" spans="2:3" ht="67.8" x14ac:dyDescent="0.3">
      <c r="B25" s="26" t="s">
        <v>431</v>
      </c>
      <c r="C25" s="27" t="str">
        <f t="shared" si="0"/>
        <v>*261516*</v>
      </c>
    </row>
    <row r="26" spans="2:3" ht="67.8" x14ac:dyDescent="0.3">
      <c r="B26" s="26" t="s">
        <v>432</v>
      </c>
      <c r="C26" s="27" t="str">
        <f t="shared" si="0"/>
        <v>*261517*</v>
      </c>
    </row>
    <row r="27" spans="2:3" ht="67.8" x14ac:dyDescent="0.3">
      <c r="B27" s="26" t="s">
        <v>433</v>
      </c>
      <c r="C27" s="27" t="str">
        <f t="shared" si="0"/>
        <v>*261518*</v>
      </c>
    </row>
    <row r="28" spans="2:3" ht="67.8" x14ac:dyDescent="0.3">
      <c r="B28" s="26" t="s">
        <v>434</v>
      </c>
      <c r="C28" s="27" t="str">
        <f t="shared" si="0"/>
        <v>*261519*</v>
      </c>
    </row>
    <row r="29" spans="2:3" ht="67.8" x14ac:dyDescent="0.3">
      <c r="B29" s="26" t="s">
        <v>435</v>
      </c>
      <c r="C29" s="27" t="str">
        <f t="shared" si="0"/>
        <v>*261520*</v>
      </c>
    </row>
    <row r="30" spans="2:3" ht="67.8" x14ac:dyDescent="0.3">
      <c r="B30" s="26" t="s">
        <v>436</v>
      </c>
      <c r="C30" s="27" t="str">
        <f t="shared" si="0"/>
        <v>*261521*</v>
      </c>
    </row>
    <row r="31" spans="2:3" ht="67.8" x14ac:dyDescent="0.3">
      <c r="B31" s="26" t="s">
        <v>438</v>
      </c>
      <c r="C31" s="27" t="str">
        <f t="shared" si="0"/>
        <v>*261522*</v>
      </c>
    </row>
    <row r="32" spans="2:3" ht="67.8" x14ac:dyDescent="0.3">
      <c r="B32" s="26" t="s">
        <v>439</v>
      </c>
      <c r="C32" s="27" t="str">
        <f t="shared" si="0"/>
        <v>*261523*</v>
      </c>
    </row>
    <row r="33" spans="2:3" ht="67.8" x14ac:dyDescent="0.3">
      <c r="B33" s="26" t="s">
        <v>440</v>
      </c>
      <c r="C33" s="27" t="str">
        <f t="shared" si="0"/>
        <v>*261524*</v>
      </c>
    </row>
    <row r="34" spans="2:3" ht="67.8" x14ac:dyDescent="0.3">
      <c r="B34" s="26" t="s">
        <v>441</v>
      </c>
      <c r="C34" s="27" t="str">
        <f t="shared" si="0"/>
        <v>*261525*</v>
      </c>
    </row>
    <row r="35" spans="2:3" ht="67.8" x14ac:dyDescent="0.3">
      <c r="B35" s="26" t="s">
        <v>442</v>
      </c>
      <c r="C35" s="27" t="str">
        <f t="shared" si="0"/>
        <v>*261526*</v>
      </c>
    </row>
    <row r="36" spans="2:3" ht="67.8" x14ac:dyDescent="0.3">
      <c r="B36" s="26" t="s">
        <v>443</v>
      </c>
      <c r="C36" s="27" t="str">
        <f t="shared" si="0"/>
        <v>*261527*</v>
      </c>
    </row>
    <row r="37" spans="2:3" ht="67.8" x14ac:dyDescent="0.3">
      <c r="B37" s="26" t="s">
        <v>444</v>
      </c>
      <c r="C37" s="27" t="str">
        <f t="shared" si="0"/>
        <v>*261528*</v>
      </c>
    </row>
    <row r="38" spans="2:3" ht="67.8" x14ac:dyDescent="0.3">
      <c r="B38" s="26" t="s">
        <v>445</v>
      </c>
      <c r="C38" s="27" t="str">
        <f t="shared" si="0"/>
        <v>*261529*</v>
      </c>
    </row>
    <row r="39" spans="2:3" ht="67.8" x14ac:dyDescent="0.3">
      <c r="B39" s="26" t="s">
        <v>446</v>
      </c>
      <c r="C39" s="27" t="str">
        <f t="shared" si="0"/>
        <v>*261530*</v>
      </c>
    </row>
    <row r="40" spans="2:3" ht="67.8" x14ac:dyDescent="0.3">
      <c r="B40" s="26" t="s">
        <v>447</v>
      </c>
      <c r="C40" s="27" t="str">
        <f t="shared" si="0"/>
        <v>*261531*</v>
      </c>
    </row>
    <row r="41" spans="2:3" ht="67.8" x14ac:dyDescent="0.3">
      <c r="B41" s="26" t="s">
        <v>448</v>
      </c>
      <c r="C41" s="27" t="str">
        <f t="shared" si="0"/>
        <v>*261532*</v>
      </c>
    </row>
    <row r="42" spans="2:3" ht="67.8" x14ac:dyDescent="0.3">
      <c r="B42" s="26" t="s">
        <v>449</v>
      </c>
      <c r="C42" s="27" t="str">
        <f t="shared" si="0"/>
        <v>*261533*</v>
      </c>
    </row>
    <row r="43" spans="2:3" ht="67.8" x14ac:dyDescent="0.3">
      <c r="B43" s="26" t="s">
        <v>450</v>
      </c>
      <c r="C43" s="27" t="str">
        <f t="shared" si="0"/>
        <v>*261534*</v>
      </c>
    </row>
    <row r="44" spans="2:3" ht="67.8" x14ac:dyDescent="0.3">
      <c r="B44" s="26" t="s">
        <v>451</v>
      </c>
      <c r="C44" s="27" t="str">
        <f t="shared" si="0"/>
        <v>*261535*</v>
      </c>
    </row>
    <row r="45" spans="2:3" ht="67.8" x14ac:dyDescent="0.3">
      <c r="B45" s="26" t="s">
        <v>452</v>
      </c>
      <c r="C45" s="27" t="str">
        <f t="shared" si="0"/>
        <v>*261536*</v>
      </c>
    </row>
    <row r="46" spans="2:3" ht="67.8" x14ac:dyDescent="0.3">
      <c r="B46" s="26" t="s">
        <v>453</v>
      </c>
      <c r="C46" s="27" t="str">
        <f t="shared" si="0"/>
        <v>*261537*</v>
      </c>
    </row>
    <row r="47" spans="2:3" ht="67.8" x14ac:dyDescent="0.3">
      <c r="B47" s="26" t="s">
        <v>454</v>
      </c>
      <c r="C47" s="27" t="str">
        <f t="shared" si="0"/>
        <v>*261538*</v>
      </c>
    </row>
    <row r="48" spans="2:3" ht="67.8" x14ac:dyDescent="0.3">
      <c r="B48" s="26" t="s">
        <v>456</v>
      </c>
      <c r="C48" s="27" t="str">
        <f t="shared" si="0"/>
        <v>*261539*</v>
      </c>
    </row>
    <row r="49" spans="2:3" ht="67.8" x14ac:dyDescent="0.3">
      <c r="B49" s="26" t="s">
        <v>457</v>
      </c>
      <c r="C49" s="27" t="str">
        <f t="shared" si="0"/>
        <v>*261540*</v>
      </c>
    </row>
    <row r="50" spans="2:3" ht="67.8" x14ac:dyDescent="0.3">
      <c r="B50" s="26" t="s">
        <v>458</v>
      </c>
      <c r="C50" s="27" t="str">
        <f t="shared" si="0"/>
        <v>*261541*</v>
      </c>
    </row>
    <row r="51" spans="2:3" ht="67.8" x14ac:dyDescent="0.3">
      <c r="B51" s="26" t="s">
        <v>459</v>
      </c>
      <c r="C51" s="27" t="str">
        <f t="shared" si="0"/>
        <v>*261542*</v>
      </c>
    </row>
    <row r="52" spans="2:3" ht="67.8" x14ac:dyDescent="0.3">
      <c r="B52" s="26" t="s">
        <v>461</v>
      </c>
      <c r="C52" s="27" t="str">
        <f t="shared" si="0"/>
        <v>*261543*</v>
      </c>
    </row>
    <row r="53" spans="2:3" ht="67.8" x14ac:dyDescent="0.3">
      <c r="B53" s="26" t="s">
        <v>463</v>
      </c>
      <c r="C53" s="27" t="str">
        <f t="shared" si="0"/>
        <v>*261544*</v>
      </c>
    </row>
    <row r="54" spans="2:3" ht="67.8" x14ac:dyDescent="0.3">
      <c r="B54" s="26" t="s">
        <v>465</v>
      </c>
      <c r="C54" s="27" t="str">
        <f t="shared" si="0"/>
        <v>*261545*</v>
      </c>
    </row>
    <row r="55" spans="2:3" ht="67.8" x14ac:dyDescent="0.3">
      <c r="B55" s="26" t="s">
        <v>467</v>
      </c>
      <c r="C55" s="27" t="str">
        <f t="shared" si="0"/>
        <v>*261546*</v>
      </c>
    </row>
    <row r="56" spans="2:3" ht="67.8" x14ac:dyDescent="0.3">
      <c r="B56" s="26" t="s">
        <v>469</v>
      </c>
      <c r="C56" s="27" t="str">
        <f t="shared" si="0"/>
        <v>*261547*</v>
      </c>
    </row>
    <row r="57" spans="2:3" ht="67.8" x14ac:dyDescent="0.3">
      <c r="B57" s="26" t="s">
        <v>471</v>
      </c>
      <c r="C57" s="27" t="str">
        <f t="shared" si="0"/>
        <v>*261548*</v>
      </c>
    </row>
    <row r="58" spans="2:3" ht="67.8" x14ac:dyDescent="0.3">
      <c r="B58" s="26" t="s">
        <v>473</v>
      </c>
      <c r="C58" s="27" t="str">
        <f t="shared" si="0"/>
        <v>*261549*</v>
      </c>
    </row>
    <row r="59" spans="2:3" ht="67.8" x14ac:dyDescent="0.3">
      <c r="B59" s="26" t="s">
        <v>475</v>
      </c>
      <c r="C59" s="27" t="str">
        <f t="shared" si="0"/>
        <v>*261550*</v>
      </c>
    </row>
    <row r="60" spans="2:3" ht="67.8" x14ac:dyDescent="0.3">
      <c r="B60" s="26" t="s">
        <v>477</v>
      </c>
      <c r="C60" s="27" t="str">
        <f t="shared" si="0"/>
        <v>*261551*</v>
      </c>
    </row>
    <row r="61" spans="2:3" ht="67.8" x14ac:dyDescent="0.3">
      <c r="B61" s="26" t="s">
        <v>479</v>
      </c>
      <c r="C61" s="27" t="str">
        <f t="shared" si="0"/>
        <v>*261552*</v>
      </c>
    </row>
    <row r="62" spans="2:3" ht="67.8" x14ac:dyDescent="0.3">
      <c r="B62" s="26" t="s">
        <v>481</v>
      </c>
      <c r="C62" s="27" t="str">
        <f t="shared" si="0"/>
        <v>*261553*</v>
      </c>
    </row>
    <row r="63" spans="2:3" ht="67.8" x14ac:dyDescent="0.3">
      <c r="B63" s="26" t="s">
        <v>483</v>
      </c>
      <c r="C63" s="27" t="str">
        <f t="shared" si="0"/>
        <v>*261554*</v>
      </c>
    </row>
    <row r="64" spans="2:3" ht="67.8" x14ac:dyDescent="0.3">
      <c r="B64" s="26" t="s">
        <v>485</v>
      </c>
      <c r="C64" s="27" t="str">
        <f t="shared" si="0"/>
        <v>*261555*</v>
      </c>
    </row>
    <row r="65" spans="2:3" ht="67.8" x14ac:dyDescent="0.3">
      <c r="B65" s="26" t="s">
        <v>487</v>
      </c>
      <c r="C65" s="27" t="str">
        <f t="shared" si="0"/>
        <v>*261556*</v>
      </c>
    </row>
    <row r="66" spans="2:3" ht="67.8" x14ac:dyDescent="0.3">
      <c r="B66" s="26" t="s">
        <v>489</v>
      </c>
      <c r="C66" s="27" t="str">
        <f t="shared" si="0"/>
        <v>*261557*</v>
      </c>
    </row>
    <row r="67" spans="2:3" ht="67.8" x14ac:dyDescent="0.3">
      <c r="B67" s="26" t="s">
        <v>491</v>
      </c>
      <c r="C67" s="27" t="str">
        <f t="shared" ref="C67:C97" si="1">"*"&amp;B67&amp;"*"</f>
        <v>*261558*</v>
      </c>
    </row>
    <row r="68" spans="2:3" ht="67.8" x14ac:dyDescent="0.3">
      <c r="B68" s="26" t="s">
        <v>493</v>
      </c>
      <c r="C68" s="27" t="str">
        <f t="shared" si="1"/>
        <v>*261559*</v>
      </c>
    </row>
    <row r="69" spans="2:3" ht="67.8" x14ac:dyDescent="0.3">
      <c r="B69" s="26" t="s">
        <v>495</v>
      </c>
      <c r="C69" s="27" t="str">
        <f t="shared" si="1"/>
        <v>*261560*</v>
      </c>
    </row>
    <row r="70" spans="2:3" ht="67.8" x14ac:dyDescent="0.3">
      <c r="B70" s="26" t="s">
        <v>497</v>
      </c>
      <c r="C70" s="27" t="str">
        <f t="shared" si="1"/>
        <v>*261561*</v>
      </c>
    </row>
    <row r="71" spans="2:3" ht="67.8" x14ac:dyDescent="0.3">
      <c r="B71" s="26" t="s">
        <v>499</v>
      </c>
      <c r="C71" s="27" t="str">
        <f t="shared" si="1"/>
        <v>*261562*</v>
      </c>
    </row>
    <row r="72" spans="2:3" ht="67.8" x14ac:dyDescent="0.3">
      <c r="B72" s="26" t="s">
        <v>501</v>
      </c>
      <c r="C72" s="27" t="str">
        <f t="shared" si="1"/>
        <v>*261563*</v>
      </c>
    </row>
    <row r="73" spans="2:3" ht="67.8" x14ac:dyDescent="0.3">
      <c r="B73" s="26" t="s">
        <v>503</v>
      </c>
      <c r="C73" s="27" t="str">
        <f t="shared" si="1"/>
        <v>*261564*</v>
      </c>
    </row>
    <row r="74" spans="2:3" ht="67.8" x14ac:dyDescent="0.3">
      <c r="B74" s="26" t="s">
        <v>505</v>
      </c>
      <c r="C74" s="27" t="str">
        <f t="shared" si="1"/>
        <v>*261565*</v>
      </c>
    </row>
    <row r="75" spans="2:3" ht="67.8" x14ac:dyDescent="0.3">
      <c r="B75" s="26" t="s">
        <v>506</v>
      </c>
      <c r="C75" s="27" t="str">
        <f t="shared" si="1"/>
        <v>*261566*</v>
      </c>
    </row>
    <row r="76" spans="2:3" ht="67.8" x14ac:dyDescent="0.3">
      <c r="B76" s="26" t="s">
        <v>508</v>
      </c>
      <c r="C76" s="27" t="str">
        <f t="shared" si="1"/>
        <v>*261567*</v>
      </c>
    </row>
    <row r="77" spans="2:3" ht="67.8" x14ac:dyDescent="0.3">
      <c r="B77" s="26" t="s">
        <v>509</v>
      </c>
      <c r="C77" s="27" t="str">
        <f t="shared" si="1"/>
        <v>*261568*</v>
      </c>
    </row>
    <row r="78" spans="2:3" ht="67.8" x14ac:dyDescent="0.3">
      <c r="B78" s="26" t="s">
        <v>510</v>
      </c>
      <c r="C78" s="27" t="str">
        <f t="shared" si="1"/>
        <v>*261569*</v>
      </c>
    </row>
    <row r="79" spans="2:3" ht="67.8" x14ac:dyDescent="0.3">
      <c r="B79" s="26" t="s">
        <v>511</v>
      </c>
      <c r="C79" s="27" t="str">
        <f t="shared" si="1"/>
        <v>*261570*</v>
      </c>
    </row>
    <row r="80" spans="2:3" ht="67.8" x14ac:dyDescent="0.3">
      <c r="B80" s="26" t="s">
        <v>512</v>
      </c>
      <c r="C80" s="27" t="str">
        <f t="shared" si="1"/>
        <v>*261571*</v>
      </c>
    </row>
    <row r="81" spans="2:3" ht="67.8" x14ac:dyDescent="0.3">
      <c r="B81" s="26" t="s">
        <v>513</v>
      </c>
      <c r="C81" s="27" t="str">
        <f t="shared" si="1"/>
        <v>*261572*</v>
      </c>
    </row>
    <row r="82" spans="2:3" ht="67.8" x14ac:dyDescent="0.3">
      <c r="B82" s="26" t="s">
        <v>514</v>
      </c>
      <c r="C82" s="27" t="str">
        <f t="shared" si="1"/>
        <v>*261573*</v>
      </c>
    </row>
    <row r="83" spans="2:3" ht="67.8" x14ac:dyDescent="0.3">
      <c r="B83" s="26" t="s">
        <v>515</v>
      </c>
      <c r="C83" s="27" t="str">
        <f t="shared" si="1"/>
        <v>*261574*</v>
      </c>
    </row>
    <row r="84" spans="2:3" ht="67.8" x14ac:dyDescent="0.3">
      <c r="B84" s="26" t="s">
        <v>516</v>
      </c>
      <c r="C84" s="27" t="str">
        <f t="shared" si="1"/>
        <v>*261575*</v>
      </c>
    </row>
    <row r="85" spans="2:3" ht="67.8" x14ac:dyDescent="0.3">
      <c r="B85" s="26" t="s">
        <v>517</v>
      </c>
      <c r="C85" s="27" t="str">
        <f t="shared" si="1"/>
        <v>*261576*</v>
      </c>
    </row>
    <row r="86" spans="2:3" ht="67.8" x14ac:dyDescent="0.3">
      <c r="B86" s="26" t="s">
        <v>518</v>
      </c>
      <c r="C86" s="27" t="str">
        <f t="shared" si="1"/>
        <v>*261577*</v>
      </c>
    </row>
    <row r="87" spans="2:3" ht="67.8" x14ac:dyDescent="0.3">
      <c r="B87" s="26" t="s">
        <v>519</v>
      </c>
      <c r="C87" s="27" t="str">
        <f t="shared" si="1"/>
        <v>*261578*</v>
      </c>
    </row>
    <row r="88" spans="2:3" ht="67.8" x14ac:dyDescent="0.3">
      <c r="B88" s="26" t="s">
        <v>521</v>
      </c>
      <c r="C88" s="27" t="str">
        <f t="shared" si="1"/>
        <v>*261579*</v>
      </c>
    </row>
    <row r="89" spans="2:3" ht="67.8" x14ac:dyDescent="0.3">
      <c r="B89" s="26" t="s">
        <v>944</v>
      </c>
      <c r="C89" s="27" t="str">
        <f t="shared" si="1"/>
        <v>*261580*</v>
      </c>
    </row>
    <row r="90" spans="2:3" ht="67.8" x14ac:dyDescent="0.3">
      <c r="B90" s="26" t="s">
        <v>945</v>
      </c>
      <c r="C90" s="27" t="str">
        <f t="shared" si="1"/>
        <v>*261581*</v>
      </c>
    </row>
    <row r="91" spans="2:3" ht="67.8" x14ac:dyDescent="0.3">
      <c r="B91" s="26" t="s">
        <v>946</v>
      </c>
      <c r="C91" s="27" t="str">
        <f t="shared" si="1"/>
        <v>*261582*</v>
      </c>
    </row>
    <row r="92" spans="2:3" ht="67.8" x14ac:dyDescent="0.3">
      <c r="B92" s="26" t="s">
        <v>947</v>
      </c>
      <c r="C92" s="27" t="str">
        <f t="shared" si="1"/>
        <v>*261583*</v>
      </c>
    </row>
    <row r="93" spans="2:3" ht="67.8" x14ac:dyDescent="0.3">
      <c r="B93" s="26" t="s">
        <v>948</v>
      </c>
      <c r="C93" s="27" t="str">
        <f t="shared" si="1"/>
        <v>*261584*</v>
      </c>
    </row>
    <row r="94" spans="2:3" ht="67.8" x14ac:dyDescent="0.3">
      <c r="B94" s="26" t="s">
        <v>949</v>
      </c>
      <c r="C94" s="27" t="str">
        <f t="shared" si="1"/>
        <v>*261585*</v>
      </c>
    </row>
    <row r="95" spans="2:3" ht="67.8" x14ac:dyDescent="0.3">
      <c r="B95" s="26" t="s">
        <v>950</v>
      </c>
      <c r="C95" s="27" t="str">
        <f t="shared" si="1"/>
        <v>*261586*</v>
      </c>
    </row>
    <row r="96" spans="2:3" ht="67.8" x14ac:dyDescent="0.3">
      <c r="B96" s="26" t="s">
        <v>951</v>
      </c>
      <c r="C96" s="27" t="str">
        <f t="shared" si="1"/>
        <v>*261587*</v>
      </c>
    </row>
    <row r="97" spans="2:3" ht="67.8" x14ac:dyDescent="0.3">
      <c r="B97" s="26" t="s">
        <v>952</v>
      </c>
      <c r="C97" s="27" t="str">
        <f t="shared" si="1"/>
        <v>*261588*</v>
      </c>
    </row>
  </sheetData>
  <pageMargins left="0.7" right="0.7" top="0.75" bottom="0.75" header="0.3" footer="0.3"/>
  <pageSetup paperSize="14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0BD4-E61C-4E0B-A28C-FB3E9E9436CB}">
  <dimension ref="A1:AX320"/>
  <sheetViews>
    <sheetView workbookViewId="0">
      <selection activeCell="D10" sqref="D10"/>
    </sheetView>
  </sheetViews>
  <sheetFormatPr defaultRowHeight="14.4" x14ac:dyDescent="0.3"/>
  <cols>
    <col min="1" max="1" width="16.21875" bestFit="1" customWidth="1"/>
    <col min="4" max="4" width="9.88671875" customWidth="1"/>
    <col min="9" max="9" width="11" bestFit="1" customWidth="1"/>
    <col min="10" max="10" width="5" bestFit="1" customWidth="1"/>
    <col min="11" max="14" width="5.77734375" customWidth="1"/>
    <col min="15" max="15" width="9" bestFit="1" customWidth="1"/>
    <col min="16" max="41" width="5.77734375" customWidth="1"/>
  </cols>
  <sheetData>
    <row r="1" spans="1:35" x14ac:dyDescent="0.3">
      <c r="A1" t="s">
        <v>1127</v>
      </c>
      <c r="B1" s="56">
        <f>J9+J10*2+J12</f>
        <v>63</v>
      </c>
    </row>
    <row r="2" spans="1:35" x14ac:dyDescent="0.3">
      <c r="A2" t="s">
        <v>1128</v>
      </c>
      <c r="B2" s="56">
        <f>J9+J11*2+J10*2+J13</f>
        <v>79</v>
      </c>
    </row>
    <row r="3" spans="1:35" x14ac:dyDescent="0.3">
      <c r="A3" t="s">
        <v>1129</v>
      </c>
      <c r="B3" s="56">
        <f>J14+J15+J16</f>
        <v>65</v>
      </c>
    </row>
    <row r="4" spans="1:35" x14ac:dyDescent="0.3">
      <c r="A4" t="s">
        <v>1138</v>
      </c>
      <c r="B4">
        <f>B1*B2*B3/1000</f>
        <v>323.505</v>
      </c>
    </row>
    <row r="5" spans="1:35" ht="25.05" customHeight="1" x14ac:dyDescent="0.3"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</row>
    <row r="6" spans="1:35" ht="25.05" customHeight="1" thickBot="1" x14ac:dyDescent="0.35"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</row>
    <row r="7" spans="1:35" ht="25.05" customHeight="1" thickBot="1" x14ac:dyDescent="0.35">
      <c r="E7" t="str">
        <f>IF(B4&lt;100,"S",IF(B4&lt;225,"M",IF(B4&lt;550,"L",IF(B4&lt;1150,"XL",IF(B4&gt;1150,"XXL",FALSE)))))</f>
        <v>L</v>
      </c>
      <c r="K7" s="25"/>
      <c r="L7" s="25"/>
      <c r="M7" s="31"/>
      <c r="N7" s="32"/>
      <c r="O7" s="32"/>
      <c r="P7" s="32"/>
      <c r="Q7" s="32"/>
      <c r="R7" s="32"/>
      <c r="S7" s="32"/>
      <c r="T7" s="32" t="s">
        <v>1123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3"/>
      <c r="AG7" s="25"/>
      <c r="AH7" s="25"/>
      <c r="AI7" s="25"/>
    </row>
    <row r="8" spans="1:35" ht="25.05" customHeight="1" x14ac:dyDescent="0.3">
      <c r="E8" t="str">
        <f>IF(J14&lt;15, "SIMPLE", IF(J14&lt;30, "MEDIUM", "COMPLEX"))</f>
        <v>COMPLEX</v>
      </c>
      <c r="K8" s="25"/>
      <c r="L8" s="25"/>
      <c r="M8" s="34"/>
      <c r="N8" s="35"/>
      <c r="O8" s="36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7"/>
      <c r="AD8" s="36"/>
      <c r="AE8" s="37"/>
      <c r="AF8" s="38"/>
      <c r="AG8" s="25"/>
      <c r="AH8" s="25"/>
      <c r="AI8" s="25"/>
    </row>
    <row r="9" spans="1:35" ht="25.05" customHeight="1" x14ac:dyDescent="0.3">
      <c r="E9" s="59" t="str">
        <f>IF(AND(E7="S", E8="SIMPLE"),"A",IF(AND(E7="S",E8="MEDIUM"), "F", IF(AND(E7="M",E8="SIMPLE"), "B", IF(AND(E7="M",E8="MEDIUM"), "G", IF(AND(E7="M",E8="COMPLEX"), "L", IF(AND(E7="L",E8="SIMPLE"), "C", IF(AND(E7="L",E8="MEDIUM"), "H", IF(AND(E7="L",E8="COMPLEX"), "M", IF(AND(E7="XL",E8="SIMPLE"), "D", IF(AND(E7="XL",E8="MEDIUM"), "I", IF(AND(E7="XL",E8="COMPLEX"), "N", IF(AND(E7="XXL",E8="SIMPLE"), "E", IF(AND(E7="XXL",E8="MEDIUM"), "G", IF(AND(E7="XXL",E8="COMPLEX"), "O", FALSE))))))))))))))</f>
        <v>M</v>
      </c>
      <c r="I9" t="s">
        <v>1131</v>
      </c>
      <c r="J9">
        <v>5</v>
      </c>
      <c r="K9" s="25"/>
      <c r="L9" s="25"/>
      <c r="M9" s="34" t="s">
        <v>1123</v>
      </c>
      <c r="N9" s="39" t="s">
        <v>1125</v>
      </c>
      <c r="O9" s="40"/>
      <c r="P9" s="39"/>
      <c r="Q9" s="40"/>
      <c r="R9" s="40"/>
      <c r="S9" s="40"/>
      <c r="T9" s="57"/>
      <c r="U9" s="40"/>
      <c r="V9" s="40"/>
      <c r="W9" s="40"/>
      <c r="X9" s="40"/>
      <c r="Y9" s="40"/>
      <c r="Z9" s="40"/>
      <c r="AA9" s="40"/>
      <c r="AB9" s="40"/>
      <c r="AC9" s="30"/>
      <c r="AD9" s="40"/>
      <c r="AE9" s="30" t="s">
        <v>1125</v>
      </c>
      <c r="AF9" s="38" t="s">
        <v>1123</v>
      </c>
      <c r="AG9" s="25"/>
      <c r="AH9" s="25"/>
      <c r="AI9" s="25"/>
    </row>
    <row r="10" spans="1:35" ht="25.05" customHeight="1" thickBot="1" x14ac:dyDescent="0.35">
      <c r="I10" t="s">
        <v>1132</v>
      </c>
      <c r="J10">
        <v>9</v>
      </c>
      <c r="K10" s="25"/>
      <c r="L10" s="25"/>
      <c r="M10" s="34"/>
      <c r="N10" s="39"/>
      <c r="O10" s="40"/>
      <c r="P10" s="39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30"/>
      <c r="AD10" s="40"/>
      <c r="AE10" s="30"/>
      <c r="AF10" s="38"/>
      <c r="AG10" s="25"/>
      <c r="AH10" s="25"/>
      <c r="AI10" s="25"/>
    </row>
    <row r="11" spans="1:35" ht="25.05" customHeight="1" x14ac:dyDescent="0.3">
      <c r="I11" t="s">
        <v>1133</v>
      </c>
      <c r="J11">
        <v>13</v>
      </c>
      <c r="K11" s="25"/>
      <c r="L11" s="25"/>
      <c r="M11" s="34"/>
      <c r="N11" s="39"/>
      <c r="O11" s="40"/>
      <c r="P11" s="39"/>
      <c r="Q11" s="40"/>
      <c r="R11" s="40"/>
      <c r="S11" s="41"/>
      <c r="T11" s="42"/>
      <c r="U11" s="42"/>
      <c r="V11" s="42"/>
      <c r="W11" s="42"/>
      <c r="X11" s="42"/>
      <c r="Y11" s="42"/>
      <c r="Z11" s="43"/>
      <c r="AA11" s="40"/>
      <c r="AB11" s="40"/>
      <c r="AC11" s="30"/>
      <c r="AD11" s="40"/>
      <c r="AE11" s="30"/>
      <c r="AF11" s="38"/>
      <c r="AG11" s="25"/>
      <c r="AH11" s="25"/>
      <c r="AI11" s="25"/>
    </row>
    <row r="12" spans="1:35" ht="25.05" customHeight="1" x14ac:dyDescent="0.3">
      <c r="I12" t="s">
        <v>1134</v>
      </c>
      <c r="J12" s="28">
        <v>40</v>
      </c>
      <c r="K12" s="25"/>
      <c r="L12" s="25"/>
      <c r="M12" s="34"/>
      <c r="N12" s="39"/>
      <c r="O12" s="40"/>
      <c r="P12" s="39"/>
      <c r="Q12" s="40"/>
      <c r="R12" s="40"/>
      <c r="S12" s="44"/>
      <c r="T12" s="45"/>
      <c r="U12" s="45"/>
      <c r="V12" s="45"/>
      <c r="W12" s="45"/>
      <c r="X12" s="45"/>
      <c r="Y12" s="45"/>
      <c r="Z12" s="46"/>
      <c r="AA12" s="40"/>
      <c r="AB12" s="40"/>
      <c r="AC12" s="30"/>
      <c r="AD12" s="40"/>
      <c r="AE12" s="30"/>
      <c r="AF12" s="38"/>
      <c r="AG12" s="25"/>
      <c r="AH12" s="25"/>
      <c r="AI12" s="25"/>
    </row>
    <row r="13" spans="1:35" ht="25.05" customHeight="1" x14ac:dyDescent="0.3">
      <c r="I13" t="s">
        <v>1135</v>
      </c>
      <c r="J13" s="28">
        <v>30</v>
      </c>
      <c r="K13" s="25"/>
      <c r="L13" s="25"/>
      <c r="M13" s="34"/>
      <c r="N13" s="39"/>
      <c r="O13" s="40"/>
      <c r="P13" s="39"/>
      <c r="Q13" s="40"/>
      <c r="R13" s="40"/>
      <c r="S13" s="44"/>
      <c r="T13" s="45"/>
      <c r="U13" s="45"/>
      <c r="V13" s="45"/>
      <c r="W13" s="45"/>
      <c r="X13" s="45"/>
      <c r="Y13" s="45"/>
      <c r="Z13" s="46"/>
      <c r="AA13" s="39"/>
      <c r="AB13" s="58" t="s">
        <v>1132</v>
      </c>
      <c r="AC13" s="30"/>
      <c r="AD13" s="40"/>
      <c r="AE13" s="30"/>
      <c r="AF13" s="38"/>
      <c r="AG13" s="25"/>
      <c r="AH13" s="25"/>
      <c r="AI13" s="25"/>
    </row>
    <row r="14" spans="1:35" ht="25.05" customHeight="1" x14ac:dyDescent="0.3">
      <c r="I14" t="s">
        <v>1136</v>
      </c>
      <c r="J14" s="28">
        <v>30</v>
      </c>
      <c r="K14" s="25"/>
      <c r="L14" s="25"/>
      <c r="M14" s="34"/>
      <c r="N14" s="39"/>
      <c r="O14" s="40"/>
      <c r="P14" s="39"/>
      <c r="Q14" s="40"/>
      <c r="R14" s="40"/>
      <c r="S14" s="44"/>
      <c r="T14" s="45"/>
      <c r="U14" s="45"/>
      <c r="V14" s="45"/>
      <c r="W14" s="45"/>
      <c r="X14" s="45"/>
      <c r="Y14" s="45"/>
      <c r="Z14" s="46"/>
      <c r="AA14" s="40"/>
      <c r="AB14" s="40"/>
      <c r="AC14" s="30"/>
      <c r="AD14" s="40"/>
      <c r="AE14" s="30"/>
      <c r="AF14" s="38"/>
      <c r="AG14" s="25"/>
      <c r="AH14" s="25"/>
      <c r="AI14" s="25"/>
    </row>
    <row r="15" spans="1:35" ht="25.05" customHeight="1" x14ac:dyDescent="0.3">
      <c r="I15" t="s">
        <v>1130</v>
      </c>
      <c r="J15">
        <v>10</v>
      </c>
      <c r="K15" s="25"/>
      <c r="L15" s="25"/>
      <c r="M15" s="34"/>
      <c r="N15" s="39"/>
      <c r="O15" s="40"/>
      <c r="P15" s="39"/>
      <c r="Q15" s="40"/>
      <c r="R15" s="40"/>
      <c r="S15" s="44"/>
      <c r="T15" s="45"/>
      <c r="U15" s="45"/>
      <c r="V15" s="45"/>
      <c r="W15" s="45"/>
      <c r="X15" s="45"/>
      <c r="Y15" s="45"/>
      <c r="Z15" s="46"/>
      <c r="AA15" s="40"/>
      <c r="AB15" s="40"/>
      <c r="AC15" s="30"/>
      <c r="AD15" s="40"/>
      <c r="AE15" s="30"/>
      <c r="AF15" s="38"/>
      <c r="AG15" s="25"/>
      <c r="AH15" s="25"/>
      <c r="AI15" s="25"/>
    </row>
    <row r="16" spans="1:35" ht="25.05" customHeight="1" thickBot="1" x14ac:dyDescent="0.35">
      <c r="I16" t="s">
        <v>1137</v>
      </c>
      <c r="J16">
        <v>25</v>
      </c>
      <c r="K16" s="25"/>
      <c r="L16" s="25"/>
      <c r="M16" s="34"/>
      <c r="N16" s="39"/>
      <c r="O16" s="40"/>
      <c r="P16" s="39"/>
      <c r="Q16" s="40"/>
      <c r="R16" s="40"/>
      <c r="S16" s="47"/>
      <c r="T16" s="48"/>
      <c r="U16" s="48"/>
      <c r="V16" s="48" t="s">
        <v>1124</v>
      </c>
      <c r="W16" s="48"/>
      <c r="X16" s="48"/>
      <c r="Y16" s="48"/>
      <c r="Z16" s="49"/>
      <c r="AA16" s="40"/>
      <c r="AB16" s="40"/>
      <c r="AC16" s="30"/>
      <c r="AD16" s="40"/>
      <c r="AE16" s="30"/>
      <c r="AF16" s="38"/>
      <c r="AG16" s="25"/>
      <c r="AH16" s="25"/>
      <c r="AI16" s="25"/>
    </row>
    <row r="17" spans="1:50" ht="25.05" customHeight="1" x14ac:dyDescent="0.3">
      <c r="K17" s="25"/>
      <c r="L17" s="25"/>
      <c r="M17" s="34"/>
      <c r="N17" s="39"/>
      <c r="O17" s="40"/>
      <c r="P17" s="39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30"/>
      <c r="AD17" s="40"/>
      <c r="AE17" s="30"/>
      <c r="AF17" s="38"/>
      <c r="AG17" s="25"/>
      <c r="AH17" s="25"/>
      <c r="AI17" s="25"/>
    </row>
    <row r="18" spans="1:50" ht="25.05" customHeight="1" x14ac:dyDescent="0.3">
      <c r="A18" t="s">
        <v>1163</v>
      </c>
      <c r="B18" t="s">
        <v>1164</v>
      </c>
      <c r="C18" t="s">
        <v>1167</v>
      </c>
      <c r="K18" s="25"/>
      <c r="L18" s="25"/>
      <c r="M18" s="34"/>
      <c r="N18" s="39"/>
      <c r="O18" s="40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30"/>
      <c r="AD18" s="40"/>
      <c r="AE18" s="30"/>
      <c r="AF18" s="38"/>
      <c r="AG18" s="25"/>
      <c r="AH18" s="25"/>
      <c r="AI18" s="25"/>
    </row>
    <row r="19" spans="1:50" ht="25.05" customHeight="1" thickBot="1" x14ac:dyDescent="0.35">
      <c r="A19">
        <v>7289724330</v>
      </c>
      <c r="B19" t="s">
        <v>1154</v>
      </c>
      <c r="C19" t="s">
        <v>1173</v>
      </c>
      <c r="K19" s="25"/>
      <c r="L19" s="25"/>
      <c r="M19" s="34"/>
      <c r="N19" s="50"/>
      <c r="O19" s="51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2"/>
      <c r="AD19" s="51"/>
      <c r="AE19" s="52"/>
      <c r="AF19" s="38"/>
      <c r="AG19" s="25"/>
      <c r="AH19" s="25"/>
      <c r="AI19" s="25"/>
    </row>
    <row r="20" spans="1:50" ht="25.05" customHeight="1" thickBot="1" x14ac:dyDescent="0.35">
      <c r="A20">
        <v>7298186930</v>
      </c>
      <c r="B20" t="s">
        <v>1154</v>
      </c>
      <c r="C20" t="s">
        <v>1172</v>
      </c>
      <c r="H20" s="29"/>
      <c r="K20" s="25"/>
      <c r="L20" s="25"/>
      <c r="M20" s="53"/>
      <c r="N20" s="54"/>
      <c r="O20" s="54"/>
      <c r="P20" s="54"/>
      <c r="Q20" s="54"/>
      <c r="R20" s="54"/>
      <c r="S20" s="54"/>
      <c r="T20" s="54" t="s">
        <v>1123</v>
      </c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5"/>
      <c r="AG20" s="25"/>
      <c r="AH20" s="25"/>
      <c r="AI20" s="25"/>
    </row>
    <row r="21" spans="1:50" ht="25.05" customHeight="1" x14ac:dyDescent="0.3">
      <c r="A21">
        <v>72888941</v>
      </c>
      <c r="B21" t="s">
        <v>1154</v>
      </c>
      <c r="C21" t="s">
        <v>1126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</row>
    <row r="22" spans="1:50" ht="25.05" customHeight="1" x14ac:dyDescent="0.3">
      <c r="A22">
        <v>7278442030</v>
      </c>
      <c r="B22" t="s">
        <v>1154</v>
      </c>
      <c r="C22" t="s">
        <v>1172</v>
      </c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 spans="1:50" ht="25.05" customHeight="1" x14ac:dyDescent="0.3">
      <c r="A23">
        <v>72985208</v>
      </c>
      <c r="B23" t="s">
        <v>1154</v>
      </c>
      <c r="C23" t="s">
        <v>1173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t="s">
        <v>1139</v>
      </c>
      <c r="AJ23" t="s">
        <v>1140</v>
      </c>
      <c r="AK23" t="s">
        <v>1141</v>
      </c>
      <c r="AL23" t="s">
        <v>1142</v>
      </c>
      <c r="AM23" t="s">
        <v>1143</v>
      </c>
      <c r="AO23" t="s">
        <v>1144</v>
      </c>
      <c r="AP23" t="s">
        <v>1145</v>
      </c>
      <c r="AQ23" t="s">
        <v>1146</v>
      </c>
      <c r="AR23" t="s">
        <v>1147</v>
      </c>
      <c r="AS23" t="s">
        <v>1148</v>
      </c>
      <c r="AT23" t="s">
        <v>1149</v>
      </c>
      <c r="AU23" t="s">
        <v>1150</v>
      </c>
      <c r="AV23" t="s">
        <v>1151</v>
      </c>
      <c r="AW23" t="s">
        <v>1152</v>
      </c>
      <c r="AX23" t="s">
        <v>1153</v>
      </c>
    </row>
    <row r="24" spans="1:50" ht="25.05" customHeight="1" x14ac:dyDescent="0.3">
      <c r="A24">
        <v>7298150830</v>
      </c>
      <c r="B24" t="s">
        <v>1154</v>
      </c>
      <c r="C24" t="s">
        <v>1173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spans="1:50" ht="25.05" customHeight="1" x14ac:dyDescent="0.3">
      <c r="A25">
        <v>7198460730</v>
      </c>
      <c r="B25" t="s">
        <v>1154</v>
      </c>
      <c r="C25" t="s">
        <v>1172</v>
      </c>
    </row>
    <row r="26" spans="1:50" ht="25.05" customHeight="1" x14ac:dyDescent="0.3">
      <c r="A26">
        <v>7298108030</v>
      </c>
      <c r="B26" t="s">
        <v>1154</v>
      </c>
      <c r="C26" t="s">
        <v>1173</v>
      </c>
    </row>
    <row r="27" spans="1:50" ht="25.05" customHeight="1" x14ac:dyDescent="0.3">
      <c r="A27">
        <v>7298154930</v>
      </c>
      <c r="B27" t="s">
        <v>1154</v>
      </c>
      <c r="C27" t="s">
        <v>1126</v>
      </c>
    </row>
    <row r="28" spans="1:50" ht="25.05" customHeight="1" x14ac:dyDescent="0.3">
      <c r="B28" t="s">
        <v>1154</v>
      </c>
    </row>
    <row r="29" spans="1:50" ht="25.05" customHeight="1" x14ac:dyDescent="0.3">
      <c r="A29">
        <v>7289724330</v>
      </c>
      <c r="B29" t="s">
        <v>1154</v>
      </c>
      <c r="C29" t="s">
        <v>1173</v>
      </c>
    </row>
    <row r="30" spans="1:50" ht="25.05" customHeight="1" x14ac:dyDescent="0.3">
      <c r="A30">
        <v>7278271940</v>
      </c>
      <c r="B30" t="s">
        <v>1154</v>
      </c>
      <c r="C30" t="s">
        <v>1173</v>
      </c>
    </row>
    <row r="31" spans="1:50" ht="25.05" customHeight="1" x14ac:dyDescent="0.3">
      <c r="A31">
        <v>7298186930</v>
      </c>
      <c r="B31" t="s">
        <v>1154</v>
      </c>
      <c r="C31" t="s">
        <v>1172</v>
      </c>
    </row>
    <row r="32" spans="1:50" x14ac:dyDescent="0.3">
      <c r="A32">
        <v>72888941</v>
      </c>
      <c r="B32" t="s">
        <v>1154</v>
      </c>
      <c r="C32" t="s">
        <v>1126</v>
      </c>
    </row>
    <row r="33" spans="1:3" x14ac:dyDescent="0.3">
      <c r="A33">
        <v>7278442030</v>
      </c>
      <c r="B33" t="s">
        <v>1154</v>
      </c>
      <c r="C33" t="s">
        <v>1172</v>
      </c>
    </row>
    <row r="34" spans="1:3" x14ac:dyDescent="0.3">
      <c r="A34">
        <v>72985208</v>
      </c>
      <c r="B34" t="s">
        <v>1154</v>
      </c>
      <c r="C34" t="s">
        <v>1173</v>
      </c>
    </row>
    <row r="35" spans="1:3" x14ac:dyDescent="0.3">
      <c r="A35">
        <v>7298108030</v>
      </c>
      <c r="B35" t="s">
        <v>1154</v>
      </c>
      <c r="C35" t="s">
        <v>1173</v>
      </c>
    </row>
    <row r="36" spans="1:3" x14ac:dyDescent="0.3">
      <c r="A36">
        <v>7198460730</v>
      </c>
      <c r="B36" t="s">
        <v>1154</v>
      </c>
      <c r="C36" t="s">
        <v>1172</v>
      </c>
    </row>
    <row r="37" spans="1:3" x14ac:dyDescent="0.3">
      <c r="A37">
        <v>7298154930</v>
      </c>
      <c r="B37" t="s">
        <v>1154</v>
      </c>
      <c r="C37" t="s">
        <v>1126</v>
      </c>
    </row>
    <row r="38" spans="1:3" x14ac:dyDescent="0.3">
      <c r="A38">
        <v>7298150830</v>
      </c>
      <c r="B38" t="s">
        <v>1154</v>
      </c>
      <c r="C38" t="s">
        <v>1173</v>
      </c>
    </row>
    <row r="39" spans="1:3" x14ac:dyDescent="0.3">
      <c r="A39">
        <v>71191147</v>
      </c>
      <c r="B39" t="s">
        <v>1154</v>
      </c>
      <c r="C39" t="s">
        <v>1173</v>
      </c>
    </row>
    <row r="40" spans="1:3" x14ac:dyDescent="0.3">
      <c r="B40" t="s">
        <v>1154</v>
      </c>
    </row>
    <row r="41" spans="1:3" x14ac:dyDescent="0.3">
      <c r="A41">
        <v>7187090590</v>
      </c>
      <c r="B41" t="s">
        <v>1154</v>
      </c>
      <c r="C41" t="s">
        <v>1173</v>
      </c>
    </row>
    <row r="42" spans="1:3" x14ac:dyDescent="0.3">
      <c r="A42">
        <v>7277015590</v>
      </c>
      <c r="B42" t="s">
        <v>1154</v>
      </c>
      <c r="C42" t="s">
        <v>1171</v>
      </c>
    </row>
    <row r="43" spans="1:3" x14ac:dyDescent="0.3">
      <c r="A43">
        <v>7187090560</v>
      </c>
      <c r="B43" t="s">
        <v>1154</v>
      </c>
      <c r="C43" t="s">
        <v>1173</v>
      </c>
    </row>
    <row r="44" spans="1:3" x14ac:dyDescent="0.3">
      <c r="A44">
        <v>71870905</v>
      </c>
      <c r="B44" t="s">
        <v>1154</v>
      </c>
      <c r="C44" t="s">
        <v>1173</v>
      </c>
    </row>
    <row r="45" spans="1:3" x14ac:dyDescent="0.3">
      <c r="A45">
        <v>71983904</v>
      </c>
      <c r="B45" t="s">
        <v>1154</v>
      </c>
      <c r="C45" t="s">
        <v>1172</v>
      </c>
    </row>
    <row r="46" spans="1:3" x14ac:dyDescent="0.3">
      <c r="A46">
        <v>7287741830</v>
      </c>
      <c r="B46" t="s">
        <v>1154</v>
      </c>
      <c r="C46" t="s">
        <v>1171</v>
      </c>
    </row>
    <row r="47" spans="1:3" x14ac:dyDescent="0.3">
      <c r="A47">
        <v>7288907230</v>
      </c>
      <c r="B47" t="s">
        <v>1154</v>
      </c>
      <c r="C47" t="s">
        <v>1170</v>
      </c>
    </row>
    <row r="48" spans="1:3" x14ac:dyDescent="0.3">
      <c r="A48">
        <v>7298227830</v>
      </c>
      <c r="B48" t="s">
        <v>1154</v>
      </c>
      <c r="C48" t="s">
        <v>1173</v>
      </c>
    </row>
    <row r="49" spans="1:3" x14ac:dyDescent="0.3">
      <c r="A49">
        <v>7298227830</v>
      </c>
      <c r="B49" t="s">
        <v>1154</v>
      </c>
      <c r="C49" t="s">
        <v>1173</v>
      </c>
    </row>
    <row r="50" spans="1:3" x14ac:dyDescent="0.3">
      <c r="A50">
        <v>7298593130</v>
      </c>
      <c r="B50" t="s">
        <v>1154</v>
      </c>
      <c r="C50" t="s">
        <v>1171</v>
      </c>
    </row>
    <row r="51" spans="1:3" x14ac:dyDescent="0.3">
      <c r="A51">
        <v>7298593130</v>
      </c>
      <c r="B51" t="s">
        <v>1154</v>
      </c>
      <c r="C51" t="s">
        <v>1171</v>
      </c>
    </row>
    <row r="52" spans="1:3" x14ac:dyDescent="0.3">
      <c r="A52">
        <v>7285207290</v>
      </c>
      <c r="B52" t="s">
        <v>1154</v>
      </c>
      <c r="C52" t="s">
        <v>1171</v>
      </c>
    </row>
    <row r="53" spans="1:3" x14ac:dyDescent="0.3">
      <c r="A53">
        <v>7287720230</v>
      </c>
      <c r="B53" t="s">
        <v>1154</v>
      </c>
      <c r="C53" t="s">
        <v>1171</v>
      </c>
    </row>
    <row r="54" spans="1:3" x14ac:dyDescent="0.3">
      <c r="A54">
        <v>71870905</v>
      </c>
      <c r="B54" t="s">
        <v>1154</v>
      </c>
      <c r="C54" t="s">
        <v>1173</v>
      </c>
    </row>
    <row r="55" spans="1:3" x14ac:dyDescent="0.3">
      <c r="B55" t="s">
        <v>1154</v>
      </c>
    </row>
    <row r="56" spans="1:3" x14ac:dyDescent="0.3">
      <c r="A56">
        <v>7298228030</v>
      </c>
      <c r="B56" t="s">
        <v>1154</v>
      </c>
      <c r="C56" t="s">
        <v>1173</v>
      </c>
    </row>
    <row r="57" spans="1:3" x14ac:dyDescent="0.3">
      <c r="A57">
        <v>7288907230</v>
      </c>
      <c r="B57" t="s">
        <v>1154</v>
      </c>
      <c r="C57" t="s">
        <v>1170</v>
      </c>
    </row>
    <row r="58" spans="1:3" x14ac:dyDescent="0.3">
      <c r="A58">
        <v>7298228030</v>
      </c>
      <c r="B58" t="s">
        <v>1154</v>
      </c>
      <c r="C58" t="s">
        <v>1173</v>
      </c>
    </row>
    <row r="59" spans="1:3" x14ac:dyDescent="0.3">
      <c r="A59">
        <v>7298593130</v>
      </c>
      <c r="B59" t="s">
        <v>1154</v>
      </c>
      <c r="C59" t="s">
        <v>1171</v>
      </c>
    </row>
    <row r="60" spans="1:3" x14ac:dyDescent="0.3">
      <c r="A60">
        <v>7298250730</v>
      </c>
      <c r="B60" t="s">
        <v>1154</v>
      </c>
      <c r="C60" t="s">
        <v>1173</v>
      </c>
    </row>
    <row r="61" spans="1:3" x14ac:dyDescent="0.3">
      <c r="A61">
        <v>7283368530</v>
      </c>
      <c r="B61" t="s">
        <v>1154</v>
      </c>
      <c r="C61" t="s">
        <v>1173</v>
      </c>
    </row>
    <row r="62" spans="1:3" x14ac:dyDescent="0.3">
      <c r="A62">
        <v>7287720230</v>
      </c>
      <c r="B62" t="s">
        <v>1154</v>
      </c>
      <c r="C62" t="s">
        <v>1171</v>
      </c>
    </row>
    <row r="63" spans="1:3" x14ac:dyDescent="0.3">
      <c r="A63">
        <v>7278121430</v>
      </c>
      <c r="B63" t="s">
        <v>1154</v>
      </c>
      <c r="C63" t="s">
        <v>1173</v>
      </c>
    </row>
    <row r="64" spans="1:3" x14ac:dyDescent="0.3">
      <c r="A64">
        <v>7298186530</v>
      </c>
      <c r="B64" t="s">
        <v>1154</v>
      </c>
      <c r="C64" t="s">
        <v>1173</v>
      </c>
    </row>
    <row r="65" spans="1:3" x14ac:dyDescent="0.3">
      <c r="A65">
        <v>7298186930</v>
      </c>
      <c r="B65" t="s">
        <v>1154</v>
      </c>
      <c r="C65" t="s">
        <v>1172</v>
      </c>
    </row>
    <row r="66" spans="1:3" x14ac:dyDescent="0.3">
      <c r="A66">
        <v>7222740630</v>
      </c>
      <c r="B66" t="s">
        <v>1154</v>
      </c>
      <c r="C66" t="s">
        <v>1171</v>
      </c>
    </row>
    <row r="67" spans="1:3" x14ac:dyDescent="0.3">
      <c r="A67">
        <v>7187090560</v>
      </c>
      <c r="B67" t="s">
        <v>1154</v>
      </c>
      <c r="C67" t="s">
        <v>1173</v>
      </c>
    </row>
    <row r="68" spans="1:3" x14ac:dyDescent="0.3">
      <c r="A68">
        <v>7298593130</v>
      </c>
      <c r="B68" t="s">
        <v>1154</v>
      </c>
      <c r="C68" t="s">
        <v>1171</v>
      </c>
    </row>
    <row r="69" spans="1:3" x14ac:dyDescent="0.3">
      <c r="A69">
        <v>7219176430</v>
      </c>
      <c r="B69" t="s">
        <v>1155</v>
      </c>
      <c r="C69" t="s">
        <v>1173</v>
      </c>
    </row>
    <row r="70" spans="1:3" x14ac:dyDescent="0.3">
      <c r="A70">
        <v>7286738630</v>
      </c>
      <c r="B70" t="s">
        <v>1155</v>
      </c>
      <c r="C70" t="s">
        <v>1171</v>
      </c>
    </row>
    <row r="71" spans="1:3" x14ac:dyDescent="0.3">
      <c r="A71">
        <v>7298173030</v>
      </c>
      <c r="B71" t="s">
        <v>1155</v>
      </c>
      <c r="C71" t="s">
        <v>1173</v>
      </c>
    </row>
    <row r="72" spans="1:3" x14ac:dyDescent="0.3">
      <c r="A72">
        <v>7278239430</v>
      </c>
      <c r="B72" t="s">
        <v>1155</v>
      </c>
      <c r="C72" t="s">
        <v>1173</v>
      </c>
    </row>
    <row r="73" spans="1:3" x14ac:dyDescent="0.3">
      <c r="A73">
        <v>7278197840</v>
      </c>
      <c r="B73" t="s">
        <v>1155</v>
      </c>
      <c r="C73" t="s">
        <v>1173</v>
      </c>
    </row>
    <row r="74" spans="1:3" x14ac:dyDescent="0.3">
      <c r="A74">
        <v>7298171330</v>
      </c>
      <c r="B74" t="s">
        <v>1155</v>
      </c>
      <c r="C74" t="s">
        <v>1173</v>
      </c>
    </row>
    <row r="75" spans="1:3" x14ac:dyDescent="0.3">
      <c r="B75" t="s">
        <v>1155</v>
      </c>
    </row>
    <row r="76" spans="1:3" x14ac:dyDescent="0.3">
      <c r="A76">
        <v>7298790330</v>
      </c>
      <c r="B76" t="s">
        <v>1155</v>
      </c>
      <c r="C76" t="s">
        <v>1173</v>
      </c>
    </row>
    <row r="77" spans="1:3" x14ac:dyDescent="0.3">
      <c r="A77">
        <v>7298790330</v>
      </c>
      <c r="B77" t="s">
        <v>1155</v>
      </c>
      <c r="C77" t="s">
        <v>1173</v>
      </c>
    </row>
    <row r="78" spans="1:3" x14ac:dyDescent="0.3">
      <c r="A78">
        <v>7298186930</v>
      </c>
      <c r="B78" t="s">
        <v>1155</v>
      </c>
      <c r="C78" t="s">
        <v>1172</v>
      </c>
    </row>
    <row r="79" spans="1:3" x14ac:dyDescent="0.3">
      <c r="A79">
        <v>7288907230</v>
      </c>
      <c r="B79" t="s">
        <v>1155</v>
      </c>
      <c r="C79" t="s">
        <v>1170</v>
      </c>
    </row>
    <row r="80" spans="1:3" x14ac:dyDescent="0.3">
      <c r="A80">
        <v>7298186530</v>
      </c>
      <c r="B80" t="s">
        <v>1155</v>
      </c>
      <c r="C80" t="s">
        <v>1173</v>
      </c>
    </row>
    <row r="81" spans="1:3" x14ac:dyDescent="0.3">
      <c r="A81">
        <v>7289508430</v>
      </c>
      <c r="B81" t="s">
        <v>1155</v>
      </c>
      <c r="C81" t="s">
        <v>1171</v>
      </c>
    </row>
    <row r="82" spans="1:3" x14ac:dyDescent="0.3">
      <c r="A82">
        <v>7298186930</v>
      </c>
      <c r="B82" t="s">
        <v>1155</v>
      </c>
      <c r="C82" t="s">
        <v>1172</v>
      </c>
    </row>
    <row r="83" spans="1:3" x14ac:dyDescent="0.3">
      <c r="A83">
        <v>7298790830</v>
      </c>
      <c r="B83" t="s">
        <v>1155</v>
      </c>
      <c r="C83" t="s">
        <v>1173</v>
      </c>
    </row>
    <row r="84" spans="1:3" x14ac:dyDescent="0.3">
      <c r="A84">
        <v>7289508430</v>
      </c>
      <c r="B84" t="s">
        <v>1155</v>
      </c>
      <c r="C84" t="s">
        <v>1171</v>
      </c>
    </row>
    <row r="85" spans="1:3" x14ac:dyDescent="0.3">
      <c r="A85">
        <v>7286139730</v>
      </c>
      <c r="B85" t="s">
        <v>1155</v>
      </c>
      <c r="C85" t="s">
        <v>1171</v>
      </c>
    </row>
    <row r="86" spans="1:3" x14ac:dyDescent="0.3">
      <c r="A86">
        <v>7287821130</v>
      </c>
      <c r="B86" t="s">
        <v>1155</v>
      </c>
      <c r="C86" t="s">
        <v>1171</v>
      </c>
    </row>
    <row r="87" spans="1:3" x14ac:dyDescent="0.3">
      <c r="A87">
        <v>7298186530</v>
      </c>
      <c r="B87" t="s">
        <v>1155</v>
      </c>
      <c r="C87" t="s">
        <v>1173</v>
      </c>
    </row>
    <row r="88" spans="1:3" x14ac:dyDescent="0.3">
      <c r="B88" t="s">
        <v>1155</v>
      </c>
    </row>
    <row r="89" spans="1:3" x14ac:dyDescent="0.3">
      <c r="A89">
        <v>7119153830</v>
      </c>
      <c r="B89" t="s">
        <v>1155</v>
      </c>
      <c r="C89" t="s">
        <v>1173</v>
      </c>
    </row>
    <row r="90" spans="1:3" x14ac:dyDescent="0.3">
      <c r="A90">
        <v>7119689030</v>
      </c>
      <c r="B90" t="s">
        <v>1155</v>
      </c>
      <c r="C90" t="s">
        <v>1173</v>
      </c>
    </row>
    <row r="91" spans="1:3" x14ac:dyDescent="0.3">
      <c r="A91">
        <v>7286145630</v>
      </c>
      <c r="B91" t="s">
        <v>1155</v>
      </c>
      <c r="C91" t="s">
        <v>1126</v>
      </c>
    </row>
    <row r="92" spans="1:3" x14ac:dyDescent="0.3">
      <c r="A92">
        <v>7287180440</v>
      </c>
      <c r="B92" t="s">
        <v>1155</v>
      </c>
      <c r="C92" t="s">
        <v>1173</v>
      </c>
    </row>
    <row r="93" spans="1:3" x14ac:dyDescent="0.3">
      <c r="A93">
        <v>72980788</v>
      </c>
      <c r="B93" t="s">
        <v>1155</v>
      </c>
      <c r="C93" t="s">
        <v>1173</v>
      </c>
    </row>
    <row r="94" spans="1:3" x14ac:dyDescent="0.3">
      <c r="A94" t="s">
        <v>1158</v>
      </c>
      <c r="B94" t="s">
        <v>1155</v>
      </c>
      <c r="C94" t="s">
        <v>1173</v>
      </c>
    </row>
    <row r="95" spans="1:3" x14ac:dyDescent="0.3">
      <c r="A95">
        <v>7298237430</v>
      </c>
      <c r="B95" t="s">
        <v>1155</v>
      </c>
      <c r="C95" t="s">
        <v>1173</v>
      </c>
    </row>
    <row r="96" spans="1:3" x14ac:dyDescent="0.3">
      <c r="A96">
        <v>7298237430</v>
      </c>
      <c r="B96" t="s">
        <v>1155</v>
      </c>
      <c r="C96" t="s">
        <v>1173</v>
      </c>
    </row>
    <row r="97" spans="1:3" x14ac:dyDescent="0.3">
      <c r="A97">
        <v>7298237430</v>
      </c>
      <c r="B97" t="s">
        <v>1155</v>
      </c>
      <c r="C97" t="s">
        <v>1173</v>
      </c>
    </row>
    <row r="98" spans="1:3" x14ac:dyDescent="0.3">
      <c r="A98">
        <v>7298237430</v>
      </c>
      <c r="B98" t="s">
        <v>1155</v>
      </c>
      <c r="C98" t="s">
        <v>1173</v>
      </c>
    </row>
    <row r="99" spans="1:3" x14ac:dyDescent="0.3">
      <c r="A99" t="s">
        <v>1159</v>
      </c>
      <c r="B99" t="s">
        <v>1155</v>
      </c>
    </row>
    <row r="100" spans="1:3" x14ac:dyDescent="0.3">
      <c r="A100" t="s">
        <v>1159</v>
      </c>
      <c r="B100" t="s">
        <v>1155</v>
      </c>
    </row>
    <row r="101" spans="1:3" x14ac:dyDescent="0.3">
      <c r="B101" t="s">
        <v>1155</v>
      </c>
    </row>
    <row r="102" spans="1:3" x14ac:dyDescent="0.3">
      <c r="A102">
        <v>7298790130</v>
      </c>
      <c r="B102" t="s">
        <v>1155</v>
      </c>
      <c r="C102" t="s">
        <v>1173</v>
      </c>
    </row>
    <row r="103" spans="1:3" x14ac:dyDescent="0.3">
      <c r="A103">
        <v>7288907230</v>
      </c>
      <c r="B103" t="s">
        <v>1155</v>
      </c>
      <c r="C103" t="s">
        <v>1170</v>
      </c>
    </row>
    <row r="104" spans="1:3" x14ac:dyDescent="0.3">
      <c r="A104">
        <v>7288907230</v>
      </c>
      <c r="B104" t="s">
        <v>1155</v>
      </c>
      <c r="C104" t="s">
        <v>1170</v>
      </c>
    </row>
    <row r="105" spans="1:3" x14ac:dyDescent="0.3">
      <c r="A105">
        <v>7282559510</v>
      </c>
      <c r="B105" t="s">
        <v>1155</v>
      </c>
      <c r="C105" t="s">
        <v>1171</v>
      </c>
    </row>
    <row r="106" spans="1:3" x14ac:dyDescent="0.3">
      <c r="A106">
        <v>7278451130</v>
      </c>
      <c r="B106" t="s">
        <v>1155</v>
      </c>
      <c r="C106" t="s">
        <v>1171</v>
      </c>
    </row>
    <row r="107" spans="1:3" x14ac:dyDescent="0.3">
      <c r="A107">
        <v>7298237430</v>
      </c>
      <c r="B107" t="s">
        <v>1155</v>
      </c>
      <c r="C107" t="s">
        <v>1173</v>
      </c>
    </row>
    <row r="108" spans="1:3" x14ac:dyDescent="0.3">
      <c r="A108">
        <v>7298237430</v>
      </c>
      <c r="B108" t="s">
        <v>1155</v>
      </c>
      <c r="C108" t="s">
        <v>1173</v>
      </c>
    </row>
    <row r="109" spans="1:3" x14ac:dyDescent="0.3">
      <c r="A109">
        <v>7298228210</v>
      </c>
      <c r="B109" t="s">
        <v>1155</v>
      </c>
      <c r="C109" t="s">
        <v>1173</v>
      </c>
    </row>
    <row r="110" spans="1:3" x14ac:dyDescent="0.3">
      <c r="A110">
        <v>7219631630</v>
      </c>
      <c r="B110" t="s">
        <v>1156</v>
      </c>
      <c r="C110" t="s">
        <v>1173</v>
      </c>
    </row>
    <row r="111" spans="1:3" x14ac:dyDescent="0.3">
      <c r="A111">
        <v>7219631630</v>
      </c>
      <c r="B111" t="s">
        <v>1156</v>
      </c>
      <c r="C111" t="s">
        <v>1173</v>
      </c>
    </row>
    <row r="112" spans="1:3" x14ac:dyDescent="0.3">
      <c r="A112">
        <v>7219631630</v>
      </c>
      <c r="B112" t="s">
        <v>1156</v>
      </c>
      <c r="C112" t="s">
        <v>1173</v>
      </c>
    </row>
    <row r="113" spans="1:3" x14ac:dyDescent="0.3">
      <c r="A113">
        <v>7219631630</v>
      </c>
      <c r="B113" t="s">
        <v>1156</v>
      </c>
      <c r="C113" t="s">
        <v>1173</v>
      </c>
    </row>
    <row r="114" spans="1:3" x14ac:dyDescent="0.3">
      <c r="A114">
        <v>7288907230</v>
      </c>
      <c r="B114" t="s">
        <v>1156</v>
      </c>
      <c r="C114" t="s">
        <v>1170</v>
      </c>
    </row>
    <row r="115" spans="1:3" x14ac:dyDescent="0.3">
      <c r="A115">
        <v>7298186530</v>
      </c>
      <c r="B115" t="s">
        <v>1156</v>
      </c>
      <c r="C115" t="s">
        <v>1173</v>
      </c>
    </row>
    <row r="116" spans="1:3" x14ac:dyDescent="0.3">
      <c r="A116">
        <v>7186066580</v>
      </c>
      <c r="B116" t="s">
        <v>1156</v>
      </c>
      <c r="C116" t="s">
        <v>1173</v>
      </c>
    </row>
    <row r="117" spans="1:3" x14ac:dyDescent="0.3">
      <c r="A117">
        <v>7283464030</v>
      </c>
      <c r="B117" t="s">
        <v>1156</v>
      </c>
      <c r="C117" t="s">
        <v>1171</v>
      </c>
    </row>
    <row r="118" spans="1:3" x14ac:dyDescent="0.3">
      <c r="A118">
        <v>71860665</v>
      </c>
      <c r="B118" t="s">
        <v>1156</v>
      </c>
      <c r="C118" t="s">
        <v>1173</v>
      </c>
    </row>
    <row r="119" spans="1:3" x14ac:dyDescent="0.3">
      <c r="A119">
        <v>7289567230</v>
      </c>
      <c r="B119" t="s">
        <v>1156</v>
      </c>
      <c r="C119" t="s">
        <v>1171</v>
      </c>
    </row>
    <row r="120" spans="1:3" x14ac:dyDescent="0.3">
      <c r="A120">
        <v>7186066560</v>
      </c>
      <c r="B120" t="s">
        <v>1156</v>
      </c>
      <c r="C120" t="s">
        <v>1173</v>
      </c>
    </row>
    <row r="121" spans="1:3" x14ac:dyDescent="0.3">
      <c r="A121">
        <v>7186066590</v>
      </c>
      <c r="B121" t="s">
        <v>1156</v>
      </c>
      <c r="C121" t="s">
        <v>1173</v>
      </c>
    </row>
    <row r="122" spans="1:3" x14ac:dyDescent="0.3">
      <c r="A122">
        <v>7298079230</v>
      </c>
      <c r="B122" t="s">
        <v>1156</v>
      </c>
      <c r="C122" t="s">
        <v>1171</v>
      </c>
    </row>
    <row r="123" spans="1:3" x14ac:dyDescent="0.3">
      <c r="A123">
        <v>72975392</v>
      </c>
      <c r="B123" t="s">
        <v>1156</v>
      </c>
      <c r="C123" t="s">
        <v>1168</v>
      </c>
    </row>
    <row r="124" spans="1:3" x14ac:dyDescent="0.3">
      <c r="A124">
        <v>7287149830</v>
      </c>
      <c r="B124" t="s">
        <v>1156</v>
      </c>
      <c r="C124" t="s">
        <v>1126</v>
      </c>
    </row>
    <row r="125" spans="1:3" x14ac:dyDescent="0.3">
      <c r="A125">
        <v>7171192330</v>
      </c>
      <c r="B125" t="s">
        <v>1156</v>
      </c>
      <c r="C125" t="s">
        <v>1173</v>
      </c>
    </row>
    <row r="126" spans="1:3" x14ac:dyDescent="0.3">
      <c r="A126">
        <v>7171297430</v>
      </c>
      <c r="B126" t="s">
        <v>1156</v>
      </c>
      <c r="C126" t="s">
        <v>1171</v>
      </c>
    </row>
    <row r="127" spans="1:3" x14ac:dyDescent="0.3">
      <c r="A127">
        <v>7171297430</v>
      </c>
      <c r="B127" t="s">
        <v>1156</v>
      </c>
      <c r="C127" t="s">
        <v>1171</v>
      </c>
    </row>
    <row r="128" spans="1:3" x14ac:dyDescent="0.3">
      <c r="A128">
        <v>7171297430</v>
      </c>
      <c r="B128" t="s">
        <v>1156</v>
      </c>
      <c r="C128" t="s">
        <v>1171</v>
      </c>
    </row>
    <row r="129" spans="1:3" x14ac:dyDescent="0.3">
      <c r="A129">
        <v>7298980540</v>
      </c>
      <c r="B129" t="s">
        <v>1156</v>
      </c>
      <c r="C129" t="s">
        <v>1172</v>
      </c>
    </row>
    <row r="130" spans="1:3" x14ac:dyDescent="0.3">
      <c r="A130">
        <v>7154058630</v>
      </c>
      <c r="B130" t="s">
        <v>1156</v>
      </c>
      <c r="C130" t="s">
        <v>1171</v>
      </c>
    </row>
    <row r="131" spans="1:3" x14ac:dyDescent="0.3">
      <c r="A131">
        <v>7171192330</v>
      </c>
      <c r="B131" t="s">
        <v>1156</v>
      </c>
      <c r="C131" t="s">
        <v>1173</v>
      </c>
    </row>
    <row r="132" spans="1:3" x14ac:dyDescent="0.3">
      <c r="A132">
        <v>7287150380</v>
      </c>
      <c r="B132" t="s">
        <v>1156</v>
      </c>
      <c r="C132" t="s">
        <v>1126</v>
      </c>
    </row>
    <row r="133" spans="1:3" x14ac:dyDescent="0.3">
      <c r="A133">
        <v>7171297430</v>
      </c>
      <c r="B133" t="s">
        <v>1156</v>
      </c>
      <c r="C133" t="s">
        <v>1171</v>
      </c>
    </row>
    <row r="134" spans="1:3" x14ac:dyDescent="0.3">
      <c r="A134">
        <v>7171297430</v>
      </c>
      <c r="B134" t="s">
        <v>1156</v>
      </c>
      <c r="C134" t="s">
        <v>1171</v>
      </c>
    </row>
    <row r="135" spans="1:3" x14ac:dyDescent="0.3">
      <c r="A135">
        <v>7298170230</v>
      </c>
      <c r="B135" t="s">
        <v>1156</v>
      </c>
      <c r="C135" t="s">
        <v>1171</v>
      </c>
    </row>
    <row r="136" spans="1:3" x14ac:dyDescent="0.3">
      <c r="A136">
        <v>7298186530</v>
      </c>
      <c r="B136" t="s">
        <v>1156</v>
      </c>
      <c r="C136" t="s">
        <v>1173</v>
      </c>
    </row>
    <row r="137" spans="1:3" x14ac:dyDescent="0.3">
      <c r="A137">
        <v>7287018730</v>
      </c>
      <c r="B137" t="s">
        <v>1156</v>
      </c>
      <c r="C137" t="s">
        <v>1173</v>
      </c>
    </row>
    <row r="138" spans="1:3" x14ac:dyDescent="0.3">
      <c r="A138">
        <v>7219631630</v>
      </c>
      <c r="B138" t="s">
        <v>1156</v>
      </c>
      <c r="C138" t="s">
        <v>1173</v>
      </c>
    </row>
    <row r="139" spans="1:3" x14ac:dyDescent="0.3">
      <c r="A139">
        <v>7298227830</v>
      </c>
      <c r="B139" t="s">
        <v>1156</v>
      </c>
      <c r="C139" t="s">
        <v>1173</v>
      </c>
    </row>
    <row r="140" spans="1:3" x14ac:dyDescent="0.3">
      <c r="A140">
        <v>7278451130</v>
      </c>
      <c r="B140" t="s">
        <v>1156</v>
      </c>
      <c r="C140" t="s">
        <v>1171</v>
      </c>
    </row>
    <row r="141" spans="1:3" x14ac:dyDescent="0.3">
      <c r="A141">
        <v>7288907230</v>
      </c>
      <c r="B141" t="s">
        <v>1156</v>
      </c>
      <c r="C141" t="s">
        <v>1170</v>
      </c>
    </row>
    <row r="142" spans="1:3" x14ac:dyDescent="0.3">
      <c r="A142">
        <v>7298186530</v>
      </c>
      <c r="B142" t="s">
        <v>1156</v>
      </c>
      <c r="C142" t="s">
        <v>1173</v>
      </c>
    </row>
    <row r="143" spans="1:3" x14ac:dyDescent="0.3">
      <c r="A143">
        <v>72987902</v>
      </c>
      <c r="B143" t="s">
        <v>1156</v>
      </c>
      <c r="C143" t="s">
        <v>1173</v>
      </c>
    </row>
    <row r="144" spans="1:3" x14ac:dyDescent="0.3">
      <c r="A144">
        <v>7289909030</v>
      </c>
      <c r="B144" t="s">
        <v>1156</v>
      </c>
      <c r="C144" t="s">
        <v>1171</v>
      </c>
    </row>
    <row r="145" spans="1:3" x14ac:dyDescent="0.3">
      <c r="A145">
        <v>7298593130</v>
      </c>
      <c r="B145" t="s">
        <v>1156</v>
      </c>
      <c r="C145" t="s">
        <v>1171</v>
      </c>
    </row>
    <row r="146" spans="1:3" x14ac:dyDescent="0.3">
      <c r="A146">
        <v>7298079230</v>
      </c>
      <c r="B146" t="s">
        <v>1156</v>
      </c>
      <c r="C146" t="s">
        <v>1171</v>
      </c>
    </row>
    <row r="147" spans="1:3" x14ac:dyDescent="0.3">
      <c r="A147">
        <v>7271295130</v>
      </c>
      <c r="B147" t="s">
        <v>1156</v>
      </c>
      <c r="C147" t="s">
        <v>1174</v>
      </c>
    </row>
    <row r="148" spans="1:3" x14ac:dyDescent="0.3">
      <c r="A148">
        <v>7287801830</v>
      </c>
      <c r="B148" t="s">
        <v>1156</v>
      </c>
      <c r="C148" t="s">
        <v>1168</v>
      </c>
    </row>
    <row r="149" spans="1:3" x14ac:dyDescent="0.3">
      <c r="A149">
        <v>7223160530</v>
      </c>
      <c r="B149" t="s">
        <v>1156</v>
      </c>
      <c r="C149" t="s">
        <v>1171</v>
      </c>
    </row>
    <row r="150" spans="1:3" x14ac:dyDescent="0.3">
      <c r="A150">
        <v>7283464030</v>
      </c>
      <c r="B150" t="s">
        <v>1156</v>
      </c>
      <c r="C150" t="s">
        <v>1171</v>
      </c>
    </row>
    <row r="151" spans="1:3" x14ac:dyDescent="0.3">
      <c r="A151">
        <v>7219113440</v>
      </c>
      <c r="B151" t="s">
        <v>1156</v>
      </c>
      <c r="C151" t="s">
        <v>1173</v>
      </c>
    </row>
    <row r="152" spans="1:3" x14ac:dyDescent="0.3">
      <c r="A152">
        <v>7298593130</v>
      </c>
      <c r="B152" t="s">
        <v>1156</v>
      </c>
      <c r="C152" t="s">
        <v>1171</v>
      </c>
    </row>
    <row r="153" spans="1:3" x14ac:dyDescent="0.3">
      <c r="A153">
        <v>72781797</v>
      </c>
      <c r="B153" t="s">
        <v>1156</v>
      </c>
      <c r="C153" t="s">
        <v>1172</v>
      </c>
    </row>
    <row r="154" spans="1:3" x14ac:dyDescent="0.3">
      <c r="A154">
        <v>7298237430</v>
      </c>
      <c r="B154" t="s">
        <v>1156</v>
      </c>
      <c r="C154" t="s">
        <v>1173</v>
      </c>
    </row>
    <row r="155" spans="1:3" x14ac:dyDescent="0.3">
      <c r="A155">
        <v>7298790830</v>
      </c>
      <c r="B155" t="s">
        <v>1156</v>
      </c>
      <c r="C155" t="s">
        <v>1173</v>
      </c>
    </row>
    <row r="156" spans="1:3" x14ac:dyDescent="0.3">
      <c r="A156">
        <v>7298790830</v>
      </c>
      <c r="B156" t="s">
        <v>1156</v>
      </c>
      <c r="C156" t="s">
        <v>1173</v>
      </c>
    </row>
    <row r="157" spans="1:3" x14ac:dyDescent="0.3">
      <c r="A157">
        <v>7298186930</v>
      </c>
      <c r="B157" t="s">
        <v>1156</v>
      </c>
      <c r="C157" t="s">
        <v>1172</v>
      </c>
    </row>
    <row r="158" spans="1:3" x14ac:dyDescent="0.3">
      <c r="A158">
        <v>7298790130</v>
      </c>
      <c r="B158" t="s">
        <v>1156</v>
      </c>
      <c r="C158" t="s">
        <v>1173</v>
      </c>
    </row>
    <row r="159" spans="1:3" x14ac:dyDescent="0.3">
      <c r="A159">
        <v>7298186530</v>
      </c>
      <c r="B159" t="s">
        <v>1156</v>
      </c>
      <c r="C159" t="s">
        <v>1173</v>
      </c>
    </row>
    <row r="160" spans="1:3" x14ac:dyDescent="0.3">
      <c r="A160">
        <v>7298186530</v>
      </c>
      <c r="B160" t="s">
        <v>1156</v>
      </c>
      <c r="C160" t="s">
        <v>1173</v>
      </c>
    </row>
    <row r="161" spans="1:3" x14ac:dyDescent="0.3">
      <c r="A161">
        <v>7298237430</v>
      </c>
      <c r="B161" t="s">
        <v>1156</v>
      </c>
      <c r="C161" t="s">
        <v>1173</v>
      </c>
    </row>
    <row r="162" spans="1:3" x14ac:dyDescent="0.3">
      <c r="A162">
        <v>7287150380</v>
      </c>
      <c r="B162" t="s">
        <v>1156</v>
      </c>
      <c r="C162" t="s">
        <v>1126</v>
      </c>
    </row>
    <row r="163" spans="1:3" x14ac:dyDescent="0.3">
      <c r="A163">
        <v>7278121240</v>
      </c>
      <c r="B163" t="s">
        <v>1156</v>
      </c>
      <c r="C163" t="s">
        <v>1173</v>
      </c>
    </row>
    <row r="164" spans="1:3" x14ac:dyDescent="0.3">
      <c r="A164">
        <v>72897496</v>
      </c>
      <c r="B164" t="s">
        <v>1156</v>
      </c>
      <c r="C164" t="s">
        <v>1126</v>
      </c>
    </row>
    <row r="165" spans="1:3" x14ac:dyDescent="0.3">
      <c r="A165">
        <v>7298108030</v>
      </c>
      <c r="B165" t="s">
        <v>1156</v>
      </c>
      <c r="C165" t="s">
        <v>1173</v>
      </c>
    </row>
    <row r="166" spans="1:3" x14ac:dyDescent="0.3">
      <c r="A166">
        <v>7298108030</v>
      </c>
      <c r="B166" t="s">
        <v>1156</v>
      </c>
      <c r="C166" t="s">
        <v>1173</v>
      </c>
    </row>
    <row r="167" spans="1:3" x14ac:dyDescent="0.3">
      <c r="A167">
        <v>7154075530</v>
      </c>
      <c r="B167" t="s">
        <v>1156</v>
      </c>
      <c r="C167" t="s">
        <v>1165</v>
      </c>
    </row>
    <row r="168" spans="1:3" x14ac:dyDescent="0.3">
      <c r="A168">
        <v>7154058630</v>
      </c>
      <c r="B168" t="s">
        <v>1156</v>
      </c>
      <c r="C168" t="s">
        <v>1171</v>
      </c>
    </row>
    <row r="169" spans="1:3" x14ac:dyDescent="0.3">
      <c r="A169">
        <v>7171297430</v>
      </c>
      <c r="B169" t="s">
        <v>1156</v>
      </c>
      <c r="C169" t="s">
        <v>1171</v>
      </c>
    </row>
    <row r="170" spans="1:3" x14ac:dyDescent="0.3">
      <c r="A170">
        <v>7154026130</v>
      </c>
      <c r="B170" t="s">
        <v>1156</v>
      </c>
      <c r="C170" t="s">
        <v>1126</v>
      </c>
    </row>
    <row r="171" spans="1:3" x14ac:dyDescent="0.3">
      <c r="A171">
        <v>7004128702</v>
      </c>
      <c r="B171" t="s">
        <v>1156</v>
      </c>
      <c r="C171" t="s">
        <v>1169</v>
      </c>
    </row>
    <row r="172" spans="1:3" x14ac:dyDescent="0.3">
      <c r="A172">
        <v>7004128702</v>
      </c>
      <c r="B172" t="s">
        <v>1156</v>
      </c>
      <c r="C172" t="s">
        <v>1169</v>
      </c>
    </row>
    <row r="173" spans="1:3" x14ac:dyDescent="0.3">
      <c r="A173">
        <v>7004128702</v>
      </c>
      <c r="B173" t="s">
        <v>1156</v>
      </c>
      <c r="C173" t="s">
        <v>1169</v>
      </c>
    </row>
    <row r="174" spans="1:3" x14ac:dyDescent="0.3">
      <c r="A174">
        <v>7004128702</v>
      </c>
      <c r="B174" t="s">
        <v>1156</v>
      </c>
      <c r="C174" t="s">
        <v>1169</v>
      </c>
    </row>
    <row r="175" spans="1:3" x14ac:dyDescent="0.3">
      <c r="A175">
        <v>7274349370</v>
      </c>
      <c r="B175" t="s">
        <v>1157</v>
      </c>
      <c r="C175" t="s">
        <v>1165</v>
      </c>
    </row>
    <row r="176" spans="1:3" x14ac:dyDescent="0.3">
      <c r="A176">
        <v>7075218330</v>
      </c>
      <c r="B176" t="s">
        <v>1157</v>
      </c>
      <c r="C176" t="s">
        <v>1166</v>
      </c>
    </row>
    <row r="177" spans="1:3" x14ac:dyDescent="0.3">
      <c r="A177">
        <v>72975207</v>
      </c>
      <c r="B177" t="s">
        <v>1157</v>
      </c>
      <c r="C177" t="s">
        <v>1173</v>
      </c>
    </row>
    <row r="178" spans="1:3" x14ac:dyDescent="0.3">
      <c r="A178">
        <v>7234488830</v>
      </c>
      <c r="B178" t="s">
        <v>1157</v>
      </c>
      <c r="C178" t="s">
        <v>1165</v>
      </c>
    </row>
    <row r="179" spans="1:3" x14ac:dyDescent="0.3">
      <c r="A179">
        <v>71983904</v>
      </c>
      <c r="B179" t="s">
        <v>1157</v>
      </c>
      <c r="C179" t="s">
        <v>1172</v>
      </c>
    </row>
    <row r="180" spans="1:3" x14ac:dyDescent="0.3">
      <c r="A180">
        <v>7187090580</v>
      </c>
      <c r="B180" t="s">
        <v>1157</v>
      </c>
      <c r="C180" t="s">
        <v>1173</v>
      </c>
    </row>
    <row r="181" spans="1:3" x14ac:dyDescent="0.3">
      <c r="A181">
        <v>7187090590</v>
      </c>
      <c r="B181" t="s">
        <v>1157</v>
      </c>
      <c r="C181" t="s">
        <v>1173</v>
      </c>
    </row>
    <row r="182" spans="1:3" x14ac:dyDescent="0.3">
      <c r="A182">
        <v>71870905</v>
      </c>
      <c r="B182" t="s">
        <v>1157</v>
      </c>
      <c r="C182" t="s">
        <v>1173</v>
      </c>
    </row>
    <row r="183" spans="1:3" x14ac:dyDescent="0.3">
      <c r="A183">
        <v>7187090560</v>
      </c>
      <c r="B183" t="s">
        <v>1157</v>
      </c>
      <c r="C183" t="s">
        <v>1173</v>
      </c>
    </row>
    <row r="184" spans="1:3" x14ac:dyDescent="0.3">
      <c r="A184" t="s">
        <v>1160</v>
      </c>
      <c r="B184" t="s">
        <v>1157</v>
      </c>
      <c r="C184" t="s">
        <v>1172</v>
      </c>
    </row>
    <row r="185" spans="1:3" x14ac:dyDescent="0.3">
      <c r="A185">
        <v>7289773340</v>
      </c>
      <c r="B185" t="s">
        <v>1157</v>
      </c>
      <c r="C185" t="s">
        <v>1171</v>
      </c>
    </row>
    <row r="186" spans="1:3" x14ac:dyDescent="0.3">
      <c r="A186" t="s">
        <v>1160</v>
      </c>
      <c r="B186" t="s">
        <v>1157</v>
      </c>
      <c r="C186" t="s">
        <v>1172</v>
      </c>
    </row>
    <row r="187" spans="1:3" x14ac:dyDescent="0.3">
      <c r="A187">
        <v>7154041130</v>
      </c>
      <c r="B187" t="s">
        <v>1157</v>
      </c>
      <c r="C187" t="s">
        <v>1171</v>
      </c>
    </row>
    <row r="188" spans="1:3" x14ac:dyDescent="0.3">
      <c r="A188">
        <v>7119674430</v>
      </c>
      <c r="B188" t="s">
        <v>1157</v>
      </c>
      <c r="C188" t="s">
        <v>1173</v>
      </c>
    </row>
    <row r="189" spans="1:3" x14ac:dyDescent="0.3">
      <c r="A189">
        <v>7282374040</v>
      </c>
      <c r="B189" t="s">
        <v>1157</v>
      </c>
      <c r="C189" t="s">
        <v>1171</v>
      </c>
    </row>
    <row r="190" spans="1:3" x14ac:dyDescent="0.3">
      <c r="A190">
        <v>7186066590</v>
      </c>
      <c r="B190" t="s">
        <v>1157</v>
      </c>
      <c r="C190" t="s">
        <v>1173</v>
      </c>
    </row>
    <row r="191" spans="1:3" x14ac:dyDescent="0.3">
      <c r="A191">
        <v>71860665</v>
      </c>
      <c r="B191" t="s">
        <v>1157</v>
      </c>
      <c r="C191" t="s">
        <v>1173</v>
      </c>
    </row>
    <row r="192" spans="1:3" x14ac:dyDescent="0.3">
      <c r="A192">
        <v>7186066560</v>
      </c>
      <c r="B192" t="s">
        <v>1157</v>
      </c>
      <c r="C192" t="s">
        <v>1173</v>
      </c>
    </row>
    <row r="193" spans="1:3" x14ac:dyDescent="0.3">
      <c r="A193">
        <v>72975392</v>
      </c>
      <c r="B193" t="s">
        <v>1157</v>
      </c>
      <c r="C193" t="s">
        <v>1168</v>
      </c>
    </row>
    <row r="194" spans="1:3" x14ac:dyDescent="0.3">
      <c r="A194">
        <v>7288907230</v>
      </c>
      <c r="B194" t="s">
        <v>1157</v>
      </c>
      <c r="C194" t="s">
        <v>1170</v>
      </c>
    </row>
    <row r="195" spans="1:3" x14ac:dyDescent="0.3">
      <c r="A195">
        <v>7119679430</v>
      </c>
      <c r="B195" t="s">
        <v>1157</v>
      </c>
      <c r="C195" t="s">
        <v>1173</v>
      </c>
    </row>
    <row r="196" spans="1:3" x14ac:dyDescent="0.3">
      <c r="A196">
        <v>7297565530</v>
      </c>
      <c r="B196" t="s">
        <v>1157</v>
      </c>
      <c r="C196" t="s">
        <v>1168</v>
      </c>
    </row>
    <row r="197" spans="1:3" x14ac:dyDescent="0.3">
      <c r="A197">
        <v>72899966</v>
      </c>
      <c r="B197" t="s">
        <v>1157</v>
      </c>
      <c r="C197" t="s">
        <v>1172</v>
      </c>
    </row>
    <row r="198" spans="1:3" x14ac:dyDescent="0.3">
      <c r="A198">
        <v>7298200830</v>
      </c>
      <c r="B198" t="s">
        <v>1157</v>
      </c>
      <c r="C198" t="s">
        <v>1126</v>
      </c>
    </row>
    <row r="199" spans="1:3" x14ac:dyDescent="0.3">
      <c r="A199">
        <v>72780597</v>
      </c>
      <c r="B199" t="s">
        <v>1157</v>
      </c>
      <c r="C199" t="s">
        <v>1173</v>
      </c>
    </row>
    <row r="200" spans="1:3" x14ac:dyDescent="0.3">
      <c r="A200">
        <v>71196834</v>
      </c>
      <c r="B200" t="s">
        <v>1157</v>
      </c>
      <c r="C200" t="s">
        <v>1173</v>
      </c>
    </row>
    <row r="201" spans="1:3" x14ac:dyDescent="0.3">
      <c r="A201">
        <v>7119683530</v>
      </c>
      <c r="B201" t="s">
        <v>1157</v>
      </c>
      <c r="C201" t="s">
        <v>1173</v>
      </c>
    </row>
    <row r="202" spans="1:3" x14ac:dyDescent="0.3">
      <c r="A202">
        <v>7287766270</v>
      </c>
      <c r="B202" t="s">
        <v>1157</v>
      </c>
      <c r="C202" t="s">
        <v>1173</v>
      </c>
    </row>
    <row r="203" spans="1:3" x14ac:dyDescent="0.3">
      <c r="A203">
        <v>7298150830</v>
      </c>
      <c r="B203" t="s">
        <v>1157</v>
      </c>
      <c r="C203" t="s">
        <v>1173</v>
      </c>
    </row>
    <row r="204" spans="1:3" x14ac:dyDescent="0.3">
      <c r="A204">
        <v>7223160530</v>
      </c>
      <c r="B204" t="s">
        <v>1157</v>
      </c>
      <c r="C204" t="s">
        <v>1171</v>
      </c>
    </row>
    <row r="205" spans="1:3" x14ac:dyDescent="0.3">
      <c r="A205">
        <v>7119679830</v>
      </c>
      <c r="B205" t="s">
        <v>1157</v>
      </c>
      <c r="C205" t="s">
        <v>1172</v>
      </c>
    </row>
    <row r="206" spans="1:3" x14ac:dyDescent="0.3">
      <c r="A206">
        <v>7287143930</v>
      </c>
      <c r="B206" t="s">
        <v>1157</v>
      </c>
      <c r="C206" t="s">
        <v>1171</v>
      </c>
    </row>
    <row r="207" spans="1:3" x14ac:dyDescent="0.3">
      <c r="A207">
        <v>7219683340</v>
      </c>
      <c r="B207" t="s">
        <v>1157</v>
      </c>
      <c r="C207" t="s">
        <v>1165</v>
      </c>
    </row>
    <row r="208" spans="1:3" x14ac:dyDescent="0.3">
      <c r="A208">
        <v>7287476780</v>
      </c>
      <c r="B208" t="s">
        <v>1157</v>
      </c>
      <c r="C208" t="s">
        <v>1173</v>
      </c>
    </row>
    <row r="209" spans="1:3" x14ac:dyDescent="0.3">
      <c r="A209">
        <v>7289862080</v>
      </c>
      <c r="B209" t="s">
        <v>1157</v>
      </c>
      <c r="C209" t="s">
        <v>1172</v>
      </c>
    </row>
    <row r="210" spans="1:3" x14ac:dyDescent="0.3">
      <c r="A210">
        <v>72782561</v>
      </c>
      <c r="B210" t="s">
        <v>1157</v>
      </c>
      <c r="C210" t="s">
        <v>1173</v>
      </c>
    </row>
    <row r="211" spans="1:3" x14ac:dyDescent="0.3">
      <c r="A211">
        <v>72975392</v>
      </c>
      <c r="B211" t="s">
        <v>1157</v>
      </c>
      <c r="C211" t="s">
        <v>1168</v>
      </c>
    </row>
    <row r="212" spans="1:3" x14ac:dyDescent="0.3">
      <c r="A212">
        <v>7222740630</v>
      </c>
      <c r="B212" t="s">
        <v>1157</v>
      </c>
      <c r="C212" t="s">
        <v>1171</v>
      </c>
    </row>
    <row r="213" spans="1:3" x14ac:dyDescent="0.3">
      <c r="A213">
        <v>7119185330</v>
      </c>
      <c r="B213" t="s">
        <v>1157</v>
      </c>
      <c r="C213" t="s">
        <v>1173</v>
      </c>
    </row>
    <row r="214" spans="1:3" x14ac:dyDescent="0.3">
      <c r="A214">
        <v>7119185640</v>
      </c>
      <c r="B214" t="s">
        <v>1157</v>
      </c>
      <c r="C214" t="s">
        <v>1173</v>
      </c>
    </row>
    <row r="215" spans="1:3" x14ac:dyDescent="0.3">
      <c r="A215">
        <v>71781755</v>
      </c>
      <c r="B215" t="s">
        <v>1157</v>
      </c>
      <c r="C215" t="s">
        <v>1173</v>
      </c>
    </row>
    <row r="216" spans="1:3" x14ac:dyDescent="0.3">
      <c r="A216">
        <v>7178170830</v>
      </c>
      <c r="B216" t="s">
        <v>1157</v>
      </c>
      <c r="C216" t="s">
        <v>1173</v>
      </c>
    </row>
    <row r="217" spans="1:3" x14ac:dyDescent="0.3">
      <c r="A217">
        <v>7186066560</v>
      </c>
      <c r="B217" t="s">
        <v>1157</v>
      </c>
      <c r="C217" t="s">
        <v>1173</v>
      </c>
    </row>
    <row r="218" spans="1:3" x14ac:dyDescent="0.3">
      <c r="A218">
        <v>71860665</v>
      </c>
      <c r="B218" t="s">
        <v>1157</v>
      </c>
      <c r="C218" t="s">
        <v>1173</v>
      </c>
    </row>
    <row r="219" spans="1:3" x14ac:dyDescent="0.3">
      <c r="A219">
        <v>72888940</v>
      </c>
      <c r="B219" t="s">
        <v>1157</v>
      </c>
      <c r="C219" t="s">
        <v>1171</v>
      </c>
    </row>
    <row r="220" spans="1:3" x14ac:dyDescent="0.3">
      <c r="A220">
        <v>7278197730</v>
      </c>
      <c r="B220" t="s">
        <v>1157</v>
      </c>
      <c r="C220" t="s">
        <v>1173</v>
      </c>
    </row>
    <row r="221" spans="1:3" x14ac:dyDescent="0.3">
      <c r="A221">
        <v>7289778240</v>
      </c>
      <c r="B221" t="s">
        <v>1157</v>
      </c>
      <c r="C221" t="s">
        <v>1173</v>
      </c>
    </row>
    <row r="222" spans="1:3" x14ac:dyDescent="0.3">
      <c r="A222">
        <v>7154041130</v>
      </c>
      <c r="B222" t="s">
        <v>1157</v>
      </c>
      <c r="C222" t="s">
        <v>1171</v>
      </c>
    </row>
    <row r="223" spans="1:3" x14ac:dyDescent="0.3">
      <c r="A223">
        <v>7154075530</v>
      </c>
      <c r="B223" t="s">
        <v>1157</v>
      </c>
      <c r="C223" t="s">
        <v>1165</v>
      </c>
    </row>
    <row r="224" spans="1:3" x14ac:dyDescent="0.3">
      <c r="A224">
        <v>7298186530</v>
      </c>
      <c r="B224" t="s">
        <v>1157</v>
      </c>
      <c r="C224" t="s">
        <v>1173</v>
      </c>
    </row>
    <row r="225" spans="1:3" x14ac:dyDescent="0.3">
      <c r="A225" t="s">
        <v>1161</v>
      </c>
      <c r="B225" t="s">
        <v>1157</v>
      </c>
      <c r="C225" t="s">
        <v>1172</v>
      </c>
    </row>
    <row r="226" spans="1:3" x14ac:dyDescent="0.3">
      <c r="A226">
        <v>7278197730</v>
      </c>
      <c r="B226" t="s">
        <v>1157</v>
      </c>
      <c r="C226" t="s">
        <v>1173</v>
      </c>
    </row>
    <row r="227" spans="1:3" x14ac:dyDescent="0.3">
      <c r="A227">
        <v>7287011790</v>
      </c>
      <c r="B227" t="s">
        <v>1157</v>
      </c>
      <c r="C227" t="s">
        <v>1126</v>
      </c>
    </row>
    <row r="228" spans="1:3" x14ac:dyDescent="0.3">
      <c r="A228">
        <v>72780597</v>
      </c>
      <c r="B228" t="s">
        <v>1157</v>
      </c>
      <c r="C228" t="s">
        <v>1173</v>
      </c>
    </row>
    <row r="229" spans="1:3" x14ac:dyDescent="0.3">
      <c r="A229" t="s">
        <v>1162</v>
      </c>
      <c r="B229" t="s">
        <v>1157</v>
      </c>
    </row>
    <row r="230" spans="1:3" x14ac:dyDescent="0.3">
      <c r="A230">
        <v>7278179230</v>
      </c>
      <c r="B230" t="s">
        <v>1157</v>
      </c>
      <c r="C230" t="s">
        <v>1173</v>
      </c>
    </row>
    <row r="231" spans="1:3" x14ac:dyDescent="0.3">
      <c r="A231">
        <v>7287782930</v>
      </c>
      <c r="B231" t="s">
        <v>1157</v>
      </c>
      <c r="C231" t="s">
        <v>1173</v>
      </c>
    </row>
    <row r="232" spans="1:3" x14ac:dyDescent="0.3">
      <c r="A232">
        <v>72780597</v>
      </c>
      <c r="B232" t="s">
        <v>1157</v>
      </c>
      <c r="C232" t="s">
        <v>1173</v>
      </c>
    </row>
    <row r="233" spans="1:3" x14ac:dyDescent="0.3">
      <c r="A233">
        <v>7219116640</v>
      </c>
      <c r="B233" t="s">
        <v>1157</v>
      </c>
      <c r="C233" t="s">
        <v>1173</v>
      </c>
    </row>
    <row r="234" spans="1:3" x14ac:dyDescent="0.3">
      <c r="A234">
        <v>7119675830</v>
      </c>
      <c r="B234" t="s">
        <v>1157</v>
      </c>
      <c r="C234" t="s">
        <v>1173</v>
      </c>
    </row>
    <row r="235" spans="1:3" x14ac:dyDescent="0.3">
      <c r="A235">
        <v>71837758</v>
      </c>
      <c r="B235" t="s">
        <v>1157</v>
      </c>
      <c r="C235" t="s">
        <v>1173</v>
      </c>
    </row>
    <row r="236" spans="1:3" x14ac:dyDescent="0.3">
      <c r="A236">
        <v>7283907630</v>
      </c>
      <c r="B236" t="s">
        <v>1157</v>
      </c>
      <c r="C236" t="s">
        <v>1173</v>
      </c>
    </row>
    <row r="237" spans="1:3" x14ac:dyDescent="0.3">
      <c r="A237">
        <v>71837758</v>
      </c>
      <c r="B237" t="s">
        <v>1157</v>
      </c>
      <c r="C237" t="s">
        <v>1173</v>
      </c>
    </row>
    <row r="238" spans="1:3" x14ac:dyDescent="0.3">
      <c r="A238">
        <v>72878592</v>
      </c>
      <c r="B238" t="s">
        <v>1157</v>
      </c>
      <c r="C238" t="s">
        <v>1173</v>
      </c>
    </row>
    <row r="239" spans="1:3" x14ac:dyDescent="0.3">
      <c r="A239">
        <v>71191147</v>
      </c>
      <c r="B239" t="s">
        <v>1157</v>
      </c>
      <c r="C239" t="s">
        <v>1173</v>
      </c>
    </row>
    <row r="240" spans="1:3" x14ac:dyDescent="0.3">
      <c r="A240">
        <v>7274333840</v>
      </c>
      <c r="B240" t="s">
        <v>1157</v>
      </c>
      <c r="C240" t="s">
        <v>1165</v>
      </c>
    </row>
    <row r="241" spans="1:3" x14ac:dyDescent="0.3">
      <c r="A241">
        <v>7154075530</v>
      </c>
      <c r="B241" t="s">
        <v>1157</v>
      </c>
      <c r="C241" t="s">
        <v>1165</v>
      </c>
    </row>
    <row r="242" spans="1:3" x14ac:dyDescent="0.3">
      <c r="A242">
        <v>71237437</v>
      </c>
      <c r="B242" t="s">
        <v>1157</v>
      </c>
      <c r="C242" t="s">
        <v>1173</v>
      </c>
    </row>
    <row r="243" spans="1:3" x14ac:dyDescent="0.3">
      <c r="A243">
        <v>7278179230</v>
      </c>
      <c r="B243" t="s">
        <v>1157</v>
      </c>
      <c r="C243" t="s">
        <v>1173</v>
      </c>
    </row>
    <row r="244" spans="1:3" x14ac:dyDescent="0.3">
      <c r="A244">
        <v>7178170830</v>
      </c>
      <c r="B244" t="s">
        <v>1157</v>
      </c>
      <c r="C244" t="s">
        <v>1173</v>
      </c>
    </row>
    <row r="245" spans="1:3" x14ac:dyDescent="0.3">
      <c r="A245">
        <v>71781755</v>
      </c>
      <c r="B245" t="s">
        <v>1157</v>
      </c>
      <c r="C245" t="s">
        <v>1173</v>
      </c>
    </row>
    <row r="246" spans="1:3" x14ac:dyDescent="0.3">
      <c r="A246">
        <v>7278121430</v>
      </c>
      <c r="B246" t="s">
        <v>1157</v>
      </c>
      <c r="C246" t="s">
        <v>1173</v>
      </c>
    </row>
    <row r="247" spans="1:3" x14ac:dyDescent="0.3">
      <c r="A247">
        <v>7283220130</v>
      </c>
      <c r="B247" t="s">
        <v>1157</v>
      </c>
      <c r="C247" t="s">
        <v>1173</v>
      </c>
    </row>
    <row r="248" spans="1:3" x14ac:dyDescent="0.3">
      <c r="A248">
        <v>72894030</v>
      </c>
      <c r="B248" t="s">
        <v>1157</v>
      </c>
      <c r="C248" t="s">
        <v>1173</v>
      </c>
    </row>
    <row r="249" spans="1:3" x14ac:dyDescent="0.3">
      <c r="A249">
        <v>7278121430</v>
      </c>
      <c r="B249" t="s">
        <v>1157</v>
      </c>
      <c r="C249" t="s">
        <v>1173</v>
      </c>
    </row>
    <row r="250" spans="1:3" x14ac:dyDescent="0.3">
      <c r="A250">
        <v>7278059630</v>
      </c>
      <c r="B250" t="s">
        <v>1157</v>
      </c>
      <c r="C250" t="s">
        <v>1173</v>
      </c>
    </row>
    <row r="251" spans="1:3" x14ac:dyDescent="0.3">
      <c r="A251">
        <v>72781797</v>
      </c>
      <c r="B251" t="s">
        <v>1157</v>
      </c>
      <c r="C251" t="s">
        <v>1172</v>
      </c>
    </row>
    <row r="252" spans="1:3" x14ac:dyDescent="0.3">
      <c r="A252">
        <v>7219176430</v>
      </c>
      <c r="B252" t="s">
        <v>1157</v>
      </c>
      <c r="C252" t="s">
        <v>1173</v>
      </c>
    </row>
    <row r="253" spans="1:3" x14ac:dyDescent="0.3">
      <c r="A253">
        <v>7277186830</v>
      </c>
      <c r="B253" t="s">
        <v>1157</v>
      </c>
      <c r="C253" t="s">
        <v>1171</v>
      </c>
    </row>
    <row r="254" spans="1:3" x14ac:dyDescent="0.3">
      <c r="A254">
        <v>7283220090</v>
      </c>
      <c r="B254" t="s">
        <v>1157</v>
      </c>
      <c r="C254" t="s">
        <v>1165</v>
      </c>
    </row>
    <row r="255" spans="1:3" x14ac:dyDescent="0.3">
      <c r="A255">
        <v>7178197530</v>
      </c>
      <c r="B255" t="s">
        <v>1157</v>
      </c>
      <c r="C255" t="s">
        <v>1173</v>
      </c>
    </row>
    <row r="256" spans="1:3" x14ac:dyDescent="0.3">
      <c r="A256">
        <v>7297565530</v>
      </c>
      <c r="B256" t="s">
        <v>1157</v>
      </c>
      <c r="C256" t="s">
        <v>1168</v>
      </c>
    </row>
    <row r="257" spans="1:3" x14ac:dyDescent="0.3">
      <c r="A257">
        <v>72975207</v>
      </c>
      <c r="B257" t="s">
        <v>1157</v>
      </c>
      <c r="C257" t="s">
        <v>1173</v>
      </c>
    </row>
    <row r="258" spans="1:3" x14ac:dyDescent="0.3">
      <c r="A258">
        <v>7183384830</v>
      </c>
      <c r="B258" t="s">
        <v>1157</v>
      </c>
      <c r="C258" t="s">
        <v>1173</v>
      </c>
    </row>
    <row r="259" spans="1:3" x14ac:dyDescent="0.3">
      <c r="A259">
        <v>72782146</v>
      </c>
      <c r="B259" t="s">
        <v>1157</v>
      </c>
      <c r="C259" t="s">
        <v>1172</v>
      </c>
    </row>
    <row r="260" spans="1:3" x14ac:dyDescent="0.3">
      <c r="A260">
        <v>72838660</v>
      </c>
      <c r="B260" t="s">
        <v>1157</v>
      </c>
      <c r="C260" t="s">
        <v>1173</v>
      </c>
    </row>
    <row r="261" spans="1:3" x14ac:dyDescent="0.3">
      <c r="A261">
        <v>7298250930</v>
      </c>
      <c r="B261" t="s">
        <v>1157</v>
      </c>
      <c r="C261" t="s">
        <v>1173</v>
      </c>
    </row>
    <row r="262" spans="1:3" x14ac:dyDescent="0.3">
      <c r="A262">
        <v>72894030</v>
      </c>
      <c r="B262" t="s">
        <v>1157</v>
      </c>
      <c r="C262" t="s">
        <v>1173</v>
      </c>
    </row>
    <row r="263" spans="1:3" x14ac:dyDescent="0.3">
      <c r="A263">
        <v>72897732</v>
      </c>
      <c r="B263" t="s">
        <v>1157</v>
      </c>
      <c r="C263" t="s">
        <v>1172</v>
      </c>
    </row>
    <row r="264" spans="1:3" x14ac:dyDescent="0.3">
      <c r="A264">
        <v>71837758</v>
      </c>
      <c r="B264" t="s">
        <v>1157</v>
      </c>
      <c r="C264" t="s">
        <v>1173</v>
      </c>
    </row>
    <row r="265" spans="1:3" x14ac:dyDescent="0.3">
      <c r="A265">
        <v>77183384830</v>
      </c>
      <c r="B265" t="s">
        <v>1157</v>
      </c>
      <c r="C265" t="s">
        <v>1173</v>
      </c>
    </row>
    <row r="266" spans="1:3" x14ac:dyDescent="0.3">
      <c r="A266">
        <v>7278179230</v>
      </c>
      <c r="B266" t="s">
        <v>1157</v>
      </c>
      <c r="C266" t="s">
        <v>1173</v>
      </c>
    </row>
    <row r="267" spans="1:3" x14ac:dyDescent="0.3">
      <c r="A267">
        <v>72781797</v>
      </c>
      <c r="B267" t="s">
        <v>1157</v>
      </c>
      <c r="C267" t="s">
        <v>1172</v>
      </c>
    </row>
    <row r="268" spans="1:3" x14ac:dyDescent="0.3">
      <c r="A268">
        <v>7075218330</v>
      </c>
      <c r="B268" t="s">
        <v>1157</v>
      </c>
      <c r="C268" t="s">
        <v>1166</v>
      </c>
    </row>
    <row r="269" spans="1:3" x14ac:dyDescent="0.3">
      <c r="A269">
        <v>7298108030</v>
      </c>
      <c r="B269" t="s">
        <v>1157</v>
      </c>
      <c r="C269" t="s">
        <v>1173</v>
      </c>
    </row>
    <row r="270" spans="1:3" x14ac:dyDescent="0.3">
      <c r="A270">
        <v>7298108030</v>
      </c>
      <c r="B270" t="s">
        <v>1157</v>
      </c>
      <c r="C270" t="s">
        <v>1173</v>
      </c>
    </row>
    <row r="271" spans="1:3" x14ac:dyDescent="0.3">
      <c r="A271">
        <v>7289749530</v>
      </c>
      <c r="B271" t="s">
        <v>1157</v>
      </c>
      <c r="C271" t="s">
        <v>1126</v>
      </c>
    </row>
    <row r="272" spans="1:3" x14ac:dyDescent="0.3">
      <c r="A272">
        <v>7278059630</v>
      </c>
      <c r="B272" t="s">
        <v>1157</v>
      </c>
      <c r="C272" t="s">
        <v>1173</v>
      </c>
    </row>
    <row r="273" spans="1:3" x14ac:dyDescent="0.3">
      <c r="A273" t="s">
        <v>1162</v>
      </c>
      <c r="B273" t="s">
        <v>1157</v>
      </c>
    </row>
    <row r="274" spans="1:3" x14ac:dyDescent="0.3">
      <c r="A274" t="s">
        <v>1162</v>
      </c>
      <c r="B274" t="s">
        <v>1157</v>
      </c>
    </row>
    <row r="275" spans="1:3" x14ac:dyDescent="0.3">
      <c r="A275">
        <v>74752895</v>
      </c>
      <c r="B275" t="s">
        <v>1157</v>
      </c>
      <c r="C275" t="s">
        <v>1171</v>
      </c>
    </row>
    <row r="276" spans="1:3" x14ac:dyDescent="0.3">
      <c r="A276">
        <v>74752895</v>
      </c>
      <c r="B276" t="s">
        <v>1157</v>
      </c>
      <c r="C276" t="s">
        <v>1171</v>
      </c>
    </row>
    <row r="277" spans="1:3" x14ac:dyDescent="0.3">
      <c r="A277" t="s">
        <v>1162</v>
      </c>
      <c r="B277" t="s">
        <v>1157</v>
      </c>
    </row>
    <row r="278" spans="1:3" x14ac:dyDescent="0.3">
      <c r="A278">
        <v>7278121430</v>
      </c>
      <c r="B278" t="s">
        <v>1157</v>
      </c>
      <c r="C278" t="s">
        <v>1173</v>
      </c>
    </row>
    <row r="279" spans="1:3" x14ac:dyDescent="0.3">
      <c r="A279">
        <v>7289909030</v>
      </c>
      <c r="B279" t="s">
        <v>1157</v>
      </c>
      <c r="C279" t="s">
        <v>1171</v>
      </c>
    </row>
    <row r="280" spans="1:3" x14ac:dyDescent="0.3">
      <c r="A280">
        <v>7219192930</v>
      </c>
      <c r="B280" t="s">
        <v>1157</v>
      </c>
      <c r="C280" t="s">
        <v>1173</v>
      </c>
    </row>
    <row r="281" spans="1:3" x14ac:dyDescent="0.3">
      <c r="A281">
        <v>7219192930</v>
      </c>
      <c r="B281" t="s">
        <v>1157</v>
      </c>
      <c r="C281" t="s">
        <v>1173</v>
      </c>
    </row>
    <row r="282" spans="1:3" x14ac:dyDescent="0.3">
      <c r="A282">
        <v>72980784</v>
      </c>
      <c r="B282" t="s">
        <v>1157</v>
      </c>
      <c r="C282" t="s">
        <v>1173</v>
      </c>
    </row>
    <row r="283" spans="1:3" x14ac:dyDescent="0.3">
      <c r="A283" t="s">
        <v>1162</v>
      </c>
      <c r="B283" t="s">
        <v>1157</v>
      </c>
    </row>
    <row r="284" spans="1:3" x14ac:dyDescent="0.3">
      <c r="A284" t="s">
        <v>1162</v>
      </c>
      <c r="B284" t="s">
        <v>1157</v>
      </c>
    </row>
    <row r="285" spans="1:3" x14ac:dyDescent="0.3">
      <c r="A285">
        <v>72868813</v>
      </c>
      <c r="B285" t="s">
        <v>1157</v>
      </c>
      <c r="C285" t="s">
        <v>1171</v>
      </c>
    </row>
    <row r="286" spans="1:3" x14ac:dyDescent="0.3">
      <c r="A286">
        <v>7219176430</v>
      </c>
      <c r="B286" t="s">
        <v>1176</v>
      </c>
      <c r="C286" t="s">
        <v>1173</v>
      </c>
    </row>
    <row r="287" spans="1:3" x14ac:dyDescent="0.3">
      <c r="A287">
        <v>7219176430</v>
      </c>
      <c r="B287" t="s">
        <v>1176</v>
      </c>
      <c r="C287" t="s">
        <v>1173</v>
      </c>
    </row>
    <row r="288" spans="1:3" x14ac:dyDescent="0.3">
      <c r="A288">
        <v>7298593130</v>
      </c>
      <c r="B288" t="s">
        <v>1176</v>
      </c>
      <c r="C288" t="s">
        <v>1171</v>
      </c>
    </row>
    <row r="289" spans="1:3" x14ac:dyDescent="0.3">
      <c r="A289">
        <v>7298593130</v>
      </c>
      <c r="B289" t="s">
        <v>1176</v>
      </c>
      <c r="C289" t="s">
        <v>1171</v>
      </c>
    </row>
    <row r="290" spans="1:3" x14ac:dyDescent="0.3">
      <c r="A290">
        <v>7289401730</v>
      </c>
      <c r="B290" t="s">
        <v>1176</v>
      </c>
      <c r="C290" t="s">
        <v>1173</v>
      </c>
    </row>
    <row r="291" spans="1:3" x14ac:dyDescent="0.3">
      <c r="A291">
        <v>7298228030</v>
      </c>
      <c r="B291" t="s">
        <v>1176</v>
      </c>
      <c r="C291" t="s">
        <v>1173</v>
      </c>
    </row>
    <row r="292" spans="1:3" x14ac:dyDescent="0.3">
      <c r="A292">
        <v>7183755830</v>
      </c>
      <c r="B292" t="s">
        <v>1176</v>
      </c>
      <c r="C292" t="s">
        <v>1173</v>
      </c>
    </row>
    <row r="293" spans="1:3" x14ac:dyDescent="0.3">
      <c r="A293">
        <v>7278261830</v>
      </c>
      <c r="B293" t="s">
        <v>1176</v>
      </c>
      <c r="C293" t="s">
        <v>1173</v>
      </c>
    </row>
    <row r="294" spans="1:3" x14ac:dyDescent="0.3">
      <c r="A294">
        <v>7298228030</v>
      </c>
      <c r="B294" t="s">
        <v>1176</v>
      </c>
      <c r="C294" t="s">
        <v>1173</v>
      </c>
    </row>
    <row r="295" spans="1:3" x14ac:dyDescent="0.3">
      <c r="A295">
        <v>7298790330</v>
      </c>
      <c r="B295" t="s">
        <v>1176</v>
      </c>
      <c r="C295" t="s">
        <v>1173</v>
      </c>
    </row>
    <row r="296" spans="1:3" x14ac:dyDescent="0.3">
      <c r="A296">
        <v>7298790330</v>
      </c>
      <c r="B296" t="s">
        <v>1176</v>
      </c>
      <c r="C296" t="s">
        <v>1173</v>
      </c>
    </row>
    <row r="297" spans="1:3" x14ac:dyDescent="0.3">
      <c r="A297">
        <v>7298790330</v>
      </c>
      <c r="B297" t="s">
        <v>1176</v>
      </c>
      <c r="C297" t="s">
        <v>1173</v>
      </c>
    </row>
    <row r="298" spans="1:3" x14ac:dyDescent="0.3">
      <c r="A298">
        <v>7298790330</v>
      </c>
      <c r="B298" t="s">
        <v>1176</v>
      </c>
      <c r="C298" t="s">
        <v>1173</v>
      </c>
    </row>
    <row r="299" spans="1:3" x14ac:dyDescent="0.3">
      <c r="A299">
        <v>7298790330</v>
      </c>
      <c r="B299" t="s">
        <v>1176</v>
      </c>
      <c r="C299" t="s">
        <v>1173</v>
      </c>
    </row>
    <row r="300" spans="1:3" x14ac:dyDescent="0.3">
      <c r="A300">
        <v>7298790330</v>
      </c>
      <c r="B300" t="s">
        <v>1176</v>
      </c>
      <c r="C300" t="s">
        <v>1173</v>
      </c>
    </row>
    <row r="301" spans="1:3" x14ac:dyDescent="0.3">
      <c r="A301">
        <v>7287149830</v>
      </c>
      <c r="B301" t="s">
        <v>1176</v>
      </c>
      <c r="C301" t="s">
        <v>1126</v>
      </c>
    </row>
    <row r="302" spans="1:3" x14ac:dyDescent="0.3">
      <c r="A302">
        <v>7278261830</v>
      </c>
      <c r="B302" t="s">
        <v>1176</v>
      </c>
      <c r="C302" t="s">
        <v>1173</v>
      </c>
    </row>
    <row r="303" spans="1:3" x14ac:dyDescent="0.3">
      <c r="B303" t="s">
        <v>1176</v>
      </c>
    </row>
    <row r="304" spans="1:3" x14ac:dyDescent="0.3">
      <c r="A304">
        <v>7298593130</v>
      </c>
      <c r="B304" t="s">
        <v>1176</v>
      </c>
      <c r="C304" t="s">
        <v>1171</v>
      </c>
    </row>
    <row r="305" spans="1:3" x14ac:dyDescent="0.3">
      <c r="A305">
        <v>7278261830</v>
      </c>
      <c r="B305" t="s">
        <v>1176</v>
      </c>
      <c r="C305" t="s">
        <v>1173</v>
      </c>
    </row>
    <row r="306" spans="1:3" x14ac:dyDescent="0.3">
      <c r="A306">
        <v>7298790330</v>
      </c>
      <c r="B306" t="s">
        <v>1176</v>
      </c>
      <c r="C306" t="s">
        <v>1173</v>
      </c>
    </row>
    <row r="307" spans="1:3" x14ac:dyDescent="0.3">
      <c r="A307">
        <v>7298790330</v>
      </c>
      <c r="B307" t="s">
        <v>1176</v>
      </c>
      <c r="C307" t="s">
        <v>1173</v>
      </c>
    </row>
    <row r="308" spans="1:3" x14ac:dyDescent="0.3">
      <c r="A308">
        <v>7298790330</v>
      </c>
      <c r="B308" t="s">
        <v>1176</v>
      </c>
      <c r="C308" t="s">
        <v>1173</v>
      </c>
    </row>
    <row r="309" spans="1:3" x14ac:dyDescent="0.3">
      <c r="A309">
        <v>7298790330</v>
      </c>
      <c r="B309" t="s">
        <v>1176</v>
      </c>
      <c r="C309" t="s">
        <v>1173</v>
      </c>
    </row>
    <row r="310" spans="1:3" x14ac:dyDescent="0.3">
      <c r="A310">
        <v>7278261830</v>
      </c>
      <c r="B310" t="s">
        <v>1176</v>
      </c>
      <c r="C310" t="s">
        <v>1173</v>
      </c>
    </row>
    <row r="311" spans="1:3" x14ac:dyDescent="0.3">
      <c r="A311">
        <v>7283526130</v>
      </c>
      <c r="B311" t="s">
        <v>1176</v>
      </c>
      <c r="C311" t="s">
        <v>1173</v>
      </c>
    </row>
    <row r="312" spans="1:3" x14ac:dyDescent="0.3">
      <c r="A312">
        <v>7298593130</v>
      </c>
      <c r="B312" t="s">
        <v>1176</v>
      </c>
      <c r="C312" t="s">
        <v>1171</v>
      </c>
    </row>
    <row r="313" spans="1:3" x14ac:dyDescent="0.3">
      <c r="A313">
        <v>7219176430</v>
      </c>
      <c r="B313" t="s">
        <v>1176</v>
      </c>
      <c r="C313" t="s">
        <v>1173</v>
      </c>
    </row>
    <row r="314" spans="1:3" x14ac:dyDescent="0.3">
      <c r="A314">
        <v>7219176430</v>
      </c>
      <c r="B314" t="s">
        <v>1176</v>
      </c>
      <c r="C314" t="s">
        <v>1173</v>
      </c>
    </row>
    <row r="315" spans="1:3" x14ac:dyDescent="0.3">
      <c r="A315">
        <v>7298186930</v>
      </c>
      <c r="B315" t="s">
        <v>1176</v>
      </c>
      <c r="C315" t="s">
        <v>1172</v>
      </c>
    </row>
    <row r="316" spans="1:3" x14ac:dyDescent="0.3">
      <c r="A316">
        <v>7298186530</v>
      </c>
      <c r="B316" t="s">
        <v>1176</v>
      </c>
      <c r="C316" t="s">
        <v>1173</v>
      </c>
    </row>
    <row r="317" spans="1:3" x14ac:dyDescent="0.3">
      <c r="A317">
        <v>7298186530</v>
      </c>
      <c r="B317" t="s">
        <v>1176</v>
      </c>
      <c r="C317" t="s">
        <v>1173</v>
      </c>
    </row>
    <row r="318" spans="1:3" x14ac:dyDescent="0.3">
      <c r="A318">
        <v>7298790830</v>
      </c>
      <c r="B318" t="s">
        <v>1176</v>
      </c>
      <c r="C318" t="s">
        <v>1173</v>
      </c>
    </row>
    <row r="319" spans="1:3" x14ac:dyDescent="0.3">
      <c r="A319">
        <v>7298790330</v>
      </c>
      <c r="B319" t="s">
        <v>1176</v>
      </c>
      <c r="C319" t="s">
        <v>1173</v>
      </c>
    </row>
    <row r="320" spans="1:3" x14ac:dyDescent="0.3">
      <c r="A320">
        <v>7298790330</v>
      </c>
      <c r="B320" t="s">
        <v>1176</v>
      </c>
      <c r="C320" t="s">
        <v>1173</v>
      </c>
    </row>
  </sheetData>
  <conditionalFormatting sqref="A18:A320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06E3-0E0E-46FD-9152-69AC40496459}">
  <dimension ref="A1:D268"/>
  <sheetViews>
    <sheetView topLeftCell="A128" zoomScale="160" zoomScaleNormal="160" workbookViewId="0">
      <selection activeCell="H266" sqref="H266"/>
    </sheetView>
  </sheetViews>
  <sheetFormatPr defaultRowHeight="14.4" x14ac:dyDescent="0.3"/>
  <cols>
    <col min="1" max="1" width="16.44140625" bestFit="1" customWidth="1"/>
    <col min="3" max="3" width="24.33203125" bestFit="1" customWidth="1"/>
  </cols>
  <sheetData>
    <row r="1" spans="1:4" x14ac:dyDescent="0.3">
      <c r="A1" t="s">
        <v>1163</v>
      </c>
      <c r="B1" t="s">
        <v>1164</v>
      </c>
      <c r="C1" t="s">
        <v>1167</v>
      </c>
      <c r="D1" t="s">
        <v>1115</v>
      </c>
    </row>
    <row r="2" spans="1:4" x14ac:dyDescent="0.3">
      <c r="A2">
        <v>7289724330</v>
      </c>
      <c r="B2" t="s">
        <v>1154</v>
      </c>
    </row>
    <row r="3" spans="1:4" x14ac:dyDescent="0.3">
      <c r="A3">
        <v>7298186930</v>
      </c>
      <c r="B3" t="s">
        <v>1154</v>
      </c>
    </row>
    <row r="4" spans="1:4" x14ac:dyDescent="0.3">
      <c r="A4">
        <v>72888941</v>
      </c>
      <c r="B4" t="s">
        <v>1154</v>
      </c>
    </row>
    <row r="5" spans="1:4" x14ac:dyDescent="0.3">
      <c r="A5">
        <v>7278442030</v>
      </c>
      <c r="B5" t="s">
        <v>1154</v>
      </c>
    </row>
    <row r="6" spans="1:4" x14ac:dyDescent="0.3">
      <c r="A6">
        <v>72985208</v>
      </c>
      <c r="B6" t="s">
        <v>1154</v>
      </c>
    </row>
    <row r="7" spans="1:4" x14ac:dyDescent="0.3">
      <c r="A7">
        <v>7298150830</v>
      </c>
      <c r="B7" t="s">
        <v>1154</v>
      </c>
    </row>
    <row r="8" spans="1:4" x14ac:dyDescent="0.3">
      <c r="A8">
        <v>7198460730</v>
      </c>
      <c r="B8" t="s">
        <v>1154</v>
      </c>
    </row>
    <row r="9" spans="1:4" x14ac:dyDescent="0.3">
      <c r="A9">
        <v>7298108030</v>
      </c>
      <c r="B9" t="s">
        <v>1154</v>
      </c>
    </row>
    <row r="10" spans="1:4" x14ac:dyDescent="0.3">
      <c r="A10">
        <v>7298154930</v>
      </c>
      <c r="B10" t="s">
        <v>1154</v>
      </c>
    </row>
    <row r="11" spans="1:4" x14ac:dyDescent="0.3">
      <c r="B11" t="s">
        <v>1154</v>
      </c>
    </row>
    <row r="12" spans="1:4" x14ac:dyDescent="0.3">
      <c r="A12">
        <v>7289724330</v>
      </c>
      <c r="B12" t="s">
        <v>1154</v>
      </c>
    </row>
    <row r="13" spans="1:4" x14ac:dyDescent="0.3">
      <c r="A13">
        <v>7278271940</v>
      </c>
      <c r="B13" t="s">
        <v>1154</v>
      </c>
    </row>
    <row r="14" spans="1:4" x14ac:dyDescent="0.3">
      <c r="A14">
        <v>7298186930</v>
      </c>
      <c r="B14" t="s">
        <v>1154</v>
      </c>
    </row>
    <row r="15" spans="1:4" x14ac:dyDescent="0.3">
      <c r="A15">
        <v>72888941</v>
      </c>
      <c r="B15" t="s">
        <v>1154</v>
      </c>
    </row>
    <row r="16" spans="1:4" x14ac:dyDescent="0.3">
      <c r="A16">
        <v>7278442030</v>
      </c>
      <c r="B16" t="s">
        <v>1154</v>
      </c>
    </row>
    <row r="17" spans="1:2" x14ac:dyDescent="0.3">
      <c r="A17">
        <v>72985208</v>
      </c>
      <c r="B17" t="s">
        <v>1154</v>
      </c>
    </row>
    <row r="18" spans="1:2" x14ac:dyDescent="0.3">
      <c r="A18">
        <v>7298108030</v>
      </c>
      <c r="B18" t="s">
        <v>1154</v>
      </c>
    </row>
    <row r="19" spans="1:2" x14ac:dyDescent="0.3">
      <c r="A19">
        <v>7198460730</v>
      </c>
      <c r="B19" t="s">
        <v>1154</v>
      </c>
    </row>
    <row r="20" spans="1:2" x14ac:dyDescent="0.3">
      <c r="A20">
        <v>7298154930</v>
      </c>
      <c r="B20" t="s">
        <v>1154</v>
      </c>
    </row>
    <row r="21" spans="1:2" x14ac:dyDescent="0.3">
      <c r="A21">
        <v>7298150830</v>
      </c>
      <c r="B21" t="s">
        <v>1154</v>
      </c>
    </row>
    <row r="22" spans="1:2" x14ac:dyDescent="0.3">
      <c r="A22">
        <v>71191147</v>
      </c>
      <c r="B22" t="s">
        <v>1154</v>
      </c>
    </row>
    <row r="23" spans="1:2" x14ac:dyDescent="0.3">
      <c r="B23" t="s">
        <v>1154</v>
      </c>
    </row>
    <row r="24" spans="1:2" x14ac:dyDescent="0.3">
      <c r="A24">
        <v>7187090590</v>
      </c>
      <c r="B24" t="s">
        <v>1154</v>
      </c>
    </row>
    <row r="25" spans="1:2" x14ac:dyDescent="0.3">
      <c r="A25">
        <v>7277015590</v>
      </c>
      <c r="B25" t="s">
        <v>1154</v>
      </c>
    </row>
    <row r="26" spans="1:2" x14ac:dyDescent="0.3">
      <c r="A26">
        <v>7187090560</v>
      </c>
      <c r="B26" t="s">
        <v>1154</v>
      </c>
    </row>
    <row r="27" spans="1:2" x14ac:dyDescent="0.3">
      <c r="A27">
        <v>71870905</v>
      </c>
      <c r="B27" t="s">
        <v>1154</v>
      </c>
    </row>
    <row r="28" spans="1:2" x14ac:dyDescent="0.3">
      <c r="A28">
        <v>71983904</v>
      </c>
      <c r="B28" t="s">
        <v>1154</v>
      </c>
    </row>
    <row r="29" spans="1:2" x14ac:dyDescent="0.3">
      <c r="A29">
        <v>7287741830</v>
      </c>
      <c r="B29" t="s">
        <v>1154</v>
      </c>
    </row>
    <row r="30" spans="1:2" x14ac:dyDescent="0.3">
      <c r="A30">
        <v>7288907230</v>
      </c>
      <c r="B30" t="s">
        <v>1154</v>
      </c>
    </row>
    <row r="31" spans="1:2" x14ac:dyDescent="0.3">
      <c r="A31">
        <v>7298227830</v>
      </c>
      <c r="B31" t="s">
        <v>1154</v>
      </c>
    </row>
    <row r="32" spans="1:2" x14ac:dyDescent="0.3">
      <c r="A32">
        <v>7298227830</v>
      </c>
      <c r="B32" t="s">
        <v>1154</v>
      </c>
    </row>
    <row r="33" spans="1:2" x14ac:dyDescent="0.3">
      <c r="A33">
        <v>7298593130</v>
      </c>
      <c r="B33" t="s">
        <v>1154</v>
      </c>
    </row>
    <row r="34" spans="1:2" x14ac:dyDescent="0.3">
      <c r="A34">
        <v>7298593130</v>
      </c>
      <c r="B34" t="s">
        <v>1154</v>
      </c>
    </row>
    <row r="35" spans="1:2" x14ac:dyDescent="0.3">
      <c r="A35">
        <v>7285207290</v>
      </c>
      <c r="B35" t="s">
        <v>1154</v>
      </c>
    </row>
    <row r="36" spans="1:2" x14ac:dyDescent="0.3">
      <c r="A36">
        <v>7287720230</v>
      </c>
      <c r="B36" t="s">
        <v>1154</v>
      </c>
    </row>
    <row r="37" spans="1:2" x14ac:dyDescent="0.3">
      <c r="A37">
        <v>71870905</v>
      </c>
      <c r="B37" t="s">
        <v>1154</v>
      </c>
    </row>
    <row r="38" spans="1:2" x14ac:dyDescent="0.3">
      <c r="B38" t="s">
        <v>1154</v>
      </c>
    </row>
    <row r="39" spans="1:2" x14ac:dyDescent="0.3">
      <c r="A39">
        <v>7298228030</v>
      </c>
      <c r="B39" t="s">
        <v>1154</v>
      </c>
    </row>
    <row r="40" spans="1:2" x14ac:dyDescent="0.3">
      <c r="A40">
        <v>7288907230</v>
      </c>
      <c r="B40" t="s">
        <v>1154</v>
      </c>
    </row>
    <row r="41" spans="1:2" x14ac:dyDescent="0.3">
      <c r="A41">
        <v>7298228030</v>
      </c>
      <c r="B41" t="s">
        <v>1154</v>
      </c>
    </row>
    <row r="42" spans="1:2" x14ac:dyDescent="0.3">
      <c r="A42">
        <v>7298593130</v>
      </c>
      <c r="B42" t="s">
        <v>1154</v>
      </c>
    </row>
    <row r="43" spans="1:2" x14ac:dyDescent="0.3">
      <c r="A43">
        <v>7298250730</v>
      </c>
      <c r="B43" t="s">
        <v>1154</v>
      </c>
    </row>
    <row r="44" spans="1:2" x14ac:dyDescent="0.3">
      <c r="A44">
        <v>7283368530</v>
      </c>
      <c r="B44" t="s">
        <v>1154</v>
      </c>
    </row>
    <row r="45" spans="1:2" x14ac:dyDescent="0.3">
      <c r="A45">
        <v>7287720230</v>
      </c>
      <c r="B45" t="s">
        <v>1154</v>
      </c>
    </row>
    <row r="46" spans="1:2" x14ac:dyDescent="0.3">
      <c r="A46">
        <v>7278121430</v>
      </c>
      <c r="B46" t="s">
        <v>1154</v>
      </c>
    </row>
    <row r="47" spans="1:2" x14ac:dyDescent="0.3">
      <c r="A47">
        <v>7298186530</v>
      </c>
      <c r="B47" t="s">
        <v>1154</v>
      </c>
    </row>
    <row r="48" spans="1:2" x14ac:dyDescent="0.3">
      <c r="A48">
        <v>7298186930</v>
      </c>
      <c r="B48" t="s">
        <v>1154</v>
      </c>
    </row>
    <row r="49" spans="1:2" x14ac:dyDescent="0.3">
      <c r="A49">
        <v>7222740630</v>
      </c>
      <c r="B49" t="s">
        <v>1154</v>
      </c>
    </row>
    <row r="50" spans="1:2" x14ac:dyDescent="0.3">
      <c r="A50">
        <v>7187090560</v>
      </c>
      <c r="B50" t="s">
        <v>1154</v>
      </c>
    </row>
    <row r="51" spans="1:2" x14ac:dyDescent="0.3">
      <c r="A51">
        <v>7298593130</v>
      </c>
      <c r="B51" t="s">
        <v>1154</v>
      </c>
    </row>
    <row r="52" spans="1:2" x14ac:dyDescent="0.3">
      <c r="A52">
        <v>7219176430</v>
      </c>
      <c r="B52" t="s">
        <v>1155</v>
      </c>
    </row>
    <row r="53" spans="1:2" x14ac:dyDescent="0.3">
      <c r="A53">
        <v>7286738630</v>
      </c>
      <c r="B53" t="s">
        <v>1155</v>
      </c>
    </row>
    <row r="54" spans="1:2" x14ac:dyDescent="0.3">
      <c r="A54">
        <v>7298173030</v>
      </c>
      <c r="B54" t="s">
        <v>1155</v>
      </c>
    </row>
    <row r="55" spans="1:2" x14ac:dyDescent="0.3">
      <c r="A55">
        <v>7278239430</v>
      </c>
      <c r="B55" t="s">
        <v>1155</v>
      </c>
    </row>
    <row r="56" spans="1:2" x14ac:dyDescent="0.3">
      <c r="A56">
        <v>7278197840</v>
      </c>
      <c r="B56" t="s">
        <v>1155</v>
      </c>
    </row>
    <row r="57" spans="1:2" x14ac:dyDescent="0.3">
      <c r="A57">
        <v>7298171330</v>
      </c>
      <c r="B57" t="s">
        <v>1155</v>
      </c>
    </row>
    <row r="58" spans="1:2" x14ac:dyDescent="0.3">
      <c r="B58" t="s">
        <v>1155</v>
      </c>
    </row>
    <row r="59" spans="1:2" x14ac:dyDescent="0.3">
      <c r="A59">
        <v>7298790330</v>
      </c>
      <c r="B59" t="s">
        <v>1155</v>
      </c>
    </row>
    <row r="60" spans="1:2" x14ac:dyDescent="0.3">
      <c r="A60">
        <v>7298790330</v>
      </c>
      <c r="B60" t="s">
        <v>1155</v>
      </c>
    </row>
    <row r="61" spans="1:2" x14ac:dyDescent="0.3">
      <c r="A61">
        <v>7298186930</v>
      </c>
      <c r="B61" t="s">
        <v>1155</v>
      </c>
    </row>
    <row r="62" spans="1:2" x14ac:dyDescent="0.3">
      <c r="A62">
        <v>7288907230</v>
      </c>
      <c r="B62" t="s">
        <v>1155</v>
      </c>
    </row>
    <row r="63" spans="1:2" x14ac:dyDescent="0.3">
      <c r="A63">
        <v>7298186530</v>
      </c>
      <c r="B63" t="s">
        <v>1155</v>
      </c>
    </row>
    <row r="64" spans="1:2" x14ac:dyDescent="0.3">
      <c r="A64">
        <v>7289508430</v>
      </c>
      <c r="B64" t="s">
        <v>1155</v>
      </c>
    </row>
    <row r="65" spans="1:2" x14ac:dyDescent="0.3">
      <c r="A65">
        <v>7298186930</v>
      </c>
      <c r="B65" t="s">
        <v>1155</v>
      </c>
    </row>
    <row r="66" spans="1:2" x14ac:dyDescent="0.3">
      <c r="A66">
        <v>7298790830</v>
      </c>
      <c r="B66" t="s">
        <v>1155</v>
      </c>
    </row>
    <row r="67" spans="1:2" x14ac:dyDescent="0.3">
      <c r="A67">
        <v>7289508430</v>
      </c>
      <c r="B67" t="s">
        <v>1155</v>
      </c>
    </row>
    <row r="68" spans="1:2" x14ac:dyDescent="0.3">
      <c r="A68">
        <v>7286139730</v>
      </c>
      <c r="B68" t="s">
        <v>1155</v>
      </c>
    </row>
    <row r="69" spans="1:2" x14ac:dyDescent="0.3">
      <c r="A69">
        <v>7287821130</v>
      </c>
      <c r="B69" t="s">
        <v>1155</v>
      </c>
    </row>
    <row r="70" spans="1:2" x14ac:dyDescent="0.3">
      <c r="A70">
        <v>7298186530</v>
      </c>
      <c r="B70" t="s">
        <v>1155</v>
      </c>
    </row>
    <row r="71" spans="1:2" x14ac:dyDescent="0.3">
      <c r="B71" t="s">
        <v>1155</v>
      </c>
    </row>
    <row r="72" spans="1:2" x14ac:dyDescent="0.3">
      <c r="A72">
        <v>7119153830</v>
      </c>
      <c r="B72" t="s">
        <v>1155</v>
      </c>
    </row>
    <row r="73" spans="1:2" x14ac:dyDescent="0.3">
      <c r="A73">
        <v>7119689030</v>
      </c>
      <c r="B73" t="s">
        <v>1155</v>
      </c>
    </row>
    <row r="74" spans="1:2" x14ac:dyDescent="0.3">
      <c r="A74">
        <v>7286145630</v>
      </c>
      <c r="B74" t="s">
        <v>1155</v>
      </c>
    </row>
    <row r="75" spans="1:2" x14ac:dyDescent="0.3">
      <c r="A75">
        <v>7287180440</v>
      </c>
      <c r="B75" t="s">
        <v>1155</v>
      </c>
    </row>
    <row r="76" spans="1:2" x14ac:dyDescent="0.3">
      <c r="A76">
        <v>72980788</v>
      </c>
      <c r="B76" t="s">
        <v>1155</v>
      </c>
    </row>
    <row r="77" spans="1:2" x14ac:dyDescent="0.3">
      <c r="A77" t="s">
        <v>1158</v>
      </c>
      <c r="B77" t="s">
        <v>1155</v>
      </c>
    </row>
    <row r="78" spans="1:2" x14ac:dyDescent="0.3">
      <c r="A78">
        <v>7298237430</v>
      </c>
      <c r="B78" t="s">
        <v>1155</v>
      </c>
    </row>
    <row r="79" spans="1:2" x14ac:dyDescent="0.3">
      <c r="A79">
        <v>7298237430</v>
      </c>
      <c r="B79" t="s">
        <v>1155</v>
      </c>
    </row>
    <row r="80" spans="1:2" x14ac:dyDescent="0.3">
      <c r="A80">
        <v>7298237430</v>
      </c>
      <c r="B80" t="s">
        <v>1155</v>
      </c>
    </row>
    <row r="81" spans="1:2" x14ac:dyDescent="0.3">
      <c r="A81">
        <v>7298237430</v>
      </c>
      <c r="B81" t="s">
        <v>1155</v>
      </c>
    </row>
    <row r="82" spans="1:2" x14ac:dyDescent="0.3">
      <c r="A82" t="s">
        <v>1159</v>
      </c>
      <c r="B82" t="s">
        <v>1155</v>
      </c>
    </row>
    <row r="83" spans="1:2" x14ac:dyDescent="0.3">
      <c r="A83" t="s">
        <v>1159</v>
      </c>
      <c r="B83" t="s">
        <v>1155</v>
      </c>
    </row>
    <row r="84" spans="1:2" x14ac:dyDescent="0.3">
      <c r="B84" t="s">
        <v>1155</v>
      </c>
    </row>
    <row r="85" spans="1:2" x14ac:dyDescent="0.3">
      <c r="A85">
        <v>7298790130</v>
      </c>
      <c r="B85" t="s">
        <v>1155</v>
      </c>
    </row>
    <row r="86" spans="1:2" x14ac:dyDescent="0.3">
      <c r="A86">
        <v>7288907230</v>
      </c>
      <c r="B86" t="s">
        <v>1155</v>
      </c>
    </row>
    <row r="87" spans="1:2" x14ac:dyDescent="0.3">
      <c r="A87">
        <v>7288907230</v>
      </c>
      <c r="B87" t="s">
        <v>1155</v>
      </c>
    </row>
    <row r="88" spans="1:2" x14ac:dyDescent="0.3">
      <c r="A88">
        <v>7282559510</v>
      </c>
      <c r="B88" t="s">
        <v>1155</v>
      </c>
    </row>
    <row r="89" spans="1:2" x14ac:dyDescent="0.3">
      <c r="A89">
        <v>7278451130</v>
      </c>
      <c r="B89" t="s">
        <v>1155</v>
      </c>
    </row>
    <row r="90" spans="1:2" x14ac:dyDescent="0.3">
      <c r="A90">
        <v>7298237430</v>
      </c>
      <c r="B90" t="s">
        <v>1155</v>
      </c>
    </row>
    <row r="91" spans="1:2" x14ac:dyDescent="0.3">
      <c r="A91">
        <v>7298237430</v>
      </c>
      <c r="B91" t="s">
        <v>1155</v>
      </c>
    </row>
    <row r="92" spans="1:2" x14ac:dyDescent="0.3">
      <c r="A92">
        <v>7298228210</v>
      </c>
      <c r="B92" t="s">
        <v>1155</v>
      </c>
    </row>
    <row r="93" spans="1:2" x14ac:dyDescent="0.3">
      <c r="A93">
        <v>7219631630</v>
      </c>
      <c r="B93" t="s">
        <v>1156</v>
      </c>
    </row>
    <row r="94" spans="1:2" x14ac:dyDescent="0.3">
      <c r="A94">
        <v>7219631630</v>
      </c>
      <c r="B94" t="s">
        <v>1156</v>
      </c>
    </row>
    <row r="95" spans="1:2" x14ac:dyDescent="0.3">
      <c r="A95">
        <v>7219631630</v>
      </c>
      <c r="B95" t="s">
        <v>1156</v>
      </c>
    </row>
    <row r="96" spans="1:2" x14ac:dyDescent="0.3">
      <c r="A96">
        <v>7219631630</v>
      </c>
      <c r="B96" t="s">
        <v>1156</v>
      </c>
    </row>
    <row r="97" spans="1:2" x14ac:dyDescent="0.3">
      <c r="A97">
        <v>7288907230</v>
      </c>
      <c r="B97" t="s">
        <v>1156</v>
      </c>
    </row>
    <row r="98" spans="1:2" x14ac:dyDescent="0.3">
      <c r="A98">
        <v>7298186530</v>
      </c>
      <c r="B98" t="s">
        <v>1156</v>
      </c>
    </row>
    <row r="99" spans="1:2" x14ac:dyDescent="0.3">
      <c r="A99">
        <v>7186066580</v>
      </c>
      <c r="B99" t="s">
        <v>1156</v>
      </c>
    </row>
    <row r="100" spans="1:2" x14ac:dyDescent="0.3">
      <c r="A100">
        <v>7283464030</v>
      </c>
      <c r="B100" t="s">
        <v>1156</v>
      </c>
    </row>
    <row r="101" spans="1:2" x14ac:dyDescent="0.3">
      <c r="A101">
        <v>71860665</v>
      </c>
      <c r="B101" t="s">
        <v>1156</v>
      </c>
    </row>
    <row r="102" spans="1:2" x14ac:dyDescent="0.3">
      <c r="A102">
        <v>7289567230</v>
      </c>
      <c r="B102" t="s">
        <v>1156</v>
      </c>
    </row>
    <row r="103" spans="1:2" x14ac:dyDescent="0.3">
      <c r="A103">
        <v>7186066560</v>
      </c>
      <c r="B103" t="s">
        <v>1156</v>
      </c>
    </row>
    <row r="104" spans="1:2" x14ac:dyDescent="0.3">
      <c r="A104">
        <v>7186066590</v>
      </c>
      <c r="B104" t="s">
        <v>1156</v>
      </c>
    </row>
    <row r="105" spans="1:2" x14ac:dyDescent="0.3">
      <c r="A105">
        <v>7298079230</v>
      </c>
      <c r="B105" t="s">
        <v>1156</v>
      </c>
    </row>
    <row r="106" spans="1:2" x14ac:dyDescent="0.3">
      <c r="A106">
        <v>72975392</v>
      </c>
      <c r="B106" t="s">
        <v>1156</v>
      </c>
    </row>
    <row r="107" spans="1:2" x14ac:dyDescent="0.3">
      <c r="A107">
        <v>7287149830</v>
      </c>
      <c r="B107" t="s">
        <v>1156</v>
      </c>
    </row>
    <row r="108" spans="1:2" x14ac:dyDescent="0.3">
      <c r="A108">
        <v>7171192330</v>
      </c>
      <c r="B108" t="s">
        <v>1156</v>
      </c>
    </row>
    <row r="109" spans="1:2" x14ac:dyDescent="0.3">
      <c r="A109">
        <v>7171297430</v>
      </c>
      <c r="B109" t="s">
        <v>1156</v>
      </c>
    </row>
    <row r="110" spans="1:2" x14ac:dyDescent="0.3">
      <c r="A110">
        <v>7171297430</v>
      </c>
      <c r="B110" t="s">
        <v>1156</v>
      </c>
    </row>
    <row r="111" spans="1:2" x14ac:dyDescent="0.3">
      <c r="A111">
        <v>7171297430</v>
      </c>
      <c r="B111" t="s">
        <v>1156</v>
      </c>
    </row>
    <row r="112" spans="1:2" x14ac:dyDescent="0.3">
      <c r="A112">
        <v>7298980540</v>
      </c>
      <c r="B112" t="s">
        <v>1156</v>
      </c>
    </row>
    <row r="113" spans="1:2" x14ac:dyDescent="0.3">
      <c r="A113">
        <v>7154058630</v>
      </c>
      <c r="B113" t="s">
        <v>1156</v>
      </c>
    </row>
    <row r="114" spans="1:2" x14ac:dyDescent="0.3">
      <c r="A114">
        <v>7171192330</v>
      </c>
      <c r="B114" t="s">
        <v>1156</v>
      </c>
    </row>
    <row r="115" spans="1:2" x14ac:dyDescent="0.3">
      <c r="A115">
        <v>7287150380</v>
      </c>
      <c r="B115" t="s">
        <v>1156</v>
      </c>
    </row>
    <row r="116" spans="1:2" x14ac:dyDescent="0.3">
      <c r="A116">
        <v>7171297430</v>
      </c>
      <c r="B116" t="s">
        <v>1156</v>
      </c>
    </row>
    <row r="117" spans="1:2" x14ac:dyDescent="0.3">
      <c r="A117">
        <v>7171297430</v>
      </c>
      <c r="B117" t="s">
        <v>1156</v>
      </c>
    </row>
    <row r="118" spans="1:2" x14ac:dyDescent="0.3">
      <c r="A118">
        <v>7298170230</v>
      </c>
      <c r="B118" t="s">
        <v>1156</v>
      </c>
    </row>
    <row r="119" spans="1:2" x14ac:dyDescent="0.3">
      <c r="A119">
        <v>7298186530</v>
      </c>
      <c r="B119" t="s">
        <v>1156</v>
      </c>
    </row>
    <row r="120" spans="1:2" x14ac:dyDescent="0.3">
      <c r="A120">
        <v>7287018730</v>
      </c>
      <c r="B120" t="s">
        <v>1156</v>
      </c>
    </row>
    <row r="121" spans="1:2" x14ac:dyDescent="0.3">
      <c r="A121">
        <v>7219631630</v>
      </c>
      <c r="B121" t="s">
        <v>1156</v>
      </c>
    </row>
    <row r="122" spans="1:2" x14ac:dyDescent="0.3">
      <c r="A122">
        <v>7298227830</v>
      </c>
      <c r="B122" t="s">
        <v>1156</v>
      </c>
    </row>
    <row r="123" spans="1:2" x14ac:dyDescent="0.3">
      <c r="A123">
        <v>7278451130</v>
      </c>
      <c r="B123" t="s">
        <v>1156</v>
      </c>
    </row>
    <row r="124" spans="1:2" x14ac:dyDescent="0.3">
      <c r="A124">
        <v>7288907230</v>
      </c>
      <c r="B124" t="s">
        <v>1156</v>
      </c>
    </row>
    <row r="125" spans="1:2" x14ac:dyDescent="0.3">
      <c r="A125">
        <v>7298186530</v>
      </c>
      <c r="B125" t="s">
        <v>1156</v>
      </c>
    </row>
    <row r="126" spans="1:2" x14ac:dyDescent="0.3">
      <c r="A126">
        <v>72987902</v>
      </c>
      <c r="B126" t="s">
        <v>1156</v>
      </c>
    </row>
    <row r="127" spans="1:2" x14ac:dyDescent="0.3">
      <c r="A127">
        <v>7289909030</v>
      </c>
      <c r="B127" t="s">
        <v>1156</v>
      </c>
    </row>
    <row r="128" spans="1:2" x14ac:dyDescent="0.3">
      <c r="A128">
        <v>7298593130</v>
      </c>
      <c r="B128" t="s">
        <v>1156</v>
      </c>
    </row>
    <row r="129" spans="1:2" x14ac:dyDescent="0.3">
      <c r="A129">
        <v>7298079230</v>
      </c>
      <c r="B129" t="s">
        <v>1156</v>
      </c>
    </row>
    <row r="130" spans="1:2" x14ac:dyDescent="0.3">
      <c r="A130">
        <v>7271295130</v>
      </c>
      <c r="B130" t="s">
        <v>1156</v>
      </c>
    </row>
    <row r="131" spans="1:2" x14ac:dyDescent="0.3">
      <c r="A131">
        <v>7287801830</v>
      </c>
      <c r="B131" t="s">
        <v>1156</v>
      </c>
    </row>
    <row r="132" spans="1:2" x14ac:dyDescent="0.3">
      <c r="A132">
        <v>7223160530</v>
      </c>
      <c r="B132" t="s">
        <v>1156</v>
      </c>
    </row>
    <row r="133" spans="1:2" x14ac:dyDescent="0.3">
      <c r="A133">
        <v>7283464030</v>
      </c>
      <c r="B133" t="s">
        <v>1156</v>
      </c>
    </row>
    <row r="134" spans="1:2" x14ac:dyDescent="0.3">
      <c r="A134">
        <v>7219113440</v>
      </c>
      <c r="B134" t="s">
        <v>1156</v>
      </c>
    </row>
    <row r="135" spans="1:2" x14ac:dyDescent="0.3">
      <c r="A135">
        <v>7298593130</v>
      </c>
      <c r="B135" t="s">
        <v>1156</v>
      </c>
    </row>
    <row r="136" spans="1:2" x14ac:dyDescent="0.3">
      <c r="A136">
        <v>72781797</v>
      </c>
      <c r="B136" t="s">
        <v>1156</v>
      </c>
    </row>
    <row r="137" spans="1:2" x14ac:dyDescent="0.3">
      <c r="A137">
        <v>7298237430</v>
      </c>
      <c r="B137" t="s">
        <v>1156</v>
      </c>
    </row>
    <row r="138" spans="1:2" x14ac:dyDescent="0.3">
      <c r="A138">
        <v>7298790830</v>
      </c>
      <c r="B138" t="s">
        <v>1156</v>
      </c>
    </row>
    <row r="139" spans="1:2" x14ac:dyDescent="0.3">
      <c r="A139">
        <v>7298790830</v>
      </c>
      <c r="B139" t="s">
        <v>1156</v>
      </c>
    </row>
    <row r="140" spans="1:2" x14ac:dyDescent="0.3">
      <c r="A140">
        <v>7298186930</v>
      </c>
      <c r="B140" t="s">
        <v>1156</v>
      </c>
    </row>
    <row r="141" spans="1:2" x14ac:dyDescent="0.3">
      <c r="A141">
        <v>7298790130</v>
      </c>
      <c r="B141" t="s">
        <v>1156</v>
      </c>
    </row>
    <row r="142" spans="1:2" x14ac:dyDescent="0.3">
      <c r="A142">
        <v>7298186530</v>
      </c>
      <c r="B142" t="s">
        <v>1156</v>
      </c>
    </row>
    <row r="143" spans="1:2" x14ac:dyDescent="0.3">
      <c r="A143">
        <v>7298186530</v>
      </c>
      <c r="B143" t="s">
        <v>1156</v>
      </c>
    </row>
    <row r="144" spans="1:2" x14ac:dyDescent="0.3">
      <c r="A144">
        <v>7298237430</v>
      </c>
      <c r="B144" t="s">
        <v>1156</v>
      </c>
    </row>
    <row r="145" spans="1:2" x14ac:dyDescent="0.3">
      <c r="A145">
        <v>7287150380</v>
      </c>
      <c r="B145" t="s">
        <v>1156</v>
      </c>
    </row>
    <row r="146" spans="1:2" x14ac:dyDescent="0.3">
      <c r="A146">
        <v>7278121240</v>
      </c>
      <c r="B146" t="s">
        <v>1156</v>
      </c>
    </row>
    <row r="147" spans="1:2" x14ac:dyDescent="0.3">
      <c r="A147">
        <v>72897496</v>
      </c>
      <c r="B147" t="s">
        <v>1156</v>
      </c>
    </row>
    <row r="148" spans="1:2" x14ac:dyDescent="0.3">
      <c r="A148">
        <v>7298108030</v>
      </c>
      <c r="B148" t="s">
        <v>1156</v>
      </c>
    </row>
    <row r="149" spans="1:2" x14ac:dyDescent="0.3">
      <c r="A149">
        <v>7298108030</v>
      </c>
      <c r="B149" t="s">
        <v>1156</v>
      </c>
    </row>
    <row r="150" spans="1:2" x14ac:dyDescent="0.3">
      <c r="A150">
        <v>7154075530</v>
      </c>
      <c r="B150" t="s">
        <v>1156</v>
      </c>
    </row>
    <row r="151" spans="1:2" x14ac:dyDescent="0.3">
      <c r="A151">
        <v>7154058630</v>
      </c>
      <c r="B151" t="s">
        <v>1156</v>
      </c>
    </row>
    <row r="152" spans="1:2" x14ac:dyDescent="0.3">
      <c r="A152">
        <v>7171297430</v>
      </c>
      <c r="B152" t="s">
        <v>1156</v>
      </c>
    </row>
    <row r="153" spans="1:2" x14ac:dyDescent="0.3">
      <c r="A153">
        <v>7154026130</v>
      </c>
      <c r="B153" t="s">
        <v>1156</v>
      </c>
    </row>
    <row r="154" spans="1:2" x14ac:dyDescent="0.3">
      <c r="A154">
        <v>7004128702</v>
      </c>
      <c r="B154" t="s">
        <v>1156</v>
      </c>
    </row>
    <row r="155" spans="1:2" x14ac:dyDescent="0.3">
      <c r="A155">
        <v>7004128702</v>
      </c>
      <c r="B155" t="s">
        <v>1156</v>
      </c>
    </row>
    <row r="156" spans="1:2" x14ac:dyDescent="0.3">
      <c r="A156">
        <v>7004128702</v>
      </c>
      <c r="B156" t="s">
        <v>1156</v>
      </c>
    </row>
    <row r="157" spans="1:2" x14ac:dyDescent="0.3">
      <c r="A157">
        <v>7004128702</v>
      </c>
      <c r="B157" t="s">
        <v>1156</v>
      </c>
    </row>
    <row r="158" spans="1:2" x14ac:dyDescent="0.3">
      <c r="A158">
        <v>7274349370</v>
      </c>
      <c r="B158" t="s">
        <v>1157</v>
      </c>
    </row>
    <row r="159" spans="1:2" x14ac:dyDescent="0.3">
      <c r="A159">
        <v>7075218330</v>
      </c>
      <c r="B159" t="s">
        <v>1157</v>
      </c>
    </row>
    <row r="160" spans="1:2" x14ac:dyDescent="0.3">
      <c r="A160">
        <v>72975207</v>
      </c>
      <c r="B160" t="s">
        <v>1157</v>
      </c>
    </row>
    <row r="161" spans="1:2" x14ac:dyDescent="0.3">
      <c r="A161">
        <v>7234488830</v>
      </c>
      <c r="B161" t="s">
        <v>1157</v>
      </c>
    </row>
    <row r="162" spans="1:2" x14ac:dyDescent="0.3">
      <c r="A162">
        <v>71983904</v>
      </c>
      <c r="B162" t="s">
        <v>1157</v>
      </c>
    </row>
    <row r="163" spans="1:2" x14ac:dyDescent="0.3">
      <c r="A163">
        <v>7187090580</v>
      </c>
      <c r="B163" t="s">
        <v>1157</v>
      </c>
    </row>
    <row r="164" spans="1:2" x14ac:dyDescent="0.3">
      <c r="A164">
        <v>7187090590</v>
      </c>
      <c r="B164" t="s">
        <v>1157</v>
      </c>
    </row>
    <row r="165" spans="1:2" x14ac:dyDescent="0.3">
      <c r="A165">
        <v>71870905</v>
      </c>
      <c r="B165" t="s">
        <v>1157</v>
      </c>
    </row>
    <row r="166" spans="1:2" x14ac:dyDescent="0.3">
      <c r="A166">
        <v>7187090560</v>
      </c>
      <c r="B166" t="s">
        <v>1157</v>
      </c>
    </row>
    <row r="167" spans="1:2" x14ac:dyDescent="0.3">
      <c r="A167" t="s">
        <v>1160</v>
      </c>
      <c r="B167" t="s">
        <v>1157</v>
      </c>
    </row>
    <row r="168" spans="1:2" x14ac:dyDescent="0.3">
      <c r="A168">
        <v>7289773340</v>
      </c>
      <c r="B168" t="s">
        <v>1157</v>
      </c>
    </row>
    <row r="169" spans="1:2" x14ac:dyDescent="0.3">
      <c r="A169" t="s">
        <v>1160</v>
      </c>
      <c r="B169" t="s">
        <v>1157</v>
      </c>
    </row>
    <row r="170" spans="1:2" x14ac:dyDescent="0.3">
      <c r="A170">
        <v>7154041130</v>
      </c>
      <c r="B170" t="s">
        <v>1157</v>
      </c>
    </row>
    <row r="171" spans="1:2" x14ac:dyDescent="0.3">
      <c r="A171">
        <v>7119674430</v>
      </c>
      <c r="B171" t="s">
        <v>1157</v>
      </c>
    </row>
    <row r="172" spans="1:2" x14ac:dyDescent="0.3">
      <c r="A172">
        <v>7282374040</v>
      </c>
      <c r="B172" t="s">
        <v>1157</v>
      </c>
    </row>
    <row r="173" spans="1:2" x14ac:dyDescent="0.3">
      <c r="A173">
        <v>7186066590</v>
      </c>
      <c r="B173" t="s">
        <v>1157</v>
      </c>
    </row>
    <row r="174" spans="1:2" x14ac:dyDescent="0.3">
      <c r="A174">
        <v>71860665</v>
      </c>
      <c r="B174" t="s">
        <v>1157</v>
      </c>
    </row>
    <row r="175" spans="1:2" x14ac:dyDescent="0.3">
      <c r="A175">
        <v>7186066560</v>
      </c>
      <c r="B175" t="s">
        <v>1157</v>
      </c>
    </row>
    <row r="176" spans="1:2" x14ac:dyDescent="0.3">
      <c r="A176">
        <v>72975392</v>
      </c>
      <c r="B176" t="s">
        <v>1157</v>
      </c>
    </row>
    <row r="177" spans="1:2" x14ac:dyDescent="0.3">
      <c r="A177">
        <v>7288907230</v>
      </c>
      <c r="B177" t="s">
        <v>1157</v>
      </c>
    </row>
    <row r="178" spans="1:2" x14ac:dyDescent="0.3">
      <c r="A178">
        <v>7119679430</v>
      </c>
      <c r="B178" t="s">
        <v>1157</v>
      </c>
    </row>
    <row r="179" spans="1:2" x14ac:dyDescent="0.3">
      <c r="A179">
        <v>7297565530</v>
      </c>
      <c r="B179" t="s">
        <v>1157</v>
      </c>
    </row>
    <row r="180" spans="1:2" x14ac:dyDescent="0.3">
      <c r="A180">
        <v>72899966</v>
      </c>
      <c r="B180" t="s">
        <v>1157</v>
      </c>
    </row>
    <row r="181" spans="1:2" x14ac:dyDescent="0.3">
      <c r="A181">
        <v>7298200830</v>
      </c>
      <c r="B181" t="s">
        <v>1157</v>
      </c>
    </row>
    <row r="182" spans="1:2" x14ac:dyDescent="0.3">
      <c r="A182">
        <v>72780597</v>
      </c>
      <c r="B182" t="s">
        <v>1157</v>
      </c>
    </row>
    <row r="183" spans="1:2" x14ac:dyDescent="0.3">
      <c r="A183">
        <v>71196834</v>
      </c>
      <c r="B183" t="s">
        <v>1157</v>
      </c>
    </row>
    <row r="184" spans="1:2" x14ac:dyDescent="0.3">
      <c r="A184">
        <v>7119683530</v>
      </c>
      <c r="B184" t="s">
        <v>1157</v>
      </c>
    </row>
    <row r="185" spans="1:2" x14ac:dyDescent="0.3">
      <c r="A185">
        <v>7287766270</v>
      </c>
      <c r="B185" t="s">
        <v>1157</v>
      </c>
    </row>
    <row r="186" spans="1:2" x14ac:dyDescent="0.3">
      <c r="A186">
        <v>7298150830</v>
      </c>
      <c r="B186" t="s">
        <v>1157</v>
      </c>
    </row>
    <row r="187" spans="1:2" x14ac:dyDescent="0.3">
      <c r="A187">
        <v>7223160530</v>
      </c>
      <c r="B187" t="s">
        <v>1157</v>
      </c>
    </row>
    <row r="188" spans="1:2" x14ac:dyDescent="0.3">
      <c r="A188">
        <v>7119679830</v>
      </c>
      <c r="B188" t="s">
        <v>1157</v>
      </c>
    </row>
    <row r="189" spans="1:2" x14ac:dyDescent="0.3">
      <c r="A189">
        <v>7287143930</v>
      </c>
      <c r="B189" t="s">
        <v>1157</v>
      </c>
    </row>
    <row r="190" spans="1:2" x14ac:dyDescent="0.3">
      <c r="A190">
        <v>7219683340</v>
      </c>
      <c r="B190" t="s">
        <v>1157</v>
      </c>
    </row>
    <row r="191" spans="1:2" x14ac:dyDescent="0.3">
      <c r="A191">
        <v>7287476780</v>
      </c>
      <c r="B191" t="s">
        <v>1157</v>
      </c>
    </row>
    <row r="192" spans="1:2" x14ac:dyDescent="0.3">
      <c r="A192">
        <v>7289862080</v>
      </c>
      <c r="B192" t="s">
        <v>1157</v>
      </c>
    </row>
    <row r="193" spans="1:2" x14ac:dyDescent="0.3">
      <c r="A193">
        <v>72782561</v>
      </c>
      <c r="B193" t="s">
        <v>1157</v>
      </c>
    </row>
    <row r="194" spans="1:2" x14ac:dyDescent="0.3">
      <c r="A194">
        <v>72975392</v>
      </c>
      <c r="B194" t="s">
        <v>1157</v>
      </c>
    </row>
    <row r="195" spans="1:2" x14ac:dyDescent="0.3">
      <c r="A195">
        <v>7222740630</v>
      </c>
      <c r="B195" t="s">
        <v>1157</v>
      </c>
    </row>
    <row r="196" spans="1:2" x14ac:dyDescent="0.3">
      <c r="A196">
        <v>7119185330</v>
      </c>
      <c r="B196" t="s">
        <v>1157</v>
      </c>
    </row>
    <row r="197" spans="1:2" x14ac:dyDescent="0.3">
      <c r="A197">
        <v>7119185640</v>
      </c>
      <c r="B197" t="s">
        <v>1157</v>
      </c>
    </row>
    <row r="198" spans="1:2" x14ac:dyDescent="0.3">
      <c r="A198">
        <v>71781755</v>
      </c>
      <c r="B198" t="s">
        <v>1157</v>
      </c>
    </row>
    <row r="199" spans="1:2" x14ac:dyDescent="0.3">
      <c r="A199">
        <v>7178170830</v>
      </c>
      <c r="B199" t="s">
        <v>1157</v>
      </c>
    </row>
    <row r="200" spans="1:2" x14ac:dyDescent="0.3">
      <c r="A200">
        <v>7186066560</v>
      </c>
      <c r="B200" t="s">
        <v>1157</v>
      </c>
    </row>
    <row r="201" spans="1:2" x14ac:dyDescent="0.3">
      <c r="A201">
        <v>71860665</v>
      </c>
      <c r="B201" t="s">
        <v>1157</v>
      </c>
    </row>
    <row r="202" spans="1:2" x14ac:dyDescent="0.3">
      <c r="A202">
        <v>72888940</v>
      </c>
      <c r="B202" t="s">
        <v>1157</v>
      </c>
    </row>
    <row r="203" spans="1:2" x14ac:dyDescent="0.3">
      <c r="A203">
        <v>7278197730</v>
      </c>
      <c r="B203" t="s">
        <v>1157</v>
      </c>
    </row>
    <row r="204" spans="1:2" x14ac:dyDescent="0.3">
      <c r="A204">
        <v>7289778240</v>
      </c>
      <c r="B204" t="s">
        <v>1157</v>
      </c>
    </row>
    <row r="205" spans="1:2" x14ac:dyDescent="0.3">
      <c r="A205">
        <v>7154041130</v>
      </c>
      <c r="B205" t="s">
        <v>1157</v>
      </c>
    </row>
    <row r="206" spans="1:2" x14ac:dyDescent="0.3">
      <c r="A206">
        <v>7154075530</v>
      </c>
      <c r="B206" t="s">
        <v>1157</v>
      </c>
    </row>
    <row r="207" spans="1:2" x14ac:dyDescent="0.3">
      <c r="A207">
        <v>7298186530</v>
      </c>
      <c r="B207" t="s">
        <v>1157</v>
      </c>
    </row>
    <row r="208" spans="1:2" x14ac:dyDescent="0.3">
      <c r="A208" t="s">
        <v>1161</v>
      </c>
      <c r="B208" t="s">
        <v>1157</v>
      </c>
    </row>
    <row r="209" spans="1:2" x14ac:dyDescent="0.3">
      <c r="A209">
        <v>7278197730</v>
      </c>
      <c r="B209" t="s">
        <v>1157</v>
      </c>
    </row>
    <row r="210" spans="1:2" x14ac:dyDescent="0.3">
      <c r="A210">
        <v>7287011790</v>
      </c>
      <c r="B210" t="s">
        <v>1157</v>
      </c>
    </row>
    <row r="211" spans="1:2" x14ac:dyDescent="0.3">
      <c r="A211">
        <v>72780597</v>
      </c>
      <c r="B211" t="s">
        <v>1157</v>
      </c>
    </row>
    <row r="212" spans="1:2" x14ac:dyDescent="0.3">
      <c r="A212" t="s">
        <v>1162</v>
      </c>
      <c r="B212" t="s">
        <v>1157</v>
      </c>
    </row>
    <row r="213" spans="1:2" x14ac:dyDescent="0.3">
      <c r="A213">
        <v>7278179230</v>
      </c>
      <c r="B213" t="s">
        <v>1157</v>
      </c>
    </row>
    <row r="214" spans="1:2" x14ac:dyDescent="0.3">
      <c r="A214">
        <v>7287782930</v>
      </c>
      <c r="B214" t="s">
        <v>1157</v>
      </c>
    </row>
    <row r="215" spans="1:2" x14ac:dyDescent="0.3">
      <c r="A215">
        <v>72780597</v>
      </c>
      <c r="B215" t="s">
        <v>1157</v>
      </c>
    </row>
    <row r="216" spans="1:2" x14ac:dyDescent="0.3">
      <c r="A216">
        <v>7219116640</v>
      </c>
      <c r="B216" t="s">
        <v>1157</v>
      </c>
    </row>
    <row r="217" spans="1:2" x14ac:dyDescent="0.3">
      <c r="A217">
        <v>7119675830</v>
      </c>
      <c r="B217" t="s">
        <v>1157</v>
      </c>
    </row>
    <row r="218" spans="1:2" x14ac:dyDescent="0.3">
      <c r="A218">
        <v>71837758</v>
      </c>
      <c r="B218" t="s">
        <v>1157</v>
      </c>
    </row>
    <row r="219" spans="1:2" x14ac:dyDescent="0.3">
      <c r="A219">
        <v>7283907630</v>
      </c>
      <c r="B219" t="s">
        <v>1157</v>
      </c>
    </row>
    <row r="220" spans="1:2" x14ac:dyDescent="0.3">
      <c r="A220">
        <v>71837758</v>
      </c>
      <c r="B220" t="s">
        <v>1157</v>
      </c>
    </row>
    <row r="221" spans="1:2" x14ac:dyDescent="0.3">
      <c r="A221">
        <v>72878592</v>
      </c>
      <c r="B221" t="s">
        <v>1157</v>
      </c>
    </row>
    <row r="222" spans="1:2" x14ac:dyDescent="0.3">
      <c r="A222">
        <v>71191147</v>
      </c>
      <c r="B222" t="s">
        <v>1157</v>
      </c>
    </row>
    <row r="223" spans="1:2" x14ac:dyDescent="0.3">
      <c r="A223">
        <v>7274333840</v>
      </c>
      <c r="B223" t="s">
        <v>1157</v>
      </c>
    </row>
    <row r="224" spans="1:2" x14ac:dyDescent="0.3">
      <c r="A224">
        <v>7154075530</v>
      </c>
      <c r="B224" t="s">
        <v>1157</v>
      </c>
    </row>
    <row r="225" spans="1:2" x14ac:dyDescent="0.3">
      <c r="A225">
        <v>71237437</v>
      </c>
      <c r="B225" t="s">
        <v>1157</v>
      </c>
    </row>
    <row r="226" spans="1:2" x14ac:dyDescent="0.3">
      <c r="A226">
        <v>7278179230</v>
      </c>
      <c r="B226" t="s">
        <v>1157</v>
      </c>
    </row>
    <row r="227" spans="1:2" x14ac:dyDescent="0.3">
      <c r="A227">
        <v>7178170830</v>
      </c>
      <c r="B227" t="s">
        <v>1157</v>
      </c>
    </row>
    <row r="228" spans="1:2" x14ac:dyDescent="0.3">
      <c r="A228">
        <v>71781755</v>
      </c>
      <c r="B228" t="s">
        <v>1157</v>
      </c>
    </row>
    <row r="229" spans="1:2" x14ac:dyDescent="0.3">
      <c r="A229">
        <v>7278121430</v>
      </c>
      <c r="B229" t="s">
        <v>1157</v>
      </c>
    </row>
    <row r="230" spans="1:2" x14ac:dyDescent="0.3">
      <c r="A230">
        <v>7283220130</v>
      </c>
      <c r="B230" t="s">
        <v>1157</v>
      </c>
    </row>
    <row r="231" spans="1:2" x14ac:dyDescent="0.3">
      <c r="A231">
        <v>72894030</v>
      </c>
      <c r="B231" t="s">
        <v>1157</v>
      </c>
    </row>
    <row r="232" spans="1:2" x14ac:dyDescent="0.3">
      <c r="A232">
        <v>7278121430</v>
      </c>
      <c r="B232" t="s">
        <v>1157</v>
      </c>
    </row>
    <row r="233" spans="1:2" x14ac:dyDescent="0.3">
      <c r="A233">
        <v>7278059630</v>
      </c>
      <c r="B233" t="s">
        <v>1157</v>
      </c>
    </row>
    <row r="234" spans="1:2" x14ac:dyDescent="0.3">
      <c r="A234">
        <v>72781797</v>
      </c>
      <c r="B234" t="s">
        <v>1157</v>
      </c>
    </row>
    <row r="235" spans="1:2" x14ac:dyDescent="0.3">
      <c r="A235">
        <v>7219176430</v>
      </c>
      <c r="B235" t="s">
        <v>1157</v>
      </c>
    </row>
    <row r="236" spans="1:2" x14ac:dyDescent="0.3">
      <c r="A236">
        <v>7277186830</v>
      </c>
      <c r="B236" t="s">
        <v>1157</v>
      </c>
    </row>
    <row r="237" spans="1:2" x14ac:dyDescent="0.3">
      <c r="A237">
        <v>7283220090</v>
      </c>
      <c r="B237" t="s">
        <v>1157</v>
      </c>
    </row>
    <row r="238" spans="1:2" x14ac:dyDescent="0.3">
      <c r="A238">
        <v>7178197530</v>
      </c>
      <c r="B238" t="s">
        <v>1157</v>
      </c>
    </row>
    <row r="239" spans="1:2" x14ac:dyDescent="0.3">
      <c r="A239">
        <v>7297565530</v>
      </c>
      <c r="B239" t="s">
        <v>1157</v>
      </c>
    </row>
    <row r="240" spans="1:2" x14ac:dyDescent="0.3">
      <c r="A240">
        <v>72975207</v>
      </c>
      <c r="B240" t="s">
        <v>1157</v>
      </c>
    </row>
    <row r="241" spans="1:2" x14ac:dyDescent="0.3">
      <c r="A241">
        <v>7183384830</v>
      </c>
      <c r="B241" t="s">
        <v>1157</v>
      </c>
    </row>
    <row r="242" spans="1:2" x14ac:dyDescent="0.3">
      <c r="A242">
        <v>72782146</v>
      </c>
      <c r="B242" t="s">
        <v>1157</v>
      </c>
    </row>
    <row r="243" spans="1:2" x14ac:dyDescent="0.3">
      <c r="A243">
        <v>72838660</v>
      </c>
      <c r="B243" t="s">
        <v>1157</v>
      </c>
    </row>
    <row r="244" spans="1:2" x14ac:dyDescent="0.3">
      <c r="A244">
        <v>7298250930</v>
      </c>
      <c r="B244" t="s">
        <v>1157</v>
      </c>
    </row>
    <row r="245" spans="1:2" x14ac:dyDescent="0.3">
      <c r="A245">
        <v>72894030</v>
      </c>
      <c r="B245" t="s">
        <v>1157</v>
      </c>
    </row>
    <row r="246" spans="1:2" x14ac:dyDescent="0.3">
      <c r="A246">
        <v>72897732</v>
      </c>
      <c r="B246" t="s">
        <v>1157</v>
      </c>
    </row>
    <row r="247" spans="1:2" x14ac:dyDescent="0.3">
      <c r="A247">
        <v>71837758</v>
      </c>
      <c r="B247" t="s">
        <v>1157</v>
      </c>
    </row>
    <row r="248" spans="1:2" x14ac:dyDescent="0.3">
      <c r="A248">
        <v>77183384830</v>
      </c>
      <c r="B248" t="s">
        <v>1157</v>
      </c>
    </row>
    <row r="249" spans="1:2" x14ac:dyDescent="0.3">
      <c r="A249">
        <v>7278179230</v>
      </c>
      <c r="B249" t="s">
        <v>1157</v>
      </c>
    </row>
    <row r="250" spans="1:2" x14ac:dyDescent="0.3">
      <c r="A250">
        <v>72781797</v>
      </c>
      <c r="B250" t="s">
        <v>1157</v>
      </c>
    </row>
    <row r="251" spans="1:2" x14ac:dyDescent="0.3">
      <c r="A251">
        <v>7075218330</v>
      </c>
      <c r="B251" t="s">
        <v>1157</v>
      </c>
    </row>
    <row r="252" spans="1:2" x14ac:dyDescent="0.3">
      <c r="A252">
        <v>7298108030</v>
      </c>
      <c r="B252" t="s">
        <v>1157</v>
      </c>
    </row>
    <row r="253" spans="1:2" x14ac:dyDescent="0.3">
      <c r="A253">
        <v>7298108030</v>
      </c>
      <c r="B253" t="s">
        <v>1157</v>
      </c>
    </row>
    <row r="254" spans="1:2" x14ac:dyDescent="0.3">
      <c r="A254">
        <v>7289749530</v>
      </c>
      <c r="B254" t="s">
        <v>1157</v>
      </c>
    </row>
    <row r="255" spans="1:2" x14ac:dyDescent="0.3">
      <c r="A255">
        <v>7278059630</v>
      </c>
      <c r="B255" t="s">
        <v>1157</v>
      </c>
    </row>
    <row r="256" spans="1:2" x14ac:dyDescent="0.3">
      <c r="A256" t="s">
        <v>1162</v>
      </c>
      <c r="B256" t="s">
        <v>1157</v>
      </c>
    </row>
    <row r="257" spans="1:2" x14ac:dyDescent="0.3">
      <c r="A257" t="s">
        <v>1162</v>
      </c>
      <c r="B257" t="s">
        <v>1157</v>
      </c>
    </row>
    <row r="258" spans="1:2" x14ac:dyDescent="0.3">
      <c r="A258">
        <v>74752895</v>
      </c>
      <c r="B258" t="s">
        <v>1157</v>
      </c>
    </row>
    <row r="259" spans="1:2" x14ac:dyDescent="0.3">
      <c r="A259">
        <v>74752895</v>
      </c>
      <c r="B259" t="s">
        <v>1157</v>
      </c>
    </row>
    <row r="260" spans="1:2" x14ac:dyDescent="0.3">
      <c r="A260" t="s">
        <v>1162</v>
      </c>
      <c r="B260" t="s">
        <v>1157</v>
      </c>
    </row>
    <row r="261" spans="1:2" x14ac:dyDescent="0.3">
      <c r="A261">
        <v>7278121430</v>
      </c>
      <c r="B261" t="s">
        <v>1157</v>
      </c>
    </row>
    <row r="262" spans="1:2" x14ac:dyDescent="0.3">
      <c r="A262">
        <v>7289909030</v>
      </c>
      <c r="B262" t="s">
        <v>1157</v>
      </c>
    </row>
    <row r="263" spans="1:2" x14ac:dyDescent="0.3">
      <c r="A263">
        <v>7219192930</v>
      </c>
      <c r="B263" t="s">
        <v>1157</v>
      </c>
    </row>
    <row r="264" spans="1:2" x14ac:dyDescent="0.3">
      <c r="A264">
        <v>7219192930</v>
      </c>
      <c r="B264" t="s">
        <v>1157</v>
      </c>
    </row>
    <row r="265" spans="1:2" x14ac:dyDescent="0.3">
      <c r="A265">
        <v>72980784</v>
      </c>
      <c r="B265" t="s">
        <v>1157</v>
      </c>
    </row>
    <row r="266" spans="1:2" x14ac:dyDescent="0.3">
      <c r="A266" t="s">
        <v>1162</v>
      </c>
      <c r="B266" t="s">
        <v>1157</v>
      </c>
    </row>
    <row r="267" spans="1:2" x14ac:dyDescent="0.3">
      <c r="A267" t="s">
        <v>1162</v>
      </c>
      <c r="B267" t="s">
        <v>1157</v>
      </c>
    </row>
    <row r="268" spans="1:2" x14ac:dyDescent="0.3">
      <c r="A268">
        <v>72868813</v>
      </c>
      <c r="B268" t="s">
        <v>1157</v>
      </c>
    </row>
  </sheetData>
  <phoneticPr fontId="1" type="noConversion"/>
  <conditionalFormatting sqref="A1:A1048576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94CD-CF1F-4699-9E36-7660E2DBDA9F}">
  <sheetPr codeName="Sheet11"/>
  <dimension ref="A1:G489"/>
  <sheetViews>
    <sheetView topLeftCell="A61" workbookViewId="0">
      <selection activeCell="J69" sqref="J69"/>
    </sheetView>
  </sheetViews>
  <sheetFormatPr defaultRowHeight="15.6" x14ac:dyDescent="0.3"/>
  <cols>
    <col min="1" max="1" width="67.88671875" style="16" customWidth="1"/>
    <col min="2" max="2" width="29.21875" style="16" customWidth="1"/>
    <col min="3" max="3" width="23.21875" style="16" customWidth="1"/>
    <col min="4" max="4" width="21" style="16" customWidth="1"/>
    <col min="5" max="5" width="7.33203125" style="16" bestFit="1" customWidth="1"/>
    <col min="6" max="6" width="20.33203125" bestFit="1" customWidth="1"/>
  </cols>
  <sheetData>
    <row r="1" spans="1:7" x14ac:dyDescent="0.3">
      <c r="A1" s="14" t="s">
        <v>530</v>
      </c>
      <c r="B1" s="17" t="s">
        <v>844</v>
      </c>
      <c r="C1" s="17" t="s">
        <v>846</v>
      </c>
      <c r="D1" s="17" t="s">
        <v>845</v>
      </c>
      <c r="E1" s="17" t="s">
        <v>336</v>
      </c>
      <c r="F1" t="s">
        <v>847</v>
      </c>
      <c r="G1" t="s">
        <v>1207</v>
      </c>
    </row>
    <row r="2" spans="1:7" ht="14.4" x14ac:dyDescent="0.3">
      <c r="A2" s="13">
        <v>70521459</v>
      </c>
      <c r="B2" s="13" t="str">
        <f>TRIM(Table4[[#This Row],[ypn]])</f>
        <v>70521459</v>
      </c>
      <c r="C2" s="13" t="b">
        <f>Table4[[#This Row],[ypn]]=Table4[[#This Row],[trim]]</f>
        <v>0</v>
      </c>
      <c r="D2" s="13">
        <f>Table4[[#This Row],[ypn]]*1</f>
        <v>70521459</v>
      </c>
      <c r="E2" s="13">
        <f>TYPE(Table4[[#This Row],[ypn]])</f>
        <v>1</v>
      </c>
      <c r="F2" t="s">
        <v>779</v>
      </c>
      <c r="G2" s="13"/>
    </row>
    <row r="3" spans="1:7" ht="14.4" x14ac:dyDescent="0.3">
      <c r="A3" s="13">
        <v>71186354</v>
      </c>
      <c r="B3" s="13" t="str">
        <f>TRIM(Table4[[#This Row],[ypn]])</f>
        <v>71186354</v>
      </c>
      <c r="C3" s="13" t="b">
        <f>Table4[[#This Row],[ypn]]=Table4[[#This Row],[trim]]</f>
        <v>0</v>
      </c>
      <c r="D3" s="13">
        <f>Table4[[#This Row],[ypn]]*1</f>
        <v>71186354</v>
      </c>
      <c r="E3" s="13">
        <f>TYPE(Table4[[#This Row],[ypn]])</f>
        <v>1</v>
      </c>
      <c r="F3" t="s">
        <v>531</v>
      </c>
      <c r="G3" s="13"/>
    </row>
    <row r="4" spans="1:7" ht="14.4" x14ac:dyDescent="0.3">
      <c r="A4" s="13">
        <v>71191993</v>
      </c>
      <c r="B4" s="13" t="str">
        <f>TRIM(Table4[[#This Row],[ypn]])</f>
        <v>71191993</v>
      </c>
      <c r="C4" s="13" t="b">
        <f>Table4[[#This Row],[ypn]]=Table4[[#This Row],[trim]]</f>
        <v>0</v>
      </c>
      <c r="D4" s="13">
        <f>Table4[[#This Row],[ypn]]*1</f>
        <v>71191993</v>
      </c>
      <c r="E4" s="13">
        <f>TYPE(Table4[[#This Row],[ypn]])</f>
        <v>1</v>
      </c>
      <c r="F4" t="s">
        <v>532</v>
      </c>
      <c r="G4" s="13"/>
    </row>
    <row r="5" spans="1:7" ht="14.4" x14ac:dyDescent="0.3">
      <c r="A5" s="13">
        <v>71196180</v>
      </c>
      <c r="B5" s="13" t="str">
        <f>TRIM(Table4[[#This Row],[ypn]])</f>
        <v>71196180</v>
      </c>
      <c r="C5" s="13" t="b">
        <f>Table4[[#This Row],[ypn]]=Table4[[#This Row],[trim]]</f>
        <v>0</v>
      </c>
      <c r="D5" s="13">
        <f>Table4[[#This Row],[ypn]]*1</f>
        <v>71196180</v>
      </c>
      <c r="E5" s="13">
        <f>TYPE(Table4[[#This Row],[ypn]])</f>
        <v>1</v>
      </c>
      <c r="F5" t="s">
        <v>533</v>
      </c>
      <c r="G5" s="13"/>
    </row>
    <row r="6" spans="1:7" ht="14.4" x14ac:dyDescent="0.3">
      <c r="A6" s="13">
        <v>71196350</v>
      </c>
      <c r="B6" s="13" t="str">
        <f>TRIM(Table4[[#This Row],[ypn]])</f>
        <v>71196350</v>
      </c>
      <c r="C6" s="13" t="b">
        <f>Table4[[#This Row],[ypn]]=Table4[[#This Row],[trim]]</f>
        <v>0</v>
      </c>
      <c r="D6" s="13">
        <f>Table4[[#This Row],[ypn]]*1</f>
        <v>71196350</v>
      </c>
      <c r="E6" s="13">
        <f>TYPE(Table4[[#This Row],[ypn]])</f>
        <v>1</v>
      </c>
      <c r="F6" t="s">
        <v>534</v>
      </c>
      <c r="G6" s="13"/>
    </row>
    <row r="7" spans="1:7" ht="14.4" x14ac:dyDescent="0.3">
      <c r="A7" s="13">
        <v>71196401</v>
      </c>
      <c r="B7" s="13" t="str">
        <f>TRIM(Table4[[#This Row],[ypn]])</f>
        <v>71196401</v>
      </c>
      <c r="C7" s="13" t="b">
        <f>Table4[[#This Row],[ypn]]=Table4[[#This Row],[trim]]</f>
        <v>0</v>
      </c>
      <c r="D7" s="13">
        <f>Table4[[#This Row],[ypn]]*1</f>
        <v>71196401</v>
      </c>
      <c r="E7" s="13">
        <f>TYPE(Table4[[#This Row],[ypn]])</f>
        <v>1</v>
      </c>
      <c r="F7" t="s">
        <v>535</v>
      </c>
      <c r="G7" s="13"/>
    </row>
    <row r="8" spans="1:7" ht="14.4" x14ac:dyDescent="0.3">
      <c r="A8" s="13">
        <v>71196506</v>
      </c>
      <c r="B8" s="13" t="str">
        <f>TRIM(Table4[[#This Row],[ypn]])</f>
        <v>71196506</v>
      </c>
      <c r="C8" s="13" t="b">
        <f>Table4[[#This Row],[ypn]]=Table4[[#This Row],[trim]]</f>
        <v>0</v>
      </c>
      <c r="D8" s="13">
        <f>Table4[[#This Row],[ypn]]*1</f>
        <v>71196506</v>
      </c>
      <c r="E8" s="13">
        <f>TYPE(Table4[[#This Row],[ypn]])</f>
        <v>1</v>
      </c>
      <c r="F8" t="s">
        <v>536</v>
      </c>
      <c r="G8" s="13"/>
    </row>
    <row r="9" spans="1:7" ht="14.4" x14ac:dyDescent="0.3">
      <c r="A9" s="13">
        <v>71196714</v>
      </c>
      <c r="B9" s="13" t="str">
        <f>TRIM(Table4[[#This Row],[ypn]])</f>
        <v>71196714</v>
      </c>
      <c r="C9" s="13" t="b">
        <f>Table4[[#This Row],[ypn]]=Table4[[#This Row],[trim]]</f>
        <v>0</v>
      </c>
      <c r="D9" s="13">
        <f>Table4[[#This Row],[ypn]]*1</f>
        <v>71196714</v>
      </c>
      <c r="E9" s="13">
        <f>TYPE(Table4[[#This Row],[ypn]])</f>
        <v>1</v>
      </c>
      <c r="F9" t="s">
        <v>537</v>
      </c>
      <c r="G9" s="13"/>
    </row>
    <row r="10" spans="1:7" ht="14.4" x14ac:dyDescent="0.3">
      <c r="A10" s="13">
        <v>71781227</v>
      </c>
      <c r="B10" s="13" t="str">
        <f>TRIM(Table4[[#This Row],[ypn]])</f>
        <v>71781227</v>
      </c>
      <c r="C10" s="13" t="b">
        <f>Table4[[#This Row],[ypn]]=Table4[[#This Row],[trim]]</f>
        <v>0</v>
      </c>
      <c r="D10" s="13">
        <f>Table4[[#This Row],[ypn]]*1</f>
        <v>71781227</v>
      </c>
      <c r="E10" s="13">
        <f>TYPE(Table4[[#This Row],[ypn]])</f>
        <v>1</v>
      </c>
      <c r="F10" t="s">
        <v>538</v>
      </c>
      <c r="G10" s="13"/>
    </row>
    <row r="11" spans="1:7" ht="14.4" x14ac:dyDescent="0.3">
      <c r="A11" s="13">
        <v>71781405</v>
      </c>
      <c r="B11" s="13" t="str">
        <f>TRIM(Table4[[#This Row],[ypn]])</f>
        <v>71781405</v>
      </c>
      <c r="C11" s="13" t="b">
        <f>Table4[[#This Row],[ypn]]=Table4[[#This Row],[trim]]</f>
        <v>0</v>
      </c>
      <c r="D11" s="13">
        <f>Table4[[#This Row],[ypn]]*1</f>
        <v>71781405</v>
      </c>
      <c r="E11" s="13">
        <f>TYPE(Table4[[#This Row],[ypn]])</f>
        <v>1</v>
      </c>
      <c r="F11" t="s">
        <v>539</v>
      </c>
      <c r="G11" s="13"/>
    </row>
    <row r="12" spans="1:7" ht="14.4" x14ac:dyDescent="0.3">
      <c r="A12" s="13">
        <v>71782472</v>
      </c>
      <c r="B12" s="13" t="str">
        <f>TRIM(Table4[[#This Row],[ypn]])</f>
        <v>71782472</v>
      </c>
      <c r="C12" s="13" t="b">
        <f>Table4[[#This Row],[ypn]]=Table4[[#This Row],[trim]]</f>
        <v>0</v>
      </c>
      <c r="D12" s="13">
        <f>Table4[[#This Row],[ypn]]*1</f>
        <v>71782472</v>
      </c>
      <c r="E12" s="13">
        <f>TYPE(Table4[[#This Row],[ypn]])</f>
        <v>1</v>
      </c>
      <c r="F12" t="s">
        <v>540</v>
      </c>
      <c r="G12" s="13"/>
    </row>
    <row r="13" spans="1:7" ht="14.4" x14ac:dyDescent="0.3">
      <c r="A13" s="13">
        <v>71834835</v>
      </c>
      <c r="B13" s="13" t="str">
        <f>TRIM(Table4[[#This Row],[ypn]])</f>
        <v>71834835</v>
      </c>
      <c r="C13" s="13" t="b">
        <f>Table4[[#This Row],[ypn]]=Table4[[#This Row],[trim]]</f>
        <v>0</v>
      </c>
      <c r="D13" s="13">
        <f>Table4[[#This Row],[ypn]]*1</f>
        <v>71834835</v>
      </c>
      <c r="E13" s="13">
        <f>TYPE(Table4[[#This Row],[ypn]])</f>
        <v>1</v>
      </c>
      <c r="F13" t="s">
        <v>541</v>
      </c>
      <c r="G13" s="13"/>
    </row>
    <row r="14" spans="1:7" ht="14.4" x14ac:dyDescent="0.3">
      <c r="A14" s="13">
        <v>71897277</v>
      </c>
      <c r="B14" s="13" t="str">
        <f>TRIM(Table4[[#This Row],[ypn]])</f>
        <v>71897277</v>
      </c>
      <c r="C14" s="13" t="b">
        <f>Table4[[#This Row],[ypn]]=Table4[[#This Row],[trim]]</f>
        <v>0</v>
      </c>
      <c r="D14" s="13">
        <f>Table4[[#This Row],[ypn]]*1</f>
        <v>71897277</v>
      </c>
      <c r="E14" s="13">
        <f>TYPE(Table4[[#This Row],[ypn]])</f>
        <v>1</v>
      </c>
      <c r="F14" t="s">
        <v>542</v>
      </c>
      <c r="G14" s="13"/>
    </row>
    <row r="15" spans="1:7" ht="14.4" x14ac:dyDescent="0.3">
      <c r="A15" s="13">
        <v>71899503</v>
      </c>
      <c r="B15" s="13" t="str">
        <f>TRIM(Table4[[#This Row],[ypn]])</f>
        <v>71899503</v>
      </c>
      <c r="C15" s="13" t="b">
        <f>Table4[[#This Row],[ypn]]=Table4[[#This Row],[trim]]</f>
        <v>0</v>
      </c>
      <c r="D15" s="13">
        <f>Table4[[#This Row],[ypn]]*1</f>
        <v>71899503</v>
      </c>
      <c r="E15" s="13">
        <f>TYPE(Table4[[#This Row],[ypn]])</f>
        <v>1</v>
      </c>
      <c r="F15" t="s">
        <v>543</v>
      </c>
      <c r="G15" s="13"/>
    </row>
    <row r="16" spans="1:7" ht="14.4" x14ac:dyDescent="0.3">
      <c r="A16" s="13">
        <v>71986562</v>
      </c>
      <c r="B16" s="13" t="str">
        <f>TRIM(Table4[[#This Row],[ypn]])</f>
        <v>71986562</v>
      </c>
      <c r="C16" s="13" t="b">
        <f>Table4[[#This Row],[ypn]]=Table4[[#This Row],[trim]]</f>
        <v>0</v>
      </c>
      <c r="D16" s="13">
        <f>Table4[[#This Row],[ypn]]*1</f>
        <v>71986562</v>
      </c>
      <c r="E16" s="13">
        <f>TYPE(Table4[[#This Row],[ypn]])</f>
        <v>1</v>
      </c>
      <c r="F16" t="s">
        <v>544</v>
      </c>
      <c r="G16" s="13" t="s">
        <v>848</v>
      </c>
    </row>
    <row r="17" spans="1:7" ht="14.4" x14ac:dyDescent="0.3">
      <c r="A17" s="13">
        <v>71987958</v>
      </c>
      <c r="B17" s="13" t="str">
        <f>TRIM(Table4[[#This Row],[ypn]])</f>
        <v>71987958</v>
      </c>
      <c r="C17" s="13" t="b">
        <f>Table4[[#This Row],[ypn]]=Table4[[#This Row],[trim]]</f>
        <v>0</v>
      </c>
      <c r="D17" s="13">
        <f>Table4[[#This Row],[ypn]]*1</f>
        <v>71987958</v>
      </c>
      <c r="E17" s="13">
        <f>TYPE(Table4[[#This Row],[ypn]])</f>
        <v>1</v>
      </c>
      <c r="F17" t="s">
        <v>545</v>
      </c>
      <c r="G17" s="13"/>
    </row>
    <row r="18" spans="1:7" ht="14.4" x14ac:dyDescent="0.3">
      <c r="A18" s="13">
        <v>71988082</v>
      </c>
      <c r="B18" s="13" t="str">
        <f>TRIM(Table4[[#This Row],[ypn]])</f>
        <v>71988082</v>
      </c>
      <c r="C18" s="13" t="b">
        <f>Table4[[#This Row],[ypn]]=Table4[[#This Row],[trim]]</f>
        <v>0</v>
      </c>
      <c r="D18" s="13">
        <f>Table4[[#This Row],[ypn]]*1</f>
        <v>71988082</v>
      </c>
      <c r="E18" s="13">
        <f>TYPE(Table4[[#This Row],[ypn]])</f>
        <v>1</v>
      </c>
      <c r="F18" t="s">
        <v>546</v>
      </c>
      <c r="G18" s="13"/>
    </row>
    <row r="19" spans="1:7" ht="14.4" x14ac:dyDescent="0.3">
      <c r="A19" s="13">
        <v>71989162</v>
      </c>
      <c r="B19" s="13" t="str">
        <f>TRIM(Table4[[#This Row],[ypn]])</f>
        <v>71989162</v>
      </c>
      <c r="C19" s="13" t="b">
        <f>Table4[[#This Row],[ypn]]=Table4[[#This Row],[trim]]</f>
        <v>0</v>
      </c>
      <c r="D19" s="13">
        <f>Table4[[#This Row],[ypn]]*1</f>
        <v>71989162</v>
      </c>
      <c r="E19" s="13">
        <f>TYPE(Table4[[#This Row],[ypn]])</f>
        <v>1</v>
      </c>
      <c r="F19" t="s">
        <v>547</v>
      </c>
      <c r="G19" s="13"/>
    </row>
    <row r="20" spans="1:7" ht="14.4" x14ac:dyDescent="0.3">
      <c r="A20" s="13">
        <v>72191763</v>
      </c>
      <c r="B20" s="13" t="str">
        <f>TRIM(Table4[[#This Row],[ypn]])</f>
        <v>72191763</v>
      </c>
      <c r="C20" s="13" t="b">
        <f>Table4[[#This Row],[ypn]]=Table4[[#This Row],[trim]]</f>
        <v>0</v>
      </c>
      <c r="D20" s="13">
        <f>Table4[[#This Row],[ypn]]*1</f>
        <v>72191763</v>
      </c>
      <c r="E20" s="13">
        <f>TYPE(Table4[[#This Row],[ypn]])</f>
        <v>1</v>
      </c>
      <c r="F20" t="s">
        <v>548</v>
      </c>
      <c r="G20" s="13"/>
    </row>
    <row r="21" spans="1:7" ht="14.4" x14ac:dyDescent="0.3">
      <c r="A21" s="13">
        <v>72893837</v>
      </c>
      <c r="B21" s="13" t="str">
        <f>TRIM(Table4[[#This Row],[ypn]])</f>
        <v>72893837</v>
      </c>
      <c r="C21" s="13" t="b">
        <f>Table4[[#This Row],[ypn]]=Table4[[#This Row],[trim]]</f>
        <v>0</v>
      </c>
      <c r="D21" s="13">
        <f>Table4[[#This Row],[ypn]]*1</f>
        <v>72893837</v>
      </c>
      <c r="E21" s="13">
        <f>TYPE(Table4[[#This Row],[ypn]])</f>
        <v>1</v>
      </c>
      <c r="F21" t="s">
        <v>809</v>
      </c>
      <c r="G21" s="13"/>
    </row>
    <row r="22" spans="1:7" ht="14.4" x14ac:dyDescent="0.3">
      <c r="A22" s="13">
        <v>72895381</v>
      </c>
      <c r="B22" s="13" t="str">
        <f>TRIM(Table4[[#This Row],[ypn]])</f>
        <v>72895381</v>
      </c>
      <c r="C22" s="13" t="b">
        <f>Table4[[#This Row],[ypn]]=Table4[[#This Row],[trim]]</f>
        <v>0</v>
      </c>
      <c r="D22" s="13">
        <f>Table4[[#This Row],[ypn]]*1</f>
        <v>72895381</v>
      </c>
      <c r="E22" s="13">
        <f>TYPE(Table4[[#This Row],[ypn]])</f>
        <v>1</v>
      </c>
      <c r="F22" t="s">
        <v>549</v>
      </c>
      <c r="G22" s="13"/>
    </row>
    <row r="23" spans="1:7" ht="14.4" x14ac:dyDescent="0.3">
      <c r="A23" s="13">
        <v>72980475</v>
      </c>
      <c r="B23" s="13" t="str">
        <f>TRIM(Table4[[#This Row],[ypn]])</f>
        <v>72980475</v>
      </c>
      <c r="C23" s="13" t="b">
        <f>Table4[[#This Row],[ypn]]=Table4[[#This Row],[trim]]</f>
        <v>0</v>
      </c>
      <c r="D23" s="13">
        <f>Table4[[#This Row],[ypn]]*1</f>
        <v>72980475</v>
      </c>
      <c r="E23" s="13">
        <f>TYPE(Table4[[#This Row],[ypn]])</f>
        <v>1</v>
      </c>
      <c r="F23" t="s">
        <v>550</v>
      </c>
      <c r="G23" s="13"/>
    </row>
    <row r="24" spans="1:7" ht="14.4" x14ac:dyDescent="0.3">
      <c r="A24" s="13">
        <v>72988085</v>
      </c>
      <c r="B24" s="13" t="str">
        <f>TRIM(Table4[[#This Row],[ypn]])</f>
        <v>72988085</v>
      </c>
      <c r="C24" s="13" t="b">
        <f>Table4[[#This Row],[ypn]]=Table4[[#This Row],[trim]]</f>
        <v>0</v>
      </c>
      <c r="D24" s="13">
        <f>Table4[[#This Row],[ypn]]*1</f>
        <v>72988085</v>
      </c>
      <c r="E24" s="13">
        <f>TYPE(Table4[[#This Row],[ypn]])</f>
        <v>1</v>
      </c>
      <c r="F24" t="s">
        <v>551</v>
      </c>
      <c r="G24" s="13"/>
    </row>
    <row r="25" spans="1:7" ht="14.4" x14ac:dyDescent="0.3">
      <c r="A25" s="13">
        <v>7003293002</v>
      </c>
      <c r="B25" s="13" t="str">
        <f>TRIM(Table4[[#This Row],[ypn]])</f>
        <v>7003293002</v>
      </c>
      <c r="C25" s="13" t="b">
        <f>Table4[[#This Row],[ypn]]=Table4[[#This Row],[trim]]</f>
        <v>0</v>
      </c>
      <c r="D25" s="13">
        <f>Table4[[#This Row],[ypn]]*1</f>
        <v>7003293002</v>
      </c>
      <c r="E25" s="13">
        <f>TYPE(Table4[[#This Row],[ypn]])</f>
        <v>1</v>
      </c>
      <c r="F25" t="s">
        <v>552</v>
      </c>
      <c r="G25" s="13"/>
    </row>
    <row r="26" spans="1:7" ht="14.4" x14ac:dyDescent="0.3">
      <c r="A26" s="13">
        <v>7003803702</v>
      </c>
      <c r="B26" s="13" t="str">
        <f>TRIM(Table4[[#This Row],[ypn]])</f>
        <v>7003803702</v>
      </c>
      <c r="C26" s="13" t="b">
        <f>Table4[[#This Row],[ypn]]=Table4[[#This Row],[trim]]</f>
        <v>0</v>
      </c>
      <c r="D26" s="13">
        <f>Table4[[#This Row],[ypn]]*1</f>
        <v>7003803702</v>
      </c>
      <c r="E26" s="13">
        <f>TYPE(Table4[[#This Row],[ypn]])</f>
        <v>1</v>
      </c>
      <c r="F26" t="s">
        <v>779</v>
      </c>
      <c r="G26" s="13"/>
    </row>
    <row r="27" spans="1:7" ht="14.4" x14ac:dyDescent="0.3">
      <c r="A27" s="13">
        <v>7009741502</v>
      </c>
      <c r="B27" s="13" t="str">
        <f>TRIM(Table4[[#This Row],[ypn]])</f>
        <v>7009741502</v>
      </c>
      <c r="C27" s="13" t="b">
        <f>Table4[[#This Row],[ypn]]=Table4[[#This Row],[trim]]</f>
        <v>0</v>
      </c>
      <c r="D27" s="13">
        <f>Table4[[#This Row],[ypn]]*1</f>
        <v>7009741502</v>
      </c>
      <c r="E27" s="13">
        <f>TYPE(Table4[[#This Row],[ypn]])</f>
        <v>1</v>
      </c>
      <c r="F27" t="s">
        <v>779</v>
      </c>
      <c r="G27" s="13"/>
    </row>
    <row r="28" spans="1:7" ht="14.4" x14ac:dyDescent="0.3">
      <c r="A28" s="13">
        <v>7047135830</v>
      </c>
      <c r="B28" s="13" t="str">
        <f>TRIM(Table4[[#This Row],[ypn]])</f>
        <v>7047135830</v>
      </c>
      <c r="C28" s="13" t="b">
        <f>Table4[[#This Row],[ypn]]=Table4[[#This Row],[trim]]</f>
        <v>0</v>
      </c>
      <c r="D28" s="13">
        <f>Table4[[#This Row],[ypn]]*1</f>
        <v>7047135830</v>
      </c>
      <c r="E28" s="13">
        <f>TYPE(Table4[[#This Row],[ypn]])</f>
        <v>1</v>
      </c>
      <c r="F28" t="s">
        <v>779</v>
      </c>
      <c r="G28" s="13"/>
    </row>
    <row r="29" spans="1:7" ht="14.4" x14ac:dyDescent="0.3">
      <c r="A29" s="13">
        <v>7047186030</v>
      </c>
      <c r="B29" s="13" t="str">
        <f>TRIM(Table4[[#This Row],[ypn]])</f>
        <v>7047186030</v>
      </c>
      <c r="C29" s="13" t="b">
        <f>Table4[[#This Row],[ypn]]=Table4[[#This Row],[trim]]</f>
        <v>0</v>
      </c>
      <c r="D29" s="13">
        <f>Table4[[#This Row],[ypn]]*1</f>
        <v>7047186030</v>
      </c>
      <c r="E29" s="13">
        <f>TYPE(Table4[[#This Row],[ypn]])</f>
        <v>1</v>
      </c>
      <c r="F29" t="s">
        <v>553</v>
      </c>
      <c r="G29" s="13" t="s">
        <v>1292</v>
      </c>
    </row>
    <row r="30" spans="1:7" ht="14.4" x14ac:dyDescent="0.3">
      <c r="A30" s="13">
        <v>7047273930</v>
      </c>
      <c r="B30" s="13" t="str">
        <f>TRIM(Table4[[#This Row],[ypn]])</f>
        <v>7047273930</v>
      </c>
      <c r="C30" s="13" t="b">
        <f>Table4[[#This Row],[ypn]]=Table4[[#This Row],[trim]]</f>
        <v>0</v>
      </c>
      <c r="D30" s="13">
        <f>Table4[[#This Row],[ypn]]*1</f>
        <v>7047273930</v>
      </c>
      <c r="E30" s="13">
        <f>TYPE(Table4[[#This Row],[ypn]])</f>
        <v>1</v>
      </c>
      <c r="F30" t="s">
        <v>779</v>
      </c>
      <c r="G30" s="13"/>
    </row>
    <row r="31" spans="1:7" ht="14.4" x14ac:dyDescent="0.3">
      <c r="A31" s="13">
        <v>7047305630</v>
      </c>
      <c r="B31" s="13" t="str">
        <f>TRIM(Table4[[#This Row],[ypn]])</f>
        <v>7047305630</v>
      </c>
      <c r="C31" s="13" t="b">
        <f>Table4[[#This Row],[ypn]]=Table4[[#This Row],[trim]]</f>
        <v>0</v>
      </c>
      <c r="D31" s="13">
        <f>Table4[[#This Row],[ypn]]*1</f>
        <v>7047305630</v>
      </c>
      <c r="E31" s="13">
        <f>TYPE(Table4[[#This Row],[ypn]])</f>
        <v>1</v>
      </c>
      <c r="F31" t="s">
        <v>779</v>
      </c>
      <c r="G31" s="13"/>
    </row>
    <row r="32" spans="1:7" ht="14.4" x14ac:dyDescent="0.3">
      <c r="A32" s="13">
        <v>7052753130</v>
      </c>
      <c r="B32" s="13" t="str">
        <f>TRIM(Table4[[#This Row],[ypn]])</f>
        <v>7052753130</v>
      </c>
      <c r="C32" s="13" t="b">
        <f>Table4[[#This Row],[ypn]]=Table4[[#This Row],[trim]]</f>
        <v>0</v>
      </c>
      <c r="D32" s="13">
        <f>Table4[[#This Row],[ypn]]*1</f>
        <v>7052753130</v>
      </c>
      <c r="E32" s="13">
        <f>TYPE(Table4[[#This Row],[ypn]])</f>
        <v>1</v>
      </c>
      <c r="F32" t="s">
        <v>779</v>
      </c>
      <c r="G32" s="13"/>
    </row>
    <row r="33" spans="1:7" ht="14.4" x14ac:dyDescent="0.3">
      <c r="A33" s="13">
        <v>7075244730</v>
      </c>
      <c r="B33" s="13" t="str">
        <f>TRIM(Table4[[#This Row],[ypn]])</f>
        <v>7075244730</v>
      </c>
      <c r="C33" s="13" t="b">
        <f>Table4[[#This Row],[ypn]]=Table4[[#This Row],[trim]]</f>
        <v>0</v>
      </c>
      <c r="D33" s="13">
        <f>Table4[[#This Row],[ypn]]*1</f>
        <v>7075244730</v>
      </c>
      <c r="E33" s="13">
        <f>TYPE(Table4[[#This Row],[ypn]])</f>
        <v>1</v>
      </c>
      <c r="F33" t="s">
        <v>554</v>
      </c>
      <c r="G33" s="13"/>
    </row>
    <row r="34" spans="1:7" ht="14.4" x14ac:dyDescent="0.3">
      <c r="A34" s="13">
        <v>7118605030</v>
      </c>
      <c r="B34" s="13" t="str">
        <f>TRIM(Table4[[#This Row],[ypn]])</f>
        <v>7118605030</v>
      </c>
      <c r="C34" s="13" t="b">
        <f>Table4[[#This Row],[ypn]]=Table4[[#This Row],[trim]]</f>
        <v>0</v>
      </c>
      <c r="D34" s="13">
        <f>Table4[[#This Row],[ypn]]*1</f>
        <v>7118605030</v>
      </c>
      <c r="E34" s="13">
        <f>TYPE(Table4[[#This Row],[ypn]])</f>
        <v>1</v>
      </c>
      <c r="F34" t="s">
        <v>555</v>
      </c>
      <c r="G34" s="13"/>
    </row>
    <row r="35" spans="1:7" ht="14.4" x14ac:dyDescent="0.3">
      <c r="A35" s="13">
        <v>7119131260</v>
      </c>
      <c r="B35" s="13" t="str">
        <f>TRIM(Table4[[#This Row],[ypn]])</f>
        <v>7119131260</v>
      </c>
      <c r="C35" s="13" t="b">
        <f>Table4[[#This Row],[ypn]]=Table4[[#This Row],[trim]]</f>
        <v>0</v>
      </c>
      <c r="D35" s="13">
        <f>Table4[[#This Row],[ypn]]*1</f>
        <v>7119131260</v>
      </c>
      <c r="E35" s="13">
        <f>TYPE(Table4[[#This Row],[ypn]])</f>
        <v>1</v>
      </c>
      <c r="F35" t="s">
        <v>556</v>
      </c>
      <c r="G35" s="13"/>
    </row>
    <row r="36" spans="1:7" ht="14.4" x14ac:dyDescent="0.3">
      <c r="A36" s="13">
        <v>7119131530</v>
      </c>
      <c r="B36" s="13" t="str">
        <f>TRIM(Table4[[#This Row],[ypn]])</f>
        <v>7119131530</v>
      </c>
      <c r="C36" s="13" t="b">
        <f>Table4[[#This Row],[ypn]]=Table4[[#This Row],[trim]]</f>
        <v>0</v>
      </c>
      <c r="D36" s="13">
        <f>Table4[[#This Row],[ypn]]*1</f>
        <v>7119131530</v>
      </c>
      <c r="E36" s="13">
        <f>TYPE(Table4[[#This Row],[ypn]])</f>
        <v>1</v>
      </c>
      <c r="F36" t="s">
        <v>557</v>
      </c>
      <c r="G36" s="13"/>
    </row>
    <row r="37" spans="1:7" ht="14.4" x14ac:dyDescent="0.3">
      <c r="A37" s="13">
        <v>7119141030</v>
      </c>
      <c r="B37" s="13" t="str">
        <f>TRIM(Table4[[#This Row],[ypn]])</f>
        <v>7119141030</v>
      </c>
      <c r="C37" s="13" t="b">
        <f>Table4[[#This Row],[ypn]]=Table4[[#This Row],[trim]]</f>
        <v>0</v>
      </c>
      <c r="D37" s="13">
        <f>Table4[[#This Row],[ypn]]*1</f>
        <v>7119141030</v>
      </c>
      <c r="E37" s="13">
        <f>TYPE(Table4[[#This Row],[ypn]])</f>
        <v>1</v>
      </c>
      <c r="F37" t="s">
        <v>558</v>
      </c>
      <c r="G37" s="13"/>
    </row>
    <row r="38" spans="1:7" ht="14.4" x14ac:dyDescent="0.3">
      <c r="A38" s="13">
        <v>7119146730</v>
      </c>
      <c r="B38" s="13" t="str">
        <f>TRIM(Table4[[#This Row],[ypn]])</f>
        <v>7119146730</v>
      </c>
      <c r="C38" s="13" t="b">
        <f>Table4[[#This Row],[ypn]]=Table4[[#This Row],[trim]]</f>
        <v>0</v>
      </c>
      <c r="D38" s="13">
        <f>Table4[[#This Row],[ypn]]*1</f>
        <v>7119146730</v>
      </c>
      <c r="E38" s="13">
        <f>TYPE(Table4[[#This Row],[ypn]])</f>
        <v>1</v>
      </c>
      <c r="F38" t="s">
        <v>559</v>
      </c>
      <c r="G38" s="13"/>
    </row>
    <row r="39" spans="1:7" ht="14.4" x14ac:dyDescent="0.3">
      <c r="A39" s="13">
        <v>7119163630</v>
      </c>
      <c r="B39" s="13" t="str">
        <f>TRIM(Table4[[#This Row],[ypn]])</f>
        <v>7119163630</v>
      </c>
      <c r="C39" s="13" t="b">
        <f>Table4[[#This Row],[ypn]]=Table4[[#This Row],[trim]]</f>
        <v>0</v>
      </c>
      <c r="D39" s="13">
        <f>Table4[[#This Row],[ypn]]*1</f>
        <v>7119163630</v>
      </c>
      <c r="E39" s="13">
        <f>TYPE(Table4[[#This Row],[ypn]])</f>
        <v>1</v>
      </c>
      <c r="F39" t="s">
        <v>560</v>
      </c>
      <c r="G39" s="13"/>
    </row>
    <row r="40" spans="1:7" ht="14.4" x14ac:dyDescent="0.3">
      <c r="A40" s="13">
        <v>7119172930</v>
      </c>
      <c r="B40" s="13" t="str">
        <f>TRIM(Table4[[#This Row],[ypn]])</f>
        <v>7119172930</v>
      </c>
      <c r="C40" s="13" t="b">
        <f>Table4[[#This Row],[ypn]]=Table4[[#This Row],[trim]]</f>
        <v>0</v>
      </c>
      <c r="D40" s="13">
        <f>Table4[[#This Row],[ypn]]*1</f>
        <v>7119172930</v>
      </c>
      <c r="E40" s="13">
        <f>TYPE(Table4[[#This Row],[ypn]])</f>
        <v>1</v>
      </c>
      <c r="F40" t="s">
        <v>561</v>
      </c>
      <c r="G40" s="13"/>
    </row>
    <row r="41" spans="1:7" ht="14.4" x14ac:dyDescent="0.3">
      <c r="A41" s="13">
        <v>7119626030</v>
      </c>
      <c r="B41" s="13" t="str">
        <f>TRIM(Table4[[#This Row],[ypn]])</f>
        <v>7119626030</v>
      </c>
      <c r="C41" s="13" t="b">
        <f>Table4[[#This Row],[ypn]]=Table4[[#This Row],[trim]]</f>
        <v>0</v>
      </c>
      <c r="D41" s="13">
        <f>Table4[[#This Row],[ypn]]*1</f>
        <v>7119626030</v>
      </c>
      <c r="E41" s="13">
        <f>TYPE(Table4[[#This Row],[ypn]])</f>
        <v>1</v>
      </c>
      <c r="F41" t="s">
        <v>562</v>
      </c>
      <c r="G41" s="13"/>
    </row>
    <row r="42" spans="1:7" ht="14.4" x14ac:dyDescent="0.3">
      <c r="A42" s="13">
        <v>7119641970</v>
      </c>
      <c r="B42" s="13" t="str">
        <f>TRIM(Table4[[#This Row],[ypn]])</f>
        <v>7119641970</v>
      </c>
      <c r="C42" s="13" t="b">
        <f>Table4[[#This Row],[ypn]]=Table4[[#This Row],[trim]]</f>
        <v>0</v>
      </c>
      <c r="D42" s="13">
        <f>Table4[[#This Row],[ypn]]*1</f>
        <v>7119641970</v>
      </c>
      <c r="E42" s="13">
        <f>TYPE(Table4[[#This Row],[ypn]])</f>
        <v>1</v>
      </c>
      <c r="F42" t="s">
        <v>563</v>
      </c>
      <c r="G42" s="13"/>
    </row>
    <row r="43" spans="1:7" ht="14.4" x14ac:dyDescent="0.3">
      <c r="A43" s="13">
        <v>7119668820</v>
      </c>
      <c r="B43" s="13" t="str">
        <f>TRIM(Table4[[#This Row],[ypn]])</f>
        <v>7119668820</v>
      </c>
      <c r="C43" s="13" t="b">
        <f>Table4[[#This Row],[ypn]]=Table4[[#This Row],[trim]]</f>
        <v>0</v>
      </c>
      <c r="D43" s="13">
        <f>Table4[[#This Row],[ypn]]*1</f>
        <v>7119668820</v>
      </c>
      <c r="E43" s="13">
        <f>TYPE(Table4[[#This Row],[ypn]])</f>
        <v>1</v>
      </c>
      <c r="F43" t="s">
        <v>564</v>
      </c>
      <c r="G43" s="13"/>
    </row>
    <row r="44" spans="1:7" ht="14.4" x14ac:dyDescent="0.3">
      <c r="A44" s="13">
        <v>7176919530</v>
      </c>
      <c r="B44" s="13" t="str">
        <f>TRIM(Table4[[#This Row],[ypn]])</f>
        <v>7176919530</v>
      </c>
      <c r="C44" s="13" t="b">
        <f>Table4[[#This Row],[ypn]]=Table4[[#This Row],[trim]]</f>
        <v>0</v>
      </c>
      <c r="D44" s="13">
        <f>Table4[[#This Row],[ypn]]*1</f>
        <v>7176919530</v>
      </c>
      <c r="E44" s="13">
        <f>TYPE(Table4[[#This Row],[ypn]])</f>
        <v>1</v>
      </c>
      <c r="F44" t="s">
        <v>565</v>
      </c>
      <c r="G44" s="13"/>
    </row>
    <row r="45" spans="1:7" ht="14.4" x14ac:dyDescent="0.3">
      <c r="A45" s="13">
        <v>7176919730</v>
      </c>
      <c r="B45" s="13" t="str">
        <f>TRIM(Table4[[#This Row],[ypn]])</f>
        <v>7176919730</v>
      </c>
      <c r="C45" s="13" t="b">
        <f>Table4[[#This Row],[ypn]]=Table4[[#This Row],[trim]]</f>
        <v>0</v>
      </c>
      <c r="D45" s="13">
        <f>Table4[[#This Row],[ypn]]*1</f>
        <v>7176919730</v>
      </c>
      <c r="E45" s="13">
        <f>TYPE(Table4[[#This Row],[ypn]])</f>
        <v>1</v>
      </c>
      <c r="F45" t="s">
        <v>566</v>
      </c>
      <c r="G45" s="13"/>
    </row>
    <row r="46" spans="1:7" ht="14.4" x14ac:dyDescent="0.3">
      <c r="A46" s="13">
        <v>7183753630</v>
      </c>
      <c r="B46" s="13" t="str">
        <f>TRIM(Table4[[#This Row],[ypn]])</f>
        <v>7183753630</v>
      </c>
      <c r="C46" s="13" t="b">
        <f>Table4[[#This Row],[ypn]]=Table4[[#This Row],[trim]]</f>
        <v>0</v>
      </c>
      <c r="D46" s="13">
        <f>Table4[[#This Row],[ypn]]*1</f>
        <v>7183753630</v>
      </c>
      <c r="E46" s="13">
        <f>TYPE(Table4[[#This Row],[ypn]])</f>
        <v>1</v>
      </c>
      <c r="F46" t="s">
        <v>567</v>
      </c>
      <c r="G46" s="13"/>
    </row>
    <row r="47" spans="1:7" ht="14.4" x14ac:dyDescent="0.3">
      <c r="A47" s="13">
        <v>7189663170</v>
      </c>
      <c r="B47" s="13" t="str">
        <f>TRIM(Table4[[#This Row],[ypn]])</f>
        <v>7189663170</v>
      </c>
      <c r="C47" s="13" t="b">
        <f>Table4[[#This Row],[ypn]]=Table4[[#This Row],[trim]]</f>
        <v>0</v>
      </c>
      <c r="D47" s="13">
        <f>Table4[[#This Row],[ypn]]*1</f>
        <v>7189663170</v>
      </c>
      <c r="E47" s="13">
        <f>TYPE(Table4[[#This Row],[ypn]])</f>
        <v>1</v>
      </c>
      <c r="F47" t="s">
        <v>568</v>
      </c>
      <c r="G47" s="13"/>
    </row>
    <row r="48" spans="1:7" ht="14.4" x14ac:dyDescent="0.3">
      <c r="A48" s="13">
        <v>7189982830</v>
      </c>
      <c r="B48" s="13" t="str">
        <f>TRIM(Table4[[#This Row],[ypn]])</f>
        <v>7189982830</v>
      </c>
      <c r="C48" s="13" t="b">
        <f>Table4[[#This Row],[ypn]]=Table4[[#This Row],[trim]]</f>
        <v>0</v>
      </c>
      <c r="D48" s="13">
        <f>Table4[[#This Row],[ypn]]*1</f>
        <v>7189982830</v>
      </c>
      <c r="E48" s="13">
        <f>TYPE(Table4[[#This Row],[ypn]])</f>
        <v>1</v>
      </c>
      <c r="F48" t="s">
        <v>569</v>
      </c>
      <c r="G48" s="13"/>
    </row>
    <row r="49" spans="1:7" ht="14.4" x14ac:dyDescent="0.3">
      <c r="A49" s="13">
        <v>7198796290</v>
      </c>
      <c r="B49" s="13" t="str">
        <f>TRIM(Table4[[#This Row],[ypn]])</f>
        <v>7198796290</v>
      </c>
      <c r="C49" s="13" t="b">
        <f>Table4[[#This Row],[ypn]]=Table4[[#This Row],[trim]]</f>
        <v>0</v>
      </c>
      <c r="D49" s="13">
        <f>Table4[[#This Row],[ypn]]*1</f>
        <v>7198796290</v>
      </c>
      <c r="E49" s="13">
        <f>TYPE(Table4[[#This Row],[ypn]])</f>
        <v>1</v>
      </c>
      <c r="F49" t="s">
        <v>570</v>
      </c>
      <c r="G49" s="13"/>
    </row>
    <row r="50" spans="1:7" ht="14.4" x14ac:dyDescent="0.3">
      <c r="A50" s="13">
        <v>7198916130</v>
      </c>
      <c r="B50" s="13" t="str">
        <f>TRIM(Table4[[#This Row],[ypn]])</f>
        <v>7198916130</v>
      </c>
      <c r="C50" s="13" t="b">
        <f>Table4[[#This Row],[ypn]]=Table4[[#This Row],[trim]]</f>
        <v>0</v>
      </c>
      <c r="D50" s="13">
        <f>Table4[[#This Row],[ypn]]*1</f>
        <v>7198916130</v>
      </c>
      <c r="E50" s="13">
        <f>TYPE(Table4[[#This Row],[ypn]])</f>
        <v>1</v>
      </c>
      <c r="F50" t="s">
        <v>142</v>
      </c>
      <c r="G50" s="13"/>
    </row>
    <row r="51" spans="1:7" ht="14.4" x14ac:dyDescent="0.3">
      <c r="A51" s="13">
        <v>7198948560</v>
      </c>
      <c r="B51" s="13" t="str">
        <f>TRIM(Table4[[#This Row],[ypn]])</f>
        <v>7198948560</v>
      </c>
      <c r="C51" s="13" t="b">
        <f>Table4[[#This Row],[ypn]]=Table4[[#This Row],[trim]]</f>
        <v>0</v>
      </c>
      <c r="D51" s="13">
        <f>Table4[[#This Row],[ypn]]*1</f>
        <v>7198948560</v>
      </c>
      <c r="E51" s="13">
        <f>TYPE(Table4[[#This Row],[ypn]])</f>
        <v>1</v>
      </c>
      <c r="F51" t="s">
        <v>571</v>
      </c>
      <c r="G51" s="13"/>
    </row>
    <row r="52" spans="1:7" ht="14.4" x14ac:dyDescent="0.3">
      <c r="A52" s="13">
        <v>7219182630</v>
      </c>
      <c r="B52" s="13" t="str">
        <f>TRIM(Table4[[#This Row],[ypn]])</f>
        <v>7219182630</v>
      </c>
      <c r="C52" s="13" t="b">
        <f>Table4[[#This Row],[ypn]]=Table4[[#This Row],[trim]]</f>
        <v>0</v>
      </c>
      <c r="D52" s="13">
        <f>Table4[[#This Row],[ypn]]*1</f>
        <v>7219182630</v>
      </c>
      <c r="E52" s="13">
        <f>TYPE(Table4[[#This Row],[ypn]])</f>
        <v>1</v>
      </c>
      <c r="F52" t="s">
        <v>572</v>
      </c>
      <c r="G52" s="13"/>
    </row>
    <row r="53" spans="1:7" ht="14.4" x14ac:dyDescent="0.3">
      <c r="A53" s="13">
        <v>7219622130</v>
      </c>
      <c r="B53" s="13" t="str">
        <f>TRIM(Table4[[#This Row],[ypn]])</f>
        <v>7219622130</v>
      </c>
      <c r="C53" s="13" t="b">
        <f>Table4[[#This Row],[ypn]]=Table4[[#This Row],[trim]]</f>
        <v>0</v>
      </c>
      <c r="D53" s="13">
        <f>Table4[[#This Row],[ypn]]*1</f>
        <v>7219622130</v>
      </c>
      <c r="E53" s="13">
        <f>TYPE(Table4[[#This Row],[ypn]])</f>
        <v>1</v>
      </c>
      <c r="F53" t="s">
        <v>573</v>
      </c>
      <c r="G53" s="13"/>
    </row>
    <row r="54" spans="1:7" ht="14.4" x14ac:dyDescent="0.3">
      <c r="A54" s="13">
        <v>7219632030</v>
      </c>
      <c r="B54" s="13" t="str">
        <f>TRIM(Table4[[#This Row],[ypn]])</f>
        <v>7219632030</v>
      </c>
      <c r="C54" s="13" t="b">
        <f>Table4[[#This Row],[ypn]]=Table4[[#This Row],[trim]]</f>
        <v>0</v>
      </c>
      <c r="D54" s="13">
        <f>Table4[[#This Row],[ypn]]*1</f>
        <v>7219632030</v>
      </c>
      <c r="E54" s="13">
        <f>TYPE(Table4[[#This Row],[ypn]])</f>
        <v>1</v>
      </c>
      <c r="F54" t="s">
        <v>574</v>
      </c>
      <c r="G54" s="13"/>
    </row>
    <row r="55" spans="1:7" ht="14.4" x14ac:dyDescent="0.3">
      <c r="A55" s="13">
        <v>7219632230</v>
      </c>
      <c r="B55" s="13" t="str">
        <f>TRIM(Table4[[#This Row],[ypn]])</f>
        <v>7219632230</v>
      </c>
      <c r="C55" s="13" t="b">
        <f>Table4[[#This Row],[ypn]]=Table4[[#This Row],[trim]]</f>
        <v>0</v>
      </c>
      <c r="D55" s="13">
        <f>Table4[[#This Row],[ypn]]*1</f>
        <v>7219632230</v>
      </c>
      <c r="E55" s="13">
        <f>TYPE(Table4[[#This Row],[ypn]])</f>
        <v>1</v>
      </c>
      <c r="F55" t="s">
        <v>575</v>
      </c>
      <c r="G55" s="13"/>
    </row>
    <row r="56" spans="1:7" ht="14.4" x14ac:dyDescent="0.3">
      <c r="A56" s="13">
        <v>7219648530</v>
      </c>
      <c r="B56" s="13" t="str">
        <f>TRIM(Table4[[#This Row],[ypn]])</f>
        <v>7219648530</v>
      </c>
      <c r="C56" s="13" t="b">
        <f>Table4[[#This Row],[ypn]]=Table4[[#This Row],[trim]]</f>
        <v>0</v>
      </c>
      <c r="D56" s="13">
        <f>Table4[[#This Row],[ypn]]*1</f>
        <v>7219648530</v>
      </c>
      <c r="E56" s="13">
        <f>TYPE(Table4[[#This Row],[ypn]])</f>
        <v>1</v>
      </c>
      <c r="F56" t="s">
        <v>576</v>
      </c>
      <c r="G56" s="13"/>
    </row>
    <row r="57" spans="1:7" ht="14.4" x14ac:dyDescent="0.3">
      <c r="A57" s="13">
        <v>7219652330</v>
      </c>
      <c r="B57" s="13" t="str">
        <f>TRIM(Table4[[#This Row],[ypn]])</f>
        <v>7219652330</v>
      </c>
      <c r="C57" s="13" t="b">
        <f>Table4[[#This Row],[ypn]]=Table4[[#This Row],[trim]]</f>
        <v>0</v>
      </c>
      <c r="D57" s="13">
        <f>Table4[[#This Row],[ypn]]*1</f>
        <v>7219652330</v>
      </c>
      <c r="E57" s="13">
        <f>TYPE(Table4[[#This Row],[ypn]])</f>
        <v>1</v>
      </c>
      <c r="F57" t="s">
        <v>577</v>
      </c>
      <c r="G57" s="13"/>
    </row>
    <row r="58" spans="1:7" ht="14.4" x14ac:dyDescent="0.3">
      <c r="A58" s="13">
        <v>7223686530</v>
      </c>
      <c r="B58" s="13" t="str">
        <f>TRIM(Table4[[#This Row],[ypn]])</f>
        <v>7223686530</v>
      </c>
      <c r="C58" s="13" t="b">
        <f>Table4[[#This Row],[ypn]]=Table4[[#This Row],[trim]]</f>
        <v>0</v>
      </c>
      <c r="D58" s="13">
        <f>Table4[[#This Row],[ypn]]*1</f>
        <v>7223686530</v>
      </c>
      <c r="E58" s="13">
        <f>TYPE(Table4[[#This Row],[ypn]])</f>
        <v>1</v>
      </c>
      <c r="F58" t="s">
        <v>578</v>
      </c>
      <c r="G58" s="13"/>
    </row>
    <row r="59" spans="1:7" ht="14.4" x14ac:dyDescent="0.3">
      <c r="A59" s="13">
        <v>7247081430</v>
      </c>
      <c r="B59" s="13" t="str">
        <f>TRIM(Table4[[#This Row],[ypn]])</f>
        <v>7247081430</v>
      </c>
      <c r="C59" s="13" t="b">
        <f>Table4[[#This Row],[ypn]]=Table4[[#This Row],[trim]]</f>
        <v>0</v>
      </c>
      <c r="D59" s="13">
        <f>Table4[[#This Row],[ypn]]*1</f>
        <v>7247081430</v>
      </c>
      <c r="E59" s="13">
        <f>TYPE(Table4[[#This Row],[ypn]])</f>
        <v>1</v>
      </c>
      <c r="F59" t="s">
        <v>779</v>
      </c>
      <c r="G59" s="13"/>
    </row>
    <row r="60" spans="1:7" ht="14.4" x14ac:dyDescent="0.3">
      <c r="A60" s="13">
        <v>7247374530</v>
      </c>
      <c r="B60" s="13" t="str">
        <f>TRIM(Table4[[#This Row],[ypn]])</f>
        <v>7247374530</v>
      </c>
      <c r="C60" s="13" t="b">
        <f>Table4[[#This Row],[ypn]]=Table4[[#This Row],[trim]]</f>
        <v>0</v>
      </c>
      <c r="D60" s="13">
        <f>Table4[[#This Row],[ypn]]*1</f>
        <v>7247374530</v>
      </c>
      <c r="E60" s="13">
        <f>TYPE(Table4[[#This Row],[ypn]])</f>
        <v>1</v>
      </c>
      <c r="F60" t="s">
        <v>1293</v>
      </c>
      <c r="G60" s="13" t="s">
        <v>1292</v>
      </c>
    </row>
    <row r="61" spans="1:7" ht="14.4" x14ac:dyDescent="0.3">
      <c r="A61" s="13">
        <v>7247374930</v>
      </c>
      <c r="B61" s="13" t="str">
        <f>TRIM(Table4[[#This Row],[ypn]])</f>
        <v>7247374930</v>
      </c>
      <c r="C61" s="13" t="b">
        <f>Table4[[#This Row],[ypn]]=Table4[[#This Row],[trim]]</f>
        <v>0</v>
      </c>
      <c r="D61" s="13">
        <f>Table4[[#This Row],[ypn]]*1</f>
        <v>7247374930</v>
      </c>
      <c r="E61" s="13">
        <f>TYPE(Table4[[#This Row],[ypn]])</f>
        <v>1</v>
      </c>
      <c r="F61" t="s">
        <v>779</v>
      </c>
      <c r="G61" s="13"/>
    </row>
    <row r="62" spans="1:7" ht="14.4" x14ac:dyDescent="0.3">
      <c r="A62" s="13">
        <v>7247760930</v>
      </c>
      <c r="B62" s="13" t="str">
        <f>TRIM(Table4[[#This Row],[ypn]])</f>
        <v>7247760930</v>
      </c>
      <c r="C62" s="13" t="b">
        <f>Table4[[#This Row],[ypn]]=Table4[[#This Row],[trim]]</f>
        <v>0</v>
      </c>
      <c r="D62" s="13">
        <f>Table4[[#This Row],[ypn]]*1</f>
        <v>7247760930</v>
      </c>
      <c r="E62" s="13">
        <f>TYPE(Table4[[#This Row],[ypn]])</f>
        <v>1</v>
      </c>
      <c r="F62" t="s">
        <v>779</v>
      </c>
      <c r="G62" s="13"/>
    </row>
    <row r="63" spans="1:7" ht="14.4" x14ac:dyDescent="0.3">
      <c r="A63" s="13">
        <v>7247761330</v>
      </c>
      <c r="B63" s="13" t="str">
        <f>TRIM(Table4[[#This Row],[ypn]])</f>
        <v>7247761330</v>
      </c>
      <c r="C63" s="13" t="b">
        <f>Table4[[#This Row],[ypn]]=Table4[[#This Row],[trim]]</f>
        <v>0</v>
      </c>
      <c r="D63" s="13">
        <f>Table4[[#This Row],[ypn]]*1</f>
        <v>7247761330</v>
      </c>
      <c r="E63" s="13">
        <f>TYPE(Table4[[#This Row],[ypn]])</f>
        <v>1</v>
      </c>
      <c r="F63" t="s">
        <v>579</v>
      </c>
      <c r="G63" s="13"/>
    </row>
    <row r="64" spans="1:7" ht="14.4" x14ac:dyDescent="0.3">
      <c r="A64" s="13">
        <v>7247781530</v>
      </c>
      <c r="B64" s="13" t="str">
        <f>TRIM(Table4[[#This Row],[ypn]])</f>
        <v>7247781530</v>
      </c>
      <c r="C64" s="13" t="b">
        <f>Table4[[#This Row],[ypn]]=Table4[[#This Row],[trim]]</f>
        <v>0</v>
      </c>
      <c r="D64" s="13">
        <f>Table4[[#This Row],[ypn]]*1</f>
        <v>7247781530</v>
      </c>
      <c r="E64" s="13">
        <f>TYPE(Table4[[#This Row],[ypn]])</f>
        <v>1</v>
      </c>
      <c r="F64" t="s">
        <v>779</v>
      </c>
      <c r="G64" s="13"/>
    </row>
    <row r="65" spans="1:7" ht="14.4" x14ac:dyDescent="0.3">
      <c r="A65" s="13">
        <v>7247781630</v>
      </c>
      <c r="B65" s="13" t="str">
        <f>TRIM(Table4[[#This Row],[ypn]])</f>
        <v>7247781630</v>
      </c>
      <c r="C65" s="13" t="b">
        <f>Table4[[#This Row],[ypn]]=Table4[[#This Row],[trim]]</f>
        <v>0</v>
      </c>
      <c r="D65" s="13">
        <f>Table4[[#This Row],[ypn]]*1</f>
        <v>7247781630</v>
      </c>
      <c r="E65" s="13">
        <f>TYPE(Table4[[#This Row],[ypn]])</f>
        <v>1</v>
      </c>
      <c r="F65" t="s">
        <v>580</v>
      </c>
      <c r="G65" s="13"/>
    </row>
    <row r="66" spans="1:7" ht="14.4" x14ac:dyDescent="0.3">
      <c r="A66" s="13">
        <v>7247781730</v>
      </c>
      <c r="B66" s="13" t="str">
        <f>TRIM(Table4[[#This Row],[ypn]])</f>
        <v>7247781730</v>
      </c>
      <c r="C66" s="13" t="b">
        <f>Table4[[#This Row],[ypn]]=Table4[[#This Row],[trim]]</f>
        <v>0</v>
      </c>
      <c r="D66" s="13">
        <f>Table4[[#This Row],[ypn]]*1</f>
        <v>7247781730</v>
      </c>
      <c r="E66" s="13">
        <f>TYPE(Table4[[#This Row],[ypn]])</f>
        <v>1</v>
      </c>
      <c r="F66" t="s">
        <v>779</v>
      </c>
      <c r="G66" s="13"/>
    </row>
    <row r="67" spans="1:7" ht="14.4" x14ac:dyDescent="0.3">
      <c r="A67" s="13">
        <v>7247792930</v>
      </c>
      <c r="B67" s="13" t="str">
        <f>TRIM(Table4[[#This Row],[ypn]])</f>
        <v>7247792930</v>
      </c>
      <c r="C67" s="13" t="b">
        <f>Table4[[#This Row],[ypn]]=Table4[[#This Row],[trim]]</f>
        <v>0</v>
      </c>
      <c r="D67" s="13">
        <f>Table4[[#This Row],[ypn]]*1</f>
        <v>7247792930</v>
      </c>
      <c r="E67" s="13">
        <f>TYPE(Table4[[#This Row],[ypn]])</f>
        <v>1</v>
      </c>
      <c r="F67" t="s">
        <v>779</v>
      </c>
      <c r="G67" s="13"/>
    </row>
    <row r="68" spans="1:7" ht="14.4" x14ac:dyDescent="0.3">
      <c r="A68" s="13">
        <v>7252726530</v>
      </c>
      <c r="B68" s="13" t="str">
        <f>TRIM(Table4[[#This Row],[ypn]])</f>
        <v>7252726530</v>
      </c>
      <c r="C68" s="13" t="b">
        <f>Table4[[#This Row],[ypn]]=Table4[[#This Row],[trim]]</f>
        <v>0</v>
      </c>
      <c r="D68" s="13">
        <f>Table4[[#This Row],[ypn]]*1</f>
        <v>7252726530</v>
      </c>
      <c r="E68" s="13">
        <f>TYPE(Table4[[#This Row],[ypn]])</f>
        <v>1</v>
      </c>
      <c r="F68" t="s">
        <v>779</v>
      </c>
      <c r="G68" s="13"/>
    </row>
    <row r="69" spans="1:7" ht="14.4" x14ac:dyDescent="0.3">
      <c r="A69" s="13">
        <v>7252735930</v>
      </c>
      <c r="B69" s="13" t="str">
        <f>TRIM(Table4[[#This Row],[ypn]])</f>
        <v>7252735930</v>
      </c>
      <c r="C69" s="13" t="b">
        <f>Table4[[#This Row],[ypn]]=Table4[[#This Row],[trim]]</f>
        <v>0</v>
      </c>
      <c r="D69" s="13">
        <f>Table4[[#This Row],[ypn]]*1</f>
        <v>7252735930</v>
      </c>
      <c r="E69" s="13">
        <f>TYPE(Table4[[#This Row],[ypn]])</f>
        <v>1</v>
      </c>
      <c r="F69" t="s">
        <v>779</v>
      </c>
      <c r="G69" s="13"/>
    </row>
    <row r="70" spans="1:7" ht="14.4" x14ac:dyDescent="0.3">
      <c r="A70" s="13">
        <v>7252779130</v>
      </c>
      <c r="B70" s="13" t="str">
        <f>TRIM(Table4[[#This Row],[ypn]])</f>
        <v>7252779130</v>
      </c>
      <c r="C70" s="13" t="b">
        <f>Table4[[#This Row],[ypn]]=Table4[[#This Row],[trim]]</f>
        <v>0</v>
      </c>
      <c r="D70" s="13">
        <f>Table4[[#This Row],[ypn]]*1</f>
        <v>7252779130</v>
      </c>
      <c r="E70" s="13">
        <f>TYPE(Table4[[#This Row],[ypn]])</f>
        <v>1</v>
      </c>
      <c r="F70" t="s">
        <v>779</v>
      </c>
      <c r="G70" s="13"/>
    </row>
    <row r="71" spans="1:7" ht="14.4" x14ac:dyDescent="0.3">
      <c r="A71" s="13">
        <v>7252785330</v>
      </c>
      <c r="B71" s="13" t="str">
        <f>TRIM(Table4[[#This Row],[ypn]])</f>
        <v>7252785330</v>
      </c>
      <c r="C71" s="13" t="b">
        <f>Table4[[#This Row],[ypn]]=Table4[[#This Row],[trim]]</f>
        <v>0</v>
      </c>
      <c r="D71" s="13">
        <f>Table4[[#This Row],[ypn]]*1</f>
        <v>7252785330</v>
      </c>
      <c r="E71" s="13">
        <f>TYPE(Table4[[#This Row],[ypn]])</f>
        <v>1</v>
      </c>
      <c r="F71" t="s">
        <v>779</v>
      </c>
      <c r="G71" s="13"/>
    </row>
    <row r="72" spans="1:7" ht="14.4" x14ac:dyDescent="0.3">
      <c r="A72" s="13">
        <v>7252809330</v>
      </c>
      <c r="B72" s="13" t="str">
        <f>TRIM(Table4[[#This Row],[ypn]])</f>
        <v>7252809330</v>
      </c>
      <c r="C72" s="13" t="b">
        <f>Table4[[#This Row],[ypn]]=Table4[[#This Row],[trim]]</f>
        <v>0</v>
      </c>
      <c r="D72" s="13">
        <f>Table4[[#This Row],[ypn]]*1</f>
        <v>7252809330</v>
      </c>
      <c r="E72" s="13">
        <f>TYPE(Table4[[#This Row],[ypn]])</f>
        <v>1</v>
      </c>
      <c r="F72" t="s">
        <v>779</v>
      </c>
      <c r="G72" s="13"/>
    </row>
    <row r="73" spans="1:7" ht="14.4" x14ac:dyDescent="0.3">
      <c r="A73" s="13">
        <v>7252815130</v>
      </c>
      <c r="B73" s="13" t="str">
        <f>TRIM(Table4[[#This Row],[ypn]])</f>
        <v>7252815130</v>
      </c>
      <c r="C73" s="13" t="b">
        <f>Table4[[#This Row],[ypn]]=Table4[[#This Row],[trim]]</f>
        <v>0</v>
      </c>
      <c r="D73" s="13">
        <f>Table4[[#This Row],[ypn]]*1</f>
        <v>7252815130</v>
      </c>
      <c r="E73" s="13">
        <f>TYPE(Table4[[#This Row],[ypn]])</f>
        <v>1</v>
      </c>
      <c r="F73" t="s">
        <v>779</v>
      </c>
      <c r="G73" s="13"/>
    </row>
    <row r="74" spans="1:7" ht="14.4" x14ac:dyDescent="0.3">
      <c r="A74" s="13">
        <v>7252832130</v>
      </c>
      <c r="B74" s="13" t="str">
        <f>TRIM(Table4[[#This Row],[ypn]])</f>
        <v>7252832130</v>
      </c>
      <c r="C74" s="13" t="b">
        <f>Table4[[#This Row],[ypn]]=Table4[[#This Row],[trim]]</f>
        <v>0</v>
      </c>
      <c r="D74" s="13">
        <f>Table4[[#This Row],[ypn]]*1</f>
        <v>7252832130</v>
      </c>
      <c r="E74" s="13">
        <f>TYPE(Table4[[#This Row],[ypn]])</f>
        <v>1</v>
      </c>
      <c r="F74" t="s">
        <v>779</v>
      </c>
      <c r="G74" s="13"/>
    </row>
    <row r="75" spans="1:7" ht="14.4" x14ac:dyDescent="0.3">
      <c r="A75" s="13">
        <v>7278246930</v>
      </c>
      <c r="B75" s="13" t="str">
        <f>TRIM(Table4[[#This Row],[ypn]])</f>
        <v>7278246930</v>
      </c>
      <c r="C75" s="13" t="b">
        <f>Table4[[#This Row],[ypn]]=Table4[[#This Row],[trim]]</f>
        <v>0</v>
      </c>
      <c r="D75" s="13">
        <f>Table4[[#This Row],[ypn]]*1</f>
        <v>7278246930</v>
      </c>
      <c r="E75" s="13">
        <f>TYPE(Table4[[#This Row],[ypn]])</f>
        <v>1</v>
      </c>
      <c r="F75" t="s">
        <v>386</v>
      </c>
      <c r="G75" s="13"/>
    </row>
    <row r="76" spans="1:7" ht="14.4" x14ac:dyDescent="0.3">
      <c r="A76" s="13">
        <v>7278258230</v>
      </c>
      <c r="B76" s="13" t="str">
        <f>TRIM(Table4[[#This Row],[ypn]])</f>
        <v>7278258230</v>
      </c>
      <c r="C76" s="13" t="b">
        <f>Table4[[#This Row],[ypn]]=Table4[[#This Row],[trim]]</f>
        <v>0</v>
      </c>
      <c r="D76" s="13">
        <f>Table4[[#This Row],[ypn]]*1</f>
        <v>7278258230</v>
      </c>
      <c r="E76" s="13">
        <f>TYPE(Table4[[#This Row],[ypn]])</f>
        <v>1</v>
      </c>
      <c r="F76" t="s">
        <v>581</v>
      </c>
      <c r="G76" s="13"/>
    </row>
    <row r="77" spans="1:7" ht="14.4" x14ac:dyDescent="0.3">
      <c r="A77" s="13">
        <v>7278258330</v>
      </c>
      <c r="B77" s="13" t="str">
        <f>TRIM(Table4[[#This Row],[ypn]])</f>
        <v>7278258330</v>
      </c>
      <c r="C77" s="13" t="b">
        <f>Table4[[#This Row],[ypn]]=Table4[[#This Row],[trim]]</f>
        <v>0</v>
      </c>
      <c r="D77" s="13">
        <f>Table4[[#This Row],[ypn]]*1</f>
        <v>7278258330</v>
      </c>
      <c r="E77" s="13">
        <f>TYPE(Table4[[#This Row],[ypn]])</f>
        <v>1</v>
      </c>
      <c r="F77" t="s">
        <v>582</v>
      </c>
      <c r="G77" s="13"/>
    </row>
    <row r="78" spans="1:7" ht="14.4" x14ac:dyDescent="0.3">
      <c r="A78" s="13">
        <v>7283837230</v>
      </c>
      <c r="B78" s="13" t="str">
        <f>TRIM(Table4[[#This Row],[ypn]])</f>
        <v>7283837230</v>
      </c>
      <c r="C78" s="13" t="b">
        <f>Table4[[#This Row],[ypn]]=Table4[[#This Row],[trim]]</f>
        <v>0</v>
      </c>
      <c r="D78" s="13">
        <f>Table4[[#This Row],[ypn]]*1</f>
        <v>7283837230</v>
      </c>
      <c r="E78" s="13">
        <f>TYPE(Table4[[#This Row],[ypn]])</f>
        <v>1</v>
      </c>
      <c r="F78" t="s">
        <v>808</v>
      </c>
      <c r="G78" s="13"/>
    </row>
    <row r="79" spans="1:7" ht="14.4" x14ac:dyDescent="0.3">
      <c r="A79" s="13">
        <v>7289042870</v>
      </c>
      <c r="B79" s="13" t="str">
        <f>TRIM(Table4[[#This Row],[ypn]])</f>
        <v>7289042870</v>
      </c>
      <c r="C79" s="13" t="b">
        <f>Table4[[#This Row],[ypn]]=Table4[[#This Row],[trim]]</f>
        <v>0</v>
      </c>
      <c r="D79" s="13">
        <f>Table4[[#This Row],[ypn]]*1</f>
        <v>7289042870</v>
      </c>
      <c r="E79" s="13">
        <f>TYPE(Table4[[#This Row],[ypn]])</f>
        <v>1</v>
      </c>
      <c r="F79" t="s">
        <v>583</v>
      </c>
      <c r="G79" s="13"/>
    </row>
    <row r="80" spans="1:7" ht="14.4" x14ac:dyDescent="0.3">
      <c r="A80" s="13">
        <v>7289059730</v>
      </c>
      <c r="B80" s="13" t="str">
        <f>TRIM(Table4[[#This Row],[ypn]])</f>
        <v>7289059730</v>
      </c>
      <c r="C80" s="13" t="b">
        <f>Table4[[#This Row],[ypn]]=Table4[[#This Row],[trim]]</f>
        <v>0</v>
      </c>
      <c r="D80" s="13">
        <f>Table4[[#This Row],[ypn]]*1</f>
        <v>7289059730</v>
      </c>
      <c r="E80" s="13">
        <f>TYPE(Table4[[#This Row],[ypn]])</f>
        <v>1</v>
      </c>
      <c r="F80" t="s">
        <v>584</v>
      </c>
      <c r="G80" s="13"/>
    </row>
    <row r="81" spans="1:7" ht="14.4" x14ac:dyDescent="0.3">
      <c r="A81" s="13">
        <v>7289063430</v>
      </c>
      <c r="B81" s="13" t="str">
        <f>TRIM(Table4[[#This Row],[ypn]])</f>
        <v>7289063430</v>
      </c>
      <c r="C81" s="13" t="b">
        <f>Table4[[#This Row],[ypn]]=Table4[[#This Row],[trim]]</f>
        <v>0</v>
      </c>
      <c r="D81" s="13">
        <f>Table4[[#This Row],[ypn]]*1</f>
        <v>7289063430</v>
      </c>
      <c r="E81" s="13">
        <f>TYPE(Table4[[#This Row],[ypn]])</f>
        <v>1</v>
      </c>
      <c r="F81" t="s">
        <v>585</v>
      </c>
      <c r="G81" s="13"/>
    </row>
    <row r="82" spans="1:7" ht="14.4" x14ac:dyDescent="0.3">
      <c r="A82" s="13">
        <v>7289063730</v>
      </c>
      <c r="B82" s="13" t="str">
        <f>TRIM(Table4[[#This Row],[ypn]])</f>
        <v>7289063730</v>
      </c>
      <c r="C82" s="13" t="b">
        <f>Table4[[#This Row],[ypn]]=Table4[[#This Row],[trim]]</f>
        <v>0</v>
      </c>
      <c r="D82" s="13">
        <f>Table4[[#This Row],[ypn]]*1</f>
        <v>7289063730</v>
      </c>
      <c r="E82" s="13">
        <f>TYPE(Table4[[#This Row],[ypn]])</f>
        <v>1</v>
      </c>
      <c r="F82" t="s">
        <v>586</v>
      </c>
      <c r="G82" s="13"/>
    </row>
    <row r="83" spans="1:7" ht="14.4" x14ac:dyDescent="0.3">
      <c r="A83" s="13">
        <v>7289405130</v>
      </c>
      <c r="B83" s="13" t="str">
        <f>TRIM(Table4[[#This Row],[ypn]])</f>
        <v>7289405130</v>
      </c>
      <c r="C83" s="13" t="b">
        <f>Table4[[#This Row],[ypn]]=Table4[[#This Row],[trim]]</f>
        <v>0</v>
      </c>
      <c r="D83" s="13">
        <f>Table4[[#This Row],[ypn]]*1</f>
        <v>7289405130</v>
      </c>
      <c r="E83" s="13">
        <f>TYPE(Table4[[#This Row],[ypn]])</f>
        <v>1</v>
      </c>
      <c r="F83" t="s">
        <v>587</v>
      </c>
      <c r="G83" s="13"/>
    </row>
    <row r="84" spans="1:7" ht="14.4" x14ac:dyDescent="0.3">
      <c r="A84" s="13">
        <v>7289405830</v>
      </c>
      <c r="B84" s="13" t="str">
        <f>TRIM(Table4[[#This Row],[ypn]])</f>
        <v>7289405830</v>
      </c>
      <c r="C84" s="13" t="b">
        <f>Table4[[#This Row],[ypn]]=Table4[[#This Row],[trim]]</f>
        <v>0</v>
      </c>
      <c r="D84" s="13">
        <f>Table4[[#This Row],[ypn]]*1</f>
        <v>7289405830</v>
      </c>
      <c r="E84" s="13">
        <f>TYPE(Table4[[#This Row],[ypn]])</f>
        <v>1</v>
      </c>
      <c r="F84" t="s">
        <v>588</v>
      </c>
      <c r="G84" s="13"/>
    </row>
    <row r="85" spans="1:7" ht="14.4" x14ac:dyDescent="0.3">
      <c r="A85" s="13">
        <v>7289464330</v>
      </c>
      <c r="B85" s="13" t="str">
        <f>TRIM(Table4[[#This Row],[ypn]])</f>
        <v>7289464330</v>
      </c>
      <c r="C85" s="13" t="b">
        <f>Table4[[#This Row],[ypn]]=Table4[[#This Row],[trim]]</f>
        <v>0</v>
      </c>
      <c r="D85" s="13">
        <f>Table4[[#This Row],[ypn]]*1</f>
        <v>7289464330</v>
      </c>
      <c r="E85" s="13">
        <f>TYPE(Table4[[#This Row],[ypn]])</f>
        <v>1</v>
      </c>
      <c r="F85" t="s">
        <v>589</v>
      </c>
      <c r="G85" s="13"/>
    </row>
    <row r="86" spans="1:7" ht="14.4" x14ac:dyDescent="0.3">
      <c r="A86" s="13">
        <v>7289690230</v>
      </c>
      <c r="B86" s="13" t="str">
        <f>TRIM(Table4[[#This Row],[ypn]])</f>
        <v>7289690230</v>
      </c>
      <c r="C86" s="13" t="b">
        <f>Table4[[#This Row],[ypn]]=Table4[[#This Row],[trim]]</f>
        <v>0</v>
      </c>
      <c r="D86" s="13">
        <f>Table4[[#This Row],[ypn]]*1</f>
        <v>7289690230</v>
      </c>
      <c r="E86" s="13">
        <f>TYPE(Table4[[#This Row],[ypn]])</f>
        <v>1</v>
      </c>
      <c r="F86" t="s">
        <v>590</v>
      </c>
      <c r="G86" s="13"/>
    </row>
    <row r="87" spans="1:7" ht="14.4" x14ac:dyDescent="0.3">
      <c r="A87" s="13">
        <v>7289734390</v>
      </c>
      <c r="B87" s="13" t="str">
        <f>TRIM(Table4[[#This Row],[ypn]])</f>
        <v>7289734390</v>
      </c>
      <c r="C87" s="13" t="b">
        <f>Table4[[#This Row],[ypn]]=Table4[[#This Row],[trim]]</f>
        <v>0</v>
      </c>
      <c r="D87" s="13">
        <f>Table4[[#This Row],[ypn]]*1</f>
        <v>7289734390</v>
      </c>
      <c r="E87" s="13">
        <f>TYPE(Table4[[#This Row],[ypn]])</f>
        <v>1</v>
      </c>
      <c r="F87" t="s">
        <v>591</v>
      </c>
      <c r="G87" s="13"/>
    </row>
    <row r="88" spans="1:7" ht="14.4" x14ac:dyDescent="0.3">
      <c r="A88" s="13">
        <v>7289896430</v>
      </c>
      <c r="B88" s="13" t="str">
        <f>TRIM(Table4[[#This Row],[ypn]])</f>
        <v>7289896430</v>
      </c>
      <c r="C88" s="13" t="b">
        <f>Table4[[#This Row],[ypn]]=Table4[[#This Row],[trim]]</f>
        <v>0</v>
      </c>
      <c r="D88" s="13">
        <f>Table4[[#This Row],[ypn]]*1</f>
        <v>7289896430</v>
      </c>
      <c r="E88" s="13">
        <f>TYPE(Table4[[#This Row],[ypn]])</f>
        <v>1</v>
      </c>
      <c r="F88" t="s">
        <v>592</v>
      </c>
      <c r="G88" s="13"/>
    </row>
    <row r="89" spans="1:7" ht="14.4" x14ac:dyDescent="0.3">
      <c r="A89" s="13">
        <v>7289921730</v>
      </c>
      <c r="B89" s="13" t="str">
        <f>TRIM(Table4[[#This Row],[ypn]])</f>
        <v>7289921730</v>
      </c>
      <c r="C89" s="13" t="b">
        <f>Table4[[#This Row],[ypn]]=Table4[[#This Row],[trim]]</f>
        <v>0</v>
      </c>
      <c r="D89" s="13">
        <f>Table4[[#This Row],[ypn]]*1</f>
        <v>7289921730</v>
      </c>
      <c r="E89" s="13">
        <f>TYPE(Table4[[#This Row],[ypn]])</f>
        <v>1</v>
      </c>
      <c r="F89" t="s">
        <v>593</v>
      </c>
      <c r="G89" s="13"/>
    </row>
    <row r="90" spans="1:7" ht="14.4" x14ac:dyDescent="0.3">
      <c r="A90" s="13">
        <v>7289982670</v>
      </c>
      <c r="B90" s="13" t="str">
        <f>TRIM(Table4[[#This Row],[ypn]])</f>
        <v>7289982670</v>
      </c>
      <c r="C90" s="13" t="b">
        <f>Table4[[#This Row],[ypn]]=Table4[[#This Row],[trim]]</f>
        <v>0</v>
      </c>
      <c r="D90" s="13">
        <f>Table4[[#This Row],[ypn]]*1</f>
        <v>7289982670</v>
      </c>
      <c r="E90" s="13">
        <f>TYPE(Table4[[#This Row],[ypn]])</f>
        <v>1</v>
      </c>
      <c r="F90" t="s">
        <v>594</v>
      </c>
      <c r="G90" s="13"/>
    </row>
    <row r="91" spans="1:7" ht="14.4" x14ac:dyDescent="0.3">
      <c r="A91" s="13">
        <v>7289982670</v>
      </c>
      <c r="B91" s="13" t="str">
        <f>TRIM(Table4[[#This Row],[ypn]])</f>
        <v>7289982670</v>
      </c>
      <c r="C91" s="13" t="b">
        <f>Table4[[#This Row],[ypn]]=Table4[[#This Row],[trim]]</f>
        <v>0</v>
      </c>
      <c r="D91" s="13">
        <f>Table4[[#This Row],[ypn]]*1</f>
        <v>7289982670</v>
      </c>
      <c r="E91" s="13">
        <f>TYPE(Table4[[#This Row],[ypn]])</f>
        <v>1</v>
      </c>
      <c r="F91" t="s">
        <v>595</v>
      </c>
      <c r="G91" s="13"/>
    </row>
    <row r="92" spans="1:7" ht="14.4" x14ac:dyDescent="0.3">
      <c r="A92" s="13">
        <v>7297913630</v>
      </c>
      <c r="B92" s="13" t="str">
        <f>TRIM(Table4[[#This Row],[ypn]])</f>
        <v>7297913630</v>
      </c>
      <c r="C92" s="13" t="b">
        <f>Table4[[#This Row],[ypn]]=Table4[[#This Row],[trim]]</f>
        <v>0</v>
      </c>
      <c r="D92" s="13">
        <f>Table4[[#This Row],[ypn]]*1</f>
        <v>7297913630</v>
      </c>
      <c r="E92" s="13">
        <f>TYPE(Table4[[#This Row],[ypn]])</f>
        <v>1</v>
      </c>
      <c r="F92" t="s">
        <v>596</v>
      </c>
      <c r="G92" s="13"/>
    </row>
    <row r="93" spans="1:7" ht="14.4" x14ac:dyDescent="0.3">
      <c r="A93" s="13">
        <v>7297914930</v>
      </c>
      <c r="B93" s="13" t="str">
        <f>TRIM(Table4[[#This Row],[ypn]])</f>
        <v>7297914930</v>
      </c>
      <c r="C93" s="13" t="b">
        <f>Table4[[#This Row],[ypn]]=Table4[[#This Row],[trim]]</f>
        <v>0</v>
      </c>
      <c r="D93" s="13">
        <f>Table4[[#This Row],[ypn]]*1</f>
        <v>7297914930</v>
      </c>
      <c r="E93" s="13">
        <f>TYPE(Table4[[#This Row],[ypn]])</f>
        <v>1</v>
      </c>
      <c r="F93" t="s">
        <v>597</v>
      </c>
      <c r="G93" s="13"/>
    </row>
    <row r="94" spans="1:7" ht="14.4" x14ac:dyDescent="0.3">
      <c r="A94" s="13">
        <v>7297944190</v>
      </c>
      <c r="B94" s="13" t="str">
        <f>TRIM(Table4[[#This Row],[ypn]])</f>
        <v>7297944190</v>
      </c>
      <c r="C94" s="13" t="b">
        <f>Table4[[#This Row],[ypn]]=Table4[[#This Row],[trim]]</f>
        <v>0</v>
      </c>
      <c r="D94" s="13">
        <f>Table4[[#This Row],[ypn]]*1</f>
        <v>7297944190</v>
      </c>
      <c r="E94" s="13">
        <f>TYPE(Table4[[#This Row],[ypn]])</f>
        <v>1</v>
      </c>
      <c r="F94" t="s">
        <v>598</v>
      </c>
      <c r="G94" s="13"/>
    </row>
    <row r="95" spans="1:7" ht="14.4" x14ac:dyDescent="0.3">
      <c r="A95" s="13">
        <v>7298331130</v>
      </c>
      <c r="B95" s="13" t="str">
        <f>TRIM(Table4[[#This Row],[ypn]])</f>
        <v>7298331130</v>
      </c>
      <c r="C95" s="13" t="b">
        <f>Table4[[#This Row],[ypn]]=Table4[[#This Row],[trim]]</f>
        <v>0</v>
      </c>
      <c r="D95" s="13">
        <f>Table4[[#This Row],[ypn]]*1</f>
        <v>7298331130</v>
      </c>
      <c r="E95" s="13">
        <f>TYPE(Table4[[#This Row],[ypn]])</f>
        <v>1</v>
      </c>
      <c r="F95" t="s">
        <v>599</v>
      </c>
      <c r="G95" s="13"/>
    </row>
    <row r="96" spans="1:7" ht="14.4" x14ac:dyDescent="0.3">
      <c r="A96" s="13">
        <v>7298677930</v>
      </c>
      <c r="B96" s="13" t="str">
        <f>TRIM(Table4[[#This Row],[ypn]])</f>
        <v>7298677930</v>
      </c>
      <c r="C96" s="13" t="b">
        <f>Table4[[#This Row],[ypn]]=Table4[[#This Row],[trim]]</f>
        <v>0</v>
      </c>
      <c r="D96" s="13">
        <f>Table4[[#This Row],[ypn]]*1</f>
        <v>7298677930</v>
      </c>
      <c r="E96" s="13">
        <f>TYPE(Table4[[#This Row],[ypn]])</f>
        <v>1</v>
      </c>
      <c r="F96" t="s">
        <v>600</v>
      </c>
      <c r="G96" s="13"/>
    </row>
    <row r="97" spans="1:7" ht="14.4" x14ac:dyDescent="0.3">
      <c r="A97" s="13">
        <v>7298761730</v>
      </c>
      <c r="B97" s="13" t="str">
        <f>TRIM(Table4[[#This Row],[ypn]])</f>
        <v>7298761730</v>
      </c>
      <c r="C97" s="13" t="b">
        <f>Table4[[#This Row],[ypn]]=Table4[[#This Row],[trim]]</f>
        <v>0</v>
      </c>
      <c r="D97" s="13">
        <f>Table4[[#This Row],[ypn]]*1</f>
        <v>7298761730</v>
      </c>
      <c r="E97" s="13">
        <f>TYPE(Table4[[#This Row],[ypn]])</f>
        <v>1</v>
      </c>
      <c r="F97" t="s">
        <v>601</v>
      </c>
      <c r="G97" s="13"/>
    </row>
    <row r="98" spans="1:7" ht="14.4" x14ac:dyDescent="0.3">
      <c r="A98" s="13">
        <v>7298808930</v>
      </c>
      <c r="B98" s="13" t="str">
        <f>TRIM(Table4[[#This Row],[ypn]])</f>
        <v>7298808930</v>
      </c>
      <c r="C98" s="13" t="b">
        <f>Table4[[#This Row],[ypn]]=Table4[[#This Row],[trim]]</f>
        <v>0</v>
      </c>
      <c r="D98" s="13">
        <f>Table4[[#This Row],[ypn]]*1</f>
        <v>7298808930</v>
      </c>
      <c r="E98" s="13">
        <f>TYPE(Table4[[#This Row],[ypn]])</f>
        <v>1</v>
      </c>
      <c r="F98" t="s">
        <v>602</v>
      </c>
      <c r="G98" s="13"/>
    </row>
    <row r="99" spans="1:7" ht="14.4" x14ac:dyDescent="0.3">
      <c r="A99" s="13">
        <v>7298912930</v>
      </c>
      <c r="B99" s="13" t="str">
        <f>TRIM(Table4[[#This Row],[ypn]])</f>
        <v>7298912930</v>
      </c>
      <c r="C99" s="13" t="b">
        <f>Table4[[#This Row],[ypn]]=Table4[[#This Row],[trim]]</f>
        <v>0</v>
      </c>
      <c r="D99" s="13">
        <f>Table4[[#This Row],[ypn]]*1</f>
        <v>7298912930</v>
      </c>
      <c r="E99" s="13">
        <f>TYPE(Table4[[#This Row],[ypn]])</f>
        <v>1</v>
      </c>
      <c r="F99" t="s">
        <v>603</v>
      </c>
      <c r="G99" s="13"/>
    </row>
    <row r="100" spans="1:7" ht="14.4" x14ac:dyDescent="0.3">
      <c r="A100" s="18">
        <v>7298913330</v>
      </c>
      <c r="B100" s="13" t="str">
        <f>TRIM(Table4[[#This Row],[ypn]])</f>
        <v>7298913330</v>
      </c>
      <c r="C100" s="13" t="b">
        <f>Table4[[#This Row],[ypn]]=Table4[[#This Row],[trim]]</f>
        <v>0</v>
      </c>
      <c r="D100" s="13">
        <f>Table4[[#This Row],[ypn]]*1</f>
        <v>7298913330</v>
      </c>
      <c r="E100" s="13">
        <f>TYPE(Table4[[#This Row],[ypn]])</f>
        <v>1</v>
      </c>
      <c r="F100" t="s">
        <v>604</v>
      </c>
      <c r="G100" s="13"/>
    </row>
    <row r="101" spans="1:7" ht="14.4" x14ac:dyDescent="0.3">
      <c r="A101" s="13">
        <v>7298913530</v>
      </c>
      <c r="B101" s="13" t="str">
        <f>TRIM(Table4[[#This Row],[ypn]])</f>
        <v>7298913530</v>
      </c>
      <c r="C101" s="13" t="b">
        <f>Table4[[#This Row],[ypn]]=Table4[[#This Row],[trim]]</f>
        <v>0</v>
      </c>
      <c r="D101" s="13">
        <f>Table4[[#This Row],[ypn]]*1</f>
        <v>7298913530</v>
      </c>
      <c r="E101" s="13">
        <f>TYPE(Table4[[#This Row],[ypn]])</f>
        <v>1</v>
      </c>
      <c r="F101" t="s">
        <v>605</v>
      </c>
      <c r="G101" s="13"/>
    </row>
    <row r="102" spans="1:7" ht="14.4" x14ac:dyDescent="0.3">
      <c r="A102" s="13">
        <v>7298913730</v>
      </c>
      <c r="B102" s="13" t="str">
        <f>TRIM(Table4[[#This Row],[ypn]])</f>
        <v>7298913730</v>
      </c>
      <c r="C102" s="13" t="b">
        <f>Table4[[#This Row],[ypn]]=Table4[[#This Row],[trim]]</f>
        <v>0</v>
      </c>
      <c r="D102" s="13">
        <f>Table4[[#This Row],[ypn]]*1</f>
        <v>7298913730</v>
      </c>
      <c r="E102" s="13">
        <f>TYPE(Table4[[#This Row],[ypn]])</f>
        <v>1</v>
      </c>
      <c r="F102" t="s">
        <v>606</v>
      </c>
      <c r="G102" s="13"/>
    </row>
    <row r="103" spans="1:7" ht="14.4" x14ac:dyDescent="0.3">
      <c r="A103" s="13">
        <v>7298948930</v>
      </c>
      <c r="B103" s="13" t="str">
        <f>TRIM(Table4[[#This Row],[ypn]])</f>
        <v>7298948930</v>
      </c>
      <c r="C103" s="13" t="b">
        <f>Table4[[#This Row],[ypn]]=Table4[[#This Row],[trim]]</f>
        <v>0</v>
      </c>
      <c r="D103" s="13">
        <f>Table4[[#This Row],[ypn]]*1</f>
        <v>7298948930</v>
      </c>
      <c r="E103" s="13">
        <f>TYPE(Table4[[#This Row],[ypn]])</f>
        <v>1</v>
      </c>
      <c r="F103" t="s">
        <v>607</v>
      </c>
      <c r="G103" s="13"/>
    </row>
    <row r="104" spans="1:7" ht="14.4" x14ac:dyDescent="0.3">
      <c r="A104" s="13">
        <v>7298949030</v>
      </c>
      <c r="B104" s="13" t="str">
        <f>TRIM(Table4[[#This Row],[ypn]])</f>
        <v>7298949030</v>
      </c>
      <c r="C104" s="13" t="b">
        <f>Table4[[#This Row],[ypn]]=Table4[[#This Row],[trim]]</f>
        <v>0</v>
      </c>
      <c r="D104" s="13">
        <f>Table4[[#This Row],[ypn]]*1</f>
        <v>7298949030</v>
      </c>
      <c r="E104" s="13">
        <f>TYPE(Table4[[#This Row],[ypn]])</f>
        <v>1</v>
      </c>
      <c r="F104" t="s">
        <v>608</v>
      </c>
      <c r="G104" s="13"/>
    </row>
    <row r="105" spans="1:7" ht="14.4" x14ac:dyDescent="0.3">
      <c r="A105" s="13">
        <v>7003292202</v>
      </c>
      <c r="B105" s="13" t="str">
        <f>TRIM(Table4[[#This Row],[ypn]])</f>
        <v>7003292202</v>
      </c>
      <c r="C105" s="13" t="b">
        <f>Table4[[#This Row],[ypn]]=Table4[[#This Row],[trim]]</f>
        <v>0</v>
      </c>
      <c r="D105" s="13">
        <f>Table4[[#This Row],[ypn]]*1</f>
        <v>7003292202</v>
      </c>
      <c r="E105" s="13">
        <f>TYPE(Table4[[#This Row],[ypn]])</f>
        <v>1</v>
      </c>
      <c r="F105" t="s">
        <v>609</v>
      </c>
      <c r="G105" s="13"/>
    </row>
    <row r="106" spans="1:7" ht="14.4" x14ac:dyDescent="0.3">
      <c r="A106" s="13" t="s">
        <v>610</v>
      </c>
      <c r="B106" s="13" t="str">
        <f>TRIM(Table4[[#This Row],[ypn]])</f>
        <v>7003293002(RINGTERMINAL)</v>
      </c>
      <c r="C106" s="13" t="b">
        <f>Table4[[#This Row],[ypn]]=Table4[[#This Row],[trim]]</f>
        <v>1</v>
      </c>
      <c r="D106" s="13" t="e">
        <f>Table4[[#This Row],[ypn]]*1</f>
        <v>#VALUE!</v>
      </c>
      <c r="E106" s="13">
        <f>TYPE(Table4[[#This Row],[ypn]])</f>
        <v>2</v>
      </c>
      <c r="F106" t="s">
        <v>611</v>
      </c>
      <c r="G106" s="13"/>
    </row>
    <row r="107" spans="1:7" ht="14.4" x14ac:dyDescent="0.3">
      <c r="A107" s="13" t="s">
        <v>612</v>
      </c>
      <c r="B107" s="13" t="str">
        <f>TRIM(Table4[[#This Row],[ypn]])</f>
        <v>7003803202(RINGTERMINAL)</v>
      </c>
      <c r="C107" s="13" t="b">
        <f>Table4[[#This Row],[ypn]]=Table4[[#This Row],[trim]]</f>
        <v>1</v>
      </c>
      <c r="D107" s="13" t="e">
        <f>Table4[[#This Row],[ypn]]*1</f>
        <v>#VALUE!</v>
      </c>
      <c r="E107" s="13">
        <f>TYPE(Table4[[#This Row],[ypn]])</f>
        <v>2</v>
      </c>
      <c r="F107" t="s">
        <v>613</v>
      </c>
      <c r="G107" s="13"/>
    </row>
    <row r="108" spans="1:7" ht="14.4" x14ac:dyDescent="0.3">
      <c r="A108" s="13">
        <v>7003803502</v>
      </c>
      <c r="B108" s="13" t="str">
        <f>TRIM(Table4[[#This Row],[ypn]])</f>
        <v>7003803502</v>
      </c>
      <c r="C108" s="13" t="b">
        <f>Table4[[#This Row],[ypn]]=Table4[[#This Row],[trim]]</f>
        <v>0</v>
      </c>
      <c r="D108" s="13">
        <f>Table4[[#This Row],[ypn]]*1</f>
        <v>7003803502</v>
      </c>
      <c r="E108" s="13">
        <f>TYPE(Table4[[#This Row],[ypn]])</f>
        <v>1</v>
      </c>
      <c r="F108" t="s">
        <v>614</v>
      </c>
      <c r="G108" s="13"/>
    </row>
    <row r="109" spans="1:7" ht="14.4" x14ac:dyDescent="0.3">
      <c r="A109" s="13">
        <v>7009630402</v>
      </c>
      <c r="B109" s="13" t="str">
        <f>TRIM(Table4[[#This Row],[ypn]])</f>
        <v>7009630402</v>
      </c>
      <c r="C109" s="13" t="b">
        <f>Table4[[#This Row],[ypn]]=Table4[[#This Row],[trim]]</f>
        <v>0</v>
      </c>
      <c r="D109" s="13">
        <f>Table4[[#This Row],[ypn]]*1</f>
        <v>7009630402</v>
      </c>
      <c r="E109" s="13">
        <f>TYPE(Table4[[#This Row],[ypn]])</f>
        <v>1</v>
      </c>
      <c r="F109" t="s">
        <v>615</v>
      </c>
      <c r="G109" s="13"/>
    </row>
    <row r="110" spans="1:7" ht="14.4" x14ac:dyDescent="0.3">
      <c r="A110" s="13">
        <v>7009639402</v>
      </c>
      <c r="B110" s="13" t="str">
        <f>TRIM(Table4[[#This Row],[ypn]])</f>
        <v>7009639402</v>
      </c>
      <c r="C110" s="13" t="b">
        <f>Table4[[#This Row],[ypn]]=Table4[[#This Row],[trim]]</f>
        <v>0</v>
      </c>
      <c r="D110" s="13">
        <f>Table4[[#This Row],[ypn]]*1</f>
        <v>7009639402</v>
      </c>
      <c r="E110" s="13">
        <f>TYPE(Table4[[#This Row],[ypn]])</f>
        <v>1</v>
      </c>
      <c r="F110" t="s">
        <v>616</v>
      </c>
      <c r="G110" s="13"/>
    </row>
    <row r="111" spans="1:7" ht="14.4" x14ac:dyDescent="0.3">
      <c r="A111" s="13" t="s">
        <v>274</v>
      </c>
      <c r="B111" s="13" t="str">
        <f>TRIM(Table4[[#This Row],[ypn]])</f>
        <v>7075226730(X1PP5707)</v>
      </c>
      <c r="C111" s="13" t="b">
        <f>Table4[[#This Row],[ypn]]=Table4[[#This Row],[trim]]</f>
        <v>1</v>
      </c>
      <c r="D111" s="13" t="e">
        <f>Table4[[#This Row],[ypn]]*1</f>
        <v>#VALUE!</v>
      </c>
      <c r="E111" s="13">
        <f>TYPE(Table4[[#This Row],[ypn]])</f>
        <v>2</v>
      </c>
      <c r="F111" t="s">
        <v>617</v>
      </c>
      <c r="G111" s="13"/>
    </row>
    <row r="112" spans="1:7" ht="14.4" x14ac:dyDescent="0.3">
      <c r="A112" s="13" t="s">
        <v>618</v>
      </c>
      <c r="B112" s="13" t="str">
        <f>TRIM(Table4[[#This Row],[ypn]])</f>
        <v>7075231830(X1PO2395)</v>
      </c>
      <c r="C112" s="13" t="b">
        <f>Table4[[#This Row],[ypn]]=Table4[[#This Row],[trim]]</f>
        <v>1</v>
      </c>
      <c r="D112" s="13" t="e">
        <f>Table4[[#This Row],[ypn]]*1</f>
        <v>#VALUE!</v>
      </c>
      <c r="E112" s="13">
        <f>TYPE(Table4[[#This Row],[ypn]])</f>
        <v>2</v>
      </c>
      <c r="F112" t="s">
        <v>619</v>
      </c>
      <c r="G112" s="13"/>
    </row>
    <row r="113" spans="1:7" ht="14.4" x14ac:dyDescent="0.3">
      <c r="A113" s="13" t="s">
        <v>620</v>
      </c>
      <c r="B113" s="13" t="str">
        <f>TRIM(Table4[[#This Row],[ypn]])</f>
        <v>7075231930(X1PO2518)</v>
      </c>
      <c r="C113" s="13" t="b">
        <f>Table4[[#This Row],[ypn]]=Table4[[#This Row],[trim]]</f>
        <v>1</v>
      </c>
      <c r="D113" s="13" t="e">
        <f>Table4[[#This Row],[ypn]]*1</f>
        <v>#VALUE!</v>
      </c>
      <c r="E113" s="13">
        <f>TYPE(Table4[[#This Row],[ypn]])</f>
        <v>2</v>
      </c>
      <c r="F113" t="s">
        <v>621</v>
      </c>
      <c r="G113" s="13"/>
    </row>
    <row r="114" spans="1:7" ht="14.4" x14ac:dyDescent="0.3">
      <c r="A114" s="13" t="s">
        <v>232</v>
      </c>
      <c r="B114" s="13" t="str">
        <f>TRIM(Table4[[#This Row],[ypn]])</f>
        <v>7075236930(X1PO2363)</v>
      </c>
      <c r="C114" s="13" t="b">
        <f>Table4[[#This Row],[ypn]]=Table4[[#This Row],[trim]]</f>
        <v>1</v>
      </c>
      <c r="D114" s="13" t="e">
        <f>Table4[[#This Row],[ypn]]*1</f>
        <v>#VALUE!</v>
      </c>
      <c r="E114" s="13">
        <f>TYPE(Table4[[#This Row],[ypn]])</f>
        <v>2</v>
      </c>
      <c r="F114" t="s">
        <v>622</v>
      </c>
      <c r="G114" s="13"/>
    </row>
    <row r="115" spans="1:7" ht="14.4" x14ac:dyDescent="0.3">
      <c r="A115" s="13" t="s">
        <v>233</v>
      </c>
      <c r="B115" s="13" t="str">
        <f>TRIM(Table4[[#This Row],[ypn]])</f>
        <v>7118641830+7173344320</v>
      </c>
      <c r="C115" s="13" t="b">
        <f>Table4[[#This Row],[ypn]]=Table4[[#This Row],[trim]]</f>
        <v>1</v>
      </c>
      <c r="D115" s="13" t="e">
        <f>Table4[[#This Row],[ypn]]*1</f>
        <v>#VALUE!</v>
      </c>
      <c r="E115" s="13">
        <f>TYPE(Table4[[#This Row],[ypn]])</f>
        <v>2</v>
      </c>
      <c r="F115" t="s">
        <v>849</v>
      </c>
      <c r="G115" s="13"/>
    </row>
    <row r="116" spans="1:7" ht="14.4" x14ac:dyDescent="0.3">
      <c r="A116" s="13" t="s">
        <v>623</v>
      </c>
      <c r="B116" s="13" t="str">
        <f>TRIM(Table4[[#This Row],[ypn]])</f>
        <v>71186683+7173344320</v>
      </c>
      <c r="C116" s="13" t="b">
        <f>Table4[[#This Row],[ypn]]=Table4[[#This Row],[trim]]</f>
        <v>1</v>
      </c>
      <c r="D116" s="13" t="e">
        <f>Table4[[#This Row],[ypn]]*1</f>
        <v>#VALUE!</v>
      </c>
      <c r="E116" s="13">
        <f>TYPE(Table4[[#This Row],[ypn]])</f>
        <v>2</v>
      </c>
      <c r="F116" t="s">
        <v>624</v>
      </c>
      <c r="G116" s="13"/>
    </row>
    <row r="117" spans="1:7" ht="14.4" x14ac:dyDescent="0.3">
      <c r="A117" s="13">
        <v>7118670020</v>
      </c>
      <c r="B117" s="13" t="str">
        <f>TRIM(Table4[[#This Row],[ypn]])</f>
        <v>7118670020</v>
      </c>
      <c r="C117" s="13" t="b">
        <f>Table4[[#This Row],[ypn]]=Table4[[#This Row],[trim]]</f>
        <v>0</v>
      </c>
      <c r="D117" s="13">
        <f>Table4[[#This Row],[ypn]]*1</f>
        <v>7118670020</v>
      </c>
      <c r="E117" s="13">
        <f>TYPE(Table4[[#This Row],[ypn]])</f>
        <v>1</v>
      </c>
      <c r="F117" t="s">
        <v>625</v>
      </c>
      <c r="G117" s="13"/>
    </row>
    <row r="118" spans="1:7" ht="14.4" x14ac:dyDescent="0.3">
      <c r="A118" s="13" t="s">
        <v>627</v>
      </c>
      <c r="B118" s="13" t="str">
        <f>TRIM(Table4[[#This Row],[ypn]])</f>
        <v>7119127830+7234894130</v>
      </c>
      <c r="C118" s="13" t="b">
        <f>Table4[[#This Row],[ypn]]=Table4[[#This Row],[trim]]</f>
        <v>1</v>
      </c>
      <c r="D118" s="13" t="e">
        <f>Table4[[#This Row],[ypn]]*1</f>
        <v>#VALUE!</v>
      </c>
      <c r="E118" s="13">
        <f>TYPE(Table4[[#This Row],[ypn]])</f>
        <v>2</v>
      </c>
      <c r="F118" t="s">
        <v>628</v>
      </c>
      <c r="G118" s="13"/>
    </row>
    <row r="119" spans="1:7" ht="14.4" x14ac:dyDescent="0.3">
      <c r="A119" s="13" t="s">
        <v>629</v>
      </c>
      <c r="B119" s="13" t="str">
        <f>TRIM(Table4[[#This Row],[ypn]])</f>
        <v>7119140530+7119140640+72741359</v>
      </c>
      <c r="C119" s="13" t="b">
        <f>Table4[[#This Row],[ypn]]=Table4[[#This Row],[trim]]</f>
        <v>1</v>
      </c>
      <c r="D119" s="13" t="e">
        <f>Table4[[#This Row],[ypn]]*1</f>
        <v>#VALUE!</v>
      </c>
      <c r="E119" s="13">
        <f>TYPE(Table4[[#This Row],[ypn]])</f>
        <v>2</v>
      </c>
      <c r="F119" t="s">
        <v>630</v>
      </c>
      <c r="G119" s="13"/>
    </row>
    <row r="120" spans="1:7" ht="14.4" x14ac:dyDescent="0.3">
      <c r="A120" s="13">
        <v>71196310</v>
      </c>
      <c r="B120" s="13" t="str">
        <f>TRIM(Table4[[#This Row],[ypn]])</f>
        <v>71196310</v>
      </c>
      <c r="C120" s="13" t="b">
        <f>Table4[[#This Row],[ypn]]=Table4[[#This Row],[trim]]</f>
        <v>0</v>
      </c>
      <c r="D120" s="13">
        <f>Table4[[#This Row],[ypn]]*1</f>
        <v>71196310</v>
      </c>
      <c r="E120" s="13">
        <f>TYPE(Table4[[#This Row],[ypn]])</f>
        <v>1</v>
      </c>
      <c r="F120" t="s">
        <v>631</v>
      </c>
      <c r="G120" s="13"/>
    </row>
    <row r="121" spans="1:7" ht="14.4" x14ac:dyDescent="0.3">
      <c r="A121" s="13">
        <v>7119639830</v>
      </c>
      <c r="B121" s="13" t="str">
        <f>TRIM(Table4[[#This Row],[ypn]])</f>
        <v>7119639830</v>
      </c>
      <c r="C121" s="13" t="b">
        <f>Table4[[#This Row],[ypn]]=Table4[[#This Row],[trim]]</f>
        <v>0</v>
      </c>
      <c r="D121" s="13">
        <f>Table4[[#This Row],[ypn]]*1</f>
        <v>7119639830</v>
      </c>
      <c r="E121" s="13">
        <f>TYPE(Table4[[#This Row],[ypn]])</f>
        <v>1</v>
      </c>
      <c r="F121" t="s">
        <v>633</v>
      </c>
      <c r="G121" s="13"/>
    </row>
    <row r="122" spans="1:7" ht="14.4" x14ac:dyDescent="0.3">
      <c r="A122" s="13" t="s">
        <v>634</v>
      </c>
      <c r="B122" s="13" t="str">
        <f>TRIM(Table4[[#This Row],[ypn]])</f>
        <v>7119648630+7274171430</v>
      </c>
      <c r="C122" s="13" t="b">
        <f>Table4[[#This Row],[ypn]]=Table4[[#This Row],[trim]]</f>
        <v>1</v>
      </c>
      <c r="D122" s="13" t="e">
        <f>Table4[[#This Row],[ypn]]*1</f>
        <v>#VALUE!</v>
      </c>
      <c r="E122" s="13">
        <f>TYPE(Table4[[#This Row],[ypn]])</f>
        <v>2</v>
      </c>
      <c r="F122" t="s">
        <v>635</v>
      </c>
      <c r="G122" s="13"/>
    </row>
    <row r="123" spans="1:7" ht="14.4" x14ac:dyDescent="0.3">
      <c r="A123" s="13" t="s">
        <v>637</v>
      </c>
      <c r="B123" s="13" t="str">
        <f>TRIM(Table4[[#This Row],[ypn]])</f>
        <v>7176861930(X1PO2578)</v>
      </c>
      <c r="C123" s="13" t="b">
        <f>Table4[[#This Row],[ypn]]=Table4[[#This Row],[trim]]</f>
        <v>1</v>
      </c>
      <c r="D123" s="13" t="e">
        <f>Table4[[#This Row],[ypn]]*1</f>
        <v>#VALUE!</v>
      </c>
      <c r="E123" s="13">
        <f>TYPE(Table4[[#This Row],[ypn]])</f>
        <v>2</v>
      </c>
      <c r="F123" t="s">
        <v>638</v>
      </c>
      <c r="G123" s="13"/>
    </row>
    <row r="124" spans="1:7" ht="14.4" x14ac:dyDescent="0.3">
      <c r="A124" s="13" t="s">
        <v>639</v>
      </c>
      <c r="B124" s="13" t="str">
        <f>TRIM(Table4[[#This Row],[ypn]])</f>
        <v>7176862030(X1PO2580)</v>
      </c>
      <c r="C124" s="13" t="b">
        <f>Table4[[#This Row],[ypn]]=Table4[[#This Row],[trim]]</f>
        <v>1</v>
      </c>
      <c r="D124" s="13" t="e">
        <f>Table4[[#This Row],[ypn]]*1</f>
        <v>#VALUE!</v>
      </c>
      <c r="E124" s="13">
        <f>TYPE(Table4[[#This Row],[ypn]])</f>
        <v>2</v>
      </c>
      <c r="F124" t="s">
        <v>640</v>
      </c>
      <c r="G124" s="13"/>
    </row>
    <row r="125" spans="1:7" ht="14.4" x14ac:dyDescent="0.3">
      <c r="A125" s="13" t="s">
        <v>641</v>
      </c>
      <c r="B125" s="13" t="str">
        <f>TRIM(Table4[[#This Row],[ypn]])</f>
        <v>7176862130(X1PO2557)</v>
      </c>
      <c r="C125" s="13" t="b">
        <f>Table4[[#This Row],[ypn]]=Table4[[#This Row],[trim]]</f>
        <v>1</v>
      </c>
      <c r="D125" s="13" t="e">
        <f>Table4[[#This Row],[ypn]]*1</f>
        <v>#VALUE!</v>
      </c>
      <c r="E125" s="13">
        <f>TYPE(Table4[[#This Row],[ypn]])</f>
        <v>2</v>
      </c>
      <c r="F125" t="s">
        <v>642</v>
      </c>
      <c r="G125" s="13"/>
    </row>
    <row r="126" spans="1:7" ht="14.4" x14ac:dyDescent="0.3">
      <c r="A126" s="13" t="s">
        <v>643</v>
      </c>
      <c r="B126" s="13" t="str">
        <f>TRIM(Table4[[#This Row],[ypn]])</f>
        <v>7176862330(X1PO2559)</v>
      </c>
      <c r="C126" s="13" t="b">
        <f>Table4[[#This Row],[ypn]]=Table4[[#This Row],[trim]]</f>
        <v>1</v>
      </c>
      <c r="D126" s="13" t="e">
        <f>Table4[[#This Row],[ypn]]*1</f>
        <v>#VALUE!</v>
      </c>
      <c r="E126" s="13">
        <f>TYPE(Table4[[#This Row],[ypn]])</f>
        <v>2</v>
      </c>
      <c r="F126" t="s">
        <v>644</v>
      </c>
      <c r="G126" s="13"/>
    </row>
    <row r="127" spans="1:7" ht="14.4" x14ac:dyDescent="0.3">
      <c r="A127" s="13" t="s">
        <v>645</v>
      </c>
      <c r="B127" s="13" t="str">
        <f>TRIM(Table4[[#This Row],[ypn]])</f>
        <v>7176862730(X1PO2563)</v>
      </c>
      <c r="C127" s="13" t="b">
        <f>Table4[[#This Row],[ypn]]=Table4[[#This Row],[trim]]</f>
        <v>1</v>
      </c>
      <c r="D127" s="13" t="e">
        <f>Table4[[#This Row],[ypn]]*1</f>
        <v>#VALUE!</v>
      </c>
      <c r="E127" s="13">
        <f>TYPE(Table4[[#This Row],[ypn]])</f>
        <v>2</v>
      </c>
      <c r="F127" t="s">
        <v>646</v>
      </c>
      <c r="G127" s="13"/>
    </row>
    <row r="128" spans="1:7" ht="14.4" x14ac:dyDescent="0.3">
      <c r="A128" s="13" t="s">
        <v>647</v>
      </c>
      <c r="B128" s="13" t="str">
        <f>TRIM(Table4[[#This Row],[ypn]])</f>
        <v>7176862930(X1PO2407)</v>
      </c>
      <c r="C128" s="13" t="b">
        <f>Table4[[#This Row],[ypn]]=Table4[[#This Row],[trim]]</f>
        <v>1</v>
      </c>
      <c r="D128" s="13" t="e">
        <f>Table4[[#This Row],[ypn]]*1</f>
        <v>#VALUE!</v>
      </c>
      <c r="E128" s="13">
        <f>TYPE(Table4[[#This Row],[ypn]])</f>
        <v>2</v>
      </c>
      <c r="F128" t="s">
        <v>648</v>
      </c>
      <c r="G128" s="13"/>
    </row>
    <row r="129" spans="1:7" ht="14.4" x14ac:dyDescent="0.3">
      <c r="A129" s="13" t="s">
        <v>649</v>
      </c>
      <c r="B129" s="13" t="str">
        <f>TRIM(Table4[[#This Row],[ypn]])</f>
        <v>7176863030(X1PO2408)</v>
      </c>
      <c r="C129" s="13" t="b">
        <f>Table4[[#This Row],[ypn]]=Table4[[#This Row],[trim]]</f>
        <v>1</v>
      </c>
      <c r="D129" s="13" t="e">
        <f>Table4[[#This Row],[ypn]]*1</f>
        <v>#VALUE!</v>
      </c>
      <c r="E129" s="13">
        <f>TYPE(Table4[[#This Row],[ypn]])</f>
        <v>2</v>
      </c>
      <c r="F129" t="s">
        <v>650</v>
      </c>
      <c r="G129" s="13"/>
    </row>
    <row r="130" spans="1:7" ht="14.4" x14ac:dyDescent="0.3">
      <c r="A130" s="13" t="s">
        <v>651</v>
      </c>
      <c r="B130" s="13" t="str">
        <f>TRIM(Table4[[#This Row],[ypn]])</f>
        <v>7176874730(X1PO2553)</v>
      </c>
      <c r="C130" s="13" t="b">
        <f>Table4[[#This Row],[ypn]]=Table4[[#This Row],[trim]]</f>
        <v>1</v>
      </c>
      <c r="D130" s="13" t="e">
        <f>Table4[[#This Row],[ypn]]*1</f>
        <v>#VALUE!</v>
      </c>
      <c r="E130" s="13">
        <f>TYPE(Table4[[#This Row],[ypn]])</f>
        <v>2</v>
      </c>
      <c r="F130" t="s">
        <v>652</v>
      </c>
      <c r="G130" s="13"/>
    </row>
    <row r="131" spans="1:7" ht="14.4" x14ac:dyDescent="0.3">
      <c r="A131" s="13">
        <v>7177097330</v>
      </c>
      <c r="B131" s="13" t="str">
        <f>TRIM(Table4[[#This Row],[ypn]])</f>
        <v>7177097330</v>
      </c>
      <c r="C131" s="13" t="b">
        <f>Table4[[#This Row],[ypn]]=Table4[[#This Row],[trim]]</f>
        <v>0</v>
      </c>
      <c r="D131" s="13">
        <f>Table4[[#This Row],[ypn]]*1</f>
        <v>7177097330</v>
      </c>
      <c r="E131" s="13">
        <f>TYPE(Table4[[#This Row],[ypn]])</f>
        <v>1</v>
      </c>
      <c r="F131" t="s">
        <v>653</v>
      </c>
      <c r="G131" s="13"/>
    </row>
    <row r="132" spans="1:7" ht="14.4" x14ac:dyDescent="0.3">
      <c r="A132" s="13" t="s">
        <v>288</v>
      </c>
      <c r="B132" s="13" t="str">
        <f>TRIM(Table4[[#This Row],[ypn]])</f>
        <v>7177363290+7173344320</v>
      </c>
      <c r="C132" s="13" t="b">
        <f>Table4[[#This Row],[ypn]]=Table4[[#This Row],[trim]]</f>
        <v>1</v>
      </c>
      <c r="D132" s="13" t="e">
        <f>Table4[[#This Row],[ypn]]*1</f>
        <v>#VALUE!</v>
      </c>
      <c r="E132" s="13">
        <f>TYPE(Table4[[#This Row],[ypn]])</f>
        <v>2</v>
      </c>
      <c r="F132" t="s">
        <v>779</v>
      </c>
      <c r="G132" s="13"/>
    </row>
    <row r="133" spans="1:7" ht="14.4" x14ac:dyDescent="0.3">
      <c r="A133" s="13" t="s">
        <v>655</v>
      </c>
      <c r="B133" s="13" t="str">
        <f>TRIM(Table4[[#This Row],[ypn]])</f>
        <v>7185173030+7185173130+72742608</v>
      </c>
      <c r="C133" s="13" t="b">
        <f>Table4[[#This Row],[ypn]]=Table4[[#This Row],[trim]]</f>
        <v>1</v>
      </c>
      <c r="D133" s="13" t="e">
        <f>Table4[[#This Row],[ypn]]*1</f>
        <v>#VALUE!</v>
      </c>
      <c r="E133" s="13">
        <f>TYPE(Table4[[#This Row],[ypn]])</f>
        <v>2</v>
      </c>
      <c r="F133" t="s">
        <v>656</v>
      </c>
      <c r="G133" s="13"/>
    </row>
    <row r="134" spans="1:7" ht="14.4" x14ac:dyDescent="0.3">
      <c r="A134" s="13" t="s">
        <v>659</v>
      </c>
      <c r="B134" s="13" t="str">
        <f>TRIM(Table4[[#This Row],[ypn]])</f>
        <v>7189730210+7274146260</v>
      </c>
      <c r="C134" s="13" t="b">
        <f>Table4[[#This Row],[ypn]]=Table4[[#This Row],[trim]]</f>
        <v>1</v>
      </c>
      <c r="D134" s="13" t="e">
        <f>Table4[[#This Row],[ypn]]*1</f>
        <v>#VALUE!</v>
      </c>
      <c r="E134" s="13">
        <f>TYPE(Table4[[#This Row],[ypn]])</f>
        <v>2</v>
      </c>
      <c r="F134" t="s">
        <v>660</v>
      </c>
      <c r="G134" s="13"/>
    </row>
    <row r="135" spans="1:7" ht="14.4" x14ac:dyDescent="0.3">
      <c r="A135" s="13">
        <v>71980943</v>
      </c>
      <c r="B135" s="13" t="str">
        <f>TRIM(Table4[[#This Row],[ypn]])</f>
        <v>71980943</v>
      </c>
      <c r="C135" s="13" t="b">
        <f>Table4[[#This Row],[ypn]]=Table4[[#This Row],[trim]]</f>
        <v>0</v>
      </c>
      <c r="D135" s="13">
        <f>Table4[[#This Row],[ypn]]*1</f>
        <v>71980943</v>
      </c>
      <c r="E135" s="13">
        <f>TYPE(Table4[[#This Row],[ypn]])</f>
        <v>1</v>
      </c>
      <c r="F135" t="s">
        <v>662</v>
      </c>
      <c r="G135" s="13"/>
    </row>
    <row r="136" spans="1:7" ht="14.4" x14ac:dyDescent="0.3">
      <c r="A136" s="13" t="s">
        <v>664</v>
      </c>
      <c r="B136" s="13" t="str">
        <f>TRIM(Table4[[#This Row],[ypn]])</f>
        <v>7198762530+7198600430+7274261190</v>
      </c>
      <c r="C136" s="13" t="b">
        <f>Table4[[#This Row],[ypn]]=Table4[[#This Row],[trim]]</f>
        <v>1</v>
      </c>
      <c r="D136" s="13" t="e">
        <f>Table4[[#This Row],[ypn]]*1</f>
        <v>#VALUE!</v>
      </c>
      <c r="E136" s="13">
        <f>TYPE(Table4[[#This Row],[ypn]])</f>
        <v>2</v>
      </c>
      <c r="F136" t="s">
        <v>665</v>
      </c>
      <c r="G136" s="13"/>
    </row>
    <row r="137" spans="1:7" ht="14.4" x14ac:dyDescent="0.3">
      <c r="A137" s="13" t="s">
        <v>666</v>
      </c>
      <c r="B137" s="13" t="str">
        <f>TRIM(Table4[[#This Row],[ypn]])</f>
        <v>7198762530+7198600430+72743034</v>
      </c>
      <c r="C137" s="13" t="b">
        <f>Table4[[#This Row],[ypn]]=Table4[[#This Row],[trim]]</f>
        <v>1</v>
      </c>
      <c r="D137" s="13" t="e">
        <f>Table4[[#This Row],[ypn]]*1</f>
        <v>#VALUE!</v>
      </c>
      <c r="E137" s="13">
        <f>TYPE(Table4[[#This Row],[ypn]])</f>
        <v>2</v>
      </c>
      <c r="F137" t="s">
        <v>667</v>
      </c>
      <c r="G137" s="13" t="s">
        <v>848</v>
      </c>
    </row>
    <row r="138" spans="1:7" ht="14.4" x14ac:dyDescent="0.3">
      <c r="A138" s="13" t="s">
        <v>251</v>
      </c>
      <c r="B138" s="13" t="str">
        <f>TRIM(Table4[[#This Row],[ypn]])</f>
        <v>7198914830+7234497030</v>
      </c>
      <c r="C138" s="13" t="b">
        <f>Table4[[#This Row],[ypn]]=Table4[[#This Row],[trim]]</f>
        <v>1</v>
      </c>
      <c r="D138" s="13" t="e">
        <f>Table4[[#This Row],[ypn]]*1</f>
        <v>#VALUE!</v>
      </c>
      <c r="E138" s="13">
        <f>TYPE(Table4[[#This Row],[ypn]])</f>
        <v>2</v>
      </c>
      <c r="F138" t="s">
        <v>670</v>
      </c>
      <c r="G138" s="13"/>
    </row>
    <row r="139" spans="1:7" ht="14.4" x14ac:dyDescent="0.3">
      <c r="A139" s="13">
        <v>71989158</v>
      </c>
      <c r="B139" s="13" t="str">
        <f>TRIM(Table4[[#This Row],[ypn]])</f>
        <v>71989158</v>
      </c>
      <c r="C139" s="13" t="b">
        <f>Table4[[#This Row],[ypn]]=Table4[[#This Row],[trim]]</f>
        <v>0</v>
      </c>
      <c r="D139" s="13">
        <f>Table4[[#This Row],[ypn]]*1</f>
        <v>71989158</v>
      </c>
      <c r="E139" s="13">
        <f>TYPE(Table4[[#This Row],[ypn]])</f>
        <v>1</v>
      </c>
      <c r="F139" t="s">
        <v>671</v>
      </c>
      <c r="G139" s="13"/>
    </row>
    <row r="140" spans="1:7" ht="14.4" x14ac:dyDescent="0.3">
      <c r="A140" s="13">
        <v>7218645330</v>
      </c>
      <c r="B140" s="13" t="str">
        <f>TRIM(Table4[[#This Row],[ypn]])</f>
        <v>7218645330</v>
      </c>
      <c r="C140" s="13" t="b">
        <f>Table4[[#This Row],[ypn]]=Table4[[#This Row],[trim]]</f>
        <v>0</v>
      </c>
      <c r="D140" s="13">
        <f>Table4[[#This Row],[ypn]]*1</f>
        <v>7218645330</v>
      </c>
      <c r="E140" s="13">
        <f>TYPE(Table4[[#This Row],[ypn]])</f>
        <v>1</v>
      </c>
      <c r="F140" t="s">
        <v>385</v>
      </c>
      <c r="G140" s="13"/>
    </row>
    <row r="141" spans="1:7" ht="14.4" x14ac:dyDescent="0.3">
      <c r="A141" s="13" t="s">
        <v>672</v>
      </c>
      <c r="B141" s="13" t="str">
        <f>TRIM(Table4[[#This Row],[ypn]])</f>
        <v>7219678730+7134811530</v>
      </c>
      <c r="C141" s="13" t="b">
        <f>Table4[[#This Row],[ypn]]=Table4[[#This Row],[trim]]</f>
        <v>1</v>
      </c>
      <c r="D141" s="13" t="e">
        <f>Table4[[#This Row],[ypn]]*1</f>
        <v>#VALUE!</v>
      </c>
      <c r="E141" s="13">
        <f>TYPE(Table4[[#This Row],[ypn]])</f>
        <v>2</v>
      </c>
      <c r="F141" t="s">
        <v>779</v>
      </c>
      <c r="G141" s="13"/>
    </row>
    <row r="142" spans="1:7" ht="14.4" x14ac:dyDescent="0.3">
      <c r="A142" s="13" t="s">
        <v>673</v>
      </c>
      <c r="B142" s="13" t="str">
        <f>TRIM(Table4[[#This Row],[ypn]])</f>
        <v>7271007030(X1PO2536+X1PO2299)</v>
      </c>
      <c r="C142" s="13" t="b">
        <f>Table4[[#This Row],[ypn]]=Table4[[#This Row],[trim]]</f>
        <v>1</v>
      </c>
      <c r="D142" s="13" t="e">
        <f>Table4[[#This Row],[ypn]]*1</f>
        <v>#VALUE!</v>
      </c>
      <c r="E142" s="13">
        <f>TYPE(Table4[[#This Row],[ypn]])</f>
        <v>2</v>
      </c>
      <c r="F142" t="s">
        <v>674</v>
      </c>
      <c r="G142" s="13"/>
    </row>
    <row r="143" spans="1:7" ht="14.4" x14ac:dyDescent="0.3">
      <c r="A143" s="13">
        <v>7278099530</v>
      </c>
      <c r="B143" s="13" t="str">
        <f>TRIM(Table4[[#This Row],[ypn]])</f>
        <v>7278099530</v>
      </c>
      <c r="C143" s="13" t="b">
        <f>Table4[[#This Row],[ypn]]=Table4[[#This Row],[trim]]</f>
        <v>0</v>
      </c>
      <c r="D143" s="13">
        <f>Table4[[#This Row],[ypn]]*1</f>
        <v>7278099530</v>
      </c>
      <c r="E143" s="13">
        <f>TYPE(Table4[[#This Row],[ypn]])</f>
        <v>1</v>
      </c>
      <c r="F143" t="s">
        <v>675</v>
      </c>
      <c r="G143" s="13"/>
    </row>
    <row r="144" spans="1:7" ht="14.4" x14ac:dyDescent="0.3">
      <c r="A144" s="13" t="s">
        <v>676</v>
      </c>
      <c r="B144" s="13" t="str">
        <f>TRIM(Table4[[#This Row],[ypn]])</f>
        <v>7278242730+7173825540+7174342530</v>
      </c>
      <c r="C144" s="13" t="b">
        <f>Table4[[#This Row],[ypn]]=Table4[[#This Row],[trim]]</f>
        <v>1</v>
      </c>
      <c r="D144" s="13" t="e">
        <f>Table4[[#This Row],[ypn]]*1</f>
        <v>#VALUE!</v>
      </c>
      <c r="E144" s="13">
        <f>TYPE(Table4[[#This Row],[ypn]])</f>
        <v>2</v>
      </c>
      <c r="F144" t="s">
        <v>677</v>
      </c>
      <c r="G144" s="13" t="s">
        <v>848</v>
      </c>
    </row>
    <row r="145" spans="1:7" ht="14.4" x14ac:dyDescent="0.3">
      <c r="A145" s="13">
        <v>7289059730</v>
      </c>
      <c r="B145" s="13" t="str">
        <f>TRIM(Table4[[#This Row],[ypn]])</f>
        <v>7289059730</v>
      </c>
      <c r="C145" s="13" t="b">
        <f>Table4[[#This Row],[ypn]]=Table4[[#This Row],[trim]]</f>
        <v>0</v>
      </c>
      <c r="D145" s="13">
        <f>Table4[[#This Row],[ypn]]*1</f>
        <v>7289059730</v>
      </c>
      <c r="E145" s="13">
        <f>TYPE(Table4[[#This Row],[ypn]])</f>
        <v>1</v>
      </c>
      <c r="F145" t="s">
        <v>678</v>
      </c>
      <c r="G145" s="13"/>
    </row>
    <row r="146" spans="1:7" ht="14.4" x14ac:dyDescent="0.3">
      <c r="A146" s="13" t="s">
        <v>679</v>
      </c>
      <c r="B146" s="13" t="str">
        <f>TRIM(Table4[[#This Row],[ypn]])</f>
        <v>7289256230+7174167930A</v>
      </c>
      <c r="C146" s="13" t="b">
        <f>Table4[[#This Row],[ypn]]=Table4[[#This Row],[trim]]</f>
        <v>1</v>
      </c>
      <c r="D146" s="13" t="e">
        <f>Table4[[#This Row],[ypn]]*1</f>
        <v>#VALUE!</v>
      </c>
      <c r="E146" s="13">
        <f>TYPE(Table4[[#This Row],[ypn]])</f>
        <v>2</v>
      </c>
      <c r="F146" t="s">
        <v>680</v>
      </c>
      <c r="G146" s="13"/>
    </row>
    <row r="147" spans="1:7" ht="14.4" x14ac:dyDescent="0.3">
      <c r="A147" s="13" t="s">
        <v>681</v>
      </c>
      <c r="B147" s="13" t="str">
        <f>TRIM(Table4[[#This Row],[ypn]])</f>
        <v>7289488430+7274297830</v>
      </c>
      <c r="C147" s="13" t="b">
        <f>Table4[[#This Row],[ypn]]=Table4[[#This Row],[trim]]</f>
        <v>1</v>
      </c>
      <c r="D147" s="13" t="e">
        <f>Table4[[#This Row],[ypn]]*1</f>
        <v>#VALUE!</v>
      </c>
      <c r="E147" s="13">
        <f>TYPE(Table4[[#This Row],[ypn]])</f>
        <v>2</v>
      </c>
      <c r="F147" t="s">
        <v>682</v>
      </c>
      <c r="G147" s="13"/>
    </row>
    <row r="148" spans="1:7" ht="14.4" x14ac:dyDescent="0.3">
      <c r="A148" s="13" t="s">
        <v>254</v>
      </c>
      <c r="B148" s="13" t="str">
        <f>TRIM(Table4[[#This Row],[ypn]])</f>
        <v>72897304+72895207</v>
      </c>
      <c r="C148" s="13" t="b">
        <f>Table4[[#This Row],[ypn]]=Table4[[#This Row],[trim]]</f>
        <v>1</v>
      </c>
      <c r="D148" s="13" t="e">
        <f>Table4[[#This Row],[ypn]]*1</f>
        <v>#VALUE!</v>
      </c>
      <c r="E148" s="13">
        <f>TYPE(Table4[[#This Row],[ypn]])</f>
        <v>2</v>
      </c>
      <c r="F148" t="s">
        <v>683</v>
      </c>
      <c r="G148" s="13"/>
    </row>
    <row r="149" spans="1:7" ht="14.4" x14ac:dyDescent="0.3">
      <c r="A149" s="13" t="s">
        <v>280</v>
      </c>
      <c r="B149" s="13" t="str">
        <f>TRIM(Table4[[#This Row],[ypn]])</f>
        <v>7289808930+7274153930</v>
      </c>
      <c r="C149" s="13" t="b">
        <f>Table4[[#This Row],[ypn]]=Table4[[#This Row],[trim]]</f>
        <v>1</v>
      </c>
      <c r="D149" s="13" t="e">
        <f>Table4[[#This Row],[ypn]]*1</f>
        <v>#VALUE!</v>
      </c>
      <c r="E149" s="13">
        <f>TYPE(Table4[[#This Row],[ypn]])</f>
        <v>2</v>
      </c>
      <c r="F149" t="s">
        <v>684</v>
      </c>
      <c r="G149" s="13"/>
    </row>
    <row r="150" spans="1:7" ht="14.4" x14ac:dyDescent="0.3">
      <c r="A150" s="13" t="s">
        <v>687</v>
      </c>
      <c r="B150" s="13" t="str">
        <f>TRIM(Table4[[#This Row],[ypn]])</f>
        <v>7289811630+7289811730+7274166590</v>
      </c>
      <c r="C150" s="13" t="b">
        <f>Table4[[#This Row],[ypn]]=Table4[[#This Row],[trim]]</f>
        <v>1</v>
      </c>
      <c r="D150" s="13" t="e">
        <f>Table4[[#This Row],[ypn]]*1</f>
        <v>#VALUE!</v>
      </c>
      <c r="E150" s="13">
        <f>TYPE(Table4[[#This Row],[ypn]])</f>
        <v>2</v>
      </c>
      <c r="F150" t="s">
        <v>688</v>
      </c>
      <c r="G150" s="13"/>
    </row>
    <row r="151" spans="1:7" ht="14.4" x14ac:dyDescent="0.3">
      <c r="A151" s="13" t="s">
        <v>689</v>
      </c>
      <c r="B151" s="13" t="str">
        <f>TRIM(Table4[[#This Row],[ypn]])</f>
        <v>7298341860+7297341730+7247502430</v>
      </c>
      <c r="C151" s="13" t="b">
        <f>Table4[[#This Row],[ypn]]=Table4[[#This Row],[trim]]</f>
        <v>1</v>
      </c>
      <c r="D151" s="13" t="e">
        <f>Table4[[#This Row],[ypn]]*1</f>
        <v>#VALUE!</v>
      </c>
      <c r="E151" s="13">
        <f>TYPE(Table4[[#This Row],[ypn]])</f>
        <v>2</v>
      </c>
      <c r="F151" t="s">
        <v>690</v>
      </c>
      <c r="G151" s="13" t="s">
        <v>848</v>
      </c>
    </row>
    <row r="152" spans="1:7" ht="14.4" x14ac:dyDescent="0.3">
      <c r="A152" s="13">
        <v>7298458730</v>
      </c>
      <c r="B152" s="13" t="str">
        <f>TRIM(Table4[[#This Row],[ypn]])</f>
        <v>7298458730</v>
      </c>
      <c r="C152" s="13" t="b">
        <f>Table4[[#This Row],[ypn]]=Table4[[#This Row],[trim]]</f>
        <v>0</v>
      </c>
      <c r="D152" s="13">
        <f>Table4[[#This Row],[ypn]]*1</f>
        <v>7298458730</v>
      </c>
      <c r="E152" s="13">
        <f>TYPE(Table4[[#This Row],[ypn]])</f>
        <v>1</v>
      </c>
      <c r="F152" t="s">
        <v>387</v>
      </c>
      <c r="G152" s="13"/>
    </row>
    <row r="153" spans="1:7" ht="14.4" x14ac:dyDescent="0.3">
      <c r="A153" s="13" t="s">
        <v>373</v>
      </c>
      <c r="B153" s="13" t="str">
        <f>TRIM(Table4[[#This Row],[ypn]])</f>
        <v>A1729821302_EYELETV1</v>
      </c>
      <c r="C153" s="13" t="b">
        <f>Table4[[#This Row],[ypn]]=Table4[[#This Row],[trim]]</f>
        <v>1</v>
      </c>
      <c r="D153" s="13" t="e">
        <f>Table4[[#This Row],[ypn]]*1</f>
        <v>#VALUE!</v>
      </c>
      <c r="E153" s="13">
        <f>TYPE(Table4[[#This Row],[ypn]])</f>
        <v>2</v>
      </c>
      <c r="F153" t="s">
        <v>691</v>
      </c>
      <c r="G153" s="13"/>
    </row>
    <row r="154" spans="1:7" ht="14.4" x14ac:dyDescent="0.3">
      <c r="A154" s="13" t="s">
        <v>692</v>
      </c>
      <c r="B154" s="13" t="str">
        <f>TRIM(Table4[[#This Row],[ypn]])</f>
        <v>A1729821302_EYELETV2</v>
      </c>
      <c r="C154" s="13" t="b">
        <f>Table4[[#This Row],[ypn]]=Table4[[#This Row],[trim]]</f>
        <v>1</v>
      </c>
      <c r="D154" s="13" t="e">
        <f>Table4[[#This Row],[ypn]]*1</f>
        <v>#VALUE!</v>
      </c>
      <c r="E154" s="13">
        <f>TYPE(Table4[[#This Row],[ypn]])</f>
        <v>2</v>
      </c>
      <c r="F154" t="s">
        <v>779</v>
      </c>
      <c r="G154" s="13"/>
    </row>
    <row r="155" spans="1:7" ht="14.4" x14ac:dyDescent="0.3">
      <c r="A155" s="13" t="s">
        <v>693</v>
      </c>
      <c r="B155" s="13" t="str">
        <f>TRIM(Table4[[#This Row],[ypn]])</f>
        <v>A1729821302_EYELETV3</v>
      </c>
      <c r="C155" s="13" t="b">
        <f>Table4[[#This Row],[ypn]]=Table4[[#This Row],[trim]]</f>
        <v>1</v>
      </c>
      <c r="D155" s="13" t="e">
        <f>Table4[[#This Row],[ypn]]*1</f>
        <v>#VALUE!</v>
      </c>
      <c r="E155" s="13">
        <f>TYPE(Table4[[#This Row],[ypn]])</f>
        <v>2</v>
      </c>
      <c r="F155" t="s">
        <v>694</v>
      </c>
      <c r="G155" s="13"/>
    </row>
    <row r="156" spans="1:7" ht="14.4" x14ac:dyDescent="0.3">
      <c r="A156" s="13" t="s">
        <v>695</v>
      </c>
      <c r="B156" s="13" t="str">
        <f>TRIM(Table4[[#This Row],[ypn]])</f>
        <v>A1729821302_EYELETV4_1</v>
      </c>
      <c r="C156" s="13" t="b">
        <f>Table4[[#This Row],[ypn]]=Table4[[#This Row],[trim]]</f>
        <v>1</v>
      </c>
      <c r="D156" s="13" t="e">
        <f>Table4[[#This Row],[ypn]]*1</f>
        <v>#VALUE!</v>
      </c>
      <c r="E156" s="13">
        <f>TYPE(Table4[[#This Row],[ypn]])</f>
        <v>2</v>
      </c>
      <c r="F156" t="s">
        <v>779</v>
      </c>
      <c r="G156" s="13"/>
    </row>
    <row r="157" spans="1:7" ht="14.4" x14ac:dyDescent="0.3">
      <c r="A157" s="13" t="s">
        <v>696</v>
      </c>
      <c r="B157" s="13" t="str">
        <f>TRIM(Table4[[#This Row],[ypn]])</f>
        <v>A1729821302_EYELETV4_3</v>
      </c>
      <c r="C157" s="13" t="b">
        <f>Table4[[#This Row],[ypn]]=Table4[[#This Row],[trim]]</f>
        <v>1</v>
      </c>
      <c r="D157" s="13" t="e">
        <f>Table4[[#This Row],[ypn]]*1</f>
        <v>#VALUE!</v>
      </c>
      <c r="E157" s="13">
        <f>TYPE(Table4[[#This Row],[ypn]])</f>
        <v>2</v>
      </c>
      <c r="F157" t="s">
        <v>779</v>
      </c>
      <c r="G157" s="13"/>
    </row>
    <row r="158" spans="1:7" ht="14.4" x14ac:dyDescent="0.3">
      <c r="A158" s="13" t="s">
        <v>697</v>
      </c>
      <c r="B158" s="13" t="str">
        <f>TRIM(Table4[[#This Row],[ypn]])</f>
        <v>ASSY_118021051</v>
      </c>
      <c r="C158" s="13" t="b">
        <f>Table4[[#This Row],[ypn]]=Table4[[#This Row],[trim]]</f>
        <v>1</v>
      </c>
      <c r="D158" s="13" t="e">
        <f>Table4[[#This Row],[ypn]]*1</f>
        <v>#VALUE!</v>
      </c>
      <c r="E158" s="13">
        <f>TYPE(Table4[[#This Row],[ypn]])</f>
        <v>2</v>
      </c>
      <c r="F158" t="s">
        <v>698</v>
      </c>
      <c r="G158" s="13"/>
    </row>
    <row r="159" spans="1:7" ht="14.4" x14ac:dyDescent="0.3">
      <c r="A159" s="13" t="s">
        <v>259</v>
      </c>
      <c r="B159" s="13" t="str">
        <f>TRIM(Table4[[#This Row],[ypn]])</f>
        <v>ASSY_123024541</v>
      </c>
      <c r="C159" s="13" t="b">
        <f>Table4[[#This Row],[ypn]]=Table4[[#This Row],[trim]]</f>
        <v>1</v>
      </c>
      <c r="D159" s="13" t="e">
        <f>Table4[[#This Row],[ypn]]*1</f>
        <v>#VALUE!</v>
      </c>
      <c r="E159" s="13">
        <f>TYPE(Table4[[#This Row],[ypn]])</f>
        <v>2</v>
      </c>
      <c r="F159" t="s">
        <v>699</v>
      </c>
      <c r="G159" s="13"/>
    </row>
    <row r="160" spans="1:7" ht="14.4" x14ac:dyDescent="0.3">
      <c r="A160" s="13" t="s">
        <v>700</v>
      </c>
      <c r="B160" s="13" t="str">
        <f>TRIM(Table4[[#This Row],[ypn]])</f>
        <v>ASSY_123024542</v>
      </c>
      <c r="C160" s="13" t="b">
        <f>Table4[[#This Row],[ypn]]=Table4[[#This Row],[trim]]</f>
        <v>1</v>
      </c>
      <c r="D160" s="13" t="e">
        <f>Table4[[#This Row],[ypn]]*1</f>
        <v>#VALUE!</v>
      </c>
      <c r="E160" s="13">
        <f>TYPE(Table4[[#This Row],[ypn]])</f>
        <v>2</v>
      </c>
      <c r="F160" t="s">
        <v>701</v>
      </c>
      <c r="G160" s="13"/>
    </row>
    <row r="161" spans="1:7" ht="14.4" x14ac:dyDescent="0.3">
      <c r="A161" s="13" t="s">
        <v>702</v>
      </c>
      <c r="B161" s="13" t="str">
        <f>TRIM(Table4[[#This Row],[ypn]])</f>
        <v>ASSY_59Z006T00B</v>
      </c>
      <c r="C161" s="13" t="b">
        <f>Table4[[#This Row],[ypn]]=Table4[[#This Row],[trim]]</f>
        <v>1</v>
      </c>
      <c r="D161" s="13" t="e">
        <f>Table4[[#This Row],[ypn]]*1</f>
        <v>#VALUE!</v>
      </c>
      <c r="E161" s="13">
        <f>TYPE(Table4[[#This Row],[ypn]])</f>
        <v>2</v>
      </c>
      <c r="F161" t="s">
        <v>703</v>
      </c>
      <c r="G161" s="13"/>
    </row>
    <row r="162" spans="1:7" ht="14.4" x14ac:dyDescent="0.3">
      <c r="A162" s="13" t="s">
        <v>704</v>
      </c>
      <c r="B162" s="13" t="str">
        <f>TRIM(Table4[[#This Row],[ypn]])</f>
        <v>ASSY_59Z006T00D</v>
      </c>
      <c r="C162" s="13" t="b">
        <f>Table4[[#This Row],[ypn]]=Table4[[#This Row],[trim]]</f>
        <v>1</v>
      </c>
      <c r="D162" s="13" t="e">
        <f>Table4[[#This Row],[ypn]]*1</f>
        <v>#VALUE!</v>
      </c>
      <c r="E162" s="13">
        <f>TYPE(Table4[[#This Row],[ypn]])</f>
        <v>2</v>
      </c>
      <c r="F162" t="s">
        <v>705</v>
      </c>
      <c r="G162" s="13"/>
    </row>
    <row r="163" spans="1:7" ht="14.4" x14ac:dyDescent="0.3">
      <c r="A163" s="13" t="s">
        <v>281</v>
      </c>
      <c r="B163" s="13" t="str">
        <f>TRIM(Table4[[#This Row],[ypn]])</f>
        <v>ASSY_59Z006T00E</v>
      </c>
      <c r="C163" s="13" t="b">
        <f>Table4[[#This Row],[ypn]]=Table4[[#This Row],[trim]]</f>
        <v>1</v>
      </c>
      <c r="D163" s="13" t="e">
        <f>Table4[[#This Row],[ypn]]*1</f>
        <v>#VALUE!</v>
      </c>
      <c r="E163" s="13">
        <f>TYPE(Table4[[#This Row],[ypn]])</f>
        <v>2</v>
      </c>
      <c r="F163" t="s">
        <v>706</v>
      </c>
      <c r="G163" s="13"/>
    </row>
    <row r="164" spans="1:7" ht="14.4" x14ac:dyDescent="0.3">
      <c r="A164" s="13" t="s">
        <v>707</v>
      </c>
      <c r="B164" s="13" t="str">
        <f>TRIM(Table4[[#This Row],[ypn]])</f>
        <v>ASSY_59Z063DC0A</v>
      </c>
      <c r="C164" s="13" t="b">
        <f>Table4[[#This Row],[ypn]]=Table4[[#This Row],[trim]]</f>
        <v>1</v>
      </c>
      <c r="D164" s="13" t="e">
        <f>Table4[[#This Row],[ypn]]*1</f>
        <v>#VALUE!</v>
      </c>
      <c r="E164" s="13">
        <f>TYPE(Table4[[#This Row],[ypn]])</f>
        <v>2</v>
      </c>
      <c r="F164" t="s">
        <v>708</v>
      </c>
      <c r="G164" s="13"/>
    </row>
    <row r="165" spans="1:7" ht="14.4" x14ac:dyDescent="0.3">
      <c r="A165" s="13" t="s">
        <v>260</v>
      </c>
      <c r="B165" s="13" t="str">
        <f>TRIM(Table4[[#This Row],[ypn]])</f>
        <v>ASSY_59Z063DC0B</v>
      </c>
      <c r="C165" s="13" t="b">
        <f>Table4[[#This Row],[ypn]]=Table4[[#This Row],[trim]]</f>
        <v>1</v>
      </c>
      <c r="D165" s="13" t="e">
        <f>Table4[[#This Row],[ypn]]*1</f>
        <v>#VALUE!</v>
      </c>
      <c r="E165" s="13">
        <f>TYPE(Table4[[#This Row],[ypn]])</f>
        <v>2</v>
      </c>
      <c r="F165" t="s">
        <v>709</v>
      </c>
      <c r="G165" s="13"/>
    </row>
    <row r="166" spans="1:7" ht="14.4" x14ac:dyDescent="0.3">
      <c r="A166" s="13" t="s">
        <v>261</v>
      </c>
      <c r="B166" s="13" t="str">
        <f>TRIM(Table4[[#This Row],[ypn]])</f>
        <v>ASSY_59Z063DC0C</v>
      </c>
      <c r="C166" s="13" t="b">
        <f>Table4[[#This Row],[ypn]]=Table4[[#This Row],[trim]]</f>
        <v>1</v>
      </c>
      <c r="D166" s="13" t="e">
        <f>Table4[[#This Row],[ypn]]*1</f>
        <v>#VALUE!</v>
      </c>
      <c r="E166" s="13">
        <f>TYPE(Table4[[#This Row],[ypn]])</f>
        <v>2</v>
      </c>
      <c r="F166" t="s">
        <v>710</v>
      </c>
      <c r="G166" s="13"/>
    </row>
    <row r="167" spans="1:7" ht="14.4" x14ac:dyDescent="0.3">
      <c r="A167" s="13" t="s">
        <v>711</v>
      </c>
      <c r="B167" s="13" t="str">
        <f>TRIM(Table4[[#This Row],[ypn]])</f>
        <v>ASSY_59Z063DC0F</v>
      </c>
      <c r="C167" s="13" t="b">
        <f>Table4[[#This Row],[ypn]]=Table4[[#This Row],[trim]]</f>
        <v>1</v>
      </c>
      <c r="D167" s="13" t="e">
        <f>Table4[[#This Row],[ypn]]*1</f>
        <v>#VALUE!</v>
      </c>
      <c r="E167" s="13">
        <f>TYPE(Table4[[#This Row],[ypn]])</f>
        <v>2</v>
      </c>
      <c r="F167" t="s">
        <v>712</v>
      </c>
      <c r="G167" s="13"/>
    </row>
    <row r="168" spans="1:7" ht="14.4" x14ac:dyDescent="0.3">
      <c r="A168" s="13" t="s">
        <v>713</v>
      </c>
      <c r="B168" s="13" t="str">
        <f>TRIM(Table4[[#This Row],[ypn]])</f>
        <v>ASSY_59Z145DC0F</v>
      </c>
      <c r="C168" s="13" t="b">
        <f>Table4[[#This Row],[ypn]]=Table4[[#This Row],[trim]]</f>
        <v>1</v>
      </c>
      <c r="D168" s="13" t="e">
        <f>Table4[[#This Row],[ypn]]*1</f>
        <v>#VALUE!</v>
      </c>
      <c r="E168" s="13">
        <f>TYPE(Table4[[#This Row],[ypn]])</f>
        <v>2</v>
      </c>
      <c r="F168" t="s">
        <v>714</v>
      </c>
      <c r="G168" s="13"/>
    </row>
    <row r="169" spans="1:7" ht="14.4" x14ac:dyDescent="0.3">
      <c r="A169" s="13" t="s">
        <v>715</v>
      </c>
      <c r="B169" s="13" t="str">
        <f>TRIM(Table4[[#This Row],[ypn]])</f>
        <v>ASSY_59Z163003F</v>
      </c>
      <c r="C169" s="13" t="b">
        <f>Table4[[#This Row],[ypn]]=Table4[[#This Row],[trim]]</f>
        <v>1</v>
      </c>
      <c r="D169" s="13" t="e">
        <f>Table4[[#This Row],[ypn]]*1</f>
        <v>#VALUE!</v>
      </c>
      <c r="E169" s="13">
        <f>TYPE(Table4[[#This Row],[ypn]])</f>
        <v>2</v>
      </c>
      <c r="F169" t="s">
        <v>716</v>
      </c>
      <c r="G169" s="13"/>
    </row>
    <row r="170" spans="1:7" ht="14.4" x14ac:dyDescent="0.3">
      <c r="A170" s="13" t="s">
        <v>717</v>
      </c>
      <c r="B170" s="13" t="str">
        <f>TRIM(Table4[[#This Row],[ypn]])</f>
        <v>ASSY_AMZ005000B</v>
      </c>
      <c r="C170" s="13" t="b">
        <f>Table4[[#This Row],[ypn]]=Table4[[#This Row],[trim]]</f>
        <v>1</v>
      </c>
      <c r="D170" s="13" t="e">
        <f>Table4[[#This Row],[ypn]]*1</f>
        <v>#VALUE!</v>
      </c>
      <c r="E170" s="13">
        <f>TYPE(Table4[[#This Row],[ypn]])</f>
        <v>2</v>
      </c>
      <c r="F170" t="s">
        <v>718</v>
      </c>
      <c r="G170" s="13"/>
    </row>
    <row r="171" spans="1:7" ht="14.4" x14ac:dyDescent="0.3">
      <c r="A171" s="13" t="s">
        <v>262</v>
      </c>
      <c r="B171" s="13" t="str">
        <f>TRIM(Table4[[#This Row],[ypn]])</f>
        <v>ASSY_AMZ005DC0C</v>
      </c>
      <c r="C171" s="13" t="b">
        <f>Table4[[#This Row],[ypn]]=Table4[[#This Row],[trim]]</f>
        <v>1</v>
      </c>
      <c r="D171" s="13" t="e">
        <f>Table4[[#This Row],[ypn]]*1</f>
        <v>#VALUE!</v>
      </c>
      <c r="E171" s="13">
        <f>TYPE(Table4[[#This Row],[ypn]])</f>
        <v>2</v>
      </c>
      <c r="F171" t="s">
        <v>1448</v>
      </c>
      <c r="G171" s="13"/>
    </row>
    <row r="172" spans="1:7" ht="14.4" x14ac:dyDescent="0.3">
      <c r="A172" s="13" t="s">
        <v>263</v>
      </c>
      <c r="B172" s="13" t="str">
        <f>TRIM(Table4[[#This Row],[ypn]])</f>
        <v>ASSY_AMZ005DC0D</v>
      </c>
      <c r="C172" s="13" t="b">
        <f>Table4[[#This Row],[ypn]]=Table4[[#This Row],[trim]]</f>
        <v>1</v>
      </c>
      <c r="D172" s="13" t="e">
        <f>Table4[[#This Row],[ypn]]*1</f>
        <v>#VALUE!</v>
      </c>
      <c r="E172" s="13">
        <f>TYPE(Table4[[#This Row],[ypn]])</f>
        <v>2</v>
      </c>
      <c r="F172" t="s">
        <v>719</v>
      </c>
      <c r="G172" s="13"/>
    </row>
    <row r="173" spans="1:7" ht="14.4" x14ac:dyDescent="0.3">
      <c r="A173" s="13" t="s">
        <v>720</v>
      </c>
      <c r="B173" s="13" t="str">
        <f>TRIM(Table4[[#This Row],[ypn]])</f>
        <v>ASSY_AMZ005DC0E</v>
      </c>
      <c r="C173" s="13" t="b">
        <f>Table4[[#This Row],[ypn]]=Table4[[#This Row],[trim]]</f>
        <v>1</v>
      </c>
      <c r="D173" s="13" t="e">
        <f>Table4[[#This Row],[ypn]]*1</f>
        <v>#VALUE!</v>
      </c>
      <c r="E173" s="13">
        <f>TYPE(Table4[[#This Row],[ypn]])</f>
        <v>2</v>
      </c>
      <c r="F173" t="s">
        <v>721</v>
      </c>
      <c r="G173" s="13"/>
    </row>
    <row r="174" spans="1:7" ht="14.4" x14ac:dyDescent="0.3">
      <c r="A174" s="13" t="s">
        <v>722</v>
      </c>
      <c r="B174" s="13" t="str">
        <f>TRIM(Table4[[#This Row],[ypn]])</f>
        <v>ASSY_AMZ005DC0F</v>
      </c>
      <c r="C174" s="13" t="b">
        <f>Table4[[#This Row],[ypn]]=Table4[[#This Row],[trim]]</f>
        <v>1</v>
      </c>
      <c r="D174" s="13" t="e">
        <f>Table4[[#This Row],[ypn]]*1</f>
        <v>#VALUE!</v>
      </c>
      <c r="E174" s="13">
        <f>TYPE(Table4[[#This Row],[ypn]])</f>
        <v>2</v>
      </c>
      <c r="F174" t="s">
        <v>723</v>
      </c>
      <c r="G174" s="13"/>
    </row>
    <row r="175" spans="1:7" ht="14.4" x14ac:dyDescent="0.3">
      <c r="A175" s="13" t="s">
        <v>265</v>
      </c>
      <c r="B175" s="13" t="str">
        <f>TRIM(Table4[[#This Row],[ypn]])</f>
        <v>ASSY_AMZ040C00B</v>
      </c>
      <c r="C175" s="13" t="b">
        <f>Table4[[#This Row],[ypn]]=Table4[[#This Row],[trim]]</f>
        <v>1</v>
      </c>
      <c r="D175" s="13" t="e">
        <f>Table4[[#This Row],[ypn]]*1</f>
        <v>#VALUE!</v>
      </c>
      <c r="E175" s="13">
        <f>TYPE(Table4[[#This Row],[ypn]])</f>
        <v>2</v>
      </c>
      <c r="F175" t="s">
        <v>724</v>
      </c>
      <c r="G175" s="13"/>
    </row>
    <row r="176" spans="1:7" ht="14.4" x14ac:dyDescent="0.3">
      <c r="A176" s="13" t="s">
        <v>266</v>
      </c>
      <c r="B176" s="13" t="str">
        <f>TRIM(Table4[[#This Row],[ypn]])</f>
        <v>ASSY_AMZ040C00C</v>
      </c>
      <c r="C176" s="13" t="b">
        <f>Table4[[#This Row],[ypn]]=Table4[[#This Row],[trim]]</f>
        <v>1</v>
      </c>
      <c r="D176" s="13" t="e">
        <f>Table4[[#This Row],[ypn]]*1</f>
        <v>#VALUE!</v>
      </c>
      <c r="E176" s="13">
        <f>TYPE(Table4[[#This Row],[ypn]])</f>
        <v>2</v>
      </c>
      <c r="F176" t="s">
        <v>725</v>
      </c>
      <c r="G176" s="13"/>
    </row>
    <row r="177" spans="1:7" ht="14.4" x14ac:dyDescent="0.3">
      <c r="A177" s="13" t="s">
        <v>267</v>
      </c>
      <c r="B177" s="13" t="str">
        <f>TRIM(Table4[[#This Row],[ypn]])</f>
        <v>ASSY_AMZ040C00D</v>
      </c>
      <c r="C177" s="13" t="b">
        <f>Table4[[#This Row],[ypn]]=Table4[[#This Row],[trim]]</f>
        <v>1</v>
      </c>
      <c r="D177" s="13" t="e">
        <f>Table4[[#This Row],[ypn]]*1</f>
        <v>#VALUE!</v>
      </c>
      <c r="E177" s="13">
        <f>TYPE(Table4[[#This Row],[ypn]])</f>
        <v>2</v>
      </c>
      <c r="F177" t="s">
        <v>726</v>
      </c>
      <c r="G177" s="13"/>
    </row>
    <row r="178" spans="1:7" ht="14.4" x14ac:dyDescent="0.3">
      <c r="A178" s="13" t="s">
        <v>268</v>
      </c>
      <c r="B178" s="13" t="str">
        <f>TRIM(Table4[[#This Row],[ypn]])</f>
        <v>ASSY_AMZ040C00E</v>
      </c>
      <c r="C178" s="13" t="b">
        <f>Table4[[#This Row],[ypn]]=Table4[[#This Row],[trim]]</f>
        <v>1</v>
      </c>
      <c r="D178" s="13" t="e">
        <f>Table4[[#This Row],[ypn]]*1</f>
        <v>#VALUE!</v>
      </c>
      <c r="E178" s="13">
        <f>TYPE(Table4[[#This Row],[ypn]])</f>
        <v>2</v>
      </c>
      <c r="F178" t="s">
        <v>727</v>
      </c>
      <c r="G178" s="13"/>
    </row>
    <row r="179" spans="1:7" ht="14.4" x14ac:dyDescent="0.3">
      <c r="A179" s="13" t="s">
        <v>269</v>
      </c>
      <c r="B179" s="13" t="str">
        <f>TRIM(Table4[[#This Row],[ypn]])</f>
        <v>ASSY_CA288A15199XXX</v>
      </c>
      <c r="C179" s="13" t="b">
        <f>Table4[[#This Row],[ypn]]=Table4[[#This Row],[trim]]</f>
        <v>1</v>
      </c>
      <c r="D179" s="13" t="e">
        <f>Table4[[#This Row],[ypn]]*1</f>
        <v>#VALUE!</v>
      </c>
      <c r="E179" s="13">
        <f>TYPE(Table4[[#This Row],[ypn]])</f>
        <v>2</v>
      </c>
      <c r="F179" t="s">
        <v>728</v>
      </c>
      <c r="G179" s="13"/>
    </row>
    <row r="180" spans="1:7" ht="14.4" x14ac:dyDescent="0.3">
      <c r="A180" s="13" t="s">
        <v>270</v>
      </c>
      <c r="B180" s="13" t="str">
        <f>TRIM(Table4[[#This Row],[ypn]])</f>
        <v>ASSY_CA288A25199XXX</v>
      </c>
      <c r="C180" s="13" t="b">
        <f>Table4[[#This Row],[ypn]]=Table4[[#This Row],[trim]]</f>
        <v>1</v>
      </c>
      <c r="D180" s="13" t="e">
        <f>Table4[[#This Row],[ypn]]*1</f>
        <v>#VALUE!</v>
      </c>
      <c r="E180" s="13">
        <f>TYPE(Table4[[#This Row],[ypn]])</f>
        <v>2</v>
      </c>
      <c r="F180" t="s">
        <v>729</v>
      </c>
      <c r="G180" s="13"/>
    </row>
    <row r="181" spans="1:7" ht="14.4" x14ac:dyDescent="0.3">
      <c r="A181" s="13" t="s">
        <v>271</v>
      </c>
      <c r="B181" s="13" t="str">
        <f>TRIM(Table4[[#This Row],[ypn]])</f>
        <v>ASSY_CA288A35199XXX</v>
      </c>
      <c r="C181" s="13" t="b">
        <f>Table4[[#This Row],[ypn]]=Table4[[#This Row],[trim]]</f>
        <v>1</v>
      </c>
      <c r="D181" s="13" t="e">
        <f>Table4[[#This Row],[ypn]]*1</f>
        <v>#VALUE!</v>
      </c>
      <c r="E181" s="13">
        <f>TYPE(Table4[[#This Row],[ypn]])</f>
        <v>2</v>
      </c>
      <c r="F181" t="s">
        <v>730</v>
      </c>
      <c r="G181" s="13"/>
    </row>
    <row r="182" spans="1:7" ht="14.4" x14ac:dyDescent="0.3">
      <c r="A182" s="13" t="s">
        <v>272</v>
      </c>
      <c r="B182" s="13" t="str">
        <f>TRIM(Table4[[#This Row],[ypn]])</f>
        <v>ASSY_CA288B1519XXXX</v>
      </c>
      <c r="C182" s="13" t="b">
        <f>Table4[[#This Row],[ypn]]=Table4[[#This Row],[trim]]</f>
        <v>1</v>
      </c>
      <c r="D182" s="13" t="e">
        <f>Table4[[#This Row],[ypn]]*1</f>
        <v>#VALUE!</v>
      </c>
      <c r="E182" s="13">
        <f>TYPE(Table4[[#This Row],[ypn]])</f>
        <v>2</v>
      </c>
      <c r="F182" t="s">
        <v>731</v>
      </c>
      <c r="G182" s="13"/>
    </row>
    <row r="183" spans="1:7" ht="14.4" x14ac:dyDescent="0.3">
      <c r="A183" s="13" t="s">
        <v>732</v>
      </c>
      <c r="B183" s="13" t="str">
        <f>TRIM(Table4[[#This Row],[ypn]])</f>
        <v>ASSY_D4K2RE1D5A5BDC</v>
      </c>
      <c r="C183" s="13" t="b">
        <f>Table4[[#This Row],[ypn]]=Table4[[#This Row],[trim]]</f>
        <v>1</v>
      </c>
      <c r="D183" s="13" t="e">
        <f>Table4[[#This Row],[ypn]]*1</f>
        <v>#VALUE!</v>
      </c>
      <c r="E183" s="13">
        <f>TYPE(Table4[[#This Row],[ypn]])</f>
        <v>2</v>
      </c>
      <c r="F183" t="s">
        <v>733</v>
      </c>
      <c r="G183" s="13"/>
    </row>
    <row r="184" spans="1:7" ht="14.4" x14ac:dyDescent="0.3">
      <c r="A184" s="13" t="s">
        <v>273</v>
      </c>
      <c r="B184" s="13" t="str">
        <f>TRIM(Table4[[#This Row],[ypn]])</f>
        <v>ASSY_D4Z001DC0C</v>
      </c>
      <c r="C184" s="13" t="b">
        <f>Table4[[#This Row],[ypn]]=Table4[[#This Row],[trim]]</f>
        <v>1</v>
      </c>
      <c r="D184" s="13" t="e">
        <f>Table4[[#This Row],[ypn]]*1</f>
        <v>#VALUE!</v>
      </c>
      <c r="E184" s="13">
        <f>TYPE(Table4[[#This Row],[ypn]])</f>
        <v>2</v>
      </c>
      <c r="F184" t="s">
        <v>734</v>
      </c>
      <c r="G184" s="13"/>
    </row>
    <row r="185" spans="1:7" ht="14.4" x14ac:dyDescent="0.3">
      <c r="A185" s="13" t="s">
        <v>735</v>
      </c>
      <c r="B185" s="13" t="str">
        <f>TRIM(Table4[[#This Row],[ypn]])</f>
        <v>ASSY_D4Z001DC0D</v>
      </c>
      <c r="C185" s="13" t="b">
        <f>Table4[[#This Row],[ypn]]=Table4[[#This Row],[trim]]</f>
        <v>1</v>
      </c>
      <c r="D185" s="13" t="e">
        <f>Table4[[#This Row],[ypn]]*1</f>
        <v>#VALUE!</v>
      </c>
      <c r="E185" s="13">
        <f>TYPE(Table4[[#This Row],[ypn]])</f>
        <v>2</v>
      </c>
      <c r="F185" t="s">
        <v>736</v>
      </c>
      <c r="G185" s="13"/>
    </row>
    <row r="186" spans="1:7" ht="14.4" x14ac:dyDescent="0.3">
      <c r="A186" s="13" t="s">
        <v>282</v>
      </c>
      <c r="B186" s="13" t="str">
        <f>TRIM(Table4[[#This Row],[ypn]])</f>
        <v>ASSY_D4Z002DC0D</v>
      </c>
      <c r="C186" s="13" t="b">
        <f>Table4[[#This Row],[ypn]]=Table4[[#This Row],[trim]]</f>
        <v>1</v>
      </c>
      <c r="D186" s="13" t="e">
        <f>Table4[[#This Row],[ypn]]*1</f>
        <v>#VALUE!</v>
      </c>
      <c r="E186" s="13">
        <f>TYPE(Table4[[#This Row],[ypn]])</f>
        <v>2</v>
      </c>
      <c r="F186" t="s">
        <v>737</v>
      </c>
      <c r="G186" s="13"/>
    </row>
    <row r="187" spans="1:7" ht="14.4" x14ac:dyDescent="0.3">
      <c r="A187" s="13" t="s">
        <v>738</v>
      </c>
      <c r="B187" s="13" t="str">
        <f>TRIM(Table4[[#This Row],[ypn]])</f>
        <v>PDCBOX</v>
      </c>
      <c r="C187" s="13" t="b">
        <f>Table4[[#This Row],[ypn]]=Table4[[#This Row],[trim]]</f>
        <v>1</v>
      </c>
      <c r="D187" s="13" t="e">
        <f>Table4[[#This Row],[ypn]]*1</f>
        <v>#VALUE!</v>
      </c>
      <c r="E187" s="13">
        <f>TYPE(Table4[[#This Row],[ypn]])</f>
        <v>2</v>
      </c>
      <c r="F187" t="s">
        <v>739</v>
      </c>
      <c r="G187" s="13"/>
    </row>
    <row r="188" spans="1:7" ht="14.4" x14ac:dyDescent="0.3">
      <c r="A188" s="13" t="s">
        <v>772</v>
      </c>
      <c r="B188" s="13" t="str">
        <f>TRIM(Table4[[#This Row],[ypn]])</f>
        <v>X1PO2562</v>
      </c>
      <c r="C188" s="13" t="b">
        <f>Table4[[#This Row],[ypn]]=Table4[[#This Row],[trim]]</f>
        <v>1</v>
      </c>
      <c r="D188" s="13" t="e">
        <f>Table4[[#This Row],[ypn]]*1</f>
        <v>#VALUE!</v>
      </c>
      <c r="E188" s="13">
        <f>TYPE(Table4[[#This Row],[ypn]])</f>
        <v>2</v>
      </c>
      <c r="F188" t="s">
        <v>740</v>
      </c>
      <c r="G188" s="13"/>
    </row>
    <row r="189" spans="1:7" ht="14.4" x14ac:dyDescent="0.3">
      <c r="A189" s="13" t="s">
        <v>741</v>
      </c>
      <c r="B189" s="13" t="str">
        <f>TRIM(Table4[[#This Row],[ypn]])</f>
        <v>X1PO2395</v>
      </c>
      <c r="C189" s="13" t="b">
        <f>Table4[[#This Row],[ypn]]=Table4[[#This Row],[trim]]</f>
        <v>1</v>
      </c>
      <c r="D189" s="13" t="e">
        <f>Table4[[#This Row],[ypn]]*1</f>
        <v>#VALUE!</v>
      </c>
      <c r="E189" s="13">
        <f>TYPE(Table4[[#This Row],[ypn]])</f>
        <v>2</v>
      </c>
      <c r="F189" t="s">
        <v>742</v>
      </c>
      <c r="G189" s="13"/>
    </row>
    <row r="190" spans="1:7" ht="14.4" x14ac:dyDescent="0.3">
      <c r="A190" s="13" t="s">
        <v>743</v>
      </c>
      <c r="B190" s="13" t="str">
        <f>TRIM(Table4[[#This Row],[ypn]])</f>
        <v>X1PO2519</v>
      </c>
      <c r="C190" s="13" t="b">
        <f>Table4[[#This Row],[ypn]]=Table4[[#This Row],[trim]]</f>
        <v>1</v>
      </c>
      <c r="D190" s="13" t="e">
        <f>Table4[[#This Row],[ypn]]*1</f>
        <v>#VALUE!</v>
      </c>
      <c r="E190" s="13">
        <f>TYPE(Table4[[#This Row],[ypn]])</f>
        <v>2</v>
      </c>
      <c r="F190" t="s">
        <v>744</v>
      </c>
      <c r="G190" s="13"/>
    </row>
    <row r="191" spans="1:7" ht="14.4" x14ac:dyDescent="0.3">
      <c r="A191" s="13" t="s">
        <v>745</v>
      </c>
      <c r="B191" s="13" t="str">
        <f>TRIM(Table4[[#This Row],[ypn]])</f>
        <v>X1PO2538</v>
      </c>
      <c r="C191" s="13" t="b">
        <f>Table4[[#This Row],[ypn]]=Table4[[#This Row],[trim]]</f>
        <v>1</v>
      </c>
      <c r="D191" s="13" t="e">
        <f>Table4[[#This Row],[ypn]]*1</f>
        <v>#VALUE!</v>
      </c>
      <c r="E191" s="13">
        <f>TYPE(Table4[[#This Row],[ypn]])</f>
        <v>2</v>
      </c>
      <c r="F191" t="s">
        <v>746</v>
      </c>
      <c r="G191" s="13"/>
    </row>
    <row r="192" spans="1:7" ht="14.4" x14ac:dyDescent="0.3">
      <c r="A192" s="13" t="s">
        <v>389</v>
      </c>
      <c r="B192" s="13" t="str">
        <f>TRIM(Table4[[#This Row],[ypn]])</f>
        <v>X1PO4566+7247502430</v>
      </c>
      <c r="C192" s="13" t="b">
        <f>Table4[[#This Row],[ypn]]=Table4[[#This Row],[trim]]</f>
        <v>1</v>
      </c>
      <c r="D192" s="13" t="e">
        <f>Table4[[#This Row],[ypn]]*1</f>
        <v>#VALUE!</v>
      </c>
      <c r="E192" s="13">
        <f>TYPE(Table4[[#This Row],[ypn]])</f>
        <v>2</v>
      </c>
      <c r="F192" t="s">
        <v>779</v>
      </c>
      <c r="G192" s="13"/>
    </row>
    <row r="193" spans="1:7" ht="14.4" x14ac:dyDescent="0.3">
      <c r="A193" s="13">
        <v>7047009730</v>
      </c>
      <c r="B193" s="13" t="str">
        <f>TRIM(Table4[[#This Row],[ypn]])</f>
        <v>7047009730</v>
      </c>
      <c r="C193" s="13" t="b">
        <f>Table4[[#This Row],[ypn]]=Table4[[#This Row],[trim]]</f>
        <v>0</v>
      </c>
      <c r="D193" s="13">
        <f>Table4[[#This Row],[ypn]]*1</f>
        <v>7047009730</v>
      </c>
      <c r="E193" s="13">
        <f>TYPE(Table4[[#This Row],[ypn]])</f>
        <v>1</v>
      </c>
      <c r="F193" t="s">
        <v>780</v>
      </c>
      <c r="G193" s="13" t="s">
        <v>1291</v>
      </c>
    </row>
    <row r="194" spans="1:7" ht="14.4" x14ac:dyDescent="0.3">
      <c r="A194" s="13">
        <v>7047052330</v>
      </c>
      <c r="B194" s="13" t="str">
        <f>TRIM(Table4[[#This Row],[ypn]])</f>
        <v>7047052330</v>
      </c>
      <c r="C194" s="13" t="b">
        <f>Table4[[#This Row],[ypn]]=Table4[[#This Row],[trim]]</f>
        <v>0</v>
      </c>
      <c r="D194" s="13">
        <f>Table4[[#This Row],[ypn]]*1</f>
        <v>7047052330</v>
      </c>
      <c r="E194" s="13">
        <f>TYPE(Table4[[#This Row],[ypn]])</f>
        <v>1</v>
      </c>
      <c r="F194" t="s">
        <v>781</v>
      </c>
      <c r="G194" s="13"/>
    </row>
    <row r="195" spans="1:7" ht="14.4" x14ac:dyDescent="0.3">
      <c r="A195" s="13">
        <v>7047178330</v>
      </c>
      <c r="B195" s="13" t="str">
        <f>TRIM(Table4[[#This Row],[ypn]])</f>
        <v>7047178330</v>
      </c>
      <c r="C195" s="13" t="b">
        <f>Table4[[#This Row],[ypn]]=Table4[[#This Row],[trim]]</f>
        <v>0</v>
      </c>
      <c r="D195" s="13">
        <f>Table4[[#This Row],[ypn]]*1</f>
        <v>7047178330</v>
      </c>
      <c r="E195" s="13">
        <f>TYPE(Table4[[#This Row],[ypn]])</f>
        <v>1</v>
      </c>
      <c r="F195" t="s">
        <v>779</v>
      </c>
      <c r="G195" s="13"/>
    </row>
    <row r="196" spans="1:7" ht="14.4" x14ac:dyDescent="0.3">
      <c r="A196" s="13">
        <v>7047186030</v>
      </c>
      <c r="B196" s="13" t="str">
        <f>TRIM(Table4[[#This Row],[ypn]])</f>
        <v>7047186030</v>
      </c>
      <c r="C196" s="13" t="b">
        <f>Table4[[#This Row],[ypn]]=Table4[[#This Row],[trim]]</f>
        <v>0</v>
      </c>
      <c r="D196" s="13">
        <f>Table4[[#This Row],[ypn]]*1</f>
        <v>7047186030</v>
      </c>
      <c r="E196" s="13">
        <f>TYPE(Table4[[#This Row],[ypn]])</f>
        <v>1</v>
      </c>
      <c r="F196" t="s">
        <v>782</v>
      </c>
      <c r="G196" s="13"/>
    </row>
    <row r="197" spans="1:7" ht="14.4" x14ac:dyDescent="0.3">
      <c r="A197" s="13">
        <v>7047251030</v>
      </c>
      <c r="B197" s="13" t="str">
        <f>TRIM(Table4[[#This Row],[ypn]])</f>
        <v>7047251030</v>
      </c>
      <c r="C197" s="13" t="b">
        <f>Table4[[#This Row],[ypn]]=Table4[[#This Row],[trim]]</f>
        <v>0</v>
      </c>
      <c r="D197" s="13">
        <f>Table4[[#This Row],[ypn]]*1</f>
        <v>7047251030</v>
      </c>
      <c r="E197" s="13">
        <f>TYPE(Table4[[#This Row],[ypn]])</f>
        <v>1</v>
      </c>
      <c r="F197" t="s">
        <v>779</v>
      </c>
      <c r="G197" s="13"/>
    </row>
    <row r="198" spans="1:7" ht="14.4" x14ac:dyDescent="0.3">
      <c r="A198" s="13">
        <v>7047275330</v>
      </c>
      <c r="B198" s="13" t="str">
        <f>TRIM(Table4[[#This Row],[ypn]])</f>
        <v>7047275330</v>
      </c>
      <c r="C198" s="13" t="b">
        <f>Table4[[#This Row],[ypn]]=Table4[[#This Row],[trim]]</f>
        <v>0</v>
      </c>
      <c r="D198" s="13">
        <f>Table4[[#This Row],[ypn]]*1</f>
        <v>7047275330</v>
      </c>
      <c r="E198" s="13">
        <f>TYPE(Table4[[#This Row],[ypn]])</f>
        <v>1</v>
      </c>
      <c r="F198" t="s">
        <v>779</v>
      </c>
      <c r="G198" s="13"/>
    </row>
    <row r="199" spans="1:7" ht="14.4" x14ac:dyDescent="0.3">
      <c r="A199" s="13">
        <v>70475017</v>
      </c>
      <c r="B199" s="13" t="str">
        <f>TRIM(Table4[[#This Row],[ypn]])</f>
        <v>70475017</v>
      </c>
      <c r="C199" s="13" t="b">
        <f>Table4[[#This Row],[ypn]]=Table4[[#This Row],[trim]]</f>
        <v>0</v>
      </c>
      <c r="D199" s="13">
        <f>Table4[[#This Row],[ypn]]*1</f>
        <v>70475017</v>
      </c>
      <c r="E199" s="13">
        <f>TYPE(Table4[[#This Row],[ypn]])</f>
        <v>1</v>
      </c>
      <c r="F199" t="s">
        <v>779</v>
      </c>
      <c r="G199" s="13"/>
    </row>
    <row r="200" spans="1:7" ht="14.4" x14ac:dyDescent="0.3">
      <c r="A200" s="13">
        <v>7047798230</v>
      </c>
      <c r="B200" s="13" t="str">
        <f>TRIM(Table4[[#This Row],[ypn]])</f>
        <v>7047798230</v>
      </c>
      <c r="C200" s="13" t="b">
        <f>Table4[[#This Row],[ypn]]=Table4[[#This Row],[trim]]</f>
        <v>0</v>
      </c>
      <c r="D200" s="13">
        <f>Table4[[#This Row],[ypn]]*1</f>
        <v>7047798230</v>
      </c>
      <c r="E200" s="13">
        <f>TYPE(Table4[[#This Row],[ypn]])</f>
        <v>1</v>
      </c>
      <c r="F200" t="s">
        <v>384</v>
      </c>
      <c r="G200" s="13"/>
    </row>
    <row r="201" spans="1:7" ht="14.4" x14ac:dyDescent="0.3">
      <c r="A201" s="13">
        <v>7047798330</v>
      </c>
      <c r="B201" s="13" t="str">
        <f>TRIM(Table4[[#This Row],[ypn]])</f>
        <v>7047798330</v>
      </c>
      <c r="C201" s="13" t="b">
        <f>Table4[[#This Row],[ypn]]=Table4[[#This Row],[trim]]</f>
        <v>0</v>
      </c>
      <c r="D201" s="13">
        <f>Table4[[#This Row],[ypn]]*1</f>
        <v>7047798330</v>
      </c>
      <c r="E201" s="13">
        <f>TYPE(Table4[[#This Row],[ypn]])</f>
        <v>1</v>
      </c>
      <c r="F201" t="s">
        <v>779</v>
      </c>
      <c r="G201" s="13"/>
    </row>
    <row r="202" spans="1:7" ht="14.4" x14ac:dyDescent="0.3">
      <c r="A202" s="13" t="s">
        <v>747</v>
      </c>
      <c r="B202" s="13" t="str">
        <f>TRIM(Table4[[#This Row],[ypn]])</f>
        <v>7075226830X1PP5350</v>
      </c>
      <c r="C202" s="13" t="b">
        <f>Table4[[#This Row],[ypn]]=Table4[[#This Row],[trim]]</f>
        <v>1</v>
      </c>
      <c r="D202" s="13" t="e">
        <f>Table4[[#This Row],[ypn]]*1</f>
        <v>#VALUE!</v>
      </c>
      <c r="E202" s="13">
        <f>TYPE(Table4[[#This Row],[ypn]])</f>
        <v>2</v>
      </c>
      <c r="F202" t="s">
        <v>340</v>
      </c>
      <c r="G202" s="13"/>
    </row>
    <row r="203" spans="1:7" ht="14.4" x14ac:dyDescent="0.3">
      <c r="A203" s="13" t="s">
        <v>748</v>
      </c>
      <c r="B203" s="13" t="str">
        <f>TRIM(Table4[[#This Row],[ypn]])</f>
        <v>7075231830X1PO2395</v>
      </c>
      <c r="C203" s="13" t="b">
        <f>Table4[[#This Row],[ypn]]=Table4[[#This Row],[trim]]</f>
        <v>1</v>
      </c>
      <c r="D203" s="13" t="e">
        <f>Table4[[#This Row],[ypn]]*1</f>
        <v>#VALUE!</v>
      </c>
      <c r="E203" s="13">
        <f>TYPE(Table4[[#This Row],[ypn]])</f>
        <v>2</v>
      </c>
      <c r="F203" t="s">
        <v>783</v>
      </c>
      <c r="G203" s="13"/>
    </row>
    <row r="204" spans="1:7" ht="14.4" x14ac:dyDescent="0.3">
      <c r="A204" s="13" t="s">
        <v>234</v>
      </c>
      <c r="B204" s="13" t="str">
        <f>TRIM(Table4[[#This Row],[ypn]])</f>
        <v>7119101830+7274131020A</v>
      </c>
      <c r="C204" s="13" t="b">
        <f>Table4[[#This Row],[ypn]]=Table4[[#This Row],[trim]]</f>
        <v>1</v>
      </c>
      <c r="D204" s="13" t="e">
        <f>Table4[[#This Row],[ypn]]*1</f>
        <v>#VALUE!</v>
      </c>
      <c r="E204" s="13">
        <f>TYPE(Table4[[#This Row],[ypn]])</f>
        <v>2</v>
      </c>
      <c r="F204" t="s">
        <v>626</v>
      </c>
      <c r="G204" s="13"/>
    </row>
    <row r="205" spans="1:7" ht="14.4" x14ac:dyDescent="0.3">
      <c r="A205" s="13">
        <v>71191277</v>
      </c>
      <c r="B205" s="13" t="str">
        <f>TRIM(Table4[[#This Row],[ypn]])</f>
        <v>71191277</v>
      </c>
      <c r="C205" s="13" t="b">
        <f>Table4[[#This Row],[ypn]]=Table4[[#This Row],[trim]]</f>
        <v>0</v>
      </c>
      <c r="D205" s="13">
        <f>Table4[[#This Row],[ypn]]*1</f>
        <v>71191277</v>
      </c>
      <c r="E205" s="13">
        <f>TYPE(Table4[[#This Row],[ypn]])</f>
        <v>1</v>
      </c>
      <c r="F205" t="s">
        <v>784</v>
      </c>
      <c r="G205" s="13"/>
    </row>
    <row r="206" spans="1:7" ht="14.4" x14ac:dyDescent="0.3">
      <c r="A206" s="13" t="s">
        <v>235</v>
      </c>
      <c r="B206" s="13" t="str">
        <f>TRIM(Table4[[#This Row],[ypn]])</f>
        <v>7119127830+7234894130A</v>
      </c>
      <c r="C206" s="13" t="b">
        <f>Table4[[#This Row],[ypn]]=Table4[[#This Row],[trim]]</f>
        <v>1</v>
      </c>
      <c r="D206" s="13" t="e">
        <f>Table4[[#This Row],[ypn]]*1</f>
        <v>#VALUE!</v>
      </c>
      <c r="E206" s="13">
        <f>TYPE(Table4[[#This Row],[ypn]])</f>
        <v>2</v>
      </c>
      <c r="F206" t="s">
        <v>779</v>
      </c>
      <c r="G206" s="13"/>
    </row>
    <row r="207" spans="1:7" ht="14.4" x14ac:dyDescent="0.3">
      <c r="A207" s="13">
        <v>7119131620</v>
      </c>
      <c r="B207" s="13" t="str">
        <f>TRIM(Table4[[#This Row],[ypn]])</f>
        <v>7119131620</v>
      </c>
      <c r="C207" s="13" t="b">
        <f>Table4[[#This Row],[ypn]]=Table4[[#This Row],[trim]]</f>
        <v>0</v>
      </c>
      <c r="D207" s="13">
        <f>Table4[[#This Row],[ypn]]*1</f>
        <v>7119131620</v>
      </c>
      <c r="E207" s="13">
        <f>TYPE(Table4[[#This Row],[ypn]])</f>
        <v>1</v>
      </c>
      <c r="F207" t="s">
        <v>779</v>
      </c>
      <c r="G207" s="13"/>
    </row>
    <row r="208" spans="1:7" ht="14.4" x14ac:dyDescent="0.3">
      <c r="A208" s="13" t="s">
        <v>629</v>
      </c>
      <c r="B208" s="13" t="str">
        <f>TRIM(Table4[[#This Row],[ypn]])</f>
        <v>7119140530+7119140640+72741359</v>
      </c>
      <c r="C208" s="13" t="b">
        <f>Table4[[#This Row],[ypn]]=Table4[[#This Row],[trim]]</f>
        <v>1</v>
      </c>
      <c r="D208" s="13" t="e">
        <f>Table4[[#This Row],[ypn]]*1</f>
        <v>#VALUE!</v>
      </c>
      <c r="E208" s="13">
        <f>TYPE(Table4[[#This Row],[ypn]])</f>
        <v>2</v>
      </c>
      <c r="F208" t="s">
        <v>785</v>
      </c>
      <c r="G208" s="13"/>
    </row>
    <row r="209" spans="1:7" ht="14.4" x14ac:dyDescent="0.3">
      <c r="A209" s="13">
        <v>7119163630</v>
      </c>
      <c r="B209" s="13" t="str">
        <f>TRIM(Table4[[#This Row],[ypn]])</f>
        <v>7119163630</v>
      </c>
      <c r="C209" s="13" t="b">
        <f>Table4[[#This Row],[ypn]]=Table4[[#This Row],[trim]]</f>
        <v>0</v>
      </c>
      <c r="D209" s="13">
        <f>Table4[[#This Row],[ypn]]*1</f>
        <v>7119163630</v>
      </c>
      <c r="E209" s="13">
        <f>TYPE(Table4[[#This Row],[ypn]])</f>
        <v>1</v>
      </c>
      <c r="F209" t="s">
        <v>786</v>
      </c>
      <c r="G209" s="13"/>
    </row>
    <row r="210" spans="1:7" ht="14.4" x14ac:dyDescent="0.3">
      <c r="A210" s="13">
        <v>7119605590</v>
      </c>
      <c r="B210" s="13" t="str">
        <f>TRIM(Table4[[#This Row],[ypn]])</f>
        <v>7119605590</v>
      </c>
      <c r="C210" s="13" t="b">
        <f>Table4[[#This Row],[ypn]]=Table4[[#This Row],[trim]]</f>
        <v>0</v>
      </c>
      <c r="D210" s="13">
        <f>Table4[[#This Row],[ypn]]*1</f>
        <v>7119605590</v>
      </c>
      <c r="E210" s="13">
        <f>TYPE(Table4[[#This Row],[ypn]])</f>
        <v>1</v>
      </c>
      <c r="F210" t="s">
        <v>787</v>
      </c>
      <c r="G210" s="13"/>
    </row>
    <row r="211" spans="1:7" ht="14.4" x14ac:dyDescent="0.3">
      <c r="A211" s="13" t="s">
        <v>236</v>
      </c>
      <c r="B211" s="13" t="str">
        <f>TRIM(Table4[[#This Row],[ypn]])</f>
        <v>7119632530+7119632630+72742614A</v>
      </c>
      <c r="C211" s="13" t="b">
        <f>Table4[[#This Row],[ypn]]=Table4[[#This Row],[trim]]</f>
        <v>1</v>
      </c>
      <c r="D211" s="13" t="e">
        <f>Table4[[#This Row],[ypn]]*1</f>
        <v>#VALUE!</v>
      </c>
      <c r="E211" s="13">
        <f>TYPE(Table4[[#This Row],[ypn]])</f>
        <v>2</v>
      </c>
      <c r="F211" t="s">
        <v>632</v>
      </c>
      <c r="G211" s="13"/>
    </row>
    <row r="212" spans="1:7" ht="14.4" x14ac:dyDescent="0.3">
      <c r="A212" s="13">
        <v>7119637880</v>
      </c>
      <c r="B212" s="13" t="str">
        <f>TRIM(Table4[[#This Row],[ypn]])</f>
        <v>7119637880</v>
      </c>
      <c r="C212" s="13" t="b">
        <f>Table4[[#This Row],[ypn]]=Table4[[#This Row],[trim]]</f>
        <v>0</v>
      </c>
      <c r="D212" s="13">
        <f>Table4[[#This Row],[ypn]]*1</f>
        <v>7119637880</v>
      </c>
      <c r="E212" s="13">
        <f>TYPE(Table4[[#This Row],[ypn]])</f>
        <v>1</v>
      </c>
      <c r="F212" t="s">
        <v>788</v>
      </c>
      <c r="G212" s="13"/>
    </row>
    <row r="213" spans="1:7" ht="14.4" x14ac:dyDescent="0.3">
      <c r="A213" s="13" t="s">
        <v>239</v>
      </c>
      <c r="B213" s="13" t="str">
        <f>TRIM(Table4[[#This Row],[ypn]])</f>
        <v>7119648630+7274171430A</v>
      </c>
      <c r="C213" s="13" t="b">
        <f>Table4[[#This Row],[ypn]]=Table4[[#This Row],[trim]]</f>
        <v>1</v>
      </c>
      <c r="D213" s="13" t="e">
        <f>Table4[[#This Row],[ypn]]*1</f>
        <v>#VALUE!</v>
      </c>
      <c r="E213" s="13">
        <f>TYPE(Table4[[#This Row],[ypn]])</f>
        <v>2</v>
      </c>
      <c r="F213" t="s">
        <v>779</v>
      </c>
      <c r="G213" s="13"/>
    </row>
    <row r="214" spans="1:7" ht="14.4" x14ac:dyDescent="0.3">
      <c r="A214" s="13">
        <v>7119665630</v>
      </c>
      <c r="B214" s="13" t="str">
        <f>TRIM(Table4[[#This Row],[ypn]])</f>
        <v>7119665630</v>
      </c>
      <c r="C214" s="13" t="b">
        <f>Table4[[#This Row],[ypn]]=Table4[[#This Row],[trim]]</f>
        <v>0</v>
      </c>
      <c r="D214" s="13">
        <f>Table4[[#This Row],[ypn]]*1</f>
        <v>7119665630</v>
      </c>
      <c r="E214" s="13">
        <f>TYPE(Table4[[#This Row],[ypn]])</f>
        <v>1</v>
      </c>
      <c r="F214" t="s">
        <v>789</v>
      </c>
      <c r="G214" s="13"/>
    </row>
    <row r="215" spans="1:7" ht="14.4" x14ac:dyDescent="0.3">
      <c r="A215" s="13" t="s">
        <v>238</v>
      </c>
      <c r="B215" s="13" t="str">
        <f>TRIM(Table4[[#This Row],[ypn]])</f>
        <v>7119670830+7274290770A</v>
      </c>
      <c r="C215" s="13" t="b">
        <f>Table4[[#This Row],[ypn]]=Table4[[#This Row],[trim]]</f>
        <v>1</v>
      </c>
      <c r="D215" s="13" t="e">
        <f>Table4[[#This Row],[ypn]]*1</f>
        <v>#VALUE!</v>
      </c>
      <c r="E215" s="13">
        <f>TYPE(Table4[[#This Row],[ypn]])</f>
        <v>2</v>
      </c>
      <c r="F215" t="s">
        <v>636</v>
      </c>
      <c r="G215" s="13"/>
    </row>
    <row r="216" spans="1:7" ht="14.4" x14ac:dyDescent="0.3">
      <c r="A216" s="13">
        <v>7147882430</v>
      </c>
      <c r="B216" s="13" t="str">
        <f>TRIM(Table4[[#This Row],[ypn]])</f>
        <v>7147882430</v>
      </c>
      <c r="C216" s="13" t="b">
        <f>Table4[[#This Row],[ypn]]=Table4[[#This Row],[trim]]</f>
        <v>0</v>
      </c>
      <c r="D216" s="13">
        <f>Table4[[#This Row],[ypn]]*1</f>
        <v>7147882430</v>
      </c>
      <c r="E216" s="13">
        <f>TYPE(Table4[[#This Row],[ypn]])</f>
        <v>1</v>
      </c>
      <c r="F216" t="s">
        <v>779</v>
      </c>
      <c r="G216" s="13"/>
    </row>
    <row r="217" spans="1:7" ht="14.4" x14ac:dyDescent="0.3">
      <c r="A217" s="13" t="s">
        <v>749</v>
      </c>
      <c r="B217" s="13" t="str">
        <f>TRIM(Table4[[#This Row],[ypn]])</f>
        <v>7176862130X1PO2557</v>
      </c>
      <c r="C217" s="13" t="b">
        <f>Table4[[#This Row],[ypn]]=Table4[[#This Row],[trim]]</f>
        <v>1</v>
      </c>
      <c r="D217" s="13" t="e">
        <f>Table4[[#This Row],[ypn]]*1</f>
        <v>#VALUE!</v>
      </c>
      <c r="E217" s="13">
        <f>TYPE(Table4[[#This Row],[ypn]])</f>
        <v>2</v>
      </c>
      <c r="F217" t="s">
        <v>779</v>
      </c>
      <c r="G217" s="13"/>
    </row>
    <row r="218" spans="1:7" ht="14.4" x14ac:dyDescent="0.3">
      <c r="A218" s="13">
        <v>7176862730</v>
      </c>
      <c r="B218" s="13" t="str">
        <f>TRIM(Table4[[#This Row],[ypn]])</f>
        <v>7176862730</v>
      </c>
      <c r="C218" s="13" t="b">
        <f>Table4[[#This Row],[ypn]]=Table4[[#This Row],[trim]]</f>
        <v>0</v>
      </c>
      <c r="D218" s="13">
        <f>Table4[[#This Row],[ypn]]*1</f>
        <v>7176862730</v>
      </c>
      <c r="E218" s="13">
        <f>TYPE(Table4[[#This Row],[ypn]])</f>
        <v>1</v>
      </c>
      <c r="F218" t="s">
        <v>779</v>
      </c>
      <c r="G218" s="13"/>
    </row>
    <row r="219" spans="1:7" ht="14.4" x14ac:dyDescent="0.3">
      <c r="A219" s="13" t="s">
        <v>750</v>
      </c>
      <c r="B219" s="13" t="str">
        <f>TRIM(Table4[[#This Row],[ypn]])</f>
        <v>7176862930X1PO2407</v>
      </c>
      <c r="C219" s="13" t="b">
        <f>Table4[[#This Row],[ypn]]=Table4[[#This Row],[trim]]</f>
        <v>1</v>
      </c>
      <c r="D219" s="13" t="e">
        <f>Table4[[#This Row],[ypn]]*1</f>
        <v>#VALUE!</v>
      </c>
      <c r="E219" s="13">
        <f>TYPE(Table4[[#This Row],[ypn]])</f>
        <v>2</v>
      </c>
      <c r="F219" t="s">
        <v>779</v>
      </c>
      <c r="G219" s="13"/>
    </row>
    <row r="220" spans="1:7" ht="14.4" x14ac:dyDescent="0.3">
      <c r="A220" s="13" t="s">
        <v>751</v>
      </c>
      <c r="B220" s="13" t="str">
        <f>TRIM(Table4[[#This Row],[ypn]])</f>
        <v>7176863030X1PO2408</v>
      </c>
      <c r="C220" s="13" t="b">
        <f>Table4[[#This Row],[ypn]]=Table4[[#This Row],[trim]]</f>
        <v>1</v>
      </c>
      <c r="D220" s="13" t="e">
        <f>Table4[[#This Row],[ypn]]*1</f>
        <v>#VALUE!</v>
      </c>
      <c r="E220" s="13">
        <f>TYPE(Table4[[#This Row],[ypn]])</f>
        <v>2</v>
      </c>
      <c r="F220" t="s">
        <v>779</v>
      </c>
      <c r="G220" s="13"/>
    </row>
    <row r="221" spans="1:7" ht="14.4" x14ac:dyDescent="0.3">
      <c r="A221" s="13" t="s">
        <v>752</v>
      </c>
      <c r="B221" s="13" t="str">
        <f>TRIM(Table4[[#This Row],[ypn]])</f>
        <v>7176874730X1PO2553</v>
      </c>
      <c r="C221" s="13" t="b">
        <f>Table4[[#This Row],[ypn]]=Table4[[#This Row],[trim]]</f>
        <v>1</v>
      </c>
      <c r="D221" s="13" t="e">
        <f>Table4[[#This Row],[ypn]]*1</f>
        <v>#VALUE!</v>
      </c>
      <c r="E221" s="13">
        <f>TYPE(Table4[[#This Row],[ypn]])</f>
        <v>2</v>
      </c>
      <c r="F221" t="s">
        <v>779</v>
      </c>
      <c r="G221" s="13"/>
    </row>
    <row r="222" spans="1:7" ht="14.4" x14ac:dyDescent="0.3">
      <c r="A222" s="13">
        <v>71770510</v>
      </c>
      <c r="B222" s="13" t="str">
        <f>TRIM(Table4[[#This Row],[ypn]])</f>
        <v>71770510</v>
      </c>
      <c r="C222" s="13" t="b">
        <f>Table4[[#This Row],[ypn]]=Table4[[#This Row],[trim]]</f>
        <v>0</v>
      </c>
      <c r="D222" s="13">
        <f>Table4[[#This Row],[ypn]]*1</f>
        <v>71770510</v>
      </c>
      <c r="E222" s="13">
        <f>TYPE(Table4[[#This Row],[ypn]])</f>
        <v>1</v>
      </c>
      <c r="F222" t="s">
        <v>790</v>
      </c>
      <c r="G222" s="13"/>
    </row>
    <row r="223" spans="1:7" ht="14.4" x14ac:dyDescent="0.3">
      <c r="A223" s="13">
        <v>7177097330</v>
      </c>
      <c r="B223" s="13" t="str">
        <f>TRIM(Table4[[#This Row],[ypn]])</f>
        <v>7177097330</v>
      </c>
      <c r="C223" s="13" t="b">
        <f>Table4[[#This Row],[ypn]]=Table4[[#This Row],[trim]]</f>
        <v>0</v>
      </c>
      <c r="D223" s="13">
        <f>Table4[[#This Row],[ypn]]*1</f>
        <v>7177097330</v>
      </c>
      <c r="E223" s="13">
        <f>TYPE(Table4[[#This Row],[ypn]])</f>
        <v>1</v>
      </c>
      <c r="F223" t="s">
        <v>791</v>
      </c>
      <c r="G223" s="13"/>
    </row>
    <row r="224" spans="1:7" ht="14.4" x14ac:dyDescent="0.3">
      <c r="A224" s="13" t="s">
        <v>753</v>
      </c>
      <c r="B224" s="13" t="str">
        <f>TRIM(Table4[[#This Row],[ypn]])</f>
        <v>71782472X1PO2221</v>
      </c>
      <c r="C224" s="13" t="b">
        <f>Table4[[#This Row],[ypn]]=Table4[[#This Row],[trim]]</f>
        <v>1</v>
      </c>
      <c r="D224" s="13" t="e">
        <f>Table4[[#This Row],[ypn]]*1</f>
        <v>#VALUE!</v>
      </c>
      <c r="E224" s="13">
        <f>TYPE(Table4[[#This Row],[ypn]])</f>
        <v>2</v>
      </c>
      <c r="F224" t="s">
        <v>792</v>
      </c>
      <c r="G224" s="13"/>
    </row>
    <row r="225" spans="1:7" ht="14.4" x14ac:dyDescent="0.3">
      <c r="A225" s="13" t="s">
        <v>240</v>
      </c>
      <c r="B225" s="13" t="str">
        <f>TRIM(Table4[[#This Row],[ypn]])</f>
        <v>7183288530+7183288630+72742612A</v>
      </c>
      <c r="C225" s="13" t="b">
        <f>Table4[[#This Row],[ypn]]=Table4[[#This Row],[trim]]</f>
        <v>1</v>
      </c>
      <c r="D225" s="13" t="e">
        <f>Table4[[#This Row],[ypn]]*1</f>
        <v>#VALUE!</v>
      </c>
      <c r="E225" s="13">
        <f>TYPE(Table4[[#This Row],[ypn]])</f>
        <v>2</v>
      </c>
      <c r="F225" t="s">
        <v>654</v>
      </c>
      <c r="G225" s="13"/>
    </row>
    <row r="226" spans="1:7" ht="14.4" x14ac:dyDescent="0.3">
      <c r="A226" s="13" t="s">
        <v>241</v>
      </c>
      <c r="B226" s="13" t="str">
        <f>TRIM(Table4[[#This Row],[ypn]])</f>
        <v>7185173030+7185173130+72742608A</v>
      </c>
      <c r="C226" s="13" t="b">
        <f>Table4[[#This Row],[ypn]]=Table4[[#This Row],[trim]]</f>
        <v>1</v>
      </c>
      <c r="D226" s="13" t="e">
        <f>Table4[[#This Row],[ypn]]*1</f>
        <v>#VALUE!</v>
      </c>
      <c r="E226" s="13">
        <f>TYPE(Table4[[#This Row],[ypn]])</f>
        <v>2</v>
      </c>
      <c r="F226" t="s">
        <v>779</v>
      </c>
      <c r="G226" s="13"/>
    </row>
    <row r="227" spans="1:7" ht="14.4" x14ac:dyDescent="0.3">
      <c r="A227" s="13" t="s">
        <v>843</v>
      </c>
      <c r="B227" s="13" t="str">
        <f>TRIM(Table4[[#This Row],[ypn]])</f>
        <v>7187903970+7187904070+7274060970A</v>
      </c>
      <c r="C227" s="13" t="b">
        <f>Table4[[#This Row],[ypn]]=Table4[[#This Row],[trim]]</f>
        <v>1</v>
      </c>
      <c r="D227" s="13" t="e">
        <f>Table4[[#This Row],[ypn]]*1</f>
        <v>#VALUE!</v>
      </c>
      <c r="E227" s="13">
        <f>TYPE(Table4[[#This Row],[ypn]])</f>
        <v>2</v>
      </c>
      <c r="F227" t="s">
        <v>657</v>
      </c>
      <c r="G227" s="13"/>
    </row>
    <row r="228" spans="1:7" ht="14.4" x14ac:dyDescent="0.3">
      <c r="A228" s="13">
        <v>7187948430</v>
      </c>
      <c r="B228" s="13" t="str">
        <f>TRIM(Table4[[#This Row],[ypn]])</f>
        <v>7187948430</v>
      </c>
      <c r="C228" s="13" t="b">
        <f>Table4[[#This Row],[ypn]]=Table4[[#This Row],[trim]]</f>
        <v>0</v>
      </c>
      <c r="D228" s="13">
        <f>Table4[[#This Row],[ypn]]*1</f>
        <v>7187948430</v>
      </c>
      <c r="E228" s="13">
        <f>TYPE(Table4[[#This Row],[ypn]])</f>
        <v>1</v>
      </c>
      <c r="F228" t="s">
        <v>793</v>
      </c>
      <c r="G228" s="13"/>
    </row>
    <row r="229" spans="1:7" ht="14.4" x14ac:dyDescent="0.3">
      <c r="A229" s="13">
        <v>7189486630</v>
      </c>
      <c r="B229" s="13" t="str">
        <f>TRIM(Table4[[#This Row],[ypn]])</f>
        <v>7189486630</v>
      </c>
      <c r="C229" s="13" t="b">
        <f>Table4[[#This Row],[ypn]]=Table4[[#This Row],[trim]]</f>
        <v>0</v>
      </c>
      <c r="D229" s="13">
        <f>Table4[[#This Row],[ypn]]*1</f>
        <v>7189486630</v>
      </c>
      <c r="E229" s="13">
        <f>TYPE(Table4[[#This Row],[ypn]])</f>
        <v>1</v>
      </c>
      <c r="F229" t="s">
        <v>794</v>
      </c>
      <c r="G229" s="13"/>
    </row>
    <row r="230" spans="1:7" ht="14.4" x14ac:dyDescent="0.3">
      <c r="A230" s="13" t="s">
        <v>245</v>
      </c>
      <c r="B230" s="13" t="str">
        <f>TRIM(Table4[[#This Row],[ypn]])</f>
        <v>7189668330+7274136090A</v>
      </c>
      <c r="C230" s="13" t="b">
        <f>Table4[[#This Row],[ypn]]=Table4[[#This Row],[trim]]</f>
        <v>1</v>
      </c>
      <c r="D230" s="13" t="e">
        <f>Table4[[#This Row],[ypn]]*1</f>
        <v>#VALUE!</v>
      </c>
      <c r="E230" s="13">
        <f>TYPE(Table4[[#This Row],[ypn]])</f>
        <v>2</v>
      </c>
      <c r="F230" t="s">
        <v>658</v>
      </c>
      <c r="G230" s="13"/>
    </row>
    <row r="231" spans="1:7" ht="14.4" x14ac:dyDescent="0.3">
      <c r="A231" s="13" t="s">
        <v>244</v>
      </c>
      <c r="B231" s="13" t="str">
        <f>TRIM(Table4[[#This Row],[ypn]])</f>
        <v>7189811530+7289811830+72741554A</v>
      </c>
      <c r="C231" s="13" t="b">
        <f>Table4[[#This Row],[ypn]]=Table4[[#This Row],[trim]]</f>
        <v>1</v>
      </c>
      <c r="D231" s="13" t="e">
        <f>Table4[[#This Row],[ypn]]*1</f>
        <v>#VALUE!</v>
      </c>
      <c r="E231" s="13">
        <f>TYPE(Table4[[#This Row],[ypn]])</f>
        <v>2</v>
      </c>
      <c r="F231" t="s">
        <v>661</v>
      </c>
      <c r="G231" s="13"/>
    </row>
    <row r="232" spans="1:7" ht="14.4" x14ac:dyDescent="0.3">
      <c r="A232" s="13" t="s">
        <v>754</v>
      </c>
      <c r="B232" s="13" t="str">
        <f>TRIM(Table4[[#This Row],[ypn]])</f>
        <v>71979249+CLIP5110</v>
      </c>
      <c r="C232" s="13" t="b">
        <f>Table4[[#This Row],[ypn]]=Table4[[#This Row],[trim]]</f>
        <v>1</v>
      </c>
      <c r="D232" s="13" t="e">
        <f>Table4[[#This Row],[ypn]]*1</f>
        <v>#VALUE!</v>
      </c>
      <c r="E232" s="13">
        <f>TYPE(Table4[[#This Row],[ypn]])</f>
        <v>2</v>
      </c>
      <c r="F232" t="s">
        <v>795</v>
      </c>
      <c r="G232" s="13"/>
    </row>
    <row r="233" spans="1:7" ht="14.4" x14ac:dyDescent="0.3">
      <c r="A233" s="13" t="s">
        <v>364</v>
      </c>
      <c r="B233" s="13" t="str">
        <f>TRIM(Table4[[#This Row],[ypn]])</f>
        <v>7198279630+7274154030</v>
      </c>
      <c r="C233" s="13" t="b">
        <f>Table4[[#This Row],[ypn]]=Table4[[#This Row],[trim]]</f>
        <v>1</v>
      </c>
      <c r="D233" s="13" t="e">
        <f>Table4[[#This Row],[ypn]]*1</f>
        <v>#VALUE!</v>
      </c>
      <c r="E233" s="13">
        <f>TYPE(Table4[[#This Row],[ypn]])</f>
        <v>2</v>
      </c>
      <c r="F233" t="s">
        <v>796</v>
      </c>
      <c r="G233" s="13"/>
    </row>
    <row r="234" spans="1:7" ht="14.4" x14ac:dyDescent="0.3">
      <c r="A234" s="13" t="s">
        <v>755</v>
      </c>
      <c r="B234" s="13" t="str">
        <f>TRIM(Table4[[#This Row],[ypn]])</f>
        <v>7198762530+7198600430+X1PO1C35A</v>
      </c>
      <c r="C234" s="13" t="b">
        <f>Table4[[#This Row],[ypn]]=Table4[[#This Row],[trim]]</f>
        <v>1</v>
      </c>
      <c r="D234" s="13" t="e">
        <f>Table4[[#This Row],[ypn]]*1</f>
        <v>#VALUE!</v>
      </c>
      <c r="E234" s="13">
        <f>TYPE(Table4[[#This Row],[ypn]])</f>
        <v>2</v>
      </c>
      <c r="F234" t="s">
        <v>667</v>
      </c>
      <c r="G234" s="13" t="s">
        <v>848</v>
      </c>
    </row>
    <row r="235" spans="1:7" ht="14.4" x14ac:dyDescent="0.3">
      <c r="A235" s="13" t="s">
        <v>249</v>
      </c>
      <c r="B235" s="13" t="str">
        <f>TRIM(Table4[[#This Row],[ypn]])</f>
        <v>7198774930+7198947430+72742908A</v>
      </c>
      <c r="C235" s="13" t="b">
        <f>Table4[[#This Row],[ypn]]=Table4[[#This Row],[trim]]</f>
        <v>1</v>
      </c>
      <c r="D235" s="13" t="e">
        <f>Table4[[#This Row],[ypn]]*1</f>
        <v>#VALUE!</v>
      </c>
      <c r="E235" s="13">
        <f>TYPE(Table4[[#This Row],[ypn]])</f>
        <v>2</v>
      </c>
      <c r="F235" t="s">
        <v>668</v>
      </c>
      <c r="G235" s="13"/>
    </row>
    <row r="236" spans="1:7" ht="14.4" x14ac:dyDescent="0.3">
      <c r="A236" s="13" t="s">
        <v>756</v>
      </c>
      <c r="B236" s="13" t="str">
        <f>TRIM(Table4[[#This Row],[ypn]])</f>
        <v>7198809140+7274268930</v>
      </c>
      <c r="C236" s="13" t="b">
        <f>Table4[[#This Row],[ypn]]=Table4[[#This Row],[trim]]</f>
        <v>1</v>
      </c>
      <c r="D236" s="13" t="e">
        <f>Table4[[#This Row],[ypn]]*1</f>
        <v>#VALUE!</v>
      </c>
      <c r="E236" s="13">
        <f>TYPE(Table4[[#This Row],[ypn]])</f>
        <v>2</v>
      </c>
      <c r="F236" t="s">
        <v>797</v>
      </c>
      <c r="G236" s="13"/>
    </row>
    <row r="237" spans="1:7" ht="14.4" x14ac:dyDescent="0.3">
      <c r="A237" s="13" t="s">
        <v>292</v>
      </c>
      <c r="B237" s="13" t="str">
        <f>TRIM(Table4[[#This Row],[ypn]])</f>
        <v>7198810230+72742686A</v>
      </c>
      <c r="C237" s="13" t="b">
        <f>Table4[[#This Row],[ypn]]=Table4[[#This Row],[trim]]</f>
        <v>1</v>
      </c>
      <c r="D237" s="13" t="e">
        <f>Table4[[#This Row],[ypn]]*1</f>
        <v>#VALUE!</v>
      </c>
      <c r="E237" s="13">
        <f>TYPE(Table4[[#This Row],[ypn]])</f>
        <v>2</v>
      </c>
      <c r="F237" t="s">
        <v>669</v>
      </c>
      <c r="G237" s="13"/>
    </row>
    <row r="238" spans="1:7" ht="14.4" x14ac:dyDescent="0.3">
      <c r="A238" s="13" t="s">
        <v>363</v>
      </c>
      <c r="B238" s="13" t="str">
        <f>TRIM(Table4[[#This Row],[ypn]])</f>
        <v>7198913290+7189662430</v>
      </c>
      <c r="C238" s="13" t="b">
        <f>Table4[[#This Row],[ypn]]=Table4[[#This Row],[trim]]</f>
        <v>1</v>
      </c>
      <c r="D238" s="13" t="e">
        <f>Table4[[#This Row],[ypn]]*1</f>
        <v>#VALUE!</v>
      </c>
      <c r="E238" s="13">
        <f>TYPE(Table4[[#This Row],[ypn]])</f>
        <v>2</v>
      </c>
      <c r="F238" t="s">
        <v>779</v>
      </c>
      <c r="G238" s="13"/>
    </row>
    <row r="239" spans="1:7" ht="14.4" x14ac:dyDescent="0.3">
      <c r="A239" s="13">
        <v>7198916130</v>
      </c>
      <c r="B239" s="13" t="str">
        <f>TRIM(Table4[[#This Row],[ypn]])</f>
        <v>7198916130</v>
      </c>
      <c r="C239" s="13" t="b">
        <f>Table4[[#This Row],[ypn]]=Table4[[#This Row],[trim]]</f>
        <v>0</v>
      </c>
      <c r="D239" s="13">
        <f>Table4[[#This Row],[ypn]]*1</f>
        <v>7198916130</v>
      </c>
      <c r="E239" s="13">
        <f>TYPE(Table4[[#This Row],[ypn]])</f>
        <v>1</v>
      </c>
      <c r="F239" t="s">
        <v>798</v>
      </c>
      <c r="G239" s="13"/>
    </row>
    <row r="240" spans="1:7" ht="14.4" x14ac:dyDescent="0.3">
      <c r="A240" s="13">
        <v>7219682330</v>
      </c>
      <c r="B240" s="13" t="str">
        <f>TRIM(Table4[[#This Row],[ypn]])</f>
        <v>7219682330</v>
      </c>
      <c r="C240" s="13" t="b">
        <f>Table4[[#This Row],[ypn]]=Table4[[#This Row],[trim]]</f>
        <v>0</v>
      </c>
      <c r="D240" s="13">
        <f>Table4[[#This Row],[ypn]]*1</f>
        <v>7219682330</v>
      </c>
      <c r="E240" s="13">
        <f>TYPE(Table4[[#This Row],[ypn]])</f>
        <v>1</v>
      </c>
      <c r="F240" t="s">
        <v>799</v>
      </c>
      <c r="G240" s="13"/>
    </row>
    <row r="241" spans="1:7" ht="14.4" x14ac:dyDescent="0.3">
      <c r="A241" s="13">
        <v>7247001130</v>
      </c>
      <c r="B241" s="13" t="str">
        <f>TRIM(Table4[[#This Row],[ypn]])</f>
        <v>7247001130</v>
      </c>
      <c r="C241" s="13" t="b">
        <f>Table4[[#This Row],[ypn]]=Table4[[#This Row],[trim]]</f>
        <v>0</v>
      </c>
      <c r="D241" s="13">
        <f>Table4[[#This Row],[ypn]]*1</f>
        <v>7247001130</v>
      </c>
      <c r="E241" s="13">
        <f>TYPE(Table4[[#This Row],[ypn]])</f>
        <v>1</v>
      </c>
      <c r="F241" t="s">
        <v>800</v>
      </c>
      <c r="G241" s="13"/>
    </row>
    <row r="242" spans="1:7" ht="14.4" x14ac:dyDescent="0.3">
      <c r="A242" s="13">
        <v>7247075530</v>
      </c>
      <c r="B242" s="13" t="str">
        <f>TRIM(Table4[[#This Row],[ypn]])</f>
        <v>7247075530</v>
      </c>
      <c r="C242" s="13" t="b">
        <f>Table4[[#This Row],[ypn]]=Table4[[#This Row],[trim]]</f>
        <v>0</v>
      </c>
      <c r="D242" s="13">
        <f>Table4[[#This Row],[ypn]]*1</f>
        <v>7247075530</v>
      </c>
      <c r="E242" s="13">
        <f>TYPE(Table4[[#This Row],[ypn]])</f>
        <v>1</v>
      </c>
      <c r="F242" t="s">
        <v>801</v>
      </c>
      <c r="G242" s="13" t="s">
        <v>848</v>
      </c>
    </row>
    <row r="243" spans="1:7" ht="14.4" x14ac:dyDescent="0.3">
      <c r="A243" s="13">
        <v>7247758130</v>
      </c>
      <c r="B243" s="13" t="str">
        <f>TRIM(Table4[[#This Row],[ypn]])</f>
        <v>7247758130</v>
      </c>
      <c r="C243" s="13" t="b">
        <f>Table4[[#This Row],[ypn]]=Table4[[#This Row],[trim]]</f>
        <v>0</v>
      </c>
      <c r="D243" s="13">
        <f>Table4[[#This Row],[ypn]]*1</f>
        <v>7247758130</v>
      </c>
      <c r="E243" s="13">
        <f>TYPE(Table4[[#This Row],[ypn]])</f>
        <v>1</v>
      </c>
      <c r="F243" t="s">
        <v>802</v>
      </c>
      <c r="G243" s="13"/>
    </row>
    <row r="244" spans="1:7" ht="14.4" x14ac:dyDescent="0.3">
      <c r="A244" s="13">
        <v>7247760830</v>
      </c>
      <c r="B244" s="13" t="str">
        <f>TRIM(Table4[[#This Row],[ypn]])</f>
        <v>7247760830</v>
      </c>
      <c r="C244" s="13" t="b">
        <f>Table4[[#This Row],[ypn]]=Table4[[#This Row],[trim]]</f>
        <v>0</v>
      </c>
      <c r="D244" s="13">
        <f>Table4[[#This Row],[ypn]]*1</f>
        <v>7247760830</v>
      </c>
      <c r="E244" s="13">
        <f>TYPE(Table4[[#This Row],[ypn]])</f>
        <v>1</v>
      </c>
      <c r="F244" t="s">
        <v>779</v>
      </c>
      <c r="G244" s="13"/>
    </row>
    <row r="245" spans="1:7" ht="14.4" x14ac:dyDescent="0.3">
      <c r="A245" s="13">
        <v>7247764130</v>
      </c>
      <c r="B245" s="13" t="str">
        <f>TRIM(Table4[[#This Row],[ypn]])</f>
        <v>7247764130</v>
      </c>
      <c r="C245" s="13" t="b">
        <f>Table4[[#This Row],[ypn]]=Table4[[#This Row],[trim]]</f>
        <v>0</v>
      </c>
      <c r="D245" s="13">
        <f>Table4[[#This Row],[ypn]]*1</f>
        <v>7247764130</v>
      </c>
      <c r="E245" s="13">
        <f>TYPE(Table4[[#This Row],[ypn]])</f>
        <v>1</v>
      </c>
      <c r="F245" t="s">
        <v>803</v>
      </c>
      <c r="G245" s="13"/>
    </row>
    <row r="246" spans="1:7" ht="14.4" x14ac:dyDescent="0.3">
      <c r="A246" s="13">
        <v>7247776330</v>
      </c>
      <c r="B246" s="13" t="str">
        <f>TRIM(Table4[[#This Row],[ypn]])</f>
        <v>7247776330</v>
      </c>
      <c r="C246" s="13" t="b">
        <f>Table4[[#This Row],[ypn]]=Table4[[#This Row],[trim]]</f>
        <v>0</v>
      </c>
      <c r="D246" s="13">
        <f>Table4[[#This Row],[ypn]]*1</f>
        <v>7247776330</v>
      </c>
      <c r="E246" s="13">
        <f>TYPE(Table4[[#This Row],[ypn]])</f>
        <v>1</v>
      </c>
      <c r="F246" t="s">
        <v>801</v>
      </c>
      <c r="G246" s="13" t="s">
        <v>848</v>
      </c>
    </row>
    <row r="247" spans="1:7" ht="14.4" x14ac:dyDescent="0.3">
      <c r="A247" s="13">
        <v>7247781230</v>
      </c>
      <c r="B247" s="13" t="str">
        <f>TRIM(Table4[[#This Row],[ypn]])</f>
        <v>7247781230</v>
      </c>
      <c r="C247" s="13" t="b">
        <f>Table4[[#This Row],[ypn]]=Table4[[#This Row],[trim]]</f>
        <v>0</v>
      </c>
      <c r="D247" s="13">
        <f>Table4[[#This Row],[ypn]]*1</f>
        <v>7247781230</v>
      </c>
      <c r="E247" s="13">
        <f>TYPE(Table4[[#This Row],[ypn]])</f>
        <v>1</v>
      </c>
      <c r="F247" t="s">
        <v>804</v>
      </c>
      <c r="G247" s="13"/>
    </row>
    <row r="248" spans="1:7" ht="14.4" x14ac:dyDescent="0.3">
      <c r="A248" s="13">
        <v>7247787730</v>
      </c>
      <c r="B248" s="13" t="str">
        <f>TRIM(Table4[[#This Row],[ypn]])</f>
        <v>7247787730</v>
      </c>
      <c r="C248" s="13" t="b">
        <f>Table4[[#This Row],[ypn]]=Table4[[#This Row],[trim]]</f>
        <v>0</v>
      </c>
      <c r="D248" s="13">
        <f>Table4[[#This Row],[ypn]]*1</f>
        <v>7247787730</v>
      </c>
      <c r="E248" s="13">
        <f>TYPE(Table4[[#This Row],[ypn]])</f>
        <v>1</v>
      </c>
      <c r="F248" t="s">
        <v>779</v>
      </c>
      <c r="G248" s="13"/>
    </row>
    <row r="249" spans="1:7" ht="14.4" x14ac:dyDescent="0.3">
      <c r="A249" s="13">
        <v>72478572</v>
      </c>
      <c r="B249" s="13" t="str">
        <f>TRIM(Table4[[#This Row],[ypn]])</f>
        <v>72478572</v>
      </c>
      <c r="C249" s="13" t="b">
        <f>Table4[[#This Row],[ypn]]=Table4[[#This Row],[trim]]</f>
        <v>0</v>
      </c>
      <c r="D249" s="13">
        <f>Table4[[#This Row],[ypn]]*1</f>
        <v>72478572</v>
      </c>
      <c r="E249" s="13">
        <f>TYPE(Table4[[#This Row],[ypn]])</f>
        <v>1</v>
      </c>
      <c r="F249" t="s">
        <v>805</v>
      </c>
      <c r="G249" s="13"/>
    </row>
    <row r="250" spans="1:7" ht="14.4" x14ac:dyDescent="0.3">
      <c r="A250" s="13">
        <v>7252803330</v>
      </c>
      <c r="B250" s="13" t="str">
        <f>TRIM(Table4[[#This Row],[ypn]])</f>
        <v>7252803330</v>
      </c>
      <c r="C250" s="13" t="b">
        <f>Table4[[#This Row],[ypn]]=Table4[[#This Row],[trim]]</f>
        <v>0</v>
      </c>
      <c r="D250" s="13">
        <f>Table4[[#This Row],[ypn]]*1</f>
        <v>7252803330</v>
      </c>
      <c r="E250" s="13">
        <f>TYPE(Table4[[#This Row],[ypn]])</f>
        <v>1</v>
      </c>
      <c r="F250" t="s">
        <v>806</v>
      </c>
      <c r="G250" s="13"/>
    </row>
    <row r="251" spans="1:7" ht="14.4" x14ac:dyDescent="0.3">
      <c r="A251" s="13">
        <v>7252834130</v>
      </c>
      <c r="B251" s="13" t="str">
        <f>TRIM(Table4[[#This Row],[ypn]])</f>
        <v>7252834130</v>
      </c>
      <c r="C251" s="13" t="b">
        <f>Table4[[#This Row],[ypn]]=Table4[[#This Row],[trim]]</f>
        <v>0</v>
      </c>
      <c r="D251" s="13">
        <f>Table4[[#This Row],[ypn]]*1</f>
        <v>7252834130</v>
      </c>
      <c r="E251" s="13">
        <f>TYPE(Table4[[#This Row],[ypn]])</f>
        <v>1</v>
      </c>
      <c r="F251" t="s">
        <v>807</v>
      </c>
      <c r="G251" s="13"/>
    </row>
    <row r="252" spans="1:7" ht="14.4" x14ac:dyDescent="0.3">
      <c r="A252" s="13" t="s">
        <v>757</v>
      </c>
      <c r="B252" s="13" t="str">
        <f>TRIM(Table4[[#This Row],[ypn]])</f>
        <v>7278242730+7174342530+7173825540</v>
      </c>
      <c r="C252" s="13" t="b">
        <f>Table4[[#This Row],[ypn]]=Table4[[#This Row],[trim]]</f>
        <v>1</v>
      </c>
      <c r="D252" s="13" t="e">
        <f>Table4[[#This Row],[ypn]]*1</f>
        <v>#VALUE!</v>
      </c>
      <c r="E252" s="13">
        <f>TYPE(Table4[[#This Row],[ypn]])</f>
        <v>2</v>
      </c>
      <c r="F252" t="s">
        <v>677</v>
      </c>
      <c r="G252" s="13" t="s">
        <v>848</v>
      </c>
    </row>
    <row r="253" spans="1:7" ht="14.4" x14ac:dyDescent="0.3">
      <c r="A253" s="13" t="s">
        <v>758</v>
      </c>
      <c r="B253" s="13" t="str">
        <f>TRIM(Table4[[#This Row],[ypn]])</f>
        <v>7289488430+7274297830A</v>
      </c>
      <c r="C253" s="13" t="b">
        <f>Table4[[#This Row],[ypn]]=Table4[[#This Row],[trim]]</f>
        <v>1</v>
      </c>
      <c r="D253" s="13" t="e">
        <f>Table4[[#This Row],[ypn]]*1</f>
        <v>#VALUE!</v>
      </c>
      <c r="E253" s="13">
        <f>TYPE(Table4[[#This Row],[ypn]])</f>
        <v>2</v>
      </c>
      <c r="F253" t="s">
        <v>779</v>
      </c>
      <c r="G253" s="13"/>
    </row>
    <row r="254" spans="1:7" ht="14.4" x14ac:dyDescent="0.3">
      <c r="A254" s="13">
        <v>72895381</v>
      </c>
      <c r="B254" s="13" t="str">
        <f>TRIM(Table4[[#This Row],[ypn]])</f>
        <v>72895381</v>
      </c>
      <c r="C254" s="13" t="b">
        <f>Table4[[#This Row],[ypn]]=Table4[[#This Row],[trim]]</f>
        <v>0</v>
      </c>
      <c r="D254" s="13">
        <f>Table4[[#This Row],[ypn]]*1</f>
        <v>72895381</v>
      </c>
      <c r="E254" s="13">
        <f>TYPE(Table4[[#This Row],[ypn]])</f>
        <v>1</v>
      </c>
      <c r="F254" t="s">
        <v>810</v>
      </c>
      <c r="G254" s="13"/>
    </row>
    <row r="255" spans="1:7" ht="14.4" x14ac:dyDescent="0.3">
      <c r="A255" s="13" t="s">
        <v>252</v>
      </c>
      <c r="B255" s="13" t="str">
        <f>TRIM(Table4[[#This Row],[ypn]])</f>
        <v>7289811630+7289811730+72741551A</v>
      </c>
      <c r="C255" s="13" t="b">
        <f>Table4[[#This Row],[ypn]]=Table4[[#This Row],[trim]]</f>
        <v>1</v>
      </c>
      <c r="D255" s="13" t="e">
        <f>Table4[[#This Row],[ypn]]*1</f>
        <v>#VALUE!</v>
      </c>
      <c r="E255" s="13">
        <f>TYPE(Table4[[#This Row],[ypn]])</f>
        <v>2</v>
      </c>
      <c r="F255" t="s">
        <v>685</v>
      </c>
      <c r="G255" s="13"/>
    </row>
    <row r="256" spans="1:7" ht="14.4" x14ac:dyDescent="0.3">
      <c r="A256" s="13" t="s">
        <v>253</v>
      </c>
      <c r="B256" s="13" t="str">
        <f>TRIM(Table4[[#This Row],[ypn]])</f>
        <v>7289811630+7289811730+7274155220A</v>
      </c>
      <c r="C256" s="13" t="b">
        <f>Table4[[#This Row],[ypn]]=Table4[[#This Row],[trim]]</f>
        <v>1</v>
      </c>
      <c r="D256" s="13" t="e">
        <f>Table4[[#This Row],[ypn]]*1</f>
        <v>#VALUE!</v>
      </c>
      <c r="E256" s="13">
        <f>TYPE(Table4[[#This Row],[ypn]])</f>
        <v>2</v>
      </c>
      <c r="F256" t="s">
        <v>686</v>
      </c>
      <c r="G256" s="13"/>
    </row>
    <row r="257" spans="1:7" ht="14.4" x14ac:dyDescent="0.3">
      <c r="A257" s="13">
        <v>7289886630</v>
      </c>
      <c r="B257" s="13" t="str">
        <f>TRIM(Table4[[#This Row],[ypn]])</f>
        <v>7289886630</v>
      </c>
      <c r="C257" s="13" t="b">
        <f>Table4[[#This Row],[ypn]]=Table4[[#This Row],[trim]]</f>
        <v>0</v>
      </c>
      <c r="D257" s="13">
        <f>Table4[[#This Row],[ypn]]*1</f>
        <v>7289886630</v>
      </c>
      <c r="E257" s="13">
        <f>TYPE(Table4[[#This Row],[ypn]])</f>
        <v>1</v>
      </c>
      <c r="F257" t="s">
        <v>811</v>
      </c>
      <c r="G257" s="13"/>
    </row>
    <row r="258" spans="1:7" ht="14.4" x14ac:dyDescent="0.3">
      <c r="A258" s="13">
        <v>7297913630</v>
      </c>
      <c r="B258" s="13" t="str">
        <f>TRIM(Table4[[#This Row],[ypn]])</f>
        <v>7297913630</v>
      </c>
      <c r="C258" s="13" t="b">
        <f>Table4[[#This Row],[ypn]]=Table4[[#This Row],[trim]]</f>
        <v>0</v>
      </c>
      <c r="D258" s="13">
        <f>Table4[[#This Row],[ypn]]*1</f>
        <v>7297913630</v>
      </c>
      <c r="E258" s="13">
        <f>TYPE(Table4[[#This Row],[ypn]])</f>
        <v>1</v>
      </c>
      <c r="F258" t="s">
        <v>812</v>
      </c>
      <c r="G258" s="13"/>
    </row>
    <row r="259" spans="1:7" ht="14.4" x14ac:dyDescent="0.3">
      <c r="A259" s="13">
        <v>7297914930</v>
      </c>
      <c r="B259" s="13" t="str">
        <f>TRIM(Table4[[#This Row],[ypn]])</f>
        <v>7297914930</v>
      </c>
      <c r="C259" s="13" t="b">
        <f>Table4[[#This Row],[ypn]]=Table4[[#This Row],[trim]]</f>
        <v>0</v>
      </c>
      <c r="D259" s="13">
        <f>Table4[[#This Row],[ypn]]*1</f>
        <v>7297914930</v>
      </c>
      <c r="E259" s="13">
        <f>TYPE(Table4[[#This Row],[ypn]])</f>
        <v>1</v>
      </c>
      <c r="F259" t="s">
        <v>813</v>
      </c>
      <c r="G259" s="13"/>
    </row>
    <row r="260" spans="1:7" ht="14.4" x14ac:dyDescent="0.3">
      <c r="A260" s="13">
        <v>7298196130</v>
      </c>
      <c r="B260" s="13" t="str">
        <f>TRIM(Table4[[#This Row],[ypn]])</f>
        <v>7298196130</v>
      </c>
      <c r="C260" s="13" t="b">
        <f>Table4[[#This Row],[ypn]]=Table4[[#This Row],[trim]]</f>
        <v>0</v>
      </c>
      <c r="D260" s="13">
        <f>Table4[[#This Row],[ypn]]*1</f>
        <v>7298196130</v>
      </c>
      <c r="E260" s="13">
        <f>TYPE(Table4[[#This Row],[ypn]])</f>
        <v>1</v>
      </c>
      <c r="F260" t="s">
        <v>386</v>
      </c>
      <c r="G260" s="13"/>
    </row>
    <row r="261" spans="1:7" ht="14.4" x14ac:dyDescent="0.3">
      <c r="A261" s="13" t="s">
        <v>759</v>
      </c>
      <c r="B261" s="13" t="str">
        <f>TRIM(Table4[[#This Row],[ypn]])</f>
        <v>7298341860+7297341730</v>
      </c>
      <c r="C261" s="13" t="b">
        <f>Table4[[#This Row],[ypn]]=Table4[[#This Row],[trim]]</f>
        <v>1</v>
      </c>
      <c r="D261" s="13" t="e">
        <f>Table4[[#This Row],[ypn]]*1</f>
        <v>#VALUE!</v>
      </c>
      <c r="E261" s="13">
        <f>TYPE(Table4[[#This Row],[ypn]])</f>
        <v>2</v>
      </c>
      <c r="F261" t="s">
        <v>690</v>
      </c>
      <c r="G261" s="13" t="s">
        <v>848</v>
      </c>
    </row>
    <row r="262" spans="1:7" ht="14.4" x14ac:dyDescent="0.3">
      <c r="A262" s="13">
        <v>7298808730</v>
      </c>
      <c r="B262" s="13" t="str">
        <f>TRIM(Table4[[#This Row],[ypn]])</f>
        <v>7298808730</v>
      </c>
      <c r="C262" s="13" t="b">
        <f>Table4[[#This Row],[ypn]]=Table4[[#This Row],[trim]]</f>
        <v>0</v>
      </c>
      <c r="D262" s="13">
        <f>Table4[[#This Row],[ypn]]*1</f>
        <v>7298808730</v>
      </c>
      <c r="E262" s="13">
        <f>TYPE(Table4[[#This Row],[ypn]])</f>
        <v>1</v>
      </c>
      <c r="F262" t="s">
        <v>814</v>
      </c>
      <c r="G262" s="13"/>
    </row>
    <row r="263" spans="1:7" ht="14.4" x14ac:dyDescent="0.3">
      <c r="A263" s="13">
        <v>7298808930</v>
      </c>
      <c r="B263" s="13" t="str">
        <f>TRIM(Table4[[#This Row],[ypn]])</f>
        <v>7298808930</v>
      </c>
      <c r="C263" s="13" t="b">
        <f>Table4[[#This Row],[ypn]]=Table4[[#This Row],[trim]]</f>
        <v>0</v>
      </c>
      <c r="D263" s="13">
        <f>Table4[[#This Row],[ypn]]*1</f>
        <v>7298808930</v>
      </c>
      <c r="E263" s="13">
        <f>TYPE(Table4[[#This Row],[ypn]])</f>
        <v>1</v>
      </c>
      <c r="F263" t="s">
        <v>815</v>
      </c>
      <c r="G263" s="13"/>
    </row>
    <row r="264" spans="1:7" ht="14.4" x14ac:dyDescent="0.3">
      <c r="A264" s="13">
        <v>7298912930</v>
      </c>
      <c r="B264" s="13" t="str">
        <f>TRIM(Table4[[#This Row],[ypn]])</f>
        <v>7298912930</v>
      </c>
      <c r="C264" s="13" t="b">
        <f>Table4[[#This Row],[ypn]]=Table4[[#This Row],[trim]]</f>
        <v>0</v>
      </c>
      <c r="D264" s="13">
        <f>Table4[[#This Row],[ypn]]*1</f>
        <v>7298912930</v>
      </c>
      <c r="E264" s="13">
        <f>TYPE(Table4[[#This Row],[ypn]])</f>
        <v>1</v>
      </c>
      <c r="F264" t="s">
        <v>816</v>
      </c>
      <c r="G264" s="13"/>
    </row>
    <row r="265" spans="1:7" ht="14.4" x14ac:dyDescent="0.3">
      <c r="A265" s="18">
        <v>7298913330</v>
      </c>
      <c r="B265" s="13" t="str">
        <f>TRIM(Table4[[#This Row],[ypn]])</f>
        <v>7298913330</v>
      </c>
      <c r="C265" s="13" t="b">
        <f>Table4[[#This Row],[ypn]]=Table4[[#This Row],[trim]]</f>
        <v>0</v>
      </c>
      <c r="D265" s="13">
        <f>Table4[[#This Row],[ypn]]*1</f>
        <v>7298913330</v>
      </c>
      <c r="E265" s="13">
        <f>TYPE(Table4[[#This Row],[ypn]])</f>
        <v>1</v>
      </c>
      <c r="F265" t="s">
        <v>817</v>
      </c>
      <c r="G265" s="13"/>
    </row>
    <row r="266" spans="1:7" ht="14.4" x14ac:dyDescent="0.3">
      <c r="A266" s="13">
        <v>7298913730</v>
      </c>
      <c r="B266" s="13" t="str">
        <f>TRIM(Table4[[#This Row],[ypn]])</f>
        <v>7298913730</v>
      </c>
      <c r="C266" s="13" t="b">
        <f>Table4[[#This Row],[ypn]]=Table4[[#This Row],[trim]]</f>
        <v>0</v>
      </c>
      <c r="D266" s="13">
        <f>Table4[[#This Row],[ypn]]*1</f>
        <v>7298913730</v>
      </c>
      <c r="E266" s="13">
        <f>TYPE(Table4[[#This Row],[ypn]])</f>
        <v>1</v>
      </c>
      <c r="F266" t="s">
        <v>818</v>
      </c>
      <c r="G266" s="13"/>
    </row>
    <row r="267" spans="1:7" ht="14.4" x14ac:dyDescent="0.3">
      <c r="A267" s="13">
        <v>7298949030</v>
      </c>
      <c r="B267" s="13" t="str">
        <f>TRIM(Table4[[#This Row],[ypn]])</f>
        <v>7298949030</v>
      </c>
      <c r="C267" s="13" t="b">
        <f>Table4[[#This Row],[ypn]]=Table4[[#This Row],[trim]]</f>
        <v>0</v>
      </c>
      <c r="D267" s="13">
        <f>Table4[[#This Row],[ypn]]*1</f>
        <v>7298949030</v>
      </c>
      <c r="E267" s="13">
        <f>TYPE(Table4[[#This Row],[ypn]])</f>
        <v>1</v>
      </c>
      <c r="F267" t="s">
        <v>819</v>
      </c>
      <c r="G267" s="13"/>
    </row>
    <row r="268" spans="1:7" ht="14.4" x14ac:dyDescent="0.3">
      <c r="A268" s="13" t="s">
        <v>760</v>
      </c>
      <c r="B268" s="13" t="str">
        <f>TRIM(Table4[[#This Row],[ypn]])</f>
        <v>A1729821302</v>
      </c>
      <c r="C268" s="13" t="b">
        <f>Table4[[#This Row],[ypn]]=Table4[[#This Row],[trim]]</f>
        <v>1</v>
      </c>
      <c r="D268" s="13" t="e">
        <f>Table4[[#This Row],[ypn]]*1</f>
        <v>#VALUE!</v>
      </c>
      <c r="E268" s="13">
        <f>TYPE(Table4[[#This Row],[ypn]])</f>
        <v>2</v>
      </c>
      <c r="F268" t="s">
        <v>820</v>
      </c>
      <c r="G268" s="13"/>
    </row>
    <row r="269" spans="1:7" ht="14.4" x14ac:dyDescent="0.3">
      <c r="A269" s="13" t="s">
        <v>761</v>
      </c>
      <c r="B269" s="13" t="str">
        <f>TRIM(Table4[[#This Row],[ypn]])</f>
        <v>A1729821302_EYELETV34-KS</v>
      </c>
      <c r="C269" s="13" t="b">
        <f>Table4[[#This Row],[ypn]]=Table4[[#This Row],[trim]]</f>
        <v>1</v>
      </c>
      <c r="D269" s="13" t="e">
        <f>Table4[[#This Row],[ypn]]*1</f>
        <v>#VALUE!</v>
      </c>
      <c r="E269" s="13">
        <f>TYPE(Table4[[#This Row],[ypn]])</f>
        <v>2</v>
      </c>
      <c r="F269" t="s">
        <v>779</v>
      </c>
      <c r="G269" s="13"/>
    </row>
    <row r="270" spans="1:7" ht="14.4" x14ac:dyDescent="0.3">
      <c r="A270" s="13" t="s">
        <v>697</v>
      </c>
      <c r="B270" s="13" t="str">
        <f>TRIM(Table4[[#This Row],[ypn]])</f>
        <v>ASSY_118021051</v>
      </c>
      <c r="C270" s="13" t="b">
        <f>Table4[[#This Row],[ypn]]=Table4[[#This Row],[trim]]</f>
        <v>1</v>
      </c>
      <c r="D270" s="13" t="e">
        <f>Table4[[#This Row],[ypn]]*1</f>
        <v>#VALUE!</v>
      </c>
      <c r="E270" s="13">
        <f>TYPE(Table4[[#This Row],[ypn]])</f>
        <v>2</v>
      </c>
      <c r="F270" t="s">
        <v>821</v>
      </c>
      <c r="G270" s="13"/>
    </row>
    <row r="271" spans="1:7" ht="14.4" x14ac:dyDescent="0.3">
      <c r="A271" s="13" t="s">
        <v>388</v>
      </c>
      <c r="B271" s="13" t="str">
        <f>TRIM(Table4[[#This Row],[ypn]])</f>
        <v>ASSY_123024542+ASSY_23024521</v>
      </c>
      <c r="C271" s="13" t="b">
        <f>Table4[[#This Row],[ypn]]=Table4[[#This Row],[trim]]</f>
        <v>1</v>
      </c>
      <c r="D271" s="13" t="e">
        <f>Table4[[#This Row],[ypn]]*1</f>
        <v>#VALUE!</v>
      </c>
      <c r="E271" s="13">
        <f>TYPE(Table4[[#This Row],[ypn]])</f>
        <v>2</v>
      </c>
      <c r="F271" t="s">
        <v>822</v>
      </c>
      <c r="G271" s="13"/>
    </row>
    <row r="272" spans="1:7" ht="14.4" x14ac:dyDescent="0.3">
      <c r="A272" s="13" t="s">
        <v>762</v>
      </c>
      <c r="B272" s="13" t="str">
        <f>TRIM(Table4[[#This Row],[ypn]])</f>
        <v>ASSY_59K24K1XX92A4C</v>
      </c>
      <c r="C272" s="13" t="b">
        <f>Table4[[#This Row],[ypn]]=Table4[[#This Row],[trim]]</f>
        <v>1</v>
      </c>
      <c r="D272" s="13" t="e">
        <f>Table4[[#This Row],[ypn]]*1</f>
        <v>#VALUE!</v>
      </c>
      <c r="E272" s="13">
        <f>TYPE(Table4[[#This Row],[ypn]])</f>
        <v>2</v>
      </c>
      <c r="F272" t="s">
        <v>779</v>
      </c>
      <c r="G272" s="13"/>
    </row>
    <row r="273" spans="1:7" ht="14.4" x14ac:dyDescent="0.3">
      <c r="A273" s="13" t="s">
        <v>374</v>
      </c>
      <c r="B273" s="13" t="str">
        <f>TRIM(Table4[[#This Row],[ypn]])</f>
        <v>ASSY_59Z006T00C</v>
      </c>
      <c r="C273" s="13" t="b">
        <f>Table4[[#This Row],[ypn]]=Table4[[#This Row],[trim]]</f>
        <v>1</v>
      </c>
      <c r="D273" s="13" t="e">
        <f>Table4[[#This Row],[ypn]]*1</f>
        <v>#VALUE!</v>
      </c>
      <c r="E273" s="13">
        <f>TYPE(Table4[[#This Row],[ypn]])</f>
        <v>2</v>
      </c>
      <c r="F273" t="s">
        <v>823</v>
      </c>
      <c r="G273" s="13"/>
    </row>
    <row r="274" spans="1:7" ht="14.4" x14ac:dyDescent="0.3">
      <c r="A274" s="13" t="s">
        <v>276</v>
      </c>
      <c r="B274" s="13" t="str">
        <f>TRIM(Table4[[#This Row],[ypn]])</f>
        <v>ASSY_59Z006-T00D</v>
      </c>
      <c r="C274" s="13" t="b">
        <f>Table4[[#This Row],[ypn]]=Table4[[#This Row],[trim]]</f>
        <v>1</v>
      </c>
      <c r="D274" s="13" t="e">
        <f>Table4[[#This Row],[ypn]]*1</f>
        <v>#VALUE!</v>
      </c>
      <c r="E274" s="13">
        <f>TYPE(Table4[[#This Row],[ypn]])</f>
        <v>2</v>
      </c>
      <c r="F274" t="s">
        <v>824</v>
      </c>
      <c r="G274" s="13"/>
    </row>
    <row r="275" spans="1:7" ht="14.4" x14ac:dyDescent="0.3">
      <c r="A275" s="13" t="s">
        <v>763</v>
      </c>
      <c r="B275" s="13" t="str">
        <f>TRIM(Table4[[#This Row],[ypn]])</f>
        <v>ASSY_59Z063DC0F/ASSY_59Z063-DC0F</v>
      </c>
      <c r="C275" s="13" t="b">
        <f>Table4[[#This Row],[ypn]]=Table4[[#This Row],[trim]]</f>
        <v>1</v>
      </c>
      <c r="D275" s="13" t="e">
        <f>Table4[[#This Row],[ypn]]*1</f>
        <v>#VALUE!</v>
      </c>
      <c r="E275" s="13">
        <f>TYPE(Table4[[#This Row],[ypn]])</f>
        <v>2</v>
      </c>
      <c r="F275" t="s">
        <v>825</v>
      </c>
      <c r="G275" s="13"/>
    </row>
    <row r="276" spans="1:7" ht="14.4" x14ac:dyDescent="0.3">
      <c r="A276" s="13" t="s">
        <v>713</v>
      </c>
      <c r="B276" s="13" t="str">
        <f>TRIM(Table4[[#This Row],[ypn]])</f>
        <v>ASSY_59Z145DC0F</v>
      </c>
      <c r="C276" s="13" t="b">
        <f>Table4[[#This Row],[ypn]]=Table4[[#This Row],[trim]]</f>
        <v>1</v>
      </c>
      <c r="D276" s="13" t="e">
        <f>Table4[[#This Row],[ypn]]*1</f>
        <v>#VALUE!</v>
      </c>
      <c r="E276" s="13">
        <f>TYPE(Table4[[#This Row],[ypn]])</f>
        <v>2</v>
      </c>
      <c r="F276" t="s">
        <v>826</v>
      </c>
      <c r="G276" s="13"/>
    </row>
    <row r="277" spans="1:7" ht="14.4" x14ac:dyDescent="0.3">
      <c r="A277" s="13" t="s">
        <v>764</v>
      </c>
      <c r="B277" s="13" t="str">
        <f>TRIM(Table4[[#This Row],[ypn]])</f>
        <v>ASSY_59Z163003F/ASSY_59Z163DC0F</v>
      </c>
      <c r="C277" s="13" t="b">
        <f>Table4[[#This Row],[ypn]]=Table4[[#This Row],[trim]]</f>
        <v>1</v>
      </c>
      <c r="D277" s="13" t="e">
        <f>Table4[[#This Row],[ypn]]*1</f>
        <v>#VALUE!</v>
      </c>
      <c r="E277" s="13">
        <f>TYPE(Table4[[#This Row],[ypn]])</f>
        <v>2</v>
      </c>
      <c r="F277" t="s">
        <v>779</v>
      </c>
      <c r="G277" s="13"/>
    </row>
    <row r="278" spans="1:7" ht="14.4" x14ac:dyDescent="0.3">
      <c r="A278" s="13" t="s">
        <v>262</v>
      </c>
      <c r="B278" s="13" t="str">
        <f>TRIM(Table4[[#This Row],[ypn]])</f>
        <v>ASSY_AMZ005DC0C</v>
      </c>
      <c r="C278" s="13" t="b">
        <f>Table4[[#This Row],[ypn]]=Table4[[#This Row],[trim]]</f>
        <v>1</v>
      </c>
      <c r="D278" s="13" t="e">
        <f>Table4[[#This Row],[ypn]]*1</f>
        <v>#VALUE!</v>
      </c>
      <c r="E278" s="13">
        <f>TYPE(Table4[[#This Row],[ypn]])</f>
        <v>2</v>
      </c>
      <c r="F278" t="s">
        <v>827</v>
      </c>
      <c r="G278" s="13"/>
    </row>
    <row r="279" spans="1:7" ht="14.4" x14ac:dyDescent="0.3">
      <c r="A279" s="13" t="s">
        <v>263</v>
      </c>
      <c r="B279" s="13" t="str">
        <f>TRIM(Table4[[#This Row],[ypn]])</f>
        <v>ASSY_AMZ005DC0D</v>
      </c>
      <c r="C279" s="13" t="b">
        <f>Table4[[#This Row],[ypn]]=Table4[[#This Row],[trim]]</f>
        <v>1</v>
      </c>
      <c r="D279" s="13" t="e">
        <f>Table4[[#This Row],[ypn]]*1</f>
        <v>#VALUE!</v>
      </c>
      <c r="E279" s="13">
        <f>TYPE(Table4[[#This Row],[ypn]])</f>
        <v>2</v>
      </c>
      <c r="F279" t="s">
        <v>828</v>
      </c>
      <c r="G279" s="13"/>
    </row>
    <row r="280" spans="1:7" ht="14.4" x14ac:dyDescent="0.3">
      <c r="A280" s="13" t="s">
        <v>720</v>
      </c>
      <c r="B280" s="13" t="str">
        <f>TRIM(Table4[[#This Row],[ypn]])</f>
        <v>ASSY_AMZ005DC0E</v>
      </c>
      <c r="C280" s="13" t="b">
        <f>Table4[[#This Row],[ypn]]=Table4[[#This Row],[trim]]</f>
        <v>1</v>
      </c>
      <c r="D280" s="13" t="e">
        <f>Table4[[#This Row],[ypn]]*1</f>
        <v>#VALUE!</v>
      </c>
      <c r="E280" s="13">
        <f>TYPE(Table4[[#This Row],[ypn]])</f>
        <v>2</v>
      </c>
      <c r="F280" t="s">
        <v>829</v>
      </c>
      <c r="G280" s="13"/>
    </row>
    <row r="281" spans="1:7" ht="14.4" x14ac:dyDescent="0.3">
      <c r="A281" s="13" t="s">
        <v>722</v>
      </c>
      <c r="B281" s="13" t="str">
        <f>TRIM(Table4[[#This Row],[ypn]])</f>
        <v>ASSY_AMZ005DC0F</v>
      </c>
      <c r="C281" s="13" t="b">
        <f>Table4[[#This Row],[ypn]]=Table4[[#This Row],[trim]]</f>
        <v>1</v>
      </c>
      <c r="D281" s="13" t="e">
        <f>Table4[[#This Row],[ypn]]*1</f>
        <v>#VALUE!</v>
      </c>
      <c r="E281" s="13">
        <f>TYPE(Table4[[#This Row],[ypn]])</f>
        <v>2</v>
      </c>
      <c r="F281" t="s">
        <v>830</v>
      </c>
      <c r="G281" s="13"/>
    </row>
    <row r="282" spans="1:7" ht="14.4" x14ac:dyDescent="0.3">
      <c r="A282" s="13" t="s">
        <v>765</v>
      </c>
      <c r="B282" s="13" t="str">
        <f>TRIM(Table4[[#This Row],[ypn]])</f>
        <v>ASSY_D4K2RE1D5A5BDC/ASSY_D4K2RE1D5A5B</v>
      </c>
      <c r="C282" s="13" t="b">
        <f>Table4[[#This Row],[ypn]]=Table4[[#This Row],[trim]]</f>
        <v>1</v>
      </c>
      <c r="D282" s="13" t="e">
        <f>Table4[[#This Row],[ypn]]*1</f>
        <v>#VALUE!</v>
      </c>
      <c r="E282" s="13">
        <f>TYPE(Table4[[#This Row],[ypn]])</f>
        <v>2</v>
      </c>
      <c r="F282" t="s">
        <v>831</v>
      </c>
      <c r="G282" s="13"/>
    </row>
    <row r="283" spans="1:7" ht="14.4" x14ac:dyDescent="0.3">
      <c r="A283" s="13" t="s">
        <v>273</v>
      </c>
      <c r="B283" s="13" t="str">
        <f>TRIM(Table4[[#This Row],[ypn]])</f>
        <v>ASSY_D4Z001DC0C</v>
      </c>
      <c r="C283" s="13" t="b">
        <f>Table4[[#This Row],[ypn]]=Table4[[#This Row],[trim]]</f>
        <v>1</v>
      </c>
      <c r="D283" s="13" t="e">
        <f>Table4[[#This Row],[ypn]]*1</f>
        <v>#VALUE!</v>
      </c>
      <c r="E283" s="13">
        <f>TYPE(Table4[[#This Row],[ypn]])</f>
        <v>2</v>
      </c>
      <c r="F283" t="s">
        <v>832</v>
      </c>
      <c r="G283" s="13"/>
    </row>
    <row r="284" spans="1:7" ht="14.4" x14ac:dyDescent="0.3">
      <c r="A284" s="13" t="s">
        <v>381</v>
      </c>
      <c r="B284" s="13" t="str">
        <f>TRIM(Table4[[#This Row],[ypn]])</f>
        <v>ASSY_PPI0001107</v>
      </c>
      <c r="C284" s="13" t="b">
        <f>Table4[[#This Row],[ypn]]=Table4[[#This Row],[trim]]</f>
        <v>1</v>
      </c>
      <c r="D284" s="13" t="e">
        <f>Table4[[#This Row],[ypn]]*1</f>
        <v>#VALUE!</v>
      </c>
      <c r="E284" s="13">
        <f>TYPE(Table4[[#This Row],[ypn]])</f>
        <v>2</v>
      </c>
      <c r="F284" t="s">
        <v>779</v>
      </c>
      <c r="G284" s="13"/>
    </row>
    <row r="285" spans="1:7" ht="14.4" x14ac:dyDescent="0.3">
      <c r="A285" s="13" t="s">
        <v>766</v>
      </c>
      <c r="B285" s="13" t="str">
        <f>TRIM(Table4[[#This Row],[ypn]])</f>
        <v>ASSY_PPI0001107+ASSY_CA288A25199XXX+ASSY_CA288A35199XXX</v>
      </c>
      <c r="C285" s="13" t="b">
        <f>Table4[[#This Row],[ypn]]=Table4[[#This Row],[trim]]</f>
        <v>1</v>
      </c>
      <c r="D285" s="13" t="e">
        <f>Table4[[#This Row],[ypn]]*1</f>
        <v>#VALUE!</v>
      </c>
      <c r="E285" s="13">
        <f>TYPE(Table4[[#This Row],[ypn]])</f>
        <v>2</v>
      </c>
      <c r="F285" t="s">
        <v>779</v>
      </c>
      <c r="G285" s="13"/>
    </row>
    <row r="286" spans="1:7" ht="14.4" x14ac:dyDescent="0.3">
      <c r="A286" s="13" t="s">
        <v>767</v>
      </c>
      <c r="B286" s="13" t="str">
        <f>TRIM(Table4[[#This Row],[ypn]])</f>
        <v>ASSY_PPI0001107+ASSY_PPI0001651+ASSY_PPI0001652</v>
      </c>
      <c r="C286" s="13" t="b">
        <f>Table4[[#This Row],[ypn]]=Table4[[#This Row],[trim]]</f>
        <v>1</v>
      </c>
      <c r="D286" s="13" t="e">
        <f>Table4[[#This Row],[ypn]]*1</f>
        <v>#VALUE!</v>
      </c>
      <c r="E286" s="13">
        <f>TYPE(Table4[[#This Row],[ypn]])</f>
        <v>2</v>
      </c>
      <c r="F286" t="s">
        <v>779</v>
      </c>
      <c r="G286" s="13"/>
    </row>
    <row r="287" spans="1:7" ht="14.4" x14ac:dyDescent="0.3">
      <c r="A287" s="13" t="s">
        <v>768</v>
      </c>
      <c r="B287" s="13" t="str">
        <f>TRIM(Table4[[#This Row],[ypn]])</f>
        <v>X1PO2007</v>
      </c>
      <c r="C287" s="13" t="b">
        <f>Table4[[#This Row],[ypn]]=Table4[[#This Row],[trim]]</f>
        <v>1</v>
      </c>
      <c r="D287" s="13" t="e">
        <f>Table4[[#This Row],[ypn]]*1</f>
        <v>#VALUE!</v>
      </c>
      <c r="E287" s="13">
        <f>TYPE(Table4[[#This Row],[ypn]])</f>
        <v>2</v>
      </c>
      <c r="F287" t="s">
        <v>833</v>
      </c>
      <c r="G287" s="13"/>
    </row>
    <row r="288" spans="1:7" ht="14.4" x14ac:dyDescent="0.3">
      <c r="A288" s="13" t="s">
        <v>769</v>
      </c>
      <c r="B288" s="13" t="str">
        <f>TRIM(Table4[[#This Row],[ypn]])</f>
        <v>X1PO2518</v>
      </c>
      <c r="C288" s="13" t="b">
        <f>Table4[[#This Row],[ypn]]=Table4[[#This Row],[trim]]</f>
        <v>1</v>
      </c>
      <c r="D288" s="13" t="e">
        <f>Table4[[#This Row],[ypn]]*1</f>
        <v>#VALUE!</v>
      </c>
      <c r="E288" s="13">
        <f>TYPE(Table4[[#This Row],[ypn]])</f>
        <v>2</v>
      </c>
      <c r="F288" t="s">
        <v>834</v>
      </c>
      <c r="G288" s="13"/>
    </row>
    <row r="289" spans="1:7" ht="14.4" x14ac:dyDescent="0.3">
      <c r="A289" s="13" t="s">
        <v>770</v>
      </c>
      <c r="B289" s="13" t="str">
        <f>TRIM(Table4[[#This Row],[ypn]])</f>
        <v>X1PO-2538</v>
      </c>
      <c r="C289" s="13" t="b">
        <f>Table4[[#This Row],[ypn]]=Table4[[#This Row],[trim]]</f>
        <v>1</v>
      </c>
      <c r="D289" s="13" t="e">
        <f>Table4[[#This Row],[ypn]]*1</f>
        <v>#VALUE!</v>
      </c>
      <c r="E289" s="13">
        <f>TYPE(Table4[[#This Row],[ypn]])</f>
        <v>2</v>
      </c>
      <c r="F289" t="s">
        <v>835</v>
      </c>
      <c r="G289" s="13"/>
    </row>
    <row r="290" spans="1:7" ht="14.4" x14ac:dyDescent="0.3">
      <c r="A290" s="13" t="s">
        <v>278</v>
      </c>
      <c r="B290" s="13" t="str">
        <f>TRIM(Table4[[#This Row],[ypn]])</f>
        <v>X1PO2539</v>
      </c>
      <c r="C290" s="13" t="b">
        <f>Table4[[#This Row],[ypn]]=Table4[[#This Row],[trim]]</f>
        <v>1</v>
      </c>
      <c r="D290" s="13" t="e">
        <f>Table4[[#This Row],[ypn]]*1</f>
        <v>#VALUE!</v>
      </c>
      <c r="E290" s="13">
        <f>TYPE(Table4[[#This Row],[ypn]])</f>
        <v>2</v>
      </c>
      <c r="F290" t="s">
        <v>779</v>
      </c>
      <c r="G290" s="13"/>
    </row>
    <row r="291" spans="1:7" ht="14.4" x14ac:dyDescent="0.3">
      <c r="A291" s="13" t="s">
        <v>771</v>
      </c>
      <c r="B291" s="13" t="str">
        <f>TRIM(Table4[[#This Row],[ypn]])</f>
        <v>X1PO2559</v>
      </c>
      <c r="C291" s="13" t="b">
        <f>Table4[[#This Row],[ypn]]=Table4[[#This Row],[trim]]</f>
        <v>1</v>
      </c>
      <c r="D291" s="13" t="e">
        <f>Table4[[#This Row],[ypn]]*1</f>
        <v>#VALUE!</v>
      </c>
      <c r="E291" s="13">
        <f>TYPE(Table4[[#This Row],[ypn]])</f>
        <v>2</v>
      </c>
      <c r="F291" t="s">
        <v>779</v>
      </c>
      <c r="G291" s="13"/>
    </row>
    <row r="292" spans="1:7" ht="14.4" x14ac:dyDescent="0.3">
      <c r="A292" s="13" t="s">
        <v>773</v>
      </c>
      <c r="B292" s="13" t="str">
        <f>TRIM(Table4[[#This Row],[ypn]])</f>
        <v>X1PO2578</v>
      </c>
      <c r="C292" s="13" t="b">
        <f>Table4[[#This Row],[ypn]]=Table4[[#This Row],[trim]]</f>
        <v>1</v>
      </c>
      <c r="D292" s="13" t="e">
        <f>Table4[[#This Row],[ypn]]*1</f>
        <v>#VALUE!</v>
      </c>
      <c r="E292" s="13">
        <f>TYPE(Table4[[#This Row],[ypn]])</f>
        <v>2</v>
      </c>
      <c r="F292" t="s">
        <v>779</v>
      </c>
      <c r="G292" s="13"/>
    </row>
    <row r="293" spans="1:7" ht="14.4" x14ac:dyDescent="0.3">
      <c r="A293" s="13" t="s">
        <v>774</v>
      </c>
      <c r="B293" s="13" t="str">
        <f>TRIM(Table4[[#This Row],[ypn]])</f>
        <v>X1PO2580</v>
      </c>
      <c r="C293" s="13" t="b">
        <f>Table4[[#This Row],[ypn]]=Table4[[#This Row],[trim]]</f>
        <v>1</v>
      </c>
      <c r="D293" s="13" t="e">
        <f>Table4[[#This Row],[ypn]]*1</f>
        <v>#VALUE!</v>
      </c>
      <c r="E293" s="13">
        <f>TYPE(Table4[[#This Row],[ypn]])</f>
        <v>2</v>
      </c>
      <c r="F293" t="s">
        <v>779</v>
      </c>
      <c r="G293" s="13"/>
    </row>
    <row r="294" spans="1:7" ht="14.4" x14ac:dyDescent="0.3">
      <c r="A294" s="13" t="s">
        <v>775</v>
      </c>
      <c r="B294" s="13" t="str">
        <f>TRIM(Table4[[#This Row],[ypn]])</f>
        <v>X1PO3875+X1PO3876+X1PO3877A</v>
      </c>
      <c r="C294" s="13" t="b">
        <f>Table4[[#This Row],[ypn]]=Table4[[#This Row],[trim]]</f>
        <v>1</v>
      </c>
      <c r="D294" s="13" t="e">
        <f>Table4[[#This Row],[ypn]]*1</f>
        <v>#VALUE!</v>
      </c>
      <c r="E294" s="13">
        <f>TYPE(Table4[[#This Row],[ypn]])</f>
        <v>2</v>
      </c>
      <c r="F294" t="s">
        <v>677</v>
      </c>
      <c r="G294" s="13" t="s">
        <v>848</v>
      </c>
    </row>
    <row r="295" spans="1:7" ht="14.4" x14ac:dyDescent="0.3">
      <c r="A295" s="13">
        <v>7289464330</v>
      </c>
      <c r="B295" s="13" t="str">
        <f>TRIM(Table4[[#This Row],[ypn]])</f>
        <v>7289464330</v>
      </c>
      <c r="C295" s="13" t="b">
        <f>Table4[[#This Row],[ypn]]=Table4[[#This Row],[trim]]</f>
        <v>0</v>
      </c>
      <c r="D295" s="13">
        <f>Table4[[#This Row],[ypn]]*1</f>
        <v>7289464330</v>
      </c>
      <c r="E295" s="13">
        <f>TYPE(Table4[[#This Row],[ypn]])</f>
        <v>1</v>
      </c>
      <c r="F295" t="s">
        <v>836</v>
      </c>
      <c r="G295" s="13"/>
    </row>
    <row r="296" spans="1:7" ht="14.4" x14ac:dyDescent="0.3">
      <c r="A296" s="13" t="s">
        <v>776</v>
      </c>
      <c r="B296" s="13" t="str">
        <f>TRIM(Table4[[#This Row],[ypn]])</f>
        <v>FoamholderX18_2-2-B_V1</v>
      </c>
      <c r="C296" s="13" t="b">
        <f>Table4[[#This Row],[ypn]]=Table4[[#This Row],[trim]]</f>
        <v>1</v>
      </c>
      <c r="D296" s="13" t="e">
        <f>Table4[[#This Row],[ypn]]*1</f>
        <v>#VALUE!</v>
      </c>
      <c r="E296" s="13">
        <f>TYPE(Table4[[#This Row],[ypn]])</f>
        <v>2</v>
      </c>
      <c r="F296" t="s">
        <v>837</v>
      </c>
      <c r="G296" s="13"/>
    </row>
    <row r="297" spans="1:7" ht="14.4" x14ac:dyDescent="0.3">
      <c r="A297" s="13" t="s">
        <v>777</v>
      </c>
      <c r="B297" s="13" t="str">
        <f>TRIM(Table4[[#This Row],[ypn]])</f>
        <v>FOAMHOLDERX35_RHD</v>
      </c>
      <c r="C297" s="13" t="b">
        <f>Table4[[#This Row],[ypn]]=Table4[[#This Row],[trim]]</f>
        <v>1</v>
      </c>
      <c r="D297" s="13" t="e">
        <f>Table4[[#This Row],[ypn]]*1</f>
        <v>#VALUE!</v>
      </c>
      <c r="E297" s="13">
        <f>TYPE(Table4[[#This Row],[ypn]])</f>
        <v>2</v>
      </c>
      <c r="F297" t="s">
        <v>838</v>
      </c>
      <c r="G297" s="13"/>
    </row>
    <row r="298" spans="1:7" ht="14.4" x14ac:dyDescent="0.3">
      <c r="A298" s="13" t="s">
        <v>778</v>
      </c>
      <c r="B298" s="13" t="str">
        <f>TRIM(Table4[[#This Row],[ypn]])</f>
        <v>FOAMHOLDERA1261-B_V1RHD</v>
      </c>
      <c r="C298" s="13" t="b">
        <f>Table4[[#This Row],[ypn]]=Table4[[#This Row],[trim]]</f>
        <v>1</v>
      </c>
      <c r="D298" s="13" t="e">
        <f>Table4[[#This Row],[ypn]]*1</f>
        <v>#VALUE!</v>
      </c>
      <c r="E298" s="13">
        <f>TYPE(Table4[[#This Row],[ypn]])</f>
        <v>2</v>
      </c>
      <c r="F298" t="s">
        <v>839</v>
      </c>
      <c r="G298" s="13"/>
    </row>
    <row r="299" spans="1:7" ht="14.4" x14ac:dyDescent="0.3">
      <c r="A299" s="13" t="s">
        <v>247</v>
      </c>
      <c r="B299" s="13" t="str">
        <f>TRIM(Table4[[#This Row],[ypn]])</f>
        <v>7198277430+7198277530+72741954A</v>
      </c>
      <c r="C299" s="13" t="b">
        <f>Table4[[#This Row],[ypn]]=Table4[[#This Row],[trim]]</f>
        <v>1</v>
      </c>
      <c r="D299" s="13" t="e">
        <f>Table4[[#This Row],[ypn]]*1</f>
        <v>#VALUE!</v>
      </c>
      <c r="E299" s="13">
        <f>TYPE(Table4[[#This Row],[ypn]])</f>
        <v>2</v>
      </c>
      <c r="F299" t="s">
        <v>663</v>
      </c>
      <c r="G299" s="13"/>
    </row>
    <row r="300" spans="1:7" ht="14.4" x14ac:dyDescent="0.3">
      <c r="A300" s="13">
        <v>7177097330</v>
      </c>
      <c r="B300" s="13" t="str">
        <f>TRIM(Table4[[#This Row],[ypn]])</f>
        <v>7177097330</v>
      </c>
      <c r="C300" s="13" t="b">
        <f>Table4[[#This Row],[ypn]]=Table4[[#This Row],[trim]]</f>
        <v>0</v>
      </c>
      <c r="D300" s="13">
        <f>Table4[[#This Row],[ypn]]*1</f>
        <v>7177097330</v>
      </c>
      <c r="E300" s="13">
        <f>TYPE(Table4[[#This Row],[ypn]])</f>
        <v>1</v>
      </c>
      <c r="F300" t="s">
        <v>840</v>
      </c>
      <c r="G300" s="13"/>
    </row>
    <row r="301" spans="1:7" ht="14.4" x14ac:dyDescent="0.3">
      <c r="A301" s="13">
        <v>7052161430</v>
      </c>
      <c r="B301" s="13" t="str">
        <f>TRIM(Table4[[#This Row],[ypn]])</f>
        <v>7052161430</v>
      </c>
      <c r="C301" s="13" t="b">
        <f>Table4[[#This Row],[ypn]]=Table4[[#This Row],[trim]]</f>
        <v>0</v>
      </c>
      <c r="D301" s="13">
        <f>Table4[[#This Row],[ypn]]*1</f>
        <v>7052161430</v>
      </c>
      <c r="E301" s="13">
        <f>TYPE(Table4[[#This Row],[ypn]])</f>
        <v>1</v>
      </c>
      <c r="F301" t="s">
        <v>841</v>
      </c>
      <c r="G301" s="13" t="s">
        <v>1292</v>
      </c>
    </row>
    <row r="302" spans="1:7" ht="14.4" x14ac:dyDescent="0.3">
      <c r="A302" s="13">
        <v>7052161430</v>
      </c>
      <c r="B302" s="13" t="str">
        <f>TRIM(Table4[[#This Row],[ypn]])</f>
        <v>7052161430</v>
      </c>
      <c r="C302" s="13" t="b">
        <f>Table4[[#This Row],[ypn]]=Table4[[#This Row],[trim]]</f>
        <v>0</v>
      </c>
      <c r="D302" s="13">
        <f>Table4[[#This Row],[ypn]]*1</f>
        <v>7052161430</v>
      </c>
      <c r="E302" s="13">
        <f>TYPE(Table4[[#This Row],[ypn]])</f>
        <v>1</v>
      </c>
      <c r="F302" t="s">
        <v>842</v>
      </c>
      <c r="G302" s="13"/>
    </row>
    <row r="303" spans="1:7" ht="14.4" x14ac:dyDescent="0.3">
      <c r="A303" s="13">
        <v>7247761330</v>
      </c>
      <c r="B303" s="13" t="str">
        <f>TRIM(Table4[[#This Row],[ypn]])</f>
        <v>7247761330</v>
      </c>
      <c r="C303" s="13" t="b">
        <f>Table4[[#This Row],[ypn]]=Table4[[#This Row],[trim]]</f>
        <v>0</v>
      </c>
      <c r="D303" s="13">
        <f>Table4[[#This Row],[ypn]]*1</f>
        <v>7247761330</v>
      </c>
      <c r="E303" s="13">
        <f>TYPE(Table4[[#This Row],[ypn]])</f>
        <v>1</v>
      </c>
      <c r="F303" t="s">
        <v>1269</v>
      </c>
      <c r="G303" s="13"/>
    </row>
    <row r="304" spans="1:7" ht="14.4" x14ac:dyDescent="0.3">
      <c r="A304" s="13">
        <v>72478572</v>
      </c>
      <c r="B304" s="13" t="str">
        <f>TRIM(Table4[[#This Row],[ypn]])</f>
        <v>72478572</v>
      </c>
      <c r="C304" s="13" t="b">
        <f>Table4[[#This Row],[ypn]]=Table4[[#This Row],[trim]]</f>
        <v>0</v>
      </c>
      <c r="D304" s="13">
        <f>Table4[[#This Row],[ypn]]*1</f>
        <v>72478572</v>
      </c>
      <c r="E304" s="13">
        <f>TYPE(Table4[[#This Row],[ypn]])</f>
        <v>1</v>
      </c>
      <c r="F304" t="s">
        <v>1270</v>
      </c>
      <c r="G304" s="13"/>
    </row>
    <row r="305" spans="1:7" ht="14.4" x14ac:dyDescent="0.3">
      <c r="A305" s="13">
        <v>7147878930</v>
      </c>
      <c r="B305" s="13" t="str">
        <f>TRIM(Table4[[#This Row],[ypn]])</f>
        <v>7147878930</v>
      </c>
      <c r="C305" s="13" t="b">
        <f>Table4[[#This Row],[ypn]]=Table4[[#This Row],[trim]]</f>
        <v>0</v>
      </c>
      <c r="D305" s="13">
        <f>Table4[[#This Row],[ypn]]*1</f>
        <v>7147878930</v>
      </c>
      <c r="E305" s="13">
        <f>TYPE(Table4[[#This Row],[ypn]])</f>
        <v>1</v>
      </c>
      <c r="F305" t="s">
        <v>1294</v>
      </c>
      <c r="G305" s="13"/>
    </row>
    <row r="306" spans="1:7" ht="14.4" x14ac:dyDescent="0.3">
      <c r="A306" s="13">
        <v>7247787730</v>
      </c>
      <c r="B306" s="13" t="str">
        <f>TRIM(Table4[[#This Row],[ypn]])</f>
        <v>7247787730</v>
      </c>
      <c r="C306" s="13" t="b">
        <f>Table4[[#This Row],[ypn]]=Table4[[#This Row],[trim]]</f>
        <v>0</v>
      </c>
      <c r="D306" s="13">
        <f>Table4[[#This Row],[ypn]]*1</f>
        <v>7247787730</v>
      </c>
      <c r="E306" s="13">
        <f>TYPE(Table4[[#This Row],[ypn]])</f>
        <v>1</v>
      </c>
      <c r="F306" t="s">
        <v>1272</v>
      </c>
      <c r="G306" s="13"/>
    </row>
    <row r="307" spans="1:7" ht="14.4" x14ac:dyDescent="0.3">
      <c r="A307" s="13">
        <v>7247760930</v>
      </c>
      <c r="B307" s="13" t="str">
        <f>TRIM(Table4[[#This Row],[ypn]])</f>
        <v>7247760930</v>
      </c>
      <c r="C307" s="13" t="b">
        <f>Table4[[#This Row],[ypn]]=Table4[[#This Row],[trim]]</f>
        <v>0</v>
      </c>
      <c r="D307" s="13">
        <f>Table4[[#This Row],[ypn]]*1</f>
        <v>7247760930</v>
      </c>
      <c r="E307" s="13">
        <f>TYPE(Table4[[#This Row],[ypn]])</f>
        <v>1</v>
      </c>
      <c r="F307" t="s">
        <v>1273</v>
      </c>
      <c r="G307" s="13"/>
    </row>
    <row r="308" spans="1:7" ht="14.4" x14ac:dyDescent="0.3">
      <c r="A308" s="13">
        <v>7247760830</v>
      </c>
      <c r="B308" s="13" t="str">
        <f>TRIM(Table4[[#This Row],[ypn]])</f>
        <v>7247760830</v>
      </c>
      <c r="C308" s="13" t="b">
        <f>Table4[[#This Row],[ypn]]=Table4[[#This Row],[trim]]</f>
        <v>0</v>
      </c>
      <c r="D308" s="13">
        <f>Table4[[#This Row],[ypn]]*1</f>
        <v>7247760830</v>
      </c>
      <c r="E308" s="13">
        <f>TYPE(Table4[[#This Row],[ypn]])</f>
        <v>1</v>
      </c>
      <c r="F308" t="s">
        <v>1274</v>
      </c>
      <c r="G308" s="13"/>
    </row>
    <row r="309" spans="1:7" ht="14.4" x14ac:dyDescent="0.3">
      <c r="A309" s="13">
        <v>7247764130</v>
      </c>
      <c r="B309" s="13" t="str">
        <f>TRIM(Table4[[#This Row],[ypn]])</f>
        <v>7247764130</v>
      </c>
      <c r="C309" s="13" t="b">
        <f>Table4[[#This Row],[ypn]]=Table4[[#This Row],[trim]]</f>
        <v>0</v>
      </c>
      <c r="D309" s="13">
        <f>Table4[[#This Row],[ypn]]*1</f>
        <v>7247764130</v>
      </c>
      <c r="E309" s="13">
        <f>TYPE(Table4[[#This Row],[ypn]])</f>
        <v>1</v>
      </c>
      <c r="F309" t="s">
        <v>1275</v>
      </c>
      <c r="G309" s="13"/>
    </row>
    <row r="310" spans="1:7" ht="14.4" x14ac:dyDescent="0.3">
      <c r="A310" s="13">
        <v>7247781230</v>
      </c>
      <c r="B310" s="13" t="str">
        <f>TRIM(Table4[[#This Row],[ypn]])</f>
        <v>7247781230</v>
      </c>
      <c r="C310" s="13" t="b">
        <f>Table4[[#This Row],[ypn]]=Table4[[#This Row],[trim]]</f>
        <v>0</v>
      </c>
      <c r="D310" s="13">
        <f>Table4[[#This Row],[ypn]]*1</f>
        <v>7247781230</v>
      </c>
      <c r="E310" s="13">
        <f>TYPE(Table4[[#This Row],[ypn]])</f>
        <v>1</v>
      </c>
      <c r="F310" t="s">
        <v>1276</v>
      </c>
      <c r="G310" s="13"/>
    </row>
    <row r="311" spans="1:7" ht="14.4" x14ac:dyDescent="0.3">
      <c r="A311" s="13">
        <v>7047273930</v>
      </c>
      <c r="B311" s="13" t="str">
        <f>TRIM(Table4[[#This Row],[ypn]])</f>
        <v>7047273930</v>
      </c>
      <c r="C311" s="13" t="b">
        <f>Table4[[#This Row],[ypn]]=Table4[[#This Row],[trim]]</f>
        <v>0</v>
      </c>
      <c r="D311" s="13">
        <f>Table4[[#This Row],[ypn]]*1</f>
        <v>7047273930</v>
      </c>
      <c r="E311" s="13">
        <f>TYPE(Table4[[#This Row],[ypn]])</f>
        <v>1</v>
      </c>
      <c r="F311" t="s">
        <v>1277</v>
      </c>
      <c r="G311" s="13"/>
    </row>
    <row r="312" spans="1:7" ht="14.4" x14ac:dyDescent="0.3">
      <c r="A312" s="13">
        <v>7047305630</v>
      </c>
      <c r="B312" s="13" t="str">
        <f>TRIM(Table4[[#This Row],[ypn]])</f>
        <v>7047305630</v>
      </c>
      <c r="C312" s="13" t="b">
        <f>Table4[[#This Row],[ypn]]=Table4[[#This Row],[trim]]</f>
        <v>0</v>
      </c>
      <c r="D312" s="13">
        <f>Table4[[#This Row],[ypn]]*1</f>
        <v>7047305630</v>
      </c>
      <c r="E312" s="13">
        <f>TYPE(Table4[[#This Row],[ypn]])</f>
        <v>1</v>
      </c>
      <c r="F312" t="s">
        <v>1278</v>
      </c>
      <c r="G312" s="13"/>
    </row>
    <row r="313" spans="1:7" ht="14.4" x14ac:dyDescent="0.3">
      <c r="A313" s="13">
        <v>7247781730</v>
      </c>
      <c r="B313" s="13" t="str">
        <f>TRIM(Table4[[#This Row],[ypn]])</f>
        <v>7247781730</v>
      </c>
      <c r="C313" s="13" t="b">
        <f>Table4[[#This Row],[ypn]]=Table4[[#This Row],[trim]]</f>
        <v>0</v>
      </c>
      <c r="D313" s="13">
        <f>Table4[[#This Row],[ypn]]*1</f>
        <v>7247781730</v>
      </c>
      <c r="E313" s="13">
        <f>TYPE(Table4[[#This Row],[ypn]])</f>
        <v>1</v>
      </c>
      <c r="F313" t="s">
        <v>1279</v>
      </c>
      <c r="G313" s="13"/>
    </row>
    <row r="314" spans="1:7" ht="14.4" x14ac:dyDescent="0.3">
      <c r="A314" s="13">
        <v>7047135830</v>
      </c>
      <c r="B314" s="13" t="str">
        <f>TRIM(Table4[[#This Row],[ypn]])</f>
        <v>7047135830</v>
      </c>
      <c r="C314" s="13" t="b">
        <f>Table4[[#This Row],[ypn]]=Table4[[#This Row],[trim]]</f>
        <v>0</v>
      </c>
      <c r="D314" s="13">
        <f>Table4[[#This Row],[ypn]]*1</f>
        <v>7047135830</v>
      </c>
      <c r="E314" s="13">
        <f>TYPE(Table4[[#This Row],[ypn]])</f>
        <v>1</v>
      </c>
      <c r="F314" s="19" t="s">
        <v>1280</v>
      </c>
      <c r="G314" s="13"/>
    </row>
    <row r="315" spans="1:7" ht="14.4" x14ac:dyDescent="0.3">
      <c r="A315" s="13">
        <v>7252726530</v>
      </c>
      <c r="B315" s="13" t="str">
        <f>TRIM(Table4[[#This Row],[ypn]])</f>
        <v>7252726530</v>
      </c>
      <c r="C315" s="13" t="b">
        <f>Table4[[#This Row],[ypn]]=Table4[[#This Row],[trim]]</f>
        <v>0</v>
      </c>
      <c r="D315" s="13">
        <f>Table4[[#This Row],[ypn]]*1</f>
        <v>7252726530</v>
      </c>
      <c r="E315" s="13">
        <f>TYPE(Table4[[#This Row],[ypn]])</f>
        <v>1</v>
      </c>
      <c r="F315" s="20" t="s">
        <v>1281</v>
      </c>
      <c r="G315" s="13"/>
    </row>
    <row r="316" spans="1:7" ht="14.4" x14ac:dyDescent="0.3">
      <c r="A316" s="13">
        <v>70521459</v>
      </c>
      <c r="B316" s="13" t="str">
        <f>TRIM(Table4[[#This Row],[ypn]])</f>
        <v>70521459</v>
      </c>
      <c r="C316" s="13" t="b">
        <f>Table4[[#This Row],[ypn]]=Table4[[#This Row],[trim]]</f>
        <v>0</v>
      </c>
      <c r="D316" s="13">
        <f>Table4[[#This Row],[ypn]]*1</f>
        <v>70521459</v>
      </c>
      <c r="E316" s="13">
        <f>TYPE(Table4[[#This Row],[ypn]])</f>
        <v>1</v>
      </c>
      <c r="F316" s="19" t="s">
        <v>1282</v>
      </c>
      <c r="G316" s="13"/>
    </row>
    <row r="317" spans="1:7" ht="14.4" x14ac:dyDescent="0.3">
      <c r="A317" s="13">
        <v>7252735930</v>
      </c>
      <c r="B317" s="13" t="str">
        <f>TRIM(Table4[[#This Row],[ypn]])</f>
        <v>7252735930</v>
      </c>
      <c r="C317" s="13" t="b">
        <f>Table4[[#This Row],[ypn]]=Table4[[#This Row],[trim]]</f>
        <v>0</v>
      </c>
      <c r="D317" s="13">
        <f>Table4[[#This Row],[ypn]]*1</f>
        <v>7252735930</v>
      </c>
      <c r="E317" s="13">
        <f>TYPE(Table4[[#This Row],[ypn]])</f>
        <v>1</v>
      </c>
      <c r="F317" s="21" t="s">
        <v>1283</v>
      </c>
      <c r="G317" s="13"/>
    </row>
    <row r="318" spans="1:7" ht="14.4" x14ac:dyDescent="0.3">
      <c r="A318" s="13">
        <v>7252809330</v>
      </c>
      <c r="B318" s="13" t="str">
        <f>TRIM(Table4[[#This Row],[ypn]])</f>
        <v>7252809330</v>
      </c>
      <c r="C318" s="13" t="b">
        <f>Table4[[#This Row],[ypn]]=Table4[[#This Row],[trim]]</f>
        <v>0</v>
      </c>
      <c r="D318" s="13">
        <f>Table4[[#This Row],[ypn]]*1</f>
        <v>7252809330</v>
      </c>
      <c r="E318" s="13">
        <f>TYPE(Table4[[#This Row],[ypn]])</f>
        <v>1</v>
      </c>
      <c r="F318" t="s">
        <v>1284</v>
      </c>
      <c r="G318" s="13"/>
    </row>
    <row r="319" spans="1:7" ht="14.4" x14ac:dyDescent="0.3">
      <c r="A319" s="13" t="s">
        <v>1298</v>
      </c>
      <c r="B319" s="13" t="str">
        <f>TRIM(Table4[[#This Row],[ypn]])</f>
        <v>7289811630+8117030+7274166590</v>
      </c>
      <c r="C319" s="13" t="b">
        <f>Table4[[#This Row],[ypn]]=Table4[[#This Row],[trim]]</f>
        <v>1</v>
      </c>
      <c r="D319" s="13" t="e">
        <f>Table4[[#This Row],[ypn]]*1</f>
        <v>#VALUE!</v>
      </c>
      <c r="E319" s="13">
        <f>TYPE(Table4[[#This Row],[ypn]])</f>
        <v>2</v>
      </c>
      <c r="F319" t="s">
        <v>688</v>
      </c>
      <c r="G319" s="13"/>
    </row>
    <row r="320" spans="1:7" ht="14.4" x14ac:dyDescent="0.3">
      <c r="A320" s="13" t="s">
        <v>1299</v>
      </c>
      <c r="B320" s="13" t="str">
        <f>TRIM(Table4[[#This Row],[ypn]])</f>
        <v>7187903970+904070+7274060970AE</v>
      </c>
      <c r="C320" s="13" t="b">
        <f>Table4[[#This Row],[ypn]]=Table4[[#This Row],[trim]]</f>
        <v>1</v>
      </c>
      <c r="D320" s="13" t="e">
        <f>Table4[[#This Row],[ypn]]*1</f>
        <v>#VALUE!</v>
      </c>
      <c r="E320" s="13">
        <f>TYPE(Table4[[#This Row],[ypn]])</f>
        <v>2</v>
      </c>
      <c r="F320" t="s">
        <v>1400</v>
      </c>
      <c r="G320" s="13"/>
    </row>
    <row r="321" spans="1:7" ht="14.4" x14ac:dyDescent="0.3">
      <c r="A321" s="13" t="s">
        <v>235</v>
      </c>
      <c r="B321" s="13" t="str">
        <f>TRIM(Table4[[#This Row],[ypn]])</f>
        <v>7119127830+7234894130A</v>
      </c>
      <c r="C321" s="13" t="b">
        <f>Table4[[#This Row],[ypn]]=Table4[[#This Row],[trim]]</f>
        <v>1</v>
      </c>
      <c r="D321" s="13" t="e">
        <f>Table4[[#This Row],[ypn]]*1</f>
        <v>#VALUE!</v>
      </c>
      <c r="E321" s="13">
        <f>TYPE(Table4[[#This Row],[ypn]])</f>
        <v>2</v>
      </c>
      <c r="F321" t="s">
        <v>628</v>
      </c>
      <c r="G321" s="13"/>
    </row>
    <row r="322" spans="1:7" ht="14.4" x14ac:dyDescent="0.3">
      <c r="A322" s="13" t="s">
        <v>759</v>
      </c>
      <c r="B322" s="13" t="str">
        <f>TRIM(Table4[[#This Row],[ypn]])</f>
        <v>7298341860+7297341730</v>
      </c>
      <c r="C322" s="13" t="b">
        <f>Table4[[#This Row],[ypn]]=Table4[[#This Row],[trim]]</f>
        <v>1</v>
      </c>
      <c r="D322" s="13" t="e">
        <f>Table4[[#This Row],[ypn]]*1</f>
        <v>#VALUE!</v>
      </c>
      <c r="E322" s="13">
        <f>TYPE(Table4[[#This Row],[ypn]])</f>
        <v>2</v>
      </c>
      <c r="F322" t="s">
        <v>690</v>
      </c>
      <c r="G322" s="13"/>
    </row>
    <row r="323" spans="1:7" ht="14.4" x14ac:dyDescent="0.3">
      <c r="A323" s="13">
        <v>7119626030</v>
      </c>
      <c r="B323" s="13" t="str">
        <f>TRIM(Table4[[#This Row],[ypn]])</f>
        <v>7119626030</v>
      </c>
      <c r="C323" s="13" t="b">
        <f>Table4[[#This Row],[ypn]]=Table4[[#This Row],[trim]]</f>
        <v>0</v>
      </c>
      <c r="D323" s="13">
        <f>Table4[[#This Row],[ypn]]*1</f>
        <v>7119626030</v>
      </c>
      <c r="E323" s="13">
        <f>TYPE(Table4[[#This Row],[ypn]])</f>
        <v>1</v>
      </c>
      <c r="F323" t="s">
        <v>1401</v>
      </c>
      <c r="G323" s="13"/>
    </row>
    <row r="324" spans="1:7" ht="14.4" x14ac:dyDescent="0.3">
      <c r="A324" s="13" t="s">
        <v>1300</v>
      </c>
      <c r="B324" s="13" t="str">
        <f>TRIM(Table4[[#This Row],[ypn]])</f>
        <v>7289063430E</v>
      </c>
      <c r="C324" s="13" t="b">
        <f>Table4[[#This Row],[ypn]]=Table4[[#This Row],[trim]]</f>
        <v>1</v>
      </c>
      <c r="D324" s="13" t="e">
        <f>Table4[[#This Row],[ypn]]*1</f>
        <v>#VALUE!</v>
      </c>
      <c r="E324" s="13">
        <f>TYPE(Table4[[#This Row],[ypn]])</f>
        <v>2</v>
      </c>
      <c r="F324" t="s">
        <v>1402</v>
      </c>
      <c r="G324" s="13"/>
    </row>
    <row r="325" spans="1:7" ht="14.4" x14ac:dyDescent="0.3">
      <c r="A325" s="13" t="s">
        <v>1301</v>
      </c>
      <c r="B325" s="13" t="str">
        <f>TRIM(Table4[[#This Row],[ypn]])</f>
        <v>7189730210+7274146260AE</v>
      </c>
      <c r="C325" s="13" t="b">
        <f>Table4[[#This Row],[ypn]]=Table4[[#This Row],[trim]]</f>
        <v>1</v>
      </c>
      <c r="D325" s="13" t="e">
        <f>Table4[[#This Row],[ypn]]*1</f>
        <v>#VALUE!</v>
      </c>
      <c r="E325" s="13">
        <f>TYPE(Table4[[#This Row],[ypn]])</f>
        <v>2</v>
      </c>
      <c r="F325" t="s">
        <v>1403</v>
      </c>
      <c r="G325" s="13"/>
    </row>
    <row r="326" spans="1:7" ht="14.4" x14ac:dyDescent="0.3">
      <c r="A326" s="13" t="s">
        <v>1302</v>
      </c>
      <c r="B326" s="13" t="str">
        <f>TRIM(Table4[[#This Row],[ypn]])</f>
        <v>7198914830+7234497030E</v>
      </c>
      <c r="C326" s="13" t="b">
        <f>Table4[[#This Row],[ypn]]=Table4[[#This Row],[trim]]</f>
        <v>1</v>
      </c>
      <c r="D326" s="13" t="e">
        <f>Table4[[#This Row],[ypn]]*1</f>
        <v>#VALUE!</v>
      </c>
      <c r="E326" s="13">
        <f>TYPE(Table4[[#This Row],[ypn]])</f>
        <v>2</v>
      </c>
      <c r="F326" t="s">
        <v>670</v>
      </c>
      <c r="G326" s="13"/>
    </row>
    <row r="327" spans="1:7" ht="14.4" x14ac:dyDescent="0.3">
      <c r="A327" s="13" t="s">
        <v>1303</v>
      </c>
      <c r="B327" s="13" t="str">
        <f>TRIM(Table4[[#This Row],[ypn]])</f>
        <v>7119131620E</v>
      </c>
      <c r="C327" s="13" t="b">
        <f>Table4[[#This Row],[ypn]]=Table4[[#This Row],[trim]]</f>
        <v>1</v>
      </c>
      <c r="D327" s="13" t="e">
        <f>Table4[[#This Row],[ypn]]*1</f>
        <v>#VALUE!</v>
      </c>
      <c r="E327" s="13">
        <f>TYPE(Table4[[#This Row],[ypn]])</f>
        <v>2</v>
      </c>
      <c r="F327" t="s">
        <v>1404</v>
      </c>
      <c r="G327" s="13"/>
    </row>
    <row r="328" spans="1:7" ht="14.4" x14ac:dyDescent="0.3">
      <c r="A328" s="13" t="s">
        <v>1304</v>
      </c>
      <c r="B328" s="13" t="str">
        <f>TRIM(Table4[[#This Row],[ypn]])</f>
        <v>7289405830E</v>
      </c>
      <c r="C328" s="13" t="b">
        <f>Table4[[#This Row],[ypn]]=Table4[[#This Row],[trim]]</f>
        <v>1</v>
      </c>
      <c r="D328" s="13" t="e">
        <f>Table4[[#This Row],[ypn]]*1</f>
        <v>#VALUE!</v>
      </c>
      <c r="E328" s="13">
        <f>TYPE(Table4[[#This Row],[ypn]])</f>
        <v>2</v>
      </c>
      <c r="F328" t="s">
        <v>1405</v>
      </c>
      <c r="G328" s="13"/>
    </row>
    <row r="329" spans="1:7" ht="14.4" x14ac:dyDescent="0.3">
      <c r="A329" s="13" t="s">
        <v>1305</v>
      </c>
      <c r="B329" s="13" t="str">
        <f>TRIM(Table4[[#This Row],[ypn]])</f>
        <v>7219622130E</v>
      </c>
      <c r="C329" s="13" t="b">
        <f>Table4[[#This Row],[ypn]]=Table4[[#This Row],[trim]]</f>
        <v>1</v>
      </c>
      <c r="D329" s="13" t="e">
        <f>Table4[[#This Row],[ypn]]*1</f>
        <v>#VALUE!</v>
      </c>
      <c r="E329" s="13">
        <f>TYPE(Table4[[#This Row],[ypn]])</f>
        <v>2</v>
      </c>
      <c r="F329" t="s">
        <v>1406</v>
      </c>
      <c r="G329" s="13"/>
    </row>
    <row r="330" spans="1:7" ht="14.4" x14ac:dyDescent="0.3">
      <c r="A330" s="13" t="s">
        <v>1306</v>
      </c>
      <c r="B330" s="13" t="str">
        <f>TRIM(Table4[[#This Row],[ypn]])</f>
        <v>7119146730E</v>
      </c>
      <c r="C330" s="13" t="b">
        <f>Table4[[#This Row],[ypn]]=Table4[[#This Row],[trim]]</f>
        <v>1</v>
      </c>
      <c r="D330" s="13" t="e">
        <f>Table4[[#This Row],[ypn]]*1</f>
        <v>#VALUE!</v>
      </c>
      <c r="E330" s="13">
        <f>TYPE(Table4[[#This Row],[ypn]])</f>
        <v>2</v>
      </c>
      <c r="F330" t="s">
        <v>1407</v>
      </c>
      <c r="G330" s="13"/>
    </row>
    <row r="331" spans="1:7" ht="14.4" x14ac:dyDescent="0.3">
      <c r="A331" s="13" t="s">
        <v>1307</v>
      </c>
      <c r="B331" s="13" t="str">
        <f>TRIM(Table4[[#This Row],[ypn]])</f>
        <v>71196401E</v>
      </c>
      <c r="C331" s="13" t="b">
        <f>Table4[[#This Row],[ypn]]=Table4[[#This Row],[trim]]</f>
        <v>1</v>
      </c>
      <c r="D331" s="13" t="e">
        <f>Table4[[#This Row],[ypn]]*1</f>
        <v>#VALUE!</v>
      </c>
      <c r="E331" s="13">
        <f>TYPE(Table4[[#This Row],[ypn]])</f>
        <v>2</v>
      </c>
      <c r="F331" t="s">
        <v>1408</v>
      </c>
      <c r="G331" s="13"/>
    </row>
    <row r="332" spans="1:7" ht="14.4" x14ac:dyDescent="0.3">
      <c r="A332" s="13" t="s">
        <v>1308</v>
      </c>
      <c r="B332" s="13" t="str">
        <f>TRIM(Table4[[#This Row],[ypn]])</f>
        <v>7119172930E</v>
      </c>
      <c r="C332" s="13" t="b">
        <f>Table4[[#This Row],[ypn]]=Table4[[#This Row],[trim]]</f>
        <v>1</v>
      </c>
      <c r="D332" s="13" t="e">
        <f>Table4[[#This Row],[ypn]]*1</f>
        <v>#VALUE!</v>
      </c>
      <c r="E332" s="13">
        <f>TYPE(Table4[[#This Row],[ypn]])</f>
        <v>2</v>
      </c>
      <c r="F332" t="s">
        <v>1409</v>
      </c>
      <c r="G332" s="13"/>
    </row>
    <row r="333" spans="1:7" ht="14.4" x14ac:dyDescent="0.3">
      <c r="A333" s="13" t="s">
        <v>1309</v>
      </c>
      <c r="B333" s="13" t="str">
        <f>TRIM(Table4[[#This Row],[ypn]])</f>
        <v>7189663170E</v>
      </c>
      <c r="C333" s="13" t="b">
        <f>Table4[[#This Row],[ypn]]=Table4[[#This Row],[trim]]</f>
        <v>1</v>
      </c>
      <c r="D333" s="13" t="e">
        <f>Table4[[#This Row],[ypn]]*1</f>
        <v>#VALUE!</v>
      </c>
      <c r="E333" s="13">
        <f>TYPE(Table4[[#This Row],[ypn]])</f>
        <v>2</v>
      </c>
      <c r="F333" t="s">
        <v>1410</v>
      </c>
      <c r="G333" s="13"/>
    </row>
    <row r="334" spans="1:7" ht="14.4" x14ac:dyDescent="0.3">
      <c r="A334" s="13" t="s">
        <v>1310</v>
      </c>
      <c r="B334" s="13" t="str">
        <f>TRIM(Table4[[#This Row],[ypn]])</f>
        <v>7289405130E</v>
      </c>
      <c r="C334" s="13" t="b">
        <f>Table4[[#This Row],[ypn]]=Table4[[#This Row],[trim]]</f>
        <v>1</v>
      </c>
      <c r="D334" s="13" t="e">
        <f>Table4[[#This Row],[ypn]]*1</f>
        <v>#VALUE!</v>
      </c>
      <c r="E334" s="13">
        <f>TYPE(Table4[[#This Row],[ypn]])</f>
        <v>2</v>
      </c>
      <c r="F334" t="s">
        <v>1411</v>
      </c>
      <c r="G334" s="13"/>
    </row>
    <row r="335" spans="1:7" ht="14.4" x14ac:dyDescent="0.3">
      <c r="A335" s="13" t="s">
        <v>1311</v>
      </c>
      <c r="B335" s="13" t="str">
        <f>TRIM(Table4[[#This Row],[ypn]])</f>
        <v>71191993E</v>
      </c>
      <c r="C335" s="13" t="b">
        <f>Table4[[#This Row],[ypn]]=Table4[[#This Row],[trim]]</f>
        <v>1</v>
      </c>
      <c r="D335" s="13" t="e">
        <f>Table4[[#This Row],[ypn]]*1</f>
        <v>#VALUE!</v>
      </c>
      <c r="E335" s="13">
        <f>TYPE(Table4[[#This Row],[ypn]])</f>
        <v>2</v>
      </c>
      <c r="F335" t="s">
        <v>1412</v>
      </c>
      <c r="G335" s="13"/>
    </row>
    <row r="336" spans="1:7" ht="14.4" x14ac:dyDescent="0.3">
      <c r="A336" s="13" t="s">
        <v>1312</v>
      </c>
      <c r="B336" s="13" t="str">
        <f>TRIM(Table4[[#This Row],[ypn]])</f>
        <v>7119131530E</v>
      </c>
      <c r="C336" s="13" t="b">
        <f>Table4[[#This Row],[ypn]]=Table4[[#This Row],[trim]]</f>
        <v>1</v>
      </c>
      <c r="D336" s="13" t="e">
        <f>Table4[[#This Row],[ypn]]*1</f>
        <v>#VALUE!</v>
      </c>
      <c r="E336" s="13">
        <f>TYPE(Table4[[#This Row],[ypn]])</f>
        <v>2</v>
      </c>
      <c r="F336" t="s">
        <v>1413</v>
      </c>
      <c r="G336" s="13"/>
    </row>
    <row r="337" spans="1:7" ht="14.4" x14ac:dyDescent="0.3">
      <c r="A337" s="13" t="s">
        <v>1313</v>
      </c>
      <c r="B337" s="13" t="str">
        <f>TRIM(Table4[[#This Row],[ypn]])</f>
        <v>7119163630E</v>
      </c>
      <c r="C337" s="13" t="b">
        <f>Table4[[#This Row],[ypn]]=Table4[[#This Row],[trim]]</f>
        <v>1</v>
      </c>
      <c r="D337" s="13" t="e">
        <f>Table4[[#This Row],[ypn]]*1</f>
        <v>#VALUE!</v>
      </c>
      <c r="E337" s="13">
        <f>TYPE(Table4[[#This Row],[ypn]])</f>
        <v>2</v>
      </c>
      <c r="F337" t="s">
        <v>1414</v>
      </c>
      <c r="G337" s="13"/>
    </row>
    <row r="338" spans="1:7" ht="14.4" x14ac:dyDescent="0.3">
      <c r="A338" s="13" t="s">
        <v>1314</v>
      </c>
      <c r="B338" s="13" t="str">
        <f>TRIM(Table4[[#This Row],[ypn]])</f>
        <v>7119639830E</v>
      </c>
      <c r="C338" s="13" t="b">
        <f>Table4[[#This Row],[ypn]]=Table4[[#This Row],[trim]]</f>
        <v>1</v>
      </c>
      <c r="D338" s="13" t="e">
        <f>Table4[[#This Row],[ypn]]*1</f>
        <v>#VALUE!</v>
      </c>
      <c r="E338" s="13">
        <f>TYPE(Table4[[#This Row],[ypn]])</f>
        <v>2</v>
      </c>
      <c r="F338" t="s">
        <v>1415</v>
      </c>
      <c r="G338" s="13"/>
    </row>
    <row r="339" spans="1:7" ht="14.4" x14ac:dyDescent="0.3">
      <c r="A339" s="13" t="s">
        <v>249</v>
      </c>
      <c r="B339" s="13" t="str">
        <f>TRIM(Table4[[#This Row],[ypn]])</f>
        <v>7198774930+7198947430+72742908A</v>
      </c>
      <c r="C339" s="13" t="b">
        <f>Table4[[#This Row],[ypn]]=Table4[[#This Row],[trim]]</f>
        <v>1</v>
      </c>
      <c r="D339" s="13" t="e">
        <f>Table4[[#This Row],[ypn]]*1</f>
        <v>#VALUE!</v>
      </c>
      <c r="E339" s="13">
        <f>TYPE(Table4[[#This Row],[ypn]])</f>
        <v>2</v>
      </c>
      <c r="F339" t="s">
        <v>668</v>
      </c>
      <c r="G339" s="13"/>
    </row>
    <row r="340" spans="1:7" ht="14.4" x14ac:dyDescent="0.3">
      <c r="A340" s="13" t="s">
        <v>1315</v>
      </c>
      <c r="B340" s="13" t="str">
        <f>TRIM(Table4[[#This Row],[ypn]])</f>
        <v>7198762530+7198600430+274261190A</v>
      </c>
      <c r="C340" s="13" t="b">
        <f>Table4[[#This Row],[ypn]]=Table4[[#This Row],[trim]]</f>
        <v>1</v>
      </c>
      <c r="D340" s="13" t="e">
        <f>Table4[[#This Row],[ypn]]*1</f>
        <v>#VALUE!</v>
      </c>
      <c r="E340" s="13">
        <f>TYPE(Table4[[#This Row],[ypn]])</f>
        <v>2</v>
      </c>
      <c r="F340" t="s">
        <v>665</v>
      </c>
      <c r="G340" s="13"/>
    </row>
    <row r="341" spans="1:7" ht="14.4" x14ac:dyDescent="0.3">
      <c r="A341" s="13" t="s">
        <v>292</v>
      </c>
      <c r="B341" s="13" t="str">
        <f>TRIM(Table4[[#This Row],[ypn]])</f>
        <v>7198810230+72742686A</v>
      </c>
      <c r="C341" s="13" t="b">
        <f>Table4[[#This Row],[ypn]]=Table4[[#This Row],[trim]]</f>
        <v>1</v>
      </c>
      <c r="D341" s="13" t="e">
        <f>Table4[[#This Row],[ypn]]*1</f>
        <v>#VALUE!</v>
      </c>
      <c r="E341" s="13">
        <f>TYPE(Table4[[#This Row],[ypn]])</f>
        <v>2</v>
      </c>
      <c r="F341" t="s">
        <v>1416</v>
      </c>
      <c r="G341" s="13"/>
    </row>
    <row r="342" spans="1:7" ht="14.4" x14ac:dyDescent="0.3">
      <c r="A342" s="13">
        <v>7297913630</v>
      </c>
      <c r="B342" s="13" t="str">
        <f>TRIM(Table4[[#This Row],[ypn]])</f>
        <v>7297913630</v>
      </c>
      <c r="C342" s="13" t="b">
        <f>Table4[[#This Row],[ypn]]=Table4[[#This Row],[trim]]</f>
        <v>0</v>
      </c>
      <c r="D342" s="13">
        <f>Table4[[#This Row],[ypn]]*1</f>
        <v>7297913630</v>
      </c>
      <c r="E342" s="13">
        <f>TYPE(Table4[[#This Row],[ypn]])</f>
        <v>1</v>
      </c>
      <c r="F342" t="s">
        <v>596</v>
      </c>
      <c r="G342" s="13"/>
    </row>
    <row r="343" spans="1:7" ht="14.4" x14ac:dyDescent="0.3">
      <c r="A343" s="13" t="s">
        <v>1316</v>
      </c>
      <c r="B343" s="13" t="str">
        <f>TRIM(Table4[[#This Row],[ypn]])</f>
        <v>72988085E</v>
      </c>
      <c r="C343" s="13" t="b">
        <f>Table4[[#This Row],[ypn]]=Table4[[#This Row],[trim]]</f>
        <v>1</v>
      </c>
      <c r="D343" s="13" t="e">
        <f>Table4[[#This Row],[ypn]]*1</f>
        <v>#VALUE!</v>
      </c>
      <c r="E343" s="13">
        <f>TYPE(Table4[[#This Row],[ypn]])</f>
        <v>2</v>
      </c>
      <c r="F343" t="s">
        <v>1417</v>
      </c>
      <c r="G343" s="13"/>
    </row>
    <row r="344" spans="1:7" ht="14.4" x14ac:dyDescent="0.3">
      <c r="A344" s="13" t="s">
        <v>1317</v>
      </c>
      <c r="B344" s="13" t="str">
        <f>TRIM(Table4[[#This Row],[ypn]])</f>
        <v>7298913730E</v>
      </c>
      <c r="C344" s="13" t="b">
        <f>Table4[[#This Row],[ypn]]=Table4[[#This Row],[trim]]</f>
        <v>1</v>
      </c>
      <c r="D344" s="13" t="e">
        <f>Table4[[#This Row],[ypn]]*1</f>
        <v>#VALUE!</v>
      </c>
      <c r="E344" s="13">
        <f>TYPE(Table4[[#This Row],[ypn]])</f>
        <v>2</v>
      </c>
      <c r="F344" t="s">
        <v>818</v>
      </c>
      <c r="G344" s="13"/>
    </row>
    <row r="345" spans="1:7" ht="14.4" x14ac:dyDescent="0.3">
      <c r="A345" s="13" t="s">
        <v>1318</v>
      </c>
      <c r="B345" s="13" t="str">
        <f>TRIM(Table4[[#This Row],[ypn]])</f>
        <v>7271007030AE</v>
      </c>
      <c r="C345" s="13" t="b">
        <f>Table4[[#This Row],[ypn]]=Table4[[#This Row],[trim]]</f>
        <v>1</v>
      </c>
      <c r="D345" s="13" t="e">
        <f>Table4[[#This Row],[ypn]]*1</f>
        <v>#VALUE!</v>
      </c>
      <c r="E345" s="13">
        <f>TYPE(Table4[[#This Row],[ypn]])</f>
        <v>2</v>
      </c>
      <c r="F345" t="s">
        <v>674</v>
      </c>
      <c r="G345" s="13"/>
    </row>
    <row r="346" spans="1:7" ht="14.4" x14ac:dyDescent="0.3">
      <c r="A346" s="13" t="s">
        <v>1319</v>
      </c>
      <c r="B346" s="13" t="str">
        <f>TRIM(Table4[[#This Row],[ypn]])</f>
        <v>7289488430+7274297830E</v>
      </c>
      <c r="C346" s="13" t="b">
        <f>Table4[[#This Row],[ypn]]=Table4[[#This Row],[trim]]</f>
        <v>1</v>
      </c>
      <c r="D346" s="13" t="e">
        <f>Table4[[#This Row],[ypn]]*1</f>
        <v>#VALUE!</v>
      </c>
      <c r="E346" s="13">
        <f>TYPE(Table4[[#This Row],[ypn]])</f>
        <v>2</v>
      </c>
      <c r="F346" t="s">
        <v>682</v>
      </c>
      <c r="G346" s="13"/>
    </row>
    <row r="347" spans="1:7" ht="14.4" x14ac:dyDescent="0.3">
      <c r="A347" s="13">
        <v>7289464330</v>
      </c>
      <c r="B347" s="13" t="str">
        <f>TRIM(Table4[[#This Row],[ypn]])</f>
        <v>7289464330</v>
      </c>
      <c r="C347" s="13" t="b">
        <f>Table4[[#This Row],[ypn]]=Table4[[#This Row],[trim]]</f>
        <v>0</v>
      </c>
      <c r="D347" s="13">
        <f>Table4[[#This Row],[ypn]]*1</f>
        <v>7289464330</v>
      </c>
      <c r="E347" s="13">
        <f>TYPE(Table4[[#This Row],[ypn]])</f>
        <v>1</v>
      </c>
      <c r="F347" t="s">
        <v>589</v>
      </c>
      <c r="G347" s="13"/>
    </row>
    <row r="348" spans="1:7" ht="14.4" x14ac:dyDescent="0.3">
      <c r="A348" s="13" t="s">
        <v>1320</v>
      </c>
      <c r="B348" s="13" t="str">
        <f>TRIM(Table4[[#This Row],[ypn]])</f>
        <v>7183288530+7183288630+72742612AE</v>
      </c>
      <c r="C348" s="13" t="b">
        <f>Table4[[#This Row],[ypn]]=Table4[[#This Row],[trim]]</f>
        <v>1</v>
      </c>
      <c r="D348" s="13" t="e">
        <f>Table4[[#This Row],[ypn]]*1</f>
        <v>#VALUE!</v>
      </c>
      <c r="E348" s="13">
        <f>TYPE(Table4[[#This Row],[ypn]])</f>
        <v>2</v>
      </c>
      <c r="F348" t="s">
        <v>654</v>
      </c>
      <c r="G348" s="13"/>
    </row>
    <row r="349" spans="1:7" ht="14.4" x14ac:dyDescent="0.3">
      <c r="A349" s="13" t="s">
        <v>1321</v>
      </c>
      <c r="B349" s="13" t="str">
        <f>TRIM(Table4[[#This Row],[ypn]])</f>
        <v>7278242730+173825540+174342530AE(X1PO3875+X1PO3876+X1PO3877A)</v>
      </c>
      <c r="C349" s="13" t="b">
        <f>Table4[[#This Row],[ypn]]=Table4[[#This Row],[trim]]</f>
        <v>1</v>
      </c>
      <c r="D349" s="13" t="e">
        <f>Table4[[#This Row],[ypn]]*1</f>
        <v>#VALUE!</v>
      </c>
      <c r="E349" s="13">
        <f>TYPE(Table4[[#This Row],[ypn]])</f>
        <v>2</v>
      </c>
      <c r="F349" t="s">
        <v>677</v>
      </c>
      <c r="G349" s="13"/>
    </row>
    <row r="350" spans="1:7" ht="14.4" x14ac:dyDescent="0.3">
      <c r="A350" s="13" t="s">
        <v>1322</v>
      </c>
      <c r="B350" s="13" t="str">
        <f>TRIM(Table4[[#This Row],[ypn]])</f>
        <v>7119670830+7274290770AE</v>
      </c>
      <c r="C350" s="13" t="b">
        <f>Table4[[#This Row],[ypn]]=Table4[[#This Row],[trim]]</f>
        <v>1</v>
      </c>
      <c r="D350" s="13" t="e">
        <f>Table4[[#This Row],[ypn]]*1</f>
        <v>#VALUE!</v>
      </c>
      <c r="E350" s="13">
        <f>TYPE(Table4[[#This Row],[ypn]])</f>
        <v>2</v>
      </c>
      <c r="G350" s="13"/>
    </row>
    <row r="351" spans="1:7" ht="14.4" x14ac:dyDescent="0.3">
      <c r="A351" s="13" t="s">
        <v>1323</v>
      </c>
      <c r="B351" s="13" t="str">
        <f>TRIM(Table4[[#This Row],[ypn]])</f>
        <v>7289811630+7289811730+72741551AE</v>
      </c>
      <c r="C351" s="13" t="b">
        <f>Table4[[#This Row],[ypn]]=Table4[[#This Row],[trim]]</f>
        <v>1</v>
      </c>
      <c r="D351" s="13" t="e">
        <f>Table4[[#This Row],[ypn]]*1</f>
        <v>#VALUE!</v>
      </c>
      <c r="E351" s="13">
        <f>TYPE(Table4[[#This Row],[ypn]])</f>
        <v>2</v>
      </c>
      <c r="F351" t="s">
        <v>685</v>
      </c>
      <c r="G351" s="13"/>
    </row>
    <row r="352" spans="1:7" ht="14.4" x14ac:dyDescent="0.3">
      <c r="A352" s="13" t="s">
        <v>1324</v>
      </c>
      <c r="B352" s="13" t="str">
        <f>TRIM(Table4[[#This Row],[ypn]])</f>
        <v>7289811630/811730+7274155220AE</v>
      </c>
      <c r="C352" s="13" t="b">
        <f>Table4[[#This Row],[ypn]]=Table4[[#This Row],[trim]]</f>
        <v>1</v>
      </c>
      <c r="D352" s="13" t="e">
        <f>Table4[[#This Row],[ypn]]*1</f>
        <v>#VALUE!</v>
      </c>
      <c r="E352" s="13">
        <f>TYPE(Table4[[#This Row],[ypn]])</f>
        <v>2</v>
      </c>
      <c r="F352" t="s">
        <v>686</v>
      </c>
      <c r="G352" s="13"/>
    </row>
    <row r="353" spans="1:7" ht="14.4" x14ac:dyDescent="0.3">
      <c r="A353" s="13" t="s">
        <v>1325</v>
      </c>
      <c r="B353" s="13" t="str">
        <f>TRIM(Table4[[#This Row],[ypn]])</f>
        <v>7119648630+7274171430AE</v>
      </c>
      <c r="C353" s="13" t="b">
        <f>Table4[[#This Row],[ypn]]=Table4[[#This Row],[trim]]</f>
        <v>1</v>
      </c>
      <c r="D353" s="13" t="e">
        <f>Table4[[#This Row],[ypn]]*1</f>
        <v>#VALUE!</v>
      </c>
      <c r="E353" s="13">
        <f>TYPE(Table4[[#This Row],[ypn]])</f>
        <v>2</v>
      </c>
      <c r="F353" t="s">
        <v>635</v>
      </c>
      <c r="G353" s="13"/>
    </row>
    <row r="354" spans="1:7" x14ac:dyDescent="0.3">
      <c r="A354" s="16" t="s">
        <v>1326</v>
      </c>
      <c r="B354" s="67" t="str">
        <f>TRIM(Table4[[#This Row],[ypn]])</f>
        <v>71782472E</v>
      </c>
      <c r="C354" s="67" t="b">
        <f>Table4[[#This Row],[ypn]]=Table4[[#This Row],[trim]]</f>
        <v>1</v>
      </c>
      <c r="D354" s="67" t="e">
        <f>Table4[[#This Row],[ypn]]*1</f>
        <v>#VALUE!</v>
      </c>
      <c r="E354" s="67">
        <f>TYPE(Table4[[#This Row],[ypn]])</f>
        <v>2</v>
      </c>
      <c r="F354" t="s">
        <v>792</v>
      </c>
      <c r="G354" s="13"/>
    </row>
    <row r="355" spans="1:7" ht="14.4" x14ac:dyDescent="0.3">
      <c r="A355" s="15" t="s">
        <v>238</v>
      </c>
      <c r="B355" s="13" t="str">
        <f>TRIM(Table4[[#This Row],[ypn]])</f>
        <v>7119670830+7274290770A</v>
      </c>
      <c r="C355" s="13" t="b">
        <f>Table4[[#This Row],[ypn]]=Table4[[#This Row],[trim]]</f>
        <v>1</v>
      </c>
      <c r="D355" s="13" t="e">
        <f>Table4[[#This Row],[ypn]]*1</f>
        <v>#VALUE!</v>
      </c>
      <c r="E355" s="13">
        <f>TYPE(Table4[[#This Row],[ypn]])</f>
        <v>2</v>
      </c>
      <c r="F355" t="s">
        <v>636</v>
      </c>
      <c r="G355" s="13"/>
    </row>
    <row r="356" spans="1:7" ht="14.4" x14ac:dyDescent="0.3">
      <c r="A356" s="15" t="s">
        <v>250</v>
      </c>
      <c r="B356" s="13" t="str">
        <f>TRIM(Table4[[#This Row],[ypn]])</f>
        <v>7198809140+7274268930A</v>
      </c>
      <c r="C356" s="13" t="b">
        <f>Table4[[#This Row],[ypn]]=Table4[[#This Row],[trim]]</f>
        <v>1</v>
      </c>
      <c r="D356" s="13" t="e">
        <f>Table4[[#This Row],[ypn]]*1</f>
        <v>#VALUE!</v>
      </c>
      <c r="E356" s="13">
        <f>TYPE(Table4[[#This Row],[ypn]])</f>
        <v>2</v>
      </c>
      <c r="F356" t="s">
        <v>1418</v>
      </c>
      <c r="G356" s="13"/>
    </row>
    <row r="357" spans="1:7" ht="14.4" x14ac:dyDescent="0.3">
      <c r="A357" s="15" t="s">
        <v>241</v>
      </c>
      <c r="B357" s="13" t="str">
        <f>TRIM(Table4[[#This Row],[ypn]])</f>
        <v>7185173030+7185173130+72742608A</v>
      </c>
      <c r="C357" s="13" t="b">
        <f>Table4[[#This Row],[ypn]]=Table4[[#This Row],[trim]]</f>
        <v>1</v>
      </c>
      <c r="D357" s="13" t="e">
        <f>Table4[[#This Row],[ypn]]*1</f>
        <v>#VALUE!</v>
      </c>
      <c r="E357" s="13">
        <f>TYPE(Table4[[#This Row],[ypn]])</f>
        <v>2</v>
      </c>
      <c r="F357" t="s">
        <v>656</v>
      </c>
      <c r="G357" s="13"/>
    </row>
    <row r="358" spans="1:7" ht="14.4" x14ac:dyDescent="0.3">
      <c r="A358" s="15" t="s">
        <v>1327</v>
      </c>
      <c r="B358" s="13" t="str">
        <f>TRIM(Table4[[#This Row],[ypn]])</f>
        <v>7119101830+7274131020AE</v>
      </c>
      <c r="C358" s="13" t="b">
        <f>Table4[[#This Row],[ypn]]=Table4[[#This Row],[trim]]</f>
        <v>1</v>
      </c>
      <c r="D358" s="13" t="e">
        <f>Table4[[#This Row],[ypn]]*1</f>
        <v>#VALUE!</v>
      </c>
      <c r="E358" s="13">
        <f>TYPE(Table4[[#This Row],[ypn]])</f>
        <v>2</v>
      </c>
      <c r="F358" t="s">
        <v>626</v>
      </c>
      <c r="G358" s="13"/>
    </row>
    <row r="359" spans="1:7" ht="14.4" x14ac:dyDescent="0.3">
      <c r="A359" s="15" t="s">
        <v>1328</v>
      </c>
      <c r="B359" s="13" t="str">
        <f>TRIM(Table4[[#This Row],[ypn]])</f>
        <v>7119131260E</v>
      </c>
      <c r="C359" s="13" t="b">
        <f>Table4[[#This Row],[ypn]]=Table4[[#This Row],[trim]]</f>
        <v>1</v>
      </c>
      <c r="D359" s="13" t="e">
        <f>Table4[[#This Row],[ypn]]*1</f>
        <v>#VALUE!</v>
      </c>
      <c r="E359" s="13">
        <f>TYPE(Table4[[#This Row],[ypn]])</f>
        <v>2</v>
      </c>
      <c r="F359" t="s">
        <v>556</v>
      </c>
      <c r="G359" s="13"/>
    </row>
    <row r="360" spans="1:7" ht="14.4" x14ac:dyDescent="0.3">
      <c r="A360" s="15" t="s">
        <v>1329</v>
      </c>
      <c r="B360" s="13" t="str">
        <f>TRIM(Table4[[#This Row],[ypn]])</f>
        <v>7271007230AE</v>
      </c>
      <c r="C360" s="13" t="b">
        <f>Table4[[#This Row],[ypn]]=Table4[[#This Row],[trim]]</f>
        <v>1</v>
      </c>
      <c r="D360" s="13" t="e">
        <f>Table4[[#This Row],[ypn]]*1</f>
        <v>#VALUE!</v>
      </c>
      <c r="E360" s="13">
        <f>TYPE(Table4[[#This Row],[ypn]])</f>
        <v>2</v>
      </c>
      <c r="F360" t="s">
        <v>835</v>
      </c>
      <c r="G360" s="13"/>
    </row>
    <row r="361" spans="1:7" ht="14.4" x14ac:dyDescent="0.3">
      <c r="A361" s="15" t="s">
        <v>1330</v>
      </c>
      <c r="B361" s="13" t="str">
        <f>TRIM(Table4[[#This Row],[ypn]])</f>
        <v>7119668820E</v>
      </c>
      <c r="C361" s="13" t="b">
        <f>Table4[[#This Row],[ypn]]=Table4[[#This Row],[trim]]</f>
        <v>1</v>
      </c>
      <c r="D361" s="13" t="e">
        <f>Table4[[#This Row],[ypn]]*1</f>
        <v>#VALUE!</v>
      </c>
      <c r="E361" s="13">
        <f>TYPE(Table4[[#This Row],[ypn]])</f>
        <v>2</v>
      </c>
      <c r="F361" t="s">
        <v>564</v>
      </c>
      <c r="G361" s="13"/>
    </row>
    <row r="362" spans="1:7" ht="14.4" x14ac:dyDescent="0.3">
      <c r="A362" s="15" t="s">
        <v>1331</v>
      </c>
      <c r="B362" s="13" t="str">
        <f>TRIM(Table4[[#This Row],[ypn]])</f>
        <v>7119140530+7119140640+72711359E</v>
      </c>
      <c r="C362" s="13" t="b">
        <f>Table4[[#This Row],[ypn]]=Table4[[#This Row],[trim]]</f>
        <v>1</v>
      </c>
      <c r="D362" s="13" t="e">
        <f>Table4[[#This Row],[ypn]]*1</f>
        <v>#VALUE!</v>
      </c>
      <c r="E362" s="13">
        <f>TYPE(Table4[[#This Row],[ypn]])</f>
        <v>2</v>
      </c>
      <c r="F362" t="s">
        <v>630</v>
      </c>
      <c r="G362" s="13"/>
    </row>
    <row r="363" spans="1:7" ht="14.4" x14ac:dyDescent="0.3">
      <c r="A363" s="15" t="s">
        <v>1332</v>
      </c>
      <c r="B363" s="13" t="str">
        <f>TRIM(Table4[[#This Row],[ypn]])</f>
        <v>7289059730E</v>
      </c>
      <c r="C363" s="13" t="b">
        <f>Table4[[#This Row],[ypn]]=Table4[[#This Row],[trim]]</f>
        <v>1</v>
      </c>
      <c r="D363" s="13" t="e">
        <f>Table4[[#This Row],[ypn]]*1</f>
        <v>#VALUE!</v>
      </c>
      <c r="E363" s="13">
        <f>TYPE(Table4[[#This Row],[ypn]])</f>
        <v>2</v>
      </c>
      <c r="F363" t="s">
        <v>1419</v>
      </c>
      <c r="G363" s="13"/>
    </row>
    <row r="364" spans="1:7" ht="14.4" x14ac:dyDescent="0.3">
      <c r="A364" s="15" t="s">
        <v>1333</v>
      </c>
      <c r="B364" s="13" t="str">
        <f>TRIM(Table4[[#This Row],[ypn]])</f>
        <v>7198277430+7198277530+72741954E</v>
      </c>
      <c r="C364" s="13" t="b">
        <f>Table4[[#This Row],[ypn]]=Table4[[#This Row],[trim]]</f>
        <v>1</v>
      </c>
      <c r="D364" s="13" t="e">
        <f>Table4[[#This Row],[ypn]]*1</f>
        <v>#VALUE!</v>
      </c>
      <c r="E364" s="13">
        <f>TYPE(Table4[[#This Row],[ypn]])</f>
        <v>2</v>
      </c>
      <c r="F364" t="s">
        <v>663</v>
      </c>
      <c r="G364" s="13"/>
    </row>
    <row r="365" spans="1:7" ht="14.4" x14ac:dyDescent="0.3">
      <c r="A365" s="15" t="s">
        <v>1334</v>
      </c>
      <c r="B365" s="13" t="str">
        <f>TRIM(Table4[[#This Row],[ypn]])</f>
        <v>7289690230E</v>
      </c>
      <c r="C365" s="13" t="b">
        <f>Table4[[#This Row],[ypn]]=Table4[[#This Row],[trim]]</f>
        <v>1</v>
      </c>
      <c r="D365" s="13" t="e">
        <f>Table4[[#This Row],[ypn]]*1</f>
        <v>#VALUE!</v>
      </c>
      <c r="E365" s="13">
        <f>TYPE(Table4[[#This Row],[ypn]])</f>
        <v>2</v>
      </c>
      <c r="F365" t="s">
        <v>1420</v>
      </c>
      <c r="G365" s="13"/>
    </row>
    <row r="366" spans="1:7" ht="14.4" x14ac:dyDescent="0.3">
      <c r="A366" s="15" t="s">
        <v>1335</v>
      </c>
      <c r="B366" s="13" t="str">
        <f>TRIM(Table4[[#This Row],[ypn]])</f>
        <v>7189811530+7289811830+72741554AE</v>
      </c>
      <c r="C366" s="13" t="b">
        <f>Table4[[#This Row],[ypn]]=Table4[[#This Row],[trim]]</f>
        <v>1</v>
      </c>
      <c r="D366" s="13" t="e">
        <f>Table4[[#This Row],[ypn]]*1</f>
        <v>#VALUE!</v>
      </c>
      <c r="E366" s="13">
        <f>TYPE(Table4[[#This Row],[ypn]])</f>
        <v>2</v>
      </c>
      <c r="F366" t="s">
        <v>661</v>
      </c>
      <c r="G366" s="13"/>
    </row>
    <row r="367" spans="1:7" ht="14.4" x14ac:dyDescent="0.3">
      <c r="A367" s="15" t="s">
        <v>1336</v>
      </c>
      <c r="B367" s="13" t="str">
        <f>TRIM(Table4[[#This Row],[ypn]])</f>
        <v>7219632230E</v>
      </c>
      <c r="C367" s="13" t="b">
        <f>Table4[[#This Row],[ypn]]=Table4[[#This Row],[trim]]</f>
        <v>1</v>
      </c>
      <c r="D367" s="13" t="e">
        <f>Table4[[#This Row],[ypn]]*1</f>
        <v>#VALUE!</v>
      </c>
      <c r="E367" s="13">
        <f>TYPE(Table4[[#This Row],[ypn]])</f>
        <v>2</v>
      </c>
      <c r="F367" t="s">
        <v>1421</v>
      </c>
      <c r="G367" s="13"/>
    </row>
    <row r="368" spans="1:7" ht="14.4" x14ac:dyDescent="0.3">
      <c r="A368" s="15" t="s">
        <v>1337</v>
      </c>
      <c r="B368" s="13" t="str">
        <f>TRIM(Table4[[#This Row],[ypn]])</f>
        <v>7289896430E</v>
      </c>
      <c r="C368" s="13" t="b">
        <f>Table4[[#This Row],[ypn]]=Table4[[#This Row],[trim]]</f>
        <v>1</v>
      </c>
      <c r="D368" s="13" t="e">
        <f>Table4[[#This Row],[ypn]]*1</f>
        <v>#VALUE!</v>
      </c>
      <c r="E368" s="13">
        <f>TYPE(Table4[[#This Row],[ypn]])</f>
        <v>2</v>
      </c>
      <c r="F368" t="s">
        <v>1422</v>
      </c>
      <c r="G368" s="13"/>
    </row>
    <row r="369" spans="1:7" ht="14.4" x14ac:dyDescent="0.3">
      <c r="A369" s="15" t="s">
        <v>1338</v>
      </c>
      <c r="B369" s="13" t="str">
        <f>TRIM(Table4[[#This Row],[ypn]])</f>
        <v>7289921730E</v>
      </c>
      <c r="C369" s="13" t="b">
        <f>Table4[[#This Row],[ypn]]=Table4[[#This Row],[trim]]</f>
        <v>1</v>
      </c>
      <c r="D369" s="13" t="e">
        <f>Table4[[#This Row],[ypn]]*1</f>
        <v>#VALUE!</v>
      </c>
      <c r="E369" s="13">
        <f>TYPE(Table4[[#This Row],[ypn]])</f>
        <v>2</v>
      </c>
      <c r="F369" t="s">
        <v>1423</v>
      </c>
      <c r="G369" s="13"/>
    </row>
    <row r="370" spans="1:7" ht="14.4" x14ac:dyDescent="0.3">
      <c r="A370" s="15" t="s">
        <v>1339</v>
      </c>
      <c r="B370" s="13" t="str">
        <f>TRIM(Table4[[#This Row],[ypn]])</f>
        <v>7219182630E</v>
      </c>
      <c r="C370" s="13" t="b">
        <f>Table4[[#This Row],[ypn]]=Table4[[#This Row],[trim]]</f>
        <v>1</v>
      </c>
      <c r="D370" s="13" t="e">
        <f>Table4[[#This Row],[ypn]]*1</f>
        <v>#VALUE!</v>
      </c>
      <c r="E370" s="13">
        <f>TYPE(Table4[[#This Row],[ypn]])</f>
        <v>2</v>
      </c>
      <c r="F370" t="s">
        <v>572</v>
      </c>
      <c r="G370" s="13"/>
    </row>
    <row r="371" spans="1:7" ht="14.4" x14ac:dyDescent="0.3">
      <c r="A371" s="15" t="s">
        <v>1340</v>
      </c>
      <c r="B371" s="13" t="str">
        <f>TRIM(Table4[[#This Row],[ypn]])</f>
        <v>7198948560E</v>
      </c>
      <c r="C371" s="13" t="b">
        <f>Table4[[#This Row],[ypn]]=Table4[[#This Row],[trim]]</f>
        <v>1</v>
      </c>
      <c r="D371" s="13" t="e">
        <f>Table4[[#This Row],[ypn]]*1</f>
        <v>#VALUE!</v>
      </c>
      <c r="E371" s="13">
        <f>TYPE(Table4[[#This Row],[ypn]])</f>
        <v>2</v>
      </c>
      <c r="F371" t="s">
        <v>1424</v>
      </c>
      <c r="G371" s="13"/>
    </row>
    <row r="372" spans="1:7" ht="14.4" x14ac:dyDescent="0.3">
      <c r="A372" s="15" t="s">
        <v>1341</v>
      </c>
      <c r="B372" s="13" t="str">
        <f>TRIM(Table4[[#This Row],[ypn]])</f>
        <v>7198796290E</v>
      </c>
      <c r="C372" s="13" t="b">
        <f>Table4[[#This Row],[ypn]]=Table4[[#This Row],[trim]]</f>
        <v>1</v>
      </c>
      <c r="D372" s="13" t="e">
        <f>Table4[[#This Row],[ypn]]*1</f>
        <v>#VALUE!</v>
      </c>
      <c r="E372" s="13">
        <f>TYPE(Table4[[#This Row],[ypn]])</f>
        <v>2</v>
      </c>
      <c r="F372" t="s">
        <v>1425</v>
      </c>
      <c r="G372" s="13"/>
    </row>
    <row r="373" spans="1:7" ht="14.4" x14ac:dyDescent="0.3">
      <c r="A373" s="15" t="s">
        <v>1342</v>
      </c>
      <c r="B373" s="13" t="str">
        <f>TRIM(Table4[[#This Row],[ypn]])</f>
        <v>7219632030E</v>
      </c>
      <c r="C373" s="13" t="b">
        <f>Table4[[#This Row],[ypn]]=Table4[[#This Row],[trim]]</f>
        <v>1</v>
      </c>
      <c r="D373" s="13" t="e">
        <f>Table4[[#This Row],[ypn]]*1</f>
        <v>#VALUE!</v>
      </c>
      <c r="E373" s="13">
        <f>TYPE(Table4[[#This Row],[ypn]])</f>
        <v>2</v>
      </c>
      <c r="F373" t="s">
        <v>574</v>
      </c>
      <c r="G373" s="13"/>
    </row>
    <row r="374" spans="1:7" ht="14.4" x14ac:dyDescent="0.3">
      <c r="A374" s="15" t="s">
        <v>1343</v>
      </c>
      <c r="B374" s="13" t="str">
        <f>TRIM(Table4[[#This Row],[ypn]])</f>
        <v>7298677930E</v>
      </c>
      <c r="C374" s="13" t="b">
        <f>Table4[[#This Row],[ypn]]=Table4[[#This Row],[trim]]</f>
        <v>1</v>
      </c>
      <c r="D374" s="13" t="e">
        <f>Table4[[#This Row],[ypn]]*1</f>
        <v>#VALUE!</v>
      </c>
      <c r="E374" s="13">
        <f>TYPE(Table4[[#This Row],[ypn]])</f>
        <v>2</v>
      </c>
      <c r="F374" t="s">
        <v>1426</v>
      </c>
      <c r="G374" s="13"/>
    </row>
    <row r="375" spans="1:7" ht="14.4" x14ac:dyDescent="0.3">
      <c r="A375" s="15" t="s">
        <v>1344</v>
      </c>
      <c r="B375" s="13" t="str">
        <f>TRIM(Table4[[#This Row],[ypn]])</f>
        <v>7298948930E</v>
      </c>
      <c r="C375" s="13" t="b">
        <f>Table4[[#This Row],[ypn]]=Table4[[#This Row],[trim]]</f>
        <v>1</v>
      </c>
      <c r="D375" s="13" t="e">
        <f>Table4[[#This Row],[ypn]]*1</f>
        <v>#VALUE!</v>
      </c>
      <c r="E375" s="13">
        <f>TYPE(Table4[[#This Row],[ypn]])</f>
        <v>2</v>
      </c>
      <c r="F375" t="s">
        <v>1427</v>
      </c>
      <c r="G375" s="13"/>
    </row>
    <row r="376" spans="1:7" ht="14.4" x14ac:dyDescent="0.3">
      <c r="A376" s="15" t="s">
        <v>1345</v>
      </c>
      <c r="B376" s="13" t="str">
        <f>TRIM(Table4[[#This Row],[ypn]])</f>
        <v>71897277E</v>
      </c>
      <c r="C376" s="13" t="b">
        <f>Table4[[#This Row],[ypn]]=Table4[[#This Row],[trim]]</f>
        <v>1</v>
      </c>
      <c r="D376" s="13" t="e">
        <f>Table4[[#This Row],[ypn]]*1</f>
        <v>#VALUE!</v>
      </c>
      <c r="E376" s="13">
        <f>TYPE(Table4[[#This Row],[ypn]])</f>
        <v>2</v>
      </c>
      <c r="F376" t="s">
        <v>1428</v>
      </c>
      <c r="G376" s="13"/>
    </row>
    <row r="377" spans="1:7" ht="14.4" x14ac:dyDescent="0.3">
      <c r="A377" s="15" t="s">
        <v>1346</v>
      </c>
      <c r="B377" s="13" t="str">
        <f>TRIM(Table4[[#This Row],[ypn]])</f>
        <v>7198916130E</v>
      </c>
      <c r="C377" s="13" t="b">
        <f>Table4[[#This Row],[ypn]]=Table4[[#This Row],[trim]]</f>
        <v>1</v>
      </c>
      <c r="D377" s="13" t="e">
        <f>Table4[[#This Row],[ypn]]*1</f>
        <v>#VALUE!</v>
      </c>
      <c r="E377" s="13">
        <f>TYPE(Table4[[#This Row],[ypn]])</f>
        <v>2</v>
      </c>
      <c r="F377" t="s">
        <v>1429</v>
      </c>
      <c r="G377" s="13"/>
    </row>
    <row r="378" spans="1:7" ht="14.4" x14ac:dyDescent="0.3">
      <c r="A378" s="15" t="s">
        <v>1347</v>
      </c>
      <c r="B378" s="13" t="str">
        <f>TRIM(Table4[[#This Row],[ypn]])</f>
        <v>7297914930E</v>
      </c>
      <c r="C378" s="13" t="b">
        <f>Table4[[#This Row],[ypn]]=Table4[[#This Row],[trim]]</f>
        <v>1</v>
      </c>
      <c r="D378" s="13" t="e">
        <f>Table4[[#This Row],[ypn]]*1</f>
        <v>#VALUE!</v>
      </c>
      <c r="E378" s="13">
        <f>TYPE(Table4[[#This Row],[ypn]])</f>
        <v>2</v>
      </c>
      <c r="F378" t="s">
        <v>813</v>
      </c>
      <c r="G378" s="13"/>
    </row>
    <row r="379" spans="1:7" ht="14.4" x14ac:dyDescent="0.3">
      <c r="A379" s="15" t="s">
        <v>1348</v>
      </c>
      <c r="B379" s="13" t="str">
        <f>TRIM(Table4[[#This Row],[ypn]])</f>
        <v>7298913330E</v>
      </c>
      <c r="C379" s="13" t="b">
        <f>Table4[[#This Row],[ypn]]=Table4[[#This Row],[trim]]</f>
        <v>1</v>
      </c>
      <c r="D379" s="13" t="e">
        <f>Table4[[#This Row],[ypn]]*1</f>
        <v>#VALUE!</v>
      </c>
      <c r="E379" s="13">
        <f>TYPE(Table4[[#This Row],[ypn]])</f>
        <v>2</v>
      </c>
      <c r="F379" t="s">
        <v>817</v>
      </c>
      <c r="G379" s="13"/>
    </row>
    <row r="380" spans="1:7" ht="14.4" x14ac:dyDescent="0.3">
      <c r="A380" s="15" t="s">
        <v>1349</v>
      </c>
      <c r="B380" s="13" t="str">
        <f>TRIM(Table4[[#This Row],[ypn]])</f>
        <v>71986562E</v>
      </c>
      <c r="C380" s="13" t="b">
        <f>Table4[[#This Row],[ypn]]=Table4[[#This Row],[trim]]</f>
        <v>1</v>
      </c>
      <c r="D380" s="13" t="e">
        <f>Table4[[#This Row],[ypn]]*1</f>
        <v>#VALUE!</v>
      </c>
      <c r="E380" s="13">
        <f>TYPE(Table4[[#This Row],[ypn]])</f>
        <v>2</v>
      </c>
      <c r="F380" t="s">
        <v>1430</v>
      </c>
      <c r="G380" s="13"/>
    </row>
    <row r="381" spans="1:7" ht="14.4" x14ac:dyDescent="0.3">
      <c r="A381" s="15" t="s">
        <v>1350</v>
      </c>
      <c r="B381" s="13" t="str">
        <f>TRIM(Table4[[#This Row],[ypn]])</f>
        <v>7297944190E</v>
      </c>
      <c r="C381" s="13" t="b">
        <f>Table4[[#This Row],[ypn]]=Table4[[#This Row],[trim]]</f>
        <v>1</v>
      </c>
      <c r="D381" s="13" t="e">
        <f>Table4[[#This Row],[ypn]]*1</f>
        <v>#VALUE!</v>
      </c>
      <c r="E381" s="13">
        <f>TYPE(Table4[[#This Row],[ypn]])</f>
        <v>2</v>
      </c>
      <c r="F381" t="s">
        <v>1431</v>
      </c>
      <c r="G381" s="13"/>
    </row>
    <row r="382" spans="1:7" ht="14.4" x14ac:dyDescent="0.3">
      <c r="A382" s="15" t="s">
        <v>1351</v>
      </c>
      <c r="B382" s="13" t="str">
        <f>TRIM(Table4[[#This Row],[ypn]])</f>
        <v>7298912930E</v>
      </c>
      <c r="C382" s="13" t="b">
        <f>Table4[[#This Row],[ypn]]=Table4[[#This Row],[trim]]</f>
        <v>1</v>
      </c>
      <c r="D382" s="13" t="e">
        <f>Table4[[#This Row],[ypn]]*1</f>
        <v>#VALUE!</v>
      </c>
      <c r="E382" s="13">
        <f>TYPE(Table4[[#This Row],[ypn]])</f>
        <v>2</v>
      </c>
      <c r="F382" t="s">
        <v>816</v>
      </c>
      <c r="G382" s="13"/>
    </row>
    <row r="383" spans="1:7" ht="14.4" x14ac:dyDescent="0.3">
      <c r="A383" s="15" t="s">
        <v>1352</v>
      </c>
      <c r="B383" s="13" t="str">
        <f>TRIM(Table4[[#This Row],[ypn]])</f>
        <v>7298949030E</v>
      </c>
      <c r="C383" s="13" t="b">
        <f>Table4[[#This Row],[ypn]]=Table4[[#This Row],[trim]]</f>
        <v>1</v>
      </c>
      <c r="D383" s="13" t="e">
        <f>Table4[[#This Row],[ypn]]*1</f>
        <v>#VALUE!</v>
      </c>
      <c r="E383" s="13">
        <f>TYPE(Table4[[#This Row],[ypn]])</f>
        <v>2</v>
      </c>
      <c r="F383" t="s">
        <v>819</v>
      </c>
      <c r="G383" s="13"/>
    </row>
    <row r="384" spans="1:7" ht="14.4" x14ac:dyDescent="0.3">
      <c r="A384" s="15" t="s">
        <v>1353</v>
      </c>
      <c r="B384" s="13" t="str">
        <f>TRIM(Table4[[#This Row],[ypn]])</f>
        <v>71196714E</v>
      </c>
      <c r="C384" s="13" t="b">
        <f>Table4[[#This Row],[ypn]]=Table4[[#This Row],[trim]]</f>
        <v>1</v>
      </c>
      <c r="D384" s="13" t="e">
        <f>Table4[[#This Row],[ypn]]*1</f>
        <v>#VALUE!</v>
      </c>
      <c r="E384" s="13">
        <f>TYPE(Table4[[#This Row],[ypn]])</f>
        <v>2</v>
      </c>
      <c r="F384" t="s">
        <v>1432</v>
      </c>
      <c r="G384" s="13"/>
    </row>
    <row r="385" spans="1:7" ht="14.4" x14ac:dyDescent="0.3">
      <c r="A385" s="15">
        <v>7298808930</v>
      </c>
      <c r="B385" s="13" t="str">
        <f>TRIM(Table4[[#This Row],[ypn]])</f>
        <v>7298808930</v>
      </c>
      <c r="C385" s="13" t="b">
        <f>Table4[[#This Row],[ypn]]=Table4[[#This Row],[trim]]</f>
        <v>0</v>
      </c>
      <c r="D385" s="13">
        <f>Table4[[#This Row],[ypn]]*1</f>
        <v>7298808930</v>
      </c>
      <c r="E385" s="13">
        <f>TYPE(Table4[[#This Row],[ypn]])</f>
        <v>1</v>
      </c>
      <c r="F385" t="s">
        <v>815</v>
      </c>
      <c r="G385" s="13"/>
    </row>
    <row r="386" spans="1:7" ht="14.4" x14ac:dyDescent="0.3">
      <c r="A386" s="15" t="s">
        <v>1354</v>
      </c>
      <c r="B386" s="13" t="str">
        <f>TRIM(Table4[[#This Row],[ypn]])</f>
        <v>72897304E_72895207E</v>
      </c>
      <c r="C386" s="13" t="b">
        <f>Table4[[#This Row],[ypn]]=Table4[[#This Row],[trim]]</f>
        <v>1</v>
      </c>
      <c r="D386" s="13" t="e">
        <f>Table4[[#This Row],[ypn]]*1</f>
        <v>#VALUE!</v>
      </c>
      <c r="E386" s="13">
        <f>TYPE(Table4[[#This Row],[ypn]])</f>
        <v>2</v>
      </c>
      <c r="G386" s="13"/>
    </row>
    <row r="387" spans="1:7" ht="14.4" x14ac:dyDescent="0.3">
      <c r="A387" s="15" t="s">
        <v>1355</v>
      </c>
      <c r="B387" s="13" t="str">
        <f>TRIM(Table4[[#This Row],[ypn]])</f>
        <v>71781227E</v>
      </c>
      <c r="C387" s="13" t="b">
        <f>Table4[[#This Row],[ypn]]=Table4[[#This Row],[trim]]</f>
        <v>1</v>
      </c>
      <c r="D387" s="13" t="e">
        <f>Table4[[#This Row],[ypn]]*1</f>
        <v>#VALUE!</v>
      </c>
      <c r="E387" s="13">
        <f>TYPE(Table4[[#This Row],[ypn]])</f>
        <v>2</v>
      </c>
      <c r="F387" t="s">
        <v>1433</v>
      </c>
      <c r="G387" s="13"/>
    </row>
    <row r="388" spans="1:7" ht="14.4" x14ac:dyDescent="0.3">
      <c r="A388" s="15" t="s">
        <v>776</v>
      </c>
      <c r="B388" s="13" t="str">
        <f>TRIM(Table4[[#This Row],[ypn]])</f>
        <v>FoamholderX18_2-2-B_V1</v>
      </c>
      <c r="C388" s="13" t="b">
        <f>Table4[[#This Row],[ypn]]=Table4[[#This Row],[trim]]</f>
        <v>1</v>
      </c>
      <c r="D388" s="13" t="e">
        <f>Table4[[#This Row],[ypn]]*1</f>
        <v>#VALUE!</v>
      </c>
      <c r="E388" s="13">
        <f>TYPE(Table4[[#This Row],[ypn]])</f>
        <v>2</v>
      </c>
      <c r="F388" t="s">
        <v>837</v>
      </c>
      <c r="G388" s="13"/>
    </row>
    <row r="389" spans="1:7" ht="14.4" x14ac:dyDescent="0.3">
      <c r="A389" s="15" t="s">
        <v>1356</v>
      </c>
      <c r="B389" s="13" t="str">
        <f>TRIM(Table4[[#This Row],[ypn]])</f>
        <v>FOAM HOLDER</v>
      </c>
      <c r="C389" s="13" t="b">
        <f>Table4[[#This Row],[ypn]]=Table4[[#This Row],[trim]]</f>
        <v>1</v>
      </c>
      <c r="D389" s="13" t="e">
        <f>Table4[[#This Row],[ypn]]*1</f>
        <v>#VALUE!</v>
      </c>
      <c r="E389" s="13">
        <f>TYPE(Table4[[#This Row],[ypn]])</f>
        <v>2</v>
      </c>
      <c r="F389" t="s">
        <v>1434</v>
      </c>
      <c r="G389" s="13"/>
    </row>
    <row r="390" spans="1:7" ht="14.4" x14ac:dyDescent="0.3">
      <c r="A390" s="15" t="s">
        <v>777</v>
      </c>
      <c r="B390" s="13" t="str">
        <f>TRIM(Table4[[#This Row],[ypn]])</f>
        <v>FOAMHOLDERX35_RHD</v>
      </c>
      <c r="C390" s="13" t="b">
        <f>Table4[[#This Row],[ypn]]=Table4[[#This Row],[trim]]</f>
        <v>1</v>
      </c>
      <c r="D390" s="13" t="e">
        <f>Table4[[#This Row],[ypn]]*1</f>
        <v>#VALUE!</v>
      </c>
      <c r="E390" s="13">
        <f>TYPE(Table4[[#This Row],[ypn]])</f>
        <v>2</v>
      </c>
      <c r="F390" t="s">
        <v>838</v>
      </c>
      <c r="G390" s="13"/>
    </row>
    <row r="391" spans="1:7" ht="14.4" x14ac:dyDescent="0.3">
      <c r="A391" s="15" t="s">
        <v>778</v>
      </c>
      <c r="B391" s="13" t="str">
        <f>TRIM(Table4[[#This Row],[ypn]])</f>
        <v>FOAMHOLDERA1261-B_V1RHD</v>
      </c>
      <c r="C391" s="13" t="b">
        <f>Table4[[#This Row],[ypn]]=Table4[[#This Row],[trim]]</f>
        <v>1</v>
      </c>
      <c r="D391" s="13" t="e">
        <f>Table4[[#This Row],[ypn]]*1</f>
        <v>#VALUE!</v>
      </c>
      <c r="E391" s="13">
        <f>TYPE(Table4[[#This Row],[ypn]])</f>
        <v>2</v>
      </c>
      <c r="F391" t="s">
        <v>839</v>
      </c>
      <c r="G391" s="13"/>
    </row>
    <row r="392" spans="1:7" ht="14.4" x14ac:dyDescent="0.3">
      <c r="A392" s="15" t="s">
        <v>1357</v>
      </c>
      <c r="B392" s="13" t="str">
        <f>TRIM(Table4[[#This Row],[ypn]])</f>
        <v>7119-1621-30+7274-0253-90A</v>
      </c>
      <c r="C392" s="13" t="b">
        <f>Table4[[#This Row],[ypn]]=Table4[[#This Row],[trim]]</f>
        <v>1</v>
      </c>
      <c r="D392" s="13" t="e">
        <f>Table4[[#This Row],[ypn]]*1</f>
        <v>#VALUE!</v>
      </c>
      <c r="E392" s="13">
        <f>TYPE(Table4[[#This Row],[ypn]])</f>
        <v>2</v>
      </c>
      <c r="F392" t="s">
        <v>1435</v>
      </c>
      <c r="G392" s="13"/>
    </row>
    <row r="393" spans="1:7" ht="14.4" x14ac:dyDescent="0.3">
      <c r="A393" s="15" t="s">
        <v>768</v>
      </c>
      <c r="B393" s="13" t="str">
        <f>TRIM(Table4[[#This Row],[ypn]])</f>
        <v>X1PO2007</v>
      </c>
      <c r="C393" s="13" t="b">
        <f>Table4[[#This Row],[ypn]]=Table4[[#This Row],[trim]]</f>
        <v>1</v>
      </c>
      <c r="D393" s="13" t="e">
        <f>Table4[[#This Row],[ypn]]*1</f>
        <v>#VALUE!</v>
      </c>
      <c r="E393" s="13">
        <f>TYPE(Table4[[#This Row],[ypn]])</f>
        <v>2</v>
      </c>
      <c r="F393" t="s">
        <v>833</v>
      </c>
      <c r="G393" s="13"/>
    </row>
    <row r="394" spans="1:7" ht="14.4" x14ac:dyDescent="0.3">
      <c r="A394" s="15" t="s">
        <v>258</v>
      </c>
      <c r="B394" s="13" t="str">
        <f>TRIM(Table4[[#This Row],[ypn]])</f>
        <v>A1729821302_EYELET V3 4-KS</v>
      </c>
      <c r="C394" s="13" t="b">
        <f>Table4[[#This Row],[ypn]]=Table4[[#This Row],[trim]]</f>
        <v>1</v>
      </c>
      <c r="D394" s="13" t="e">
        <f>Table4[[#This Row],[ypn]]*1</f>
        <v>#VALUE!</v>
      </c>
      <c r="E394" s="13">
        <f>TYPE(Table4[[#This Row],[ypn]])</f>
        <v>2</v>
      </c>
      <c r="F394" t="s">
        <v>1436</v>
      </c>
      <c r="G394" s="13"/>
    </row>
    <row r="395" spans="1:7" ht="14.4" x14ac:dyDescent="0.3">
      <c r="A395" s="15" t="s">
        <v>1358</v>
      </c>
      <c r="B395" s="13" t="str">
        <f>TRIM(Table4[[#This Row],[ypn]])</f>
        <v>ASSY_D4Z001DC0CE</v>
      </c>
      <c r="C395" s="13" t="b">
        <f>Table4[[#This Row],[ypn]]=Table4[[#This Row],[trim]]</f>
        <v>1</v>
      </c>
      <c r="D395" s="13" t="e">
        <f>Table4[[#This Row],[ypn]]*1</f>
        <v>#VALUE!</v>
      </c>
      <c r="E395" s="13">
        <f>TYPE(Table4[[#This Row],[ypn]])</f>
        <v>2</v>
      </c>
      <c r="F395" t="s">
        <v>1437</v>
      </c>
      <c r="G395" s="13"/>
    </row>
    <row r="396" spans="1:7" ht="14.4" x14ac:dyDescent="0.3">
      <c r="A396" s="15" t="s">
        <v>1359</v>
      </c>
      <c r="B396" s="13" t="str">
        <f>TRIM(Table4[[#This Row],[ypn]])</f>
        <v>ASSY_59Z063DC0AE</v>
      </c>
      <c r="C396" s="13" t="b">
        <f>Table4[[#This Row],[ypn]]=Table4[[#This Row],[trim]]</f>
        <v>1</v>
      </c>
      <c r="D396" s="13" t="e">
        <f>Table4[[#This Row],[ypn]]*1</f>
        <v>#VALUE!</v>
      </c>
      <c r="E396" s="13">
        <f>TYPE(Table4[[#This Row],[ypn]])</f>
        <v>2</v>
      </c>
      <c r="F396" t="s">
        <v>1438</v>
      </c>
      <c r="G396" s="13"/>
    </row>
    <row r="397" spans="1:7" ht="14.4" x14ac:dyDescent="0.3">
      <c r="A397" s="15" t="s">
        <v>1360</v>
      </c>
      <c r="B397" s="13" t="str">
        <f>TRIM(Table4[[#This Row],[ypn]])</f>
        <v>ASSY_59Z063DC0BE</v>
      </c>
      <c r="C397" s="13" t="b">
        <f>Table4[[#This Row],[ypn]]=Table4[[#This Row],[trim]]</f>
        <v>1</v>
      </c>
      <c r="D397" s="13" t="e">
        <f>Table4[[#This Row],[ypn]]*1</f>
        <v>#VALUE!</v>
      </c>
      <c r="E397" s="13">
        <f>TYPE(Table4[[#This Row],[ypn]])</f>
        <v>2</v>
      </c>
      <c r="F397" t="s">
        <v>1439</v>
      </c>
      <c r="G397" s="13"/>
    </row>
    <row r="398" spans="1:7" ht="14.4" x14ac:dyDescent="0.3">
      <c r="A398" s="15" t="s">
        <v>1361</v>
      </c>
      <c r="B398" s="13" t="str">
        <f>TRIM(Table4[[#This Row],[ypn]])</f>
        <v>ASSY_59Z063DC0CE</v>
      </c>
      <c r="C398" s="13" t="b">
        <f>Table4[[#This Row],[ypn]]=Table4[[#This Row],[trim]]</f>
        <v>1</v>
      </c>
      <c r="D398" s="13" t="e">
        <f>Table4[[#This Row],[ypn]]*1</f>
        <v>#VALUE!</v>
      </c>
      <c r="E398" s="13">
        <f>TYPE(Table4[[#This Row],[ypn]])</f>
        <v>2</v>
      </c>
      <c r="F398" t="s">
        <v>1440</v>
      </c>
      <c r="G398" s="13"/>
    </row>
    <row r="399" spans="1:7" ht="14.4" x14ac:dyDescent="0.3">
      <c r="A399" s="15" t="s">
        <v>766</v>
      </c>
      <c r="B399" s="13" t="str">
        <f>TRIM(Table4[[#This Row],[ypn]])</f>
        <v>ASSY_PPI0001107+ASSY_CA288A25199XXX+ASSY_CA288A35199XXX</v>
      </c>
      <c r="C399" s="13" t="b">
        <f>Table4[[#This Row],[ypn]]=Table4[[#This Row],[trim]]</f>
        <v>1</v>
      </c>
      <c r="D399" s="13" t="e">
        <f>Table4[[#This Row],[ypn]]*1</f>
        <v>#VALUE!</v>
      </c>
      <c r="E399" s="13">
        <f>TYPE(Table4[[#This Row],[ypn]])</f>
        <v>2</v>
      </c>
      <c r="F399" t="s">
        <v>1441</v>
      </c>
      <c r="G399" s="13"/>
    </row>
    <row r="400" spans="1:7" ht="14.4" x14ac:dyDescent="0.3">
      <c r="A400" s="15" t="s">
        <v>767</v>
      </c>
      <c r="B400" s="13" t="str">
        <f>TRIM(Table4[[#This Row],[ypn]])</f>
        <v>ASSY_PPI0001107+ASSY_PPI0001651+ASSY_PPI0001652</v>
      </c>
      <c r="C400" s="13" t="b">
        <f>Table4[[#This Row],[ypn]]=Table4[[#This Row],[trim]]</f>
        <v>1</v>
      </c>
      <c r="D400" s="13" t="e">
        <f>Table4[[#This Row],[ypn]]*1</f>
        <v>#VALUE!</v>
      </c>
      <c r="E400" s="13">
        <f>TYPE(Table4[[#This Row],[ypn]])</f>
        <v>2</v>
      </c>
      <c r="F400" t="s">
        <v>1441</v>
      </c>
      <c r="G400" s="13"/>
    </row>
    <row r="401" spans="1:7" ht="14.4" x14ac:dyDescent="0.3">
      <c r="A401" s="15" t="s">
        <v>381</v>
      </c>
      <c r="B401" s="13" t="str">
        <f>TRIM(Table4[[#This Row],[ypn]])</f>
        <v>ASSY_PPI0001107</v>
      </c>
      <c r="C401" s="13" t="b">
        <f>Table4[[#This Row],[ypn]]=Table4[[#This Row],[trim]]</f>
        <v>1</v>
      </c>
      <c r="D401" s="13" t="e">
        <f>Table4[[#This Row],[ypn]]*1</f>
        <v>#VALUE!</v>
      </c>
      <c r="E401" s="13">
        <f>TYPE(Table4[[#This Row],[ypn]])</f>
        <v>2</v>
      </c>
      <c r="F401" t="s">
        <v>1441</v>
      </c>
      <c r="G401" s="13"/>
    </row>
    <row r="402" spans="1:7" ht="14.4" x14ac:dyDescent="0.3">
      <c r="A402" s="15" t="s">
        <v>271</v>
      </c>
      <c r="B402" s="13" t="str">
        <f>TRIM(Table4[[#This Row],[ypn]])</f>
        <v>ASSY_CA288A35199XXX</v>
      </c>
      <c r="C402" s="13" t="b">
        <f>Table4[[#This Row],[ypn]]=Table4[[#This Row],[trim]]</f>
        <v>1</v>
      </c>
      <c r="D402" s="13" t="e">
        <f>Table4[[#This Row],[ypn]]*1</f>
        <v>#VALUE!</v>
      </c>
      <c r="E402" s="13">
        <f>TYPE(Table4[[#This Row],[ypn]])</f>
        <v>2</v>
      </c>
      <c r="F402" t="s">
        <v>1441</v>
      </c>
      <c r="G402" s="13"/>
    </row>
    <row r="403" spans="1:7" ht="14.4" x14ac:dyDescent="0.3">
      <c r="A403" s="15" t="s">
        <v>762</v>
      </c>
      <c r="B403" s="13" t="str">
        <f>TRIM(Table4[[#This Row],[ypn]])</f>
        <v>ASSY_59K24K1XX92A4C</v>
      </c>
      <c r="C403" s="13" t="b">
        <f>Table4[[#This Row],[ypn]]=Table4[[#This Row],[trim]]</f>
        <v>1</v>
      </c>
      <c r="D403" s="13" t="e">
        <f>Table4[[#This Row],[ypn]]*1</f>
        <v>#VALUE!</v>
      </c>
      <c r="E403" s="13">
        <f>TYPE(Table4[[#This Row],[ypn]])</f>
        <v>2</v>
      </c>
      <c r="F403" t="s">
        <v>1442</v>
      </c>
      <c r="G403" s="13"/>
    </row>
    <row r="404" spans="1:7" ht="14.4" x14ac:dyDescent="0.3">
      <c r="A404" s="15" t="s">
        <v>236</v>
      </c>
      <c r="B404" s="13" t="str">
        <f>TRIM(Table4[[#This Row],[ypn]])</f>
        <v>7119632530+7119632630+72742614A</v>
      </c>
      <c r="C404" s="13" t="b">
        <f>Table4[[#This Row],[ypn]]=Table4[[#This Row],[trim]]</f>
        <v>1</v>
      </c>
      <c r="D404" s="13" t="e">
        <f>Table4[[#This Row],[ypn]]*1</f>
        <v>#VALUE!</v>
      </c>
      <c r="E404" s="13">
        <f>TYPE(Table4[[#This Row],[ypn]])</f>
        <v>2</v>
      </c>
      <c r="F404" t="s">
        <v>632</v>
      </c>
      <c r="G404" s="13"/>
    </row>
    <row r="405" spans="1:7" ht="14.4" x14ac:dyDescent="0.3">
      <c r="A405" s="15" t="s">
        <v>755</v>
      </c>
      <c r="B405" s="13" t="str">
        <f>TRIM(Table4[[#This Row],[ypn]])</f>
        <v>7198762530+7198600430+X1PO1C35A</v>
      </c>
      <c r="C405" s="13" t="b">
        <f>Table4[[#This Row],[ypn]]=Table4[[#This Row],[trim]]</f>
        <v>1</v>
      </c>
      <c r="D405" s="13" t="e">
        <f>Table4[[#This Row],[ypn]]*1</f>
        <v>#VALUE!</v>
      </c>
      <c r="E405" s="13">
        <f>TYPE(Table4[[#This Row],[ypn]])</f>
        <v>2</v>
      </c>
      <c r="F405" t="s">
        <v>667</v>
      </c>
      <c r="G405" s="13"/>
    </row>
    <row r="406" spans="1:7" ht="14.4" x14ac:dyDescent="0.3">
      <c r="A406" s="15" t="s">
        <v>363</v>
      </c>
      <c r="B406" s="13" t="str">
        <f>TRIM(Table4[[#This Row],[ypn]])</f>
        <v>7198913290+7189662430</v>
      </c>
      <c r="C406" s="13" t="b">
        <f>Table4[[#This Row],[ypn]]=Table4[[#This Row],[trim]]</f>
        <v>1</v>
      </c>
      <c r="D406" s="13" t="e">
        <f>Table4[[#This Row],[ypn]]*1</f>
        <v>#VALUE!</v>
      </c>
      <c r="E406" s="13">
        <f>TYPE(Table4[[#This Row],[ypn]])</f>
        <v>2</v>
      </c>
      <c r="F406" t="s">
        <v>1443</v>
      </c>
      <c r="G406" s="13"/>
    </row>
    <row r="407" spans="1:7" ht="14.4" x14ac:dyDescent="0.3">
      <c r="A407" s="15" t="s">
        <v>760</v>
      </c>
      <c r="B407" s="13" t="str">
        <f>TRIM(Table4[[#This Row],[ypn]])</f>
        <v>A1729821302</v>
      </c>
      <c r="C407" s="13" t="b">
        <f>Table4[[#This Row],[ypn]]=Table4[[#This Row],[trim]]</f>
        <v>1</v>
      </c>
      <c r="D407" s="13" t="e">
        <f>Table4[[#This Row],[ypn]]*1</f>
        <v>#VALUE!</v>
      </c>
      <c r="E407" s="13">
        <f>TYPE(Table4[[#This Row],[ypn]])</f>
        <v>2</v>
      </c>
      <c r="G407" s="13"/>
    </row>
    <row r="408" spans="1:7" ht="14.4" x14ac:dyDescent="0.3">
      <c r="A408" s="15" t="s">
        <v>1362</v>
      </c>
      <c r="B408" s="13" t="str">
        <f>TRIM(Table4[[#This Row],[ypn]])</f>
        <v>ASSY_D4Z001-DC0D(ASSY_022820534)</v>
      </c>
      <c r="C408" s="13" t="b">
        <f>Table4[[#This Row],[ypn]]=Table4[[#This Row],[trim]]</f>
        <v>1</v>
      </c>
      <c r="D408" s="13" t="e">
        <f>Table4[[#This Row],[ypn]]*1</f>
        <v>#VALUE!</v>
      </c>
      <c r="E408" s="13">
        <f>TYPE(Table4[[#This Row],[ypn]])</f>
        <v>2</v>
      </c>
      <c r="F408" t="s">
        <v>1444</v>
      </c>
      <c r="G408" s="13"/>
    </row>
    <row r="409" spans="1:7" ht="14.4" x14ac:dyDescent="0.3">
      <c r="A409" s="15" t="s">
        <v>269</v>
      </c>
      <c r="B409" s="13" t="str">
        <f>TRIM(Table4[[#This Row],[ypn]])</f>
        <v>ASSY_CA288A15199XXX</v>
      </c>
      <c r="C409" s="13" t="b">
        <f>Table4[[#This Row],[ypn]]=Table4[[#This Row],[trim]]</f>
        <v>1</v>
      </c>
      <c r="D409" s="13" t="e">
        <f>Table4[[#This Row],[ypn]]*1</f>
        <v>#VALUE!</v>
      </c>
      <c r="E409" s="13">
        <f>TYPE(Table4[[#This Row],[ypn]])</f>
        <v>2</v>
      </c>
      <c r="F409" t="s">
        <v>1445</v>
      </c>
      <c r="G409" s="13"/>
    </row>
    <row r="410" spans="1:7" ht="14.4" x14ac:dyDescent="0.3">
      <c r="A410" s="15" t="s">
        <v>272</v>
      </c>
      <c r="B410" s="13" t="str">
        <f>TRIM(Table4[[#This Row],[ypn]])</f>
        <v>ASSY_CA288B1519XXXX</v>
      </c>
      <c r="C410" s="13" t="b">
        <f>Table4[[#This Row],[ypn]]=Table4[[#This Row],[trim]]</f>
        <v>1</v>
      </c>
      <c r="D410" s="13" t="e">
        <f>Table4[[#This Row],[ypn]]*1</f>
        <v>#VALUE!</v>
      </c>
      <c r="E410" s="13">
        <f>TYPE(Table4[[#This Row],[ypn]])</f>
        <v>2</v>
      </c>
      <c r="F410" t="s">
        <v>1446</v>
      </c>
      <c r="G410" s="13"/>
    </row>
    <row r="411" spans="1:7" ht="14.4" x14ac:dyDescent="0.3">
      <c r="A411" s="15" t="s">
        <v>1363</v>
      </c>
      <c r="B411" s="13" t="str">
        <f>TRIM(Table4[[#This Row],[ypn]])</f>
        <v>ASSY-59Z006T00C</v>
      </c>
      <c r="C411" s="13" t="b">
        <f>Table4[[#This Row],[ypn]]=Table4[[#This Row],[trim]]</f>
        <v>1</v>
      </c>
      <c r="D411" s="13" t="e">
        <f>Table4[[#This Row],[ypn]]*1</f>
        <v>#VALUE!</v>
      </c>
      <c r="E411" s="13">
        <f>TYPE(Table4[[#This Row],[ypn]])</f>
        <v>2</v>
      </c>
      <c r="F411" t="s">
        <v>823</v>
      </c>
      <c r="G411" s="13"/>
    </row>
    <row r="412" spans="1:7" ht="14.4" x14ac:dyDescent="0.3">
      <c r="A412" s="15" t="s">
        <v>1364</v>
      </c>
      <c r="B412" s="13" t="str">
        <f>TRIM(Table4[[#This Row],[ypn]])</f>
        <v>ASSY_59Z063DC0FE</v>
      </c>
      <c r="C412" s="13" t="b">
        <f>Table4[[#This Row],[ypn]]=Table4[[#This Row],[trim]]</f>
        <v>1</v>
      </c>
      <c r="D412" s="13" t="e">
        <f>Table4[[#This Row],[ypn]]*1</f>
        <v>#VALUE!</v>
      </c>
      <c r="E412" s="13">
        <f>TYPE(Table4[[#This Row],[ypn]])</f>
        <v>2</v>
      </c>
      <c r="G412" s="13"/>
    </row>
    <row r="413" spans="1:7" ht="14.4" x14ac:dyDescent="0.3">
      <c r="A413" s="15" t="s">
        <v>765</v>
      </c>
      <c r="B413" s="13" t="str">
        <f>TRIM(Table4[[#This Row],[ypn]])</f>
        <v>ASSY_D4K2RE1D5A5BDC/ASSY_D4K2RE1D5A5B</v>
      </c>
      <c r="C413" s="13" t="b">
        <f>Table4[[#This Row],[ypn]]=Table4[[#This Row],[trim]]</f>
        <v>1</v>
      </c>
      <c r="D413" s="13" t="e">
        <f>Table4[[#This Row],[ypn]]*1</f>
        <v>#VALUE!</v>
      </c>
      <c r="E413" s="13">
        <f>TYPE(Table4[[#This Row],[ypn]])</f>
        <v>2</v>
      </c>
      <c r="F413" t="s">
        <v>1447</v>
      </c>
      <c r="G413" s="13"/>
    </row>
    <row r="414" spans="1:7" x14ac:dyDescent="0.3">
      <c r="A414" s="16" t="s">
        <v>1365</v>
      </c>
      <c r="B414" s="67" t="str">
        <f>TRIM(Table4[[#This Row],[ypn]])</f>
        <v>ASSY_AMZ005DC0EE</v>
      </c>
      <c r="C414" s="67" t="b">
        <f>Table4[[#This Row],[ypn]]=Table4[[#This Row],[trim]]</f>
        <v>1</v>
      </c>
      <c r="D414" s="67" t="e">
        <f>Table4[[#This Row],[ypn]]*1</f>
        <v>#VALUE!</v>
      </c>
      <c r="E414" s="67">
        <f>TYPE(Table4[[#This Row],[ypn]])</f>
        <v>2</v>
      </c>
      <c r="F414" t="s">
        <v>1449</v>
      </c>
      <c r="G414" s="13"/>
    </row>
    <row r="415" spans="1:7" x14ac:dyDescent="0.3">
      <c r="A415" s="16" t="s">
        <v>1366</v>
      </c>
      <c r="B415" s="67" t="str">
        <f>TRIM(Table4[[#This Row],[ypn]])</f>
        <v>ASSY_AMZ005DC0FE</v>
      </c>
      <c r="C415" s="67" t="b">
        <f>Table4[[#This Row],[ypn]]=Table4[[#This Row],[trim]]</f>
        <v>1</v>
      </c>
      <c r="D415" s="67" t="e">
        <f>Table4[[#This Row],[ypn]]*1</f>
        <v>#VALUE!</v>
      </c>
      <c r="E415" s="67">
        <f>TYPE(Table4[[#This Row],[ypn]])</f>
        <v>2</v>
      </c>
      <c r="F415" t="s">
        <v>830</v>
      </c>
      <c r="G415" s="13"/>
    </row>
    <row r="416" spans="1:7" x14ac:dyDescent="0.3">
      <c r="A416" s="16" t="s">
        <v>1367</v>
      </c>
      <c r="B416" s="67" t="str">
        <f>TRIM(Table4[[#This Row],[ypn]])</f>
        <v>ASSY_AMZ005DC0DE</v>
      </c>
      <c r="C416" s="67" t="b">
        <f>Table4[[#This Row],[ypn]]=Table4[[#This Row],[trim]]</f>
        <v>1</v>
      </c>
      <c r="D416" s="67" t="e">
        <f>Table4[[#This Row],[ypn]]*1</f>
        <v>#VALUE!</v>
      </c>
      <c r="E416" s="67">
        <f>TYPE(Table4[[#This Row],[ypn]])</f>
        <v>2</v>
      </c>
      <c r="F416" t="s">
        <v>828</v>
      </c>
      <c r="G416" s="13"/>
    </row>
    <row r="417" spans="1:7" x14ac:dyDescent="0.3">
      <c r="A417" s="16" t="s">
        <v>1368</v>
      </c>
      <c r="B417" s="67" t="str">
        <f>TRIM(Table4[[#This Row],[ypn]])</f>
        <v>ASSY_118021051E</v>
      </c>
      <c r="C417" s="67" t="b">
        <f>Table4[[#This Row],[ypn]]=Table4[[#This Row],[trim]]</f>
        <v>1</v>
      </c>
      <c r="D417" s="67" t="e">
        <f>Table4[[#This Row],[ypn]]*1</f>
        <v>#VALUE!</v>
      </c>
      <c r="E417" s="67">
        <f>TYPE(Table4[[#This Row],[ypn]])</f>
        <v>2</v>
      </c>
      <c r="F417" t="s">
        <v>1450</v>
      </c>
      <c r="G417" s="13"/>
    </row>
    <row r="418" spans="1:7" x14ac:dyDescent="0.3">
      <c r="A418" s="16" t="s">
        <v>1369</v>
      </c>
      <c r="B418" s="67" t="str">
        <f>TRIM(Table4[[#This Row],[ypn]])</f>
        <v>ASSY_59Z145DC0FE</v>
      </c>
      <c r="C418" s="67" t="b">
        <f>Table4[[#This Row],[ypn]]=Table4[[#This Row],[trim]]</f>
        <v>1</v>
      </c>
      <c r="D418" s="67" t="e">
        <f>Table4[[#This Row],[ypn]]*1</f>
        <v>#VALUE!</v>
      </c>
      <c r="E418" s="67">
        <f>TYPE(Table4[[#This Row],[ypn]])</f>
        <v>2</v>
      </c>
      <c r="F418" t="s">
        <v>1451</v>
      </c>
      <c r="G418" s="13"/>
    </row>
    <row r="419" spans="1:7" x14ac:dyDescent="0.3">
      <c r="A419" s="16" t="s">
        <v>1370</v>
      </c>
      <c r="B419" s="67" t="str">
        <f>TRIM(Table4[[#This Row],[ypn]])</f>
        <v>ASSY_123024541E</v>
      </c>
      <c r="C419" s="67" t="b">
        <f>Table4[[#This Row],[ypn]]=Table4[[#This Row],[trim]]</f>
        <v>1</v>
      </c>
      <c r="D419" s="67" t="e">
        <f>Table4[[#This Row],[ypn]]*1</f>
        <v>#VALUE!</v>
      </c>
      <c r="E419" s="67">
        <f>TYPE(Table4[[#This Row],[ypn]])</f>
        <v>2</v>
      </c>
      <c r="F419" t="s">
        <v>1452</v>
      </c>
      <c r="G419" s="13"/>
    </row>
    <row r="420" spans="1:7" x14ac:dyDescent="0.3">
      <c r="A420" s="16" t="s">
        <v>388</v>
      </c>
      <c r="B420" s="67" t="str">
        <f>TRIM(Table4[[#This Row],[ypn]])</f>
        <v>ASSY_123024542+ASSY_23024521</v>
      </c>
      <c r="C420" s="67" t="b">
        <f>Table4[[#This Row],[ypn]]=Table4[[#This Row],[trim]]</f>
        <v>1</v>
      </c>
      <c r="D420" s="67" t="e">
        <f>Table4[[#This Row],[ypn]]*1</f>
        <v>#VALUE!</v>
      </c>
      <c r="E420" s="67">
        <f>TYPE(Table4[[#This Row],[ypn]])</f>
        <v>2</v>
      </c>
      <c r="F420" t="s">
        <v>822</v>
      </c>
      <c r="G420" s="13"/>
    </row>
    <row r="421" spans="1:7" x14ac:dyDescent="0.3">
      <c r="A421" s="16" t="s">
        <v>1371</v>
      </c>
      <c r="B421" s="67" t="str">
        <f>TRIM(Table4[[#This Row],[ypn]])</f>
        <v>ASSY_CA288A25199XXXE</v>
      </c>
      <c r="C421" s="67" t="b">
        <f>Table4[[#This Row],[ypn]]=Table4[[#This Row],[trim]]</f>
        <v>1</v>
      </c>
      <c r="D421" s="67" t="e">
        <f>Table4[[#This Row],[ypn]]*1</f>
        <v>#VALUE!</v>
      </c>
      <c r="E421" s="67">
        <f>TYPE(Table4[[#This Row],[ypn]])</f>
        <v>2</v>
      </c>
      <c r="F421" t="s">
        <v>1453</v>
      </c>
      <c r="G421" s="13"/>
    </row>
    <row r="422" spans="1:7" x14ac:dyDescent="0.3">
      <c r="A422" s="16" t="s">
        <v>1372</v>
      </c>
      <c r="B422" s="67" t="str">
        <f>TRIM(Table4[[#This Row],[ypn]])</f>
        <v>7119605590E</v>
      </c>
      <c r="C422" s="67" t="b">
        <f>Table4[[#This Row],[ypn]]=Table4[[#This Row],[trim]]</f>
        <v>1</v>
      </c>
      <c r="D422" s="67" t="e">
        <f>Table4[[#This Row],[ypn]]*1</f>
        <v>#VALUE!</v>
      </c>
      <c r="E422" s="67">
        <f>TYPE(Table4[[#This Row],[ypn]])</f>
        <v>2</v>
      </c>
      <c r="F422" t="s">
        <v>1454</v>
      </c>
      <c r="G422" s="13"/>
    </row>
    <row r="423" spans="1:7" x14ac:dyDescent="0.3">
      <c r="A423" s="16">
        <v>7119637880</v>
      </c>
      <c r="B423" s="67" t="str">
        <f>TRIM(Table4[[#This Row],[ypn]])</f>
        <v>7119637880</v>
      </c>
      <c r="C423" s="67" t="b">
        <f>Table4[[#This Row],[ypn]]=Table4[[#This Row],[trim]]</f>
        <v>0</v>
      </c>
      <c r="D423" s="67">
        <f>Table4[[#This Row],[ypn]]*1</f>
        <v>7119637880</v>
      </c>
      <c r="E423" s="67">
        <f>TYPE(Table4[[#This Row],[ypn]])</f>
        <v>1</v>
      </c>
      <c r="F423" t="s">
        <v>1455</v>
      </c>
      <c r="G423" s="13"/>
    </row>
    <row r="424" spans="1:7" x14ac:dyDescent="0.3">
      <c r="A424" s="16">
        <v>7119665630</v>
      </c>
      <c r="B424" s="67" t="str">
        <f>TRIM(Table4[[#This Row],[ypn]])</f>
        <v>7119665630</v>
      </c>
      <c r="C424" s="67" t="b">
        <f>Table4[[#This Row],[ypn]]=Table4[[#This Row],[trim]]</f>
        <v>0</v>
      </c>
      <c r="D424" s="67">
        <f>Table4[[#This Row],[ypn]]*1</f>
        <v>7119665630</v>
      </c>
      <c r="E424" s="67">
        <f>TYPE(Table4[[#This Row],[ypn]])</f>
        <v>1</v>
      </c>
      <c r="F424" t="s">
        <v>789</v>
      </c>
      <c r="G424" s="13"/>
    </row>
    <row r="425" spans="1:7" x14ac:dyDescent="0.3">
      <c r="A425" s="16" t="s">
        <v>1373</v>
      </c>
      <c r="B425" s="67" t="str">
        <f>TRIM(Table4[[#This Row],[ypn]])</f>
        <v>7187948430E</v>
      </c>
      <c r="C425" s="67" t="b">
        <f>Table4[[#This Row],[ypn]]=Table4[[#This Row],[trim]]</f>
        <v>1</v>
      </c>
      <c r="D425" s="67" t="e">
        <f>Table4[[#This Row],[ypn]]*1</f>
        <v>#VALUE!</v>
      </c>
      <c r="E425" s="67">
        <f>TYPE(Table4[[#This Row],[ypn]])</f>
        <v>2</v>
      </c>
      <c r="F425" t="s">
        <v>793</v>
      </c>
      <c r="G425" s="13"/>
    </row>
    <row r="426" spans="1:7" x14ac:dyDescent="0.3">
      <c r="A426" s="16">
        <v>7189486630</v>
      </c>
      <c r="B426" s="67" t="str">
        <f>TRIM(Table4[[#This Row],[ypn]])</f>
        <v>7189486630</v>
      </c>
      <c r="C426" s="67" t="b">
        <f>Table4[[#This Row],[ypn]]=Table4[[#This Row],[trim]]</f>
        <v>0</v>
      </c>
      <c r="D426" s="67">
        <f>Table4[[#This Row],[ypn]]*1</f>
        <v>7189486630</v>
      </c>
      <c r="E426" s="67">
        <f>TYPE(Table4[[#This Row],[ypn]])</f>
        <v>1</v>
      </c>
      <c r="F426" t="s">
        <v>794</v>
      </c>
      <c r="G426" s="13"/>
    </row>
    <row r="427" spans="1:7" x14ac:dyDescent="0.3">
      <c r="A427" s="16" t="s">
        <v>754</v>
      </c>
      <c r="B427" s="67" t="str">
        <f>TRIM(Table4[[#This Row],[ypn]])</f>
        <v>71979249+CLIP5110</v>
      </c>
      <c r="C427" s="67" t="b">
        <f>Table4[[#This Row],[ypn]]=Table4[[#This Row],[trim]]</f>
        <v>1</v>
      </c>
      <c r="D427" s="67" t="e">
        <f>Table4[[#This Row],[ypn]]*1</f>
        <v>#VALUE!</v>
      </c>
      <c r="E427" s="67">
        <f>TYPE(Table4[[#This Row],[ypn]])</f>
        <v>2</v>
      </c>
      <c r="F427" t="s">
        <v>1456</v>
      </c>
      <c r="G427" s="13"/>
    </row>
    <row r="428" spans="1:7" x14ac:dyDescent="0.3">
      <c r="A428" s="16">
        <v>7219682330</v>
      </c>
      <c r="B428" s="67" t="str">
        <f>TRIM(Table4[[#This Row],[ypn]])</f>
        <v>7219682330</v>
      </c>
      <c r="C428" s="67" t="b">
        <f>Table4[[#This Row],[ypn]]=Table4[[#This Row],[trim]]</f>
        <v>0</v>
      </c>
      <c r="D428" s="67">
        <f>Table4[[#This Row],[ypn]]*1</f>
        <v>7219682330</v>
      </c>
      <c r="E428" s="67">
        <f>TYPE(Table4[[#This Row],[ypn]])</f>
        <v>1</v>
      </c>
      <c r="F428" t="s">
        <v>799</v>
      </c>
      <c r="G428" s="13"/>
    </row>
    <row r="429" spans="1:7" x14ac:dyDescent="0.3">
      <c r="A429" s="16">
        <v>7278099530</v>
      </c>
      <c r="B429" s="67" t="str">
        <f>TRIM(Table4[[#This Row],[ypn]])</f>
        <v>7278099530</v>
      </c>
      <c r="C429" s="67" t="b">
        <f>Table4[[#This Row],[ypn]]=Table4[[#This Row],[trim]]</f>
        <v>0</v>
      </c>
      <c r="D429" s="67">
        <f>Table4[[#This Row],[ypn]]*1</f>
        <v>7278099530</v>
      </c>
      <c r="E429" s="67">
        <f>TYPE(Table4[[#This Row],[ypn]])</f>
        <v>1</v>
      </c>
      <c r="F429" t="s">
        <v>675</v>
      </c>
      <c r="G429" s="13"/>
    </row>
    <row r="430" spans="1:7" x14ac:dyDescent="0.3">
      <c r="A430" s="16">
        <v>7289063730</v>
      </c>
      <c r="B430" s="67" t="str">
        <f>TRIM(Table4[[#This Row],[ypn]])</f>
        <v>7289063730</v>
      </c>
      <c r="C430" s="67" t="b">
        <f>Table4[[#This Row],[ypn]]=Table4[[#This Row],[trim]]</f>
        <v>0</v>
      </c>
      <c r="D430" s="67">
        <f>Table4[[#This Row],[ypn]]*1</f>
        <v>7289063730</v>
      </c>
      <c r="E430" s="67">
        <f>TYPE(Table4[[#This Row],[ypn]])</f>
        <v>1</v>
      </c>
      <c r="F430" t="s">
        <v>586</v>
      </c>
      <c r="G430" s="13"/>
    </row>
    <row r="431" spans="1:7" x14ac:dyDescent="0.3">
      <c r="A431" s="16">
        <v>7289734390</v>
      </c>
      <c r="B431" s="67" t="str">
        <f>TRIM(Table4[[#This Row],[ypn]])</f>
        <v>7289734390</v>
      </c>
      <c r="C431" s="67" t="b">
        <f>Table4[[#This Row],[ypn]]=Table4[[#This Row],[trim]]</f>
        <v>0</v>
      </c>
      <c r="D431" s="67">
        <f>Table4[[#This Row],[ypn]]*1</f>
        <v>7289734390</v>
      </c>
      <c r="E431" s="67">
        <f>TYPE(Table4[[#This Row],[ypn]])</f>
        <v>1</v>
      </c>
      <c r="F431" t="s">
        <v>591</v>
      </c>
      <c r="G431" s="13"/>
    </row>
    <row r="432" spans="1:7" x14ac:dyDescent="0.3">
      <c r="A432" s="16">
        <v>7289886630</v>
      </c>
      <c r="B432" s="67" t="str">
        <f>TRIM(Table4[[#This Row],[ypn]])</f>
        <v>7289886630</v>
      </c>
      <c r="C432" s="67" t="b">
        <f>Table4[[#This Row],[ypn]]=Table4[[#This Row],[trim]]</f>
        <v>0</v>
      </c>
      <c r="D432" s="67">
        <f>Table4[[#This Row],[ypn]]*1</f>
        <v>7289886630</v>
      </c>
      <c r="E432" s="67">
        <f>TYPE(Table4[[#This Row],[ypn]])</f>
        <v>1</v>
      </c>
      <c r="F432" t="s">
        <v>1457</v>
      </c>
      <c r="G432" s="13"/>
    </row>
    <row r="433" spans="1:7" x14ac:dyDescent="0.3">
      <c r="A433" s="16">
        <v>7298196130</v>
      </c>
      <c r="B433" s="67" t="str">
        <f>TRIM(Table4[[#This Row],[ypn]])</f>
        <v>7298196130</v>
      </c>
      <c r="C433" s="67" t="b">
        <f>Table4[[#This Row],[ypn]]=Table4[[#This Row],[trim]]</f>
        <v>0</v>
      </c>
      <c r="D433" s="67">
        <f>Table4[[#This Row],[ypn]]*1</f>
        <v>7298196130</v>
      </c>
      <c r="E433" s="67">
        <f>TYPE(Table4[[#This Row],[ypn]])</f>
        <v>1</v>
      </c>
      <c r="F433" t="s">
        <v>386</v>
      </c>
      <c r="G433" s="13"/>
    </row>
    <row r="434" spans="1:7" x14ac:dyDescent="0.3">
      <c r="A434" s="16">
        <v>7298808730</v>
      </c>
      <c r="B434" s="67" t="str">
        <f>TRIM(Table4[[#This Row],[ypn]])</f>
        <v>7298808730</v>
      </c>
      <c r="C434" s="67" t="b">
        <f>Table4[[#This Row],[ypn]]=Table4[[#This Row],[trim]]</f>
        <v>0</v>
      </c>
      <c r="D434" s="67">
        <f>Table4[[#This Row],[ypn]]*1</f>
        <v>7298808730</v>
      </c>
      <c r="E434" s="67">
        <f>TYPE(Table4[[#This Row],[ypn]])</f>
        <v>1</v>
      </c>
      <c r="F434" t="s">
        <v>814</v>
      </c>
      <c r="G434" s="13"/>
    </row>
    <row r="435" spans="1:7" x14ac:dyDescent="0.3">
      <c r="A435" s="16">
        <v>7047052330</v>
      </c>
      <c r="B435" s="67" t="str">
        <f>TRIM(Table4[[#This Row],[ypn]])</f>
        <v>7047052330</v>
      </c>
      <c r="C435" s="67" t="b">
        <f>Table4[[#This Row],[ypn]]=Table4[[#This Row],[trim]]</f>
        <v>0</v>
      </c>
      <c r="D435" s="67">
        <f>Table4[[#This Row],[ypn]]*1</f>
        <v>7047052330</v>
      </c>
      <c r="E435" s="67">
        <f>TYPE(Table4[[#This Row],[ypn]])</f>
        <v>1</v>
      </c>
      <c r="F435" t="s">
        <v>1458</v>
      </c>
      <c r="G435" s="13"/>
    </row>
    <row r="436" spans="1:7" x14ac:dyDescent="0.3">
      <c r="A436" s="16">
        <v>7247374530</v>
      </c>
      <c r="B436" s="67" t="str">
        <f>TRIM(Table4[[#This Row],[ypn]])</f>
        <v>7247374530</v>
      </c>
      <c r="C436" s="67" t="b">
        <f>Table4[[#This Row],[ypn]]=Table4[[#This Row],[trim]]</f>
        <v>0</v>
      </c>
      <c r="D436" s="67">
        <f>Table4[[#This Row],[ypn]]*1</f>
        <v>7247374530</v>
      </c>
      <c r="E436" s="67">
        <f>TYPE(Table4[[#This Row],[ypn]])</f>
        <v>1</v>
      </c>
      <c r="G436" s="13"/>
    </row>
    <row r="437" spans="1:7" x14ac:dyDescent="0.3">
      <c r="A437" s="16">
        <v>7247374930</v>
      </c>
      <c r="B437" s="67" t="str">
        <f>TRIM(Table4[[#This Row],[ypn]])</f>
        <v>7247374930</v>
      </c>
      <c r="C437" s="67" t="b">
        <f>Table4[[#This Row],[ypn]]=Table4[[#This Row],[trim]]</f>
        <v>0</v>
      </c>
      <c r="D437" s="67">
        <f>Table4[[#This Row],[ypn]]*1</f>
        <v>7247374930</v>
      </c>
      <c r="E437" s="67">
        <f>TYPE(Table4[[#This Row],[ypn]])</f>
        <v>1</v>
      </c>
      <c r="G437" s="13"/>
    </row>
    <row r="438" spans="1:7" x14ac:dyDescent="0.3">
      <c r="A438" s="16">
        <v>7247761330</v>
      </c>
      <c r="B438" s="67" t="str">
        <f>TRIM(Table4[[#This Row],[ypn]])</f>
        <v>7247761330</v>
      </c>
      <c r="C438" s="67" t="b">
        <f>Table4[[#This Row],[ypn]]=Table4[[#This Row],[trim]]</f>
        <v>0</v>
      </c>
      <c r="D438" s="67">
        <f>Table4[[#This Row],[ypn]]*1</f>
        <v>7247761330</v>
      </c>
      <c r="E438" s="67">
        <f>TYPE(Table4[[#This Row],[ypn]])</f>
        <v>1</v>
      </c>
      <c r="F438" t="s">
        <v>1269</v>
      </c>
      <c r="G438" s="13"/>
    </row>
    <row r="439" spans="1:7" x14ac:dyDescent="0.3">
      <c r="A439" s="16">
        <v>7247776330</v>
      </c>
      <c r="B439" s="67" t="str">
        <f>TRIM(Table4[[#This Row],[ypn]])</f>
        <v>7247776330</v>
      </c>
      <c r="C439" s="67" t="b">
        <f>Table4[[#This Row],[ypn]]=Table4[[#This Row],[trim]]</f>
        <v>0</v>
      </c>
      <c r="D439" s="67">
        <f>Table4[[#This Row],[ypn]]*1</f>
        <v>7247776330</v>
      </c>
      <c r="E439" s="67">
        <f>TYPE(Table4[[#This Row],[ypn]])</f>
        <v>1</v>
      </c>
      <c r="G439" s="13"/>
    </row>
    <row r="440" spans="1:7" x14ac:dyDescent="0.3">
      <c r="A440" s="16">
        <v>72478572</v>
      </c>
      <c r="B440" s="67" t="str">
        <f>TRIM(Table4[[#This Row],[ypn]])</f>
        <v>72478572</v>
      </c>
      <c r="C440" s="67" t="b">
        <f>Table4[[#This Row],[ypn]]=Table4[[#This Row],[trim]]</f>
        <v>0</v>
      </c>
      <c r="D440" s="67">
        <f>Table4[[#This Row],[ypn]]*1</f>
        <v>72478572</v>
      </c>
      <c r="E440" s="67">
        <f>TYPE(Table4[[#This Row],[ypn]])</f>
        <v>1</v>
      </c>
      <c r="F440" t="s">
        <v>1270</v>
      </c>
      <c r="G440" s="13"/>
    </row>
    <row r="441" spans="1:7" x14ac:dyDescent="0.3">
      <c r="A441" s="16">
        <v>7147878930</v>
      </c>
      <c r="B441" s="67" t="str">
        <f>TRIM(Table4[[#This Row],[ypn]])</f>
        <v>7147878930</v>
      </c>
      <c r="C441" s="67" t="b">
        <f>Table4[[#This Row],[ypn]]=Table4[[#This Row],[trim]]</f>
        <v>0</v>
      </c>
      <c r="D441" s="67">
        <f>Table4[[#This Row],[ypn]]*1</f>
        <v>7147878930</v>
      </c>
      <c r="E441" s="67">
        <f>TYPE(Table4[[#This Row],[ypn]])</f>
        <v>1</v>
      </c>
      <c r="F441" t="s">
        <v>1271</v>
      </c>
      <c r="G441" s="13"/>
    </row>
    <row r="442" spans="1:7" x14ac:dyDescent="0.3">
      <c r="A442" s="16">
        <v>7247787730</v>
      </c>
      <c r="B442" s="67" t="str">
        <f>TRIM(Table4[[#This Row],[ypn]])</f>
        <v>7247787730</v>
      </c>
      <c r="C442" s="67" t="b">
        <f>Table4[[#This Row],[ypn]]=Table4[[#This Row],[trim]]</f>
        <v>0</v>
      </c>
      <c r="D442" s="67">
        <f>Table4[[#This Row],[ypn]]*1</f>
        <v>7247787730</v>
      </c>
      <c r="E442" s="67">
        <f>TYPE(Table4[[#This Row],[ypn]])</f>
        <v>1</v>
      </c>
      <c r="F442" t="s">
        <v>1272</v>
      </c>
      <c r="G442" s="13"/>
    </row>
    <row r="443" spans="1:7" x14ac:dyDescent="0.3">
      <c r="A443" s="16">
        <v>7247760930</v>
      </c>
      <c r="B443" s="67" t="str">
        <f>TRIM(Table4[[#This Row],[ypn]])</f>
        <v>7247760930</v>
      </c>
      <c r="C443" s="67" t="b">
        <f>Table4[[#This Row],[ypn]]=Table4[[#This Row],[trim]]</f>
        <v>0</v>
      </c>
      <c r="D443" s="67">
        <f>Table4[[#This Row],[ypn]]*1</f>
        <v>7247760930</v>
      </c>
      <c r="E443" s="67">
        <f>TYPE(Table4[[#This Row],[ypn]])</f>
        <v>1</v>
      </c>
      <c r="F443" t="s">
        <v>1273</v>
      </c>
      <c r="G443" s="13"/>
    </row>
    <row r="444" spans="1:7" x14ac:dyDescent="0.3">
      <c r="A444" s="16">
        <v>7052161430</v>
      </c>
      <c r="B444" s="67" t="str">
        <f>TRIM(Table4[[#This Row],[ypn]])</f>
        <v>7052161430</v>
      </c>
      <c r="C444" s="67" t="b">
        <f>Table4[[#This Row],[ypn]]=Table4[[#This Row],[trim]]</f>
        <v>0</v>
      </c>
      <c r="D444" s="67">
        <f>Table4[[#This Row],[ypn]]*1</f>
        <v>7052161430</v>
      </c>
      <c r="E444" s="67">
        <f>TYPE(Table4[[#This Row],[ypn]])</f>
        <v>1</v>
      </c>
      <c r="G444" s="13"/>
    </row>
    <row r="445" spans="1:7" x14ac:dyDescent="0.3">
      <c r="A445" s="16">
        <v>7247760830</v>
      </c>
      <c r="B445" s="67" t="str">
        <f>TRIM(Table4[[#This Row],[ypn]])</f>
        <v>7247760830</v>
      </c>
      <c r="C445" s="67" t="b">
        <f>Table4[[#This Row],[ypn]]=Table4[[#This Row],[trim]]</f>
        <v>0</v>
      </c>
      <c r="D445" s="67">
        <f>Table4[[#This Row],[ypn]]*1</f>
        <v>7247760830</v>
      </c>
      <c r="E445" s="67">
        <f>TYPE(Table4[[#This Row],[ypn]])</f>
        <v>1</v>
      </c>
      <c r="F445" t="s">
        <v>1274</v>
      </c>
      <c r="G445" s="13"/>
    </row>
    <row r="446" spans="1:7" x14ac:dyDescent="0.3">
      <c r="A446" s="16">
        <v>7247764130</v>
      </c>
      <c r="B446" s="67" t="str">
        <f>TRIM(Table4[[#This Row],[ypn]])</f>
        <v>7247764130</v>
      </c>
      <c r="C446" s="67" t="b">
        <f>Table4[[#This Row],[ypn]]=Table4[[#This Row],[trim]]</f>
        <v>0</v>
      </c>
      <c r="D446" s="67">
        <f>Table4[[#This Row],[ypn]]*1</f>
        <v>7247764130</v>
      </c>
      <c r="E446" s="67">
        <f>TYPE(Table4[[#This Row],[ypn]])</f>
        <v>1</v>
      </c>
      <c r="F446" t="s">
        <v>1275</v>
      </c>
      <c r="G446" s="13"/>
    </row>
    <row r="447" spans="1:7" x14ac:dyDescent="0.3">
      <c r="A447" s="16">
        <v>7047009730</v>
      </c>
      <c r="B447" s="67" t="str">
        <f>TRIM(Table4[[#This Row],[ypn]])</f>
        <v>7047009730</v>
      </c>
      <c r="C447" s="67" t="b">
        <f>Table4[[#This Row],[ypn]]=Table4[[#This Row],[trim]]</f>
        <v>0</v>
      </c>
      <c r="D447" s="67">
        <f>Table4[[#This Row],[ypn]]*1</f>
        <v>7047009730</v>
      </c>
      <c r="E447" s="67">
        <f>TYPE(Table4[[#This Row],[ypn]])</f>
        <v>1</v>
      </c>
      <c r="G447" s="13"/>
    </row>
    <row r="448" spans="1:7" x14ac:dyDescent="0.3">
      <c r="A448" s="16">
        <v>7247781230</v>
      </c>
      <c r="B448" s="67" t="str">
        <f>TRIM(Table4[[#This Row],[ypn]])</f>
        <v>7247781230</v>
      </c>
      <c r="C448" s="67" t="b">
        <f>Table4[[#This Row],[ypn]]=Table4[[#This Row],[trim]]</f>
        <v>0</v>
      </c>
      <c r="D448" s="67">
        <f>Table4[[#This Row],[ypn]]*1</f>
        <v>7247781230</v>
      </c>
      <c r="E448" s="67">
        <f>TYPE(Table4[[#This Row],[ypn]])</f>
        <v>1</v>
      </c>
      <c r="F448" t="s">
        <v>1276</v>
      </c>
      <c r="G448" s="13"/>
    </row>
    <row r="449" spans="1:7" x14ac:dyDescent="0.3">
      <c r="A449" s="16" t="s">
        <v>472</v>
      </c>
      <c r="B449" s="67" t="str">
        <f>TRIM(Table4[[#This Row],[ypn]])</f>
        <v>7147882430</v>
      </c>
      <c r="C449" s="67" t="b">
        <f>Table4[[#This Row],[ypn]]=Table4[[#This Row],[trim]]</f>
        <v>1</v>
      </c>
      <c r="D449" s="67">
        <f>Table4[[#This Row],[ypn]]*1</f>
        <v>7147882430</v>
      </c>
      <c r="E449" s="67">
        <f>TYPE(Table4[[#This Row],[ypn]])</f>
        <v>2</v>
      </c>
      <c r="G449" s="13"/>
    </row>
    <row r="450" spans="1:7" x14ac:dyDescent="0.3">
      <c r="A450" s="16">
        <v>7047273930</v>
      </c>
      <c r="B450" s="67" t="str">
        <f>TRIM(Table4[[#This Row],[ypn]])</f>
        <v>7047273930</v>
      </c>
      <c r="C450" s="67" t="b">
        <f>Table4[[#This Row],[ypn]]=Table4[[#This Row],[trim]]</f>
        <v>0</v>
      </c>
      <c r="D450" s="67">
        <f>Table4[[#This Row],[ypn]]*1</f>
        <v>7047273930</v>
      </c>
      <c r="E450" s="67">
        <f>TYPE(Table4[[#This Row],[ypn]])</f>
        <v>1</v>
      </c>
      <c r="F450" t="s">
        <v>1277</v>
      </c>
      <c r="G450" s="13"/>
    </row>
    <row r="451" spans="1:7" x14ac:dyDescent="0.3">
      <c r="A451" s="16">
        <v>7047305630</v>
      </c>
      <c r="B451" s="67" t="str">
        <f>TRIM(Table4[[#This Row],[ypn]])</f>
        <v>7047305630</v>
      </c>
      <c r="C451" s="67" t="b">
        <f>Table4[[#This Row],[ypn]]=Table4[[#This Row],[trim]]</f>
        <v>0</v>
      </c>
      <c r="D451" s="67">
        <f>Table4[[#This Row],[ypn]]*1</f>
        <v>7047305630</v>
      </c>
      <c r="E451" s="67">
        <f>TYPE(Table4[[#This Row],[ypn]])</f>
        <v>1</v>
      </c>
      <c r="F451" t="s">
        <v>1278</v>
      </c>
      <c r="G451" s="13"/>
    </row>
    <row r="452" spans="1:7" x14ac:dyDescent="0.3">
      <c r="A452" s="16">
        <v>7247781730</v>
      </c>
      <c r="B452" s="67" t="str">
        <f>TRIM(Table4[[#This Row],[ypn]])</f>
        <v>7247781730</v>
      </c>
      <c r="C452" s="67" t="b">
        <f>Table4[[#This Row],[ypn]]=Table4[[#This Row],[trim]]</f>
        <v>0</v>
      </c>
      <c r="D452" s="67">
        <f>Table4[[#This Row],[ypn]]*1</f>
        <v>7247781730</v>
      </c>
      <c r="E452" s="67">
        <f>TYPE(Table4[[#This Row],[ypn]])</f>
        <v>1</v>
      </c>
      <c r="F452" t="s">
        <v>1279</v>
      </c>
      <c r="G452" s="13"/>
    </row>
    <row r="453" spans="1:7" x14ac:dyDescent="0.3">
      <c r="A453" s="16">
        <v>7047135830</v>
      </c>
      <c r="B453" s="67" t="str">
        <f>TRIM(Table4[[#This Row],[ypn]])</f>
        <v>7047135830</v>
      </c>
      <c r="C453" s="67" t="b">
        <f>Table4[[#This Row],[ypn]]=Table4[[#This Row],[trim]]</f>
        <v>0</v>
      </c>
      <c r="D453" s="67">
        <f>Table4[[#This Row],[ypn]]*1</f>
        <v>7047135830</v>
      </c>
      <c r="E453" s="67">
        <f>TYPE(Table4[[#This Row],[ypn]])</f>
        <v>1</v>
      </c>
      <c r="F453" t="s">
        <v>1280</v>
      </c>
      <c r="G453" s="13"/>
    </row>
    <row r="454" spans="1:7" x14ac:dyDescent="0.3">
      <c r="A454" s="16">
        <v>7047178330</v>
      </c>
      <c r="B454" s="67" t="str">
        <f>TRIM(Table4[[#This Row],[ypn]])</f>
        <v>7047178330</v>
      </c>
      <c r="C454" s="67" t="b">
        <f>Table4[[#This Row],[ypn]]=Table4[[#This Row],[trim]]</f>
        <v>0</v>
      </c>
      <c r="D454" s="67">
        <f>Table4[[#This Row],[ypn]]*1</f>
        <v>7047178330</v>
      </c>
      <c r="E454" s="67">
        <f>TYPE(Table4[[#This Row],[ypn]])</f>
        <v>1</v>
      </c>
      <c r="G454" s="13"/>
    </row>
    <row r="455" spans="1:7" x14ac:dyDescent="0.3">
      <c r="A455" s="16">
        <v>7252726530</v>
      </c>
      <c r="B455" s="67" t="str">
        <f>TRIM(Table4[[#This Row],[ypn]])</f>
        <v>7252726530</v>
      </c>
      <c r="C455" s="67" t="b">
        <f>Table4[[#This Row],[ypn]]=Table4[[#This Row],[trim]]</f>
        <v>0</v>
      </c>
      <c r="D455" s="67">
        <f>Table4[[#This Row],[ypn]]*1</f>
        <v>7252726530</v>
      </c>
      <c r="E455" s="67">
        <f>TYPE(Table4[[#This Row],[ypn]])</f>
        <v>1</v>
      </c>
      <c r="F455" t="s">
        <v>1281</v>
      </c>
      <c r="G455" s="13"/>
    </row>
    <row r="456" spans="1:7" x14ac:dyDescent="0.3">
      <c r="A456" s="16" t="s">
        <v>1374</v>
      </c>
      <c r="B456" s="67" t="str">
        <f>TRIM(Table4[[#This Row],[ypn]])</f>
        <v>70521459</v>
      </c>
      <c r="C456" s="67" t="b">
        <f>Table4[[#This Row],[ypn]]=Table4[[#This Row],[trim]]</f>
        <v>1</v>
      </c>
      <c r="D456" s="67">
        <f>Table4[[#This Row],[ypn]]*1</f>
        <v>70521459</v>
      </c>
      <c r="E456" s="67">
        <f>TYPE(Table4[[#This Row],[ypn]])</f>
        <v>2</v>
      </c>
      <c r="F456" t="s">
        <v>1282</v>
      </c>
      <c r="G456" s="13"/>
    </row>
    <row r="457" spans="1:7" x14ac:dyDescent="0.3">
      <c r="A457" s="16" t="s">
        <v>500</v>
      </c>
      <c r="B457" s="67" t="str">
        <f>TRIM(Table4[[#This Row],[ypn]])</f>
        <v>7252779130</v>
      </c>
      <c r="C457" s="67" t="b">
        <f>Table4[[#This Row],[ypn]]=Table4[[#This Row],[trim]]</f>
        <v>1</v>
      </c>
      <c r="D457" s="67">
        <f>Table4[[#This Row],[ypn]]*1</f>
        <v>7252779130</v>
      </c>
      <c r="E457" s="67">
        <f>TYPE(Table4[[#This Row],[ypn]])</f>
        <v>2</v>
      </c>
      <c r="G457" s="13"/>
    </row>
    <row r="458" spans="1:7" x14ac:dyDescent="0.3">
      <c r="A458" s="16" t="s">
        <v>498</v>
      </c>
      <c r="B458" s="67" t="str">
        <f>TRIM(Table4[[#This Row],[ypn]])</f>
        <v>7252735930</v>
      </c>
      <c r="C458" s="67" t="b">
        <f>Table4[[#This Row],[ypn]]=Table4[[#This Row],[trim]]</f>
        <v>1</v>
      </c>
      <c r="D458" s="67">
        <f>Table4[[#This Row],[ypn]]*1</f>
        <v>7252735930</v>
      </c>
      <c r="E458" s="67">
        <f>TYPE(Table4[[#This Row],[ypn]])</f>
        <v>2</v>
      </c>
      <c r="F458" t="s">
        <v>1283</v>
      </c>
      <c r="G458" s="13"/>
    </row>
    <row r="459" spans="1:7" x14ac:dyDescent="0.3">
      <c r="A459" s="16">
        <v>7252809330</v>
      </c>
      <c r="B459" s="67" t="str">
        <f>TRIM(Table4[[#This Row],[ypn]])</f>
        <v>7252809330</v>
      </c>
      <c r="C459" s="67" t="b">
        <f>Table4[[#This Row],[ypn]]=Table4[[#This Row],[trim]]</f>
        <v>0</v>
      </c>
      <c r="D459" s="67">
        <f>Table4[[#This Row],[ypn]]*1</f>
        <v>7252809330</v>
      </c>
      <c r="E459" s="67">
        <f>TYPE(Table4[[#This Row],[ypn]])</f>
        <v>1</v>
      </c>
      <c r="F459" t="s">
        <v>1284</v>
      </c>
      <c r="G459" s="13"/>
    </row>
    <row r="460" spans="1:7" x14ac:dyDescent="0.3">
      <c r="A460" s="16">
        <v>7252815130</v>
      </c>
      <c r="B460" s="67" t="str">
        <f>TRIM(Table4[[#This Row],[ypn]])</f>
        <v>7252815130</v>
      </c>
      <c r="C460" s="67" t="b">
        <f>Table4[[#This Row],[ypn]]=Table4[[#This Row],[trim]]</f>
        <v>0</v>
      </c>
      <c r="D460" s="67">
        <f>Table4[[#This Row],[ypn]]*1</f>
        <v>7252815130</v>
      </c>
      <c r="E460" s="67">
        <f>TYPE(Table4[[#This Row],[ypn]])</f>
        <v>1</v>
      </c>
      <c r="G460" s="13"/>
    </row>
    <row r="461" spans="1:7" x14ac:dyDescent="0.3">
      <c r="A461" s="16" t="s">
        <v>1375</v>
      </c>
      <c r="B461" s="67" t="str">
        <f>TRIM(Table4[[#This Row],[ypn]])</f>
        <v>7047251030U</v>
      </c>
      <c r="C461" s="67" t="b">
        <f>Table4[[#This Row],[ypn]]=Table4[[#This Row],[trim]]</f>
        <v>1</v>
      </c>
      <c r="D461" s="67" t="e">
        <f>Table4[[#This Row],[ypn]]*1</f>
        <v>#VALUE!</v>
      </c>
      <c r="E461" s="67">
        <f>TYPE(Table4[[#This Row],[ypn]])</f>
        <v>2</v>
      </c>
      <c r="F461" t="s">
        <v>1459</v>
      </c>
      <c r="G461" s="13"/>
    </row>
    <row r="462" spans="1:7" x14ac:dyDescent="0.3">
      <c r="A462" s="16" t="s">
        <v>1376</v>
      </c>
      <c r="B462" s="67" t="str">
        <f>TRIM(Table4[[#This Row],[ypn]])</f>
        <v>7047275330S</v>
      </c>
      <c r="C462" s="67" t="b">
        <f>Table4[[#This Row],[ypn]]=Table4[[#This Row],[trim]]</f>
        <v>1</v>
      </c>
      <c r="D462" s="67" t="e">
        <f>Table4[[#This Row],[ypn]]*1</f>
        <v>#VALUE!</v>
      </c>
      <c r="E462" s="67">
        <f>TYPE(Table4[[#This Row],[ypn]])</f>
        <v>2</v>
      </c>
      <c r="G462" s="13"/>
    </row>
    <row r="463" spans="1:7" x14ac:dyDescent="0.3">
      <c r="A463" s="16" t="s">
        <v>1377</v>
      </c>
      <c r="B463" s="67" t="str">
        <f>TRIM(Table4[[#This Row],[ypn]])</f>
        <v>70475017D</v>
      </c>
      <c r="C463" s="67" t="b">
        <f>Table4[[#This Row],[ypn]]=Table4[[#This Row],[trim]]</f>
        <v>1</v>
      </c>
      <c r="D463" s="67" t="e">
        <f>Table4[[#This Row],[ypn]]*1</f>
        <v>#VALUE!</v>
      </c>
      <c r="E463" s="67">
        <f>TYPE(Table4[[#This Row],[ypn]])</f>
        <v>2</v>
      </c>
      <c r="F463" t="s">
        <v>1460</v>
      </c>
      <c r="G463" s="13"/>
    </row>
    <row r="464" spans="1:7" x14ac:dyDescent="0.3">
      <c r="A464" s="16" t="s">
        <v>1378</v>
      </c>
      <c r="B464" s="67" t="str">
        <f>TRIM(Table4[[#This Row],[ypn]])</f>
        <v>7047798230S</v>
      </c>
      <c r="C464" s="67" t="b">
        <f>Table4[[#This Row],[ypn]]=Table4[[#This Row],[trim]]</f>
        <v>1</v>
      </c>
      <c r="D464" s="67" t="e">
        <f>Table4[[#This Row],[ypn]]*1</f>
        <v>#VALUE!</v>
      </c>
      <c r="E464" s="67">
        <f>TYPE(Table4[[#This Row],[ypn]])</f>
        <v>2</v>
      </c>
      <c r="G464" s="13"/>
    </row>
    <row r="465" spans="1:7" x14ac:dyDescent="0.3">
      <c r="A465" s="16" t="s">
        <v>1379</v>
      </c>
      <c r="B465" s="67" t="str">
        <f>TRIM(Table4[[#This Row],[ypn]])</f>
        <v>7047798330S</v>
      </c>
      <c r="C465" s="67" t="b">
        <f>Table4[[#This Row],[ypn]]=Table4[[#This Row],[trim]]</f>
        <v>1</v>
      </c>
      <c r="D465" s="67" t="e">
        <f>Table4[[#This Row],[ypn]]*1</f>
        <v>#VALUE!</v>
      </c>
      <c r="E465" s="67">
        <f>TYPE(Table4[[#This Row],[ypn]])</f>
        <v>2</v>
      </c>
      <c r="F465" t="s">
        <v>1461</v>
      </c>
      <c r="G465" s="13"/>
    </row>
    <row r="466" spans="1:7" x14ac:dyDescent="0.3">
      <c r="A466" s="16" t="s">
        <v>1380</v>
      </c>
      <c r="B466" s="67" t="str">
        <f>TRIM(Table4[[#This Row],[ypn]])</f>
        <v>7247001130S</v>
      </c>
      <c r="C466" s="67" t="b">
        <f>Table4[[#This Row],[ypn]]=Table4[[#This Row],[trim]]</f>
        <v>1</v>
      </c>
      <c r="D466" s="67" t="e">
        <f>Table4[[#This Row],[ypn]]*1</f>
        <v>#VALUE!</v>
      </c>
      <c r="E466" s="67">
        <f>TYPE(Table4[[#This Row],[ypn]])</f>
        <v>2</v>
      </c>
      <c r="G466" s="13"/>
    </row>
    <row r="467" spans="1:7" x14ac:dyDescent="0.3">
      <c r="A467" s="16" t="s">
        <v>1381</v>
      </c>
      <c r="B467" s="67" t="str">
        <f>TRIM(Table4[[#This Row],[ypn]])</f>
        <v>7247758130S</v>
      </c>
      <c r="C467" s="67" t="b">
        <f>Table4[[#This Row],[ypn]]=Table4[[#This Row],[trim]]</f>
        <v>1</v>
      </c>
      <c r="D467" s="67" t="e">
        <f>Table4[[#This Row],[ypn]]*1</f>
        <v>#VALUE!</v>
      </c>
      <c r="E467" s="67">
        <f>TYPE(Table4[[#This Row],[ypn]])</f>
        <v>2</v>
      </c>
      <c r="F467">
        <v>2137810</v>
      </c>
      <c r="G467" s="13"/>
    </row>
    <row r="468" spans="1:7" x14ac:dyDescent="0.3">
      <c r="A468" s="16" t="s">
        <v>1382</v>
      </c>
      <c r="B468" s="67" t="str">
        <f>TRIM(Table4[[#This Row],[ypn]])</f>
        <v>7247792930S</v>
      </c>
      <c r="C468" s="67" t="b">
        <f>Table4[[#This Row],[ypn]]=Table4[[#This Row],[trim]]</f>
        <v>1</v>
      </c>
      <c r="D468" s="67" t="e">
        <f>Table4[[#This Row],[ypn]]*1</f>
        <v>#VALUE!</v>
      </c>
      <c r="E468" s="67">
        <f>TYPE(Table4[[#This Row],[ypn]])</f>
        <v>2</v>
      </c>
      <c r="F468" t="s">
        <v>1462</v>
      </c>
      <c r="G468" s="13"/>
    </row>
    <row r="469" spans="1:7" x14ac:dyDescent="0.3">
      <c r="A469" s="16" t="s">
        <v>1383</v>
      </c>
      <c r="B469" s="67" t="str">
        <f>TRIM(Table4[[#This Row],[ypn]])</f>
        <v>7252803330S</v>
      </c>
      <c r="C469" s="67" t="b">
        <f>Table4[[#This Row],[ypn]]=Table4[[#This Row],[trim]]</f>
        <v>1</v>
      </c>
      <c r="D469" s="67" t="e">
        <f>Table4[[#This Row],[ypn]]*1</f>
        <v>#VALUE!</v>
      </c>
      <c r="E469" s="67">
        <f>TYPE(Table4[[#This Row],[ypn]])</f>
        <v>2</v>
      </c>
      <c r="G469" s="13"/>
    </row>
    <row r="470" spans="1:7" x14ac:dyDescent="0.3">
      <c r="A470" s="16" t="s">
        <v>1384</v>
      </c>
      <c r="B470" s="67" t="str">
        <f>TRIM(Table4[[#This Row],[ypn]])</f>
        <v>7176862930 (X1PO2407)</v>
      </c>
      <c r="C470" s="67" t="b">
        <f>Table4[[#This Row],[ypn]]=Table4[[#This Row],[trim]]</f>
        <v>1</v>
      </c>
      <c r="D470" s="67" t="e">
        <f>Table4[[#This Row],[ypn]]*1</f>
        <v>#VALUE!</v>
      </c>
      <c r="E470" s="67">
        <f>TYPE(Table4[[#This Row],[ypn]])</f>
        <v>2</v>
      </c>
      <c r="F470" t="s">
        <v>648</v>
      </c>
      <c r="G470" s="13"/>
    </row>
    <row r="471" spans="1:7" x14ac:dyDescent="0.3">
      <c r="A471" s="16" t="s">
        <v>1385</v>
      </c>
      <c r="B471" s="67" t="str">
        <f>TRIM(Table4[[#This Row],[ypn]])</f>
        <v>7176863030 (X1PO2408)</v>
      </c>
      <c r="C471" s="67" t="b">
        <f>Table4[[#This Row],[ypn]]=Table4[[#This Row],[trim]]</f>
        <v>1</v>
      </c>
      <c r="D471" s="67" t="e">
        <f>Table4[[#This Row],[ypn]]*1</f>
        <v>#VALUE!</v>
      </c>
      <c r="E471" s="67">
        <f>TYPE(Table4[[#This Row],[ypn]])</f>
        <v>2</v>
      </c>
      <c r="F471" t="s">
        <v>650</v>
      </c>
      <c r="G471" s="13"/>
    </row>
    <row r="472" spans="1:7" x14ac:dyDescent="0.3">
      <c r="A472" s="16" t="s">
        <v>1386</v>
      </c>
      <c r="B472" s="67" t="str">
        <f>TRIM(Table4[[#This Row],[ypn]])</f>
        <v>X1PO2562 -A1748211900</v>
      </c>
      <c r="C472" s="67" t="b">
        <f>Table4[[#This Row],[ypn]]=Table4[[#This Row],[trim]]</f>
        <v>1</v>
      </c>
      <c r="D472" s="67" t="e">
        <f>Table4[[#This Row],[ypn]]*1</f>
        <v>#VALUE!</v>
      </c>
      <c r="E472" s="67">
        <f>TYPE(Table4[[#This Row],[ypn]])</f>
        <v>2</v>
      </c>
      <c r="F472" t="s">
        <v>740</v>
      </c>
      <c r="G472" s="13"/>
    </row>
    <row r="473" spans="1:7" x14ac:dyDescent="0.3">
      <c r="A473" s="16" t="s">
        <v>1387</v>
      </c>
      <c r="B473" s="67" t="str">
        <f>TRIM(Table4[[#This Row],[ypn]])</f>
        <v>X1PO2578 - 7176 8619 30</v>
      </c>
      <c r="C473" s="67" t="b">
        <f>Table4[[#This Row],[ypn]]=Table4[[#This Row],[trim]]</f>
        <v>1</v>
      </c>
      <c r="D473" s="67" t="e">
        <f>Table4[[#This Row],[ypn]]*1</f>
        <v>#VALUE!</v>
      </c>
      <c r="E473" s="67">
        <f>TYPE(Table4[[#This Row],[ypn]])</f>
        <v>2</v>
      </c>
      <c r="F473" t="s">
        <v>638</v>
      </c>
      <c r="G473" s="13"/>
    </row>
    <row r="474" spans="1:7" x14ac:dyDescent="0.3">
      <c r="A474" s="16" t="s">
        <v>1388</v>
      </c>
      <c r="B474" s="67" t="str">
        <f>TRIM(Table4[[#This Row],[ypn]])</f>
        <v>X1PO2580 - 7176 8620 30</v>
      </c>
      <c r="C474" s="67" t="b">
        <f>Table4[[#This Row],[ypn]]=Table4[[#This Row],[trim]]</f>
        <v>1</v>
      </c>
      <c r="D474" s="67" t="e">
        <f>Table4[[#This Row],[ypn]]*1</f>
        <v>#VALUE!</v>
      </c>
      <c r="E474" s="67">
        <f>TYPE(Table4[[#This Row],[ypn]])</f>
        <v>2</v>
      </c>
      <c r="F474" t="s">
        <v>640</v>
      </c>
      <c r="G474" s="13"/>
    </row>
    <row r="475" spans="1:7" x14ac:dyDescent="0.3">
      <c r="A475" s="16" t="s">
        <v>1389</v>
      </c>
      <c r="B475" s="67" t="str">
        <f>TRIM(Table4[[#This Row],[ypn]])</f>
        <v>X1PO 2519</v>
      </c>
      <c r="C475" s="67" t="b">
        <f>Table4[[#This Row],[ypn]]=Table4[[#This Row],[trim]]</f>
        <v>1</v>
      </c>
      <c r="D475" s="67" t="e">
        <f>Table4[[#This Row],[ypn]]*1</f>
        <v>#VALUE!</v>
      </c>
      <c r="E475" s="67">
        <f>TYPE(Table4[[#This Row],[ypn]])</f>
        <v>2</v>
      </c>
      <c r="F475" t="s">
        <v>744</v>
      </c>
      <c r="G475" s="13"/>
    </row>
    <row r="476" spans="1:7" x14ac:dyDescent="0.3">
      <c r="A476" s="16" t="s">
        <v>1390</v>
      </c>
      <c r="B476" s="67" t="str">
        <f>TRIM(Table4[[#This Row],[ypn]])</f>
        <v>7176862130 - X1PO 2557</v>
      </c>
      <c r="C476" s="67" t="b">
        <f>Table4[[#This Row],[ypn]]=Table4[[#This Row],[trim]]</f>
        <v>1</v>
      </c>
      <c r="D476" s="67" t="e">
        <f>Table4[[#This Row],[ypn]]*1</f>
        <v>#VALUE!</v>
      </c>
      <c r="E476" s="67">
        <f>TYPE(Table4[[#This Row],[ypn]])</f>
        <v>2</v>
      </c>
      <c r="F476" t="s">
        <v>642</v>
      </c>
      <c r="G476" s="13"/>
    </row>
    <row r="477" spans="1:7" x14ac:dyDescent="0.3">
      <c r="A477" s="16" t="s">
        <v>1391</v>
      </c>
      <c r="B477" s="67" t="str">
        <f>TRIM(Table4[[#This Row],[ypn]])</f>
        <v>7176862330 - X1PO 2559</v>
      </c>
      <c r="C477" s="67" t="b">
        <f>Table4[[#This Row],[ypn]]=Table4[[#This Row],[trim]]</f>
        <v>1</v>
      </c>
      <c r="D477" s="67" t="e">
        <f>Table4[[#This Row],[ypn]]*1</f>
        <v>#VALUE!</v>
      </c>
      <c r="E477" s="67">
        <f>TYPE(Table4[[#This Row],[ypn]])</f>
        <v>2</v>
      </c>
      <c r="F477" t="s">
        <v>644</v>
      </c>
      <c r="G477" s="13"/>
    </row>
    <row r="478" spans="1:7" x14ac:dyDescent="0.3">
      <c r="A478" s="16" t="s">
        <v>1392</v>
      </c>
      <c r="B478" s="67" t="str">
        <f>TRIM(Table4[[#This Row],[ypn]])</f>
        <v>7176862730 - X1PO 2563</v>
      </c>
      <c r="C478" s="67" t="b">
        <f>Table4[[#This Row],[ypn]]=Table4[[#This Row],[trim]]</f>
        <v>1</v>
      </c>
      <c r="D478" s="67" t="e">
        <f>Table4[[#This Row],[ypn]]*1</f>
        <v>#VALUE!</v>
      </c>
      <c r="E478" s="67">
        <f>TYPE(Table4[[#This Row],[ypn]])</f>
        <v>2</v>
      </c>
      <c r="F478" t="s">
        <v>646</v>
      </c>
      <c r="G478" s="13"/>
    </row>
    <row r="479" spans="1:7" x14ac:dyDescent="0.3">
      <c r="A479" s="16" t="s">
        <v>1393</v>
      </c>
      <c r="B479" s="67" t="str">
        <f>TRIM(Table4[[#This Row],[ypn]])</f>
        <v>7176874730 - X1PO 2553</v>
      </c>
      <c r="C479" s="67" t="b">
        <f>Table4[[#This Row],[ypn]]=Table4[[#This Row],[trim]]</f>
        <v>1</v>
      </c>
      <c r="D479" s="67" t="e">
        <f>Table4[[#This Row],[ypn]]*1</f>
        <v>#VALUE!</v>
      </c>
      <c r="E479" s="67">
        <f>TYPE(Table4[[#This Row],[ypn]])</f>
        <v>2</v>
      </c>
      <c r="F479" t="s">
        <v>652</v>
      </c>
      <c r="G479" s="13"/>
    </row>
    <row r="480" spans="1:7" x14ac:dyDescent="0.3">
      <c r="A480" s="16" t="s">
        <v>1394</v>
      </c>
      <c r="B480" s="67" t="str">
        <f>TRIM(Table4[[#This Row],[ypn]])</f>
        <v>7075236930 - X1PO2363</v>
      </c>
      <c r="C480" s="67" t="b">
        <f>Table4[[#This Row],[ypn]]=Table4[[#This Row],[trim]]</f>
        <v>1</v>
      </c>
      <c r="D480" s="67" t="e">
        <f>Table4[[#This Row],[ypn]]*1</f>
        <v>#VALUE!</v>
      </c>
      <c r="E480" s="67">
        <f>TYPE(Table4[[#This Row],[ypn]])</f>
        <v>2</v>
      </c>
      <c r="F480" t="s">
        <v>622</v>
      </c>
      <c r="G480" s="13"/>
    </row>
    <row r="481" spans="1:7" x14ac:dyDescent="0.3">
      <c r="A481" s="16" t="s">
        <v>1395</v>
      </c>
      <c r="B481" s="67" t="str">
        <f>TRIM(Table4[[#This Row],[ypn]])</f>
        <v>7075226830(X1PP5350)</v>
      </c>
      <c r="C481" s="67" t="b">
        <f>Table4[[#This Row],[ypn]]=Table4[[#This Row],[trim]]</f>
        <v>1</v>
      </c>
      <c r="D481" s="67" t="e">
        <f>Table4[[#This Row],[ypn]]*1</f>
        <v>#VALUE!</v>
      </c>
      <c r="E481" s="67">
        <f>TYPE(Table4[[#This Row],[ypn]])</f>
        <v>2</v>
      </c>
      <c r="F481" t="s">
        <v>1463</v>
      </c>
      <c r="G481" s="13"/>
    </row>
    <row r="482" spans="1:7" x14ac:dyDescent="0.3">
      <c r="A482" s="16" t="s">
        <v>1396</v>
      </c>
      <c r="B482" s="67" t="str">
        <f>TRIM(Table4[[#This Row],[ypn]])</f>
        <v>7075231830 - X1PO 2395</v>
      </c>
      <c r="C482" s="67" t="b">
        <f>Table4[[#This Row],[ypn]]=Table4[[#This Row],[trim]]</f>
        <v>1</v>
      </c>
      <c r="D482" s="67" t="e">
        <f>Table4[[#This Row],[ypn]]*1</f>
        <v>#VALUE!</v>
      </c>
      <c r="E482" s="67">
        <f>TYPE(Table4[[#This Row],[ypn]])</f>
        <v>2</v>
      </c>
      <c r="F482" t="s">
        <v>1464</v>
      </c>
      <c r="G482" s="13"/>
    </row>
    <row r="483" spans="1:7" x14ac:dyDescent="0.3">
      <c r="A483" s="16" t="s">
        <v>1397</v>
      </c>
      <c r="B483" s="67" t="str">
        <f>TRIM(Table4[[#This Row],[ypn]])</f>
        <v>7177097330A RIGHT +HALFMOON</v>
      </c>
      <c r="C483" s="67" t="b">
        <f>Table4[[#This Row],[ypn]]=Table4[[#This Row],[trim]]</f>
        <v>0</v>
      </c>
      <c r="D483" s="67" t="e">
        <f>Table4[[#This Row],[ypn]]*1</f>
        <v>#VALUE!</v>
      </c>
      <c r="E483" s="67">
        <f>TYPE(Table4[[#This Row],[ypn]])</f>
        <v>2</v>
      </c>
      <c r="F483" t="s">
        <v>1465</v>
      </c>
      <c r="G483" s="13"/>
    </row>
    <row r="484" spans="1:7" x14ac:dyDescent="0.3">
      <c r="A484" s="16" t="s">
        <v>278</v>
      </c>
      <c r="B484" s="67" t="str">
        <f>TRIM(Table4[[#This Row],[ypn]])</f>
        <v>X1PO2539</v>
      </c>
      <c r="C484" s="67" t="b">
        <f>Table4[[#This Row],[ypn]]=Table4[[#This Row],[trim]]</f>
        <v>1</v>
      </c>
      <c r="D484" s="67" t="e">
        <f>Table4[[#This Row],[ypn]]*1</f>
        <v>#VALUE!</v>
      </c>
      <c r="E484" s="67">
        <f>TYPE(Table4[[#This Row],[ypn]])</f>
        <v>2</v>
      </c>
      <c r="F484" t="s">
        <v>1466</v>
      </c>
      <c r="G484" s="13"/>
    </row>
    <row r="485" spans="1:7" x14ac:dyDescent="0.3">
      <c r="A485" s="16" t="s">
        <v>1398</v>
      </c>
      <c r="B485" s="67" t="str">
        <f>TRIM(Table4[[#This Row],[ypn]])</f>
        <v>7075231930 IR33</v>
      </c>
      <c r="C485" s="67" t="b">
        <f>Table4[[#This Row],[ypn]]=Table4[[#This Row],[trim]]</f>
        <v>1</v>
      </c>
      <c r="D485" s="67" t="e">
        <f>Table4[[#This Row],[ypn]]*1</f>
        <v>#VALUE!</v>
      </c>
      <c r="E485" s="67">
        <f>TYPE(Table4[[#This Row],[ypn]])</f>
        <v>2</v>
      </c>
      <c r="F485" t="s">
        <v>1467</v>
      </c>
      <c r="G485" s="13"/>
    </row>
    <row r="486" spans="1:7" x14ac:dyDescent="0.3">
      <c r="A486" s="16" t="s">
        <v>245</v>
      </c>
      <c r="B486" s="67" t="str">
        <f>TRIM(Table4[[#This Row],[ypn]])</f>
        <v>7189668330+7274136090A</v>
      </c>
      <c r="C486" s="67" t="b">
        <f>Table4[[#This Row],[ypn]]=Table4[[#This Row],[trim]]</f>
        <v>1</v>
      </c>
      <c r="D486" s="67" t="e">
        <f>Table4[[#This Row],[ypn]]*1</f>
        <v>#VALUE!</v>
      </c>
      <c r="E486" s="67">
        <f>TYPE(Table4[[#This Row],[ypn]])</f>
        <v>2</v>
      </c>
      <c r="F486" t="s">
        <v>1468</v>
      </c>
      <c r="G486" s="13"/>
    </row>
    <row r="487" spans="1:7" x14ac:dyDescent="0.3">
      <c r="A487" s="16">
        <v>7252834130</v>
      </c>
      <c r="B487" s="67" t="str">
        <f>TRIM(Table4[[#This Row],[ypn]])</f>
        <v>7252834130</v>
      </c>
      <c r="C487" s="67" t="b">
        <f>Table4[[#This Row],[ypn]]=Table4[[#This Row],[trim]]</f>
        <v>0</v>
      </c>
      <c r="D487" s="67">
        <f>Table4[[#This Row],[ypn]]*1</f>
        <v>7252834130</v>
      </c>
      <c r="E487" s="67">
        <f>TYPE(Table4[[#This Row],[ypn]])</f>
        <v>1</v>
      </c>
      <c r="F487" t="s">
        <v>807</v>
      </c>
      <c r="G487" s="13"/>
    </row>
    <row r="488" spans="1:7" x14ac:dyDescent="0.3">
      <c r="A488" s="16">
        <v>7247781530</v>
      </c>
      <c r="B488" s="67" t="str">
        <f>TRIM(Table4[[#This Row],[ypn]])</f>
        <v>7247781530</v>
      </c>
      <c r="C488" s="67" t="b">
        <f>Table4[[#This Row],[ypn]]=Table4[[#This Row],[trim]]</f>
        <v>0</v>
      </c>
      <c r="D488" s="67">
        <f>Table4[[#This Row],[ypn]]*1</f>
        <v>7247781530</v>
      </c>
      <c r="E488" s="67">
        <f>TYPE(Table4[[#This Row],[ypn]])</f>
        <v>1</v>
      </c>
      <c r="F488" t="s">
        <v>1469</v>
      </c>
      <c r="G488" s="13"/>
    </row>
    <row r="489" spans="1:7" x14ac:dyDescent="0.3">
      <c r="A489" s="16" t="s">
        <v>1399</v>
      </c>
      <c r="B489" s="67" t="str">
        <f>TRIM(Table4[[#This Row],[ypn]])</f>
        <v>7289-4643-30E+COVER</v>
      </c>
      <c r="C489" s="67" t="b">
        <f>Table4[[#This Row],[ypn]]=Table4[[#This Row],[trim]]</f>
        <v>1</v>
      </c>
      <c r="D489" s="67" t="e">
        <f>Table4[[#This Row],[ypn]]*1</f>
        <v>#VALUE!</v>
      </c>
      <c r="E489" s="67">
        <f>TYPE(Table4[[#This Row],[ypn]])</f>
        <v>2</v>
      </c>
      <c r="F489" t="s">
        <v>836</v>
      </c>
      <c r="G489" s="13"/>
    </row>
  </sheetData>
  <phoneticPr fontId="1" type="noConversion"/>
  <conditionalFormatting sqref="A1:A1048576">
    <cfRule type="duplicateValues" dxfId="5" priority="2"/>
    <cfRule type="duplicateValues" dxfId="4" priority="3"/>
  </conditionalFormatting>
  <conditionalFormatting sqref="F1:F1048576">
    <cfRule type="duplicateValues" dxfId="3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7152-06DD-4AAE-AC16-9E9992A0310B}">
  <sheetPr codeName="Sheet10"/>
  <dimension ref="A1:AG49"/>
  <sheetViews>
    <sheetView view="pageBreakPreview" zoomScaleNormal="100" zoomScaleSheetLayoutView="100" workbookViewId="0">
      <selection activeCell="N2" sqref="N2"/>
    </sheetView>
  </sheetViews>
  <sheetFormatPr defaultRowHeight="14.4" x14ac:dyDescent="0.3"/>
  <cols>
    <col min="1" max="1" width="19.44140625" bestFit="1" customWidth="1"/>
    <col min="2" max="2" width="10.5546875" bestFit="1" customWidth="1"/>
    <col min="3" max="3" width="10.33203125" bestFit="1" customWidth="1"/>
    <col min="4" max="4" width="5" bestFit="1" customWidth="1"/>
    <col min="5" max="5" width="13.5546875" bestFit="1" customWidth="1"/>
    <col min="6" max="6" width="11.33203125" customWidth="1"/>
    <col min="7" max="7" width="13.88671875" customWidth="1"/>
    <col min="8" max="8" width="14" customWidth="1"/>
    <col min="9" max="9" width="13.77734375" customWidth="1"/>
    <col min="10" max="10" width="10" customWidth="1"/>
    <col min="11" max="11" width="12.6640625" customWidth="1"/>
    <col min="12" max="12" width="16.44140625" bestFit="1" customWidth="1"/>
    <col min="13" max="13" width="15.33203125" customWidth="1"/>
    <col min="14" max="14" width="32" bestFit="1" customWidth="1"/>
    <col min="15" max="15" width="9.5546875" customWidth="1"/>
    <col min="16" max="16" width="16.5546875" bestFit="1" customWidth="1"/>
    <col min="17" max="17" width="12.109375" customWidth="1"/>
    <col min="18" max="18" width="19.109375" customWidth="1"/>
    <col min="19" max="19" width="13.21875" customWidth="1"/>
    <col min="20" max="20" width="13.5546875" customWidth="1"/>
    <col min="21" max="21" width="13.21875" customWidth="1"/>
    <col min="22" max="22" width="17.44140625" bestFit="1" customWidth="1"/>
    <col min="23" max="23" width="16" customWidth="1"/>
    <col min="24" max="24" width="16.109375" customWidth="1"/>
    <col min="25" max="26" width="15.88671875" customWidth="1"/>
    <col min="27" max="27" width="5.77734375" customWidth="1"/>
    <col min="28" max="28" width="15" customWidth="1"/>
    <col min="29" max="29" width="6.6640625" bestFit="1" customWidth="1"/>
    <col min="30" max="30" width="6.77734375" bestFit="1" customWidth="1"/>
    <col min="31" max="31" width="7.44140625" bestFit="1" customWidth="1"/>
    <col min="32" max="32" width="5.6640625" bestFit="1" customWidth="1"/>
    <col min="33" max="33" width="7.77734375" bestFit="1" customWidth="1"/>
  </cols>
  <sheetData>
    <row r="1" spans="1:33" x14ac:dyDescent="0.3">
      <c r="A1" t="s">
        <v>390</v>
      </c>
      <c r="B1" t="s">
        <v>23</v>
      </c>
      <c r="C1" t="s">
        <v>391</v>
      </c>
      <c r="D1" t="s">
        <v>383</v>
      </c>
      <c r="E1" t="s">
        <v>392</v>
      </c>
      <c r="F1" t="s">
        <v>393</v>
      </c>
      <c r="G1" t="s">
        <v>394</v>
      </c>
      <c r="H1" t="s">
        <v>395</v>
      </c>
      <c r="I1" t="s">
        <v>396</v>
      </c>
      <c r="J1" t="s">
        <v>397</v>
      </c>
      <c r="K1" t="s">
        <v>398</v>
      </c>
      <c r="L1" t="s">
        <v>75</v>
      </c>
      <c r="M1" t="s">
        <v>41</v>
      </c>
      <c r="N1" t="s">
        <v>399</v>
      </c>
      <c r="O1" t="s">
        <v>400</v>
      </c>
      <c r="P1" t="s">
        <v>18</v>
      </c>
      <c r="Q1" t="s">
        <v>16</v>
      </c>
      <c r="R1" t="s">
        <v>83</v>
      </c>
      <c r="S1" t="s">
        <v>93</v>
      </c>
      <c r="T1" t="s">
        <v>94</v>
      </c>
      <c r="U1" t="s">
        <v>937</v>
      </c>
      <c r="V1" t="s">
        <v>12</v>
      </c>
      <c r="W1" t="s">
        <v>862</v>
      </c>
      <c r="X1" t="s">
        <v>863</v>
      </c>
      <c r="Y1" t="s">
        <v>864</v>
      </c>
      <c r="Z1" t="s">
        <v>860</v>
      </c>
      <c r="AA1" t="s">
        <v>938</v>
      </c>
      <c r="AB1" t="s">
        <v>870</v>
      </c>
      <c r="AC1" t="s">
        <v>953</v>
      </c>
      <c r="AD1" t="s">
        <v>954</v>
      </c>
      <c r="AE1" t="s">
        <v>955</v>
      </c>
      <c r="AF1" t="s">
        <v>956</v>
      </c>
      <c r="AG1" t="s">
        <v>957</v>
      </c>
    </row>
    <row r="2" spans="1:33" x14ac:dyDescent="0.3">
      <c r="A2" t="s">
        <v>971</v>
      </c>
      <c r="B2">
        <v>8</v>
      </c>
      <c r="C2">
        <v>1</v>
      </c>
      <c r="D2">
        <v>1200</v>
      </c>
      <c r="E2" t="s">
        <v>106</v>
      </c>
      <c r="G2">
        <v>90</v>
      </c>
      <c r="H2">
        <v>50</v>
      </c>
      <c r="I2">
        <v>52</v>
      </c>
      <c r="J2">
        <v>74</v>
      </c>
      <c r="K2">
        <v>64</v>
      </c>
      <c r="L2" t="s">
        <v>76</v>
      </c>
      <c r="M2" t="s">
        <v>33</v>
      </c>
      <c r="N2" t="s">
        <v>629</v>
      </c>
      <c r="O2">
        <v>7</v>
      </c>
      <c r="Q2" t="s">
        <v>357</v>
      </c>
      <c r="R2" t="s">
        <v>523</v>
      </c>
      <c r="S2" t="s">
        <v>328</v>
      </c>
      <c r="T2" t="s">
        <v>403</v>
      </c>
      <c r="U2" t="s">
        <v>403</v>
      </c>
      <c r="AB2" t="s">
        <v>866</v>
      </c>
    </row>
    <row r="3" spans="1:33" x14ac:dyDescent="0.3">
      <c r="A3" t="s">
        <v>972</v>
      </c>
      <c r="B3">
        <v>8</v>
      </c>
      <c r="C3">
        <v>1</v>
      </c>
      <c r="D3">
        <v>1246</v>
      </c>
      <c r="E3" t="s">
        <v>150</v>
      </c>
      <c r="G3">
        <v>42</v>
      </c>
      <c r="H3">
        <v>37</v>
      </c>
      <c r="I3">
        <v>51</v>
      </c>
      <c r="J3">
        <v>75</v>
      </c>
      <c r="K3">
        <v>64</v>
      </c>
      <c r="L3" t="s">
        <v>77</v>
      </c>
      <c r="M3" t="s">
        <v>33</v>
      </c>
      <c r="N3" t="s">
        <v>973</v>
      </c>
      <c r="O3">
        <v>7</v>
      </c>
      <c r="Q3" t="s">
        <v>357</v>
      </c>
      <c r="R3" t="s">
        <v>523</v>
      </c>
      <c r="S3" t="s">
        <v>328</v>
      </c>
      <c r="T3" t="s">
        <v>403</v>
      </c>
      <c r="U3" t="s">
        <v>403</v>
      </c>
      <c r="AB3" t="s">
        <v>866</v>
      </c>
    </row>
    <row r="4" spans="1:33" x14ac:dyDescent="0.3">
      <c r="A4" t="s">
        <v>974</v>
      </c>
      <c r="B4">
        <v>8</v>
      </c>
      <c r="C4">
        <v>2</v>
      </c>
      <c r="D4">
        <v>1270</v>
      </c>
      <c r="E4" t="s">
        <v>172</v>
      </c>
      <c r="G4">
        <v>42</v>
      </c>
      <c r="H4">
        <v>37</v>
      </c>
      <c r="I4">
        <v>43</v>
      </c>
      <c r="J4">
        <v>80</v>
      </c>
      <c r="K4">
        <v>64</v>
      </c>
      <c r="L4" t="s">
        <v>82</v>
      </c>
      <c r="M4" t="s">
        <v>33</v>
      </c>
      <c r="N4" t="s">
        <v>269</v>
      </c>
      <c r="O4">
        <v>7</v>
      </c>
      <c r="Q4" t="s">
        <v>357</v>
      </c>
      <c r="R4" t="s">
        <v>523</v>
      </c>
      <c r="S4" t="s">
        <v>328</v>
      </c>
      <c r="T4" t="s">
        <v>403</v>
      </c>
      <c r="U4" t="s">
        <v>403</v>
      </c>
      <c r="AB4" t="s">
        <v>866</v>
      </c>
      <c r="AC4" t="s">
        <v>337</v>
      </c>
    </row>
    <row r="5" spans="1:33" x14ac:dyDescent="0.3">
      <c r="A5" t="s">
        <v>975</v>
      </c>
      <c r="B5">
        <v>8</v>
      </c>
      <c r="C5">
        <v>2</v>
      </c>
      <c r="D5">
        <v>1302</v>
      </c>
      <c r="E5" t="s">
        <v>203</v>
      </c>
      <c r="G5">
        <v>36</v>
      </c>
      <c r="H5">
        <v>26</v>
      </c>
      <c r="I5">
        <v>50</v>
      </c>
      <c r="J5">
        <v>75</v>
      </c>
      <c r="K5">
        <v>64</v>
      </c>
      <c r="L5" t="s">
        <v>77</v>
      </c>
      <c r="M5" t="s">
        <v>33</v>
      </c>
      <c r="N5" t="s">
        <v>482</v>
      </c>
      <c r="O5">
        <v>25</v>
      </c>
      <c r="Q5" t="s">
        <v>360</v>
      </c>
      <c r="R5" t="s">
        <v>523</v>
      </c>
      <c r="S5" t="s">
        <v>328</v>
      </c>
      <c r="T5" t="s">
        <v>403</v>
      </c>
      <c r="U5" t="s">
        <v>403</v>
      </c>
      <c r="AB5" t="s">
        <v>866</v>
      </c>
    </row>
    <row r="6" spans="1:33" x14ac:dyDescent="0.3">
      <c r="A6" t="s">
        <v>976</v>
      </c>
      <c r="B6">
        <v>8</v>
      </c>
      <c r="C6">
        <v>1</v>
      </c>
      <c r="D6">
        <v>1310</v>
      </c>
      <c r="E6" t="s">
        <v>211</v>
      </c>
      <c r="G6">
        <v>37</v>
      </c>
      <c r="H6">
        <v>35</v>
      </c>
      <c r="I6">
        <v>60</v>
      </c>
      <c r="J6">
        <v>75</v>
      </c>
      <c r="K6">
        <v>64</v>
      </c>
      <c r="L6" t="s">
        <v>77</v>
      </c>
      <c r="M6" t="s">
        <v>33</v>
      </c>
      <c r="N6" t="s">
        <v>496</v>
      </c>
      <c r="O6">
        <v>25</v>
      </c>
      <c r="Q6" t="s">
        <v>360</v>
      </c>
      <c r="R6" t="s">
        <v>523</v>
      </c>
      <c r="S6" t="s">
        <v>328</v>
      </c>
      <c r="T6" t="s">
        <v>403</v>
      </c>
      <c r="U6" t="s">
        <v>403</v>
      </c>
      <c r="AB6" t="s">
        <v>866</v>
      </c>
    </row>
    <row r="7" spans="1:33" x14ac:dyDescent="0.3">
      <c r="A7" t="s">
        <v>977</v>
      </c>
      <c r="B7">
        <v>8</v>
      </c>
      <c r="C7">
        <v>1</v>
      </c>
      <c r="D7">
        <v>1312</v>
      </c>
      <c r="E7" t="s">
        <v>213</v>
      </c>
      <c r="G7">
        <v>36</v>
      </c>
      <c r="H7">
        <v>26</v>
      </c>
      <c r="I7">
        <v>47</v>
      </c>
      <c r="J7">
        <v>75</v>
      </c>
      <c r="K7">
        <v>64</v>
      </c>
      <c r="L7" t="s">
        <v>77</v>
      </c>
      <c r="M7" t="s">
        <v>33</v>
      </c>
      <c r="N7" t="s">
        <v>502</v>
      </c>
      <c r="O7">
        <v>25</v>
      </c>
      <c r="P7" t="s">
        <v>297</v>
      </c>
      <c r="Q7" t="s">
        <v>360</v>
      </c>
      <c r="R7" t="s">
        <v>523</v>
      </c>
      <c r="S7" t="s">
        <v>328</v>
      </c>
      <c r="T7" t="s">
        <v>403</v>
      </c>
      <c r="U7" t="s">
        <v>403</v>
      </c>
      <c r="W7">
        <v>138</v>
      </c>
      <c r="X7">
        <v>36</v>
      </c>
      <c r="Y7">
        <v>47</v>
      </c>
      <c r="Z7">
        <v>5</v>
      </c>
      <c r="AA7">
        <v>5</v>
      </c>
      <c r="AB7" t="s">
        <v>866</v>
      </c>
    </row>
    <row r="8" spans="1:33" x14ac:dyDescent="0.3">
      <c r="A8" t="s">
        <v>978</v>
      </c>
      <c r="B8">
        <v>8</v>
      </c>
      <c r="C8">
        <v>6</v>
      </c>
      <c r="D8">
        <v>1333</v>
      </c>
      <c r="E8" t="s">
        <v>231</v>
      </c>
      <c r="G8">
        <v>55</v>
      </c>
      <c r="H8">
        <v>40</v>
      </c>
      <c r="I8">
        <v>50</v>
      </c>
      <c r="J8">
        <v>74</v>
      </c>
      <c r="K8">
        <v>64</v>
      </c>
      <c r="L8" t="s">
        <v>76</v>
      </c>
      <c r="M8" t="s">
        <v>33</v>
      </c>
      <c r="N8" t="s">
        <v>960</v>
      </c>
      <c r="O8">
        <v>7</v>
      </c>
      <c r="Q8" t="s">
        <v>357</v>
      </c>
      <c r="R8" t="s">
        <v>523</v>
      </c>
      <c r="S8" t="s">
        <v>328</v>
      </c>
      <c r="T8" t="s">
        <v>403</v>
      </c>
      <c r="U8" t="s">
        <v>403</v>
      </c>
      <c r="AB8" t="s">
        <v>866</v>
      </c>
    </row>
    <row r="9" spans="1:33" x14ac:dyDescent="0.3">
      <c r="A9" t="s">
        <v>979</v>
      </c>
      <c r="B9">
        <v>8</v>
      </c>
      <c r="C9">
        <v>2</v>
      </c>
      <c r="D9">
        <v>4893</v>
      </c>
      <c r="E9" t="s">
        <v>872</v>
      </c>
      <c r="G9">
        <v>60</v>
      </c>
      <c r="H9">
        <v>39</v>
      </c>
      <c r="I9">
        <v>45</v>
      </c>
      <c r="J9">
        <v>74</v>
      </c>
      <c r="K9">
        <v>64</v>
      </c>
      <c r="L9" t="s">
        <v>76</v>
      </c>
      <c r="M9" t="s">
        <v>33</v>
      </c>
      <c r="N9" t="s">
        <v>980</v>
      </c>
      <c r="O9">
        <v>7</v>
      </c>
      <c r="Q9" t="s">
        <v>357</v>
      </c>
      <c r="R9" t="s">
        <v>523</v>
      </c>
      <c r="S9" t="s">
        <v>328</v>
      </c>
      <c r="T9" t="s">
        <v>403</v>
      </c>
      <c r="U9" t="s">
        <v>403</v>
      </c>
      <c r="AB9" t="s">
        <v>866</v>
      </c>
      <c r="AC9" t="s">
        <v>337</v>
      </c>
    </row>
    <row r="10" spans="1:33" x14ac:dyDescent="0.3">
      <c r="A10" t="s">
        <v>981</v>
      </c>
      <c r="B10">
        <v>8</v>
      </c>
      <c r="C10">
        <v>1</v>
      </c>
      <c r="D10">
        <v>4894</v>
      </c>
      <c r="E10" t="s">
        <v>873</v>
      </c>
      <c r="G10">
        <v>53</v>
      </c>
      <c r="H10">
        <v>46</v>
      </c>
      <c r="I10">
        <v>49</v>
      </c>
      <c r="J10">
        <v>74</v>
      </c>
      <c r="K10">
        <v>64</v>
      </c>
      <c r="L10" t="s">
        <v>76</v>
      </c>
      <c r="M10" t="s">
        <v>33</v>
      </c>
      <c r="N10" t="s">
        <v>982</v>
      </c>
      <c r="O10">
        <v>7</v>
      </c>
      <c r="Q10" t="s">
        <v>357</v>
      </c>
      <c r="R10" t="s">
        <v>523</v>
      </c>
      <c r="S10" t="s">
        <v>328</v>
      </c>
      <c r="T10" t="s">
        <v>403</v>
      </c>
      <c r="U10" t="s">
        <v>403</v>
      </c>
      <c r="AB10" t="s">
        <v>866</v>
      </c>
      <c r="AC10" t="s">
        <v>337</v>
      </c>
    </row>
    <row r="11" spans="1:33" x14ac:dyDescent="0.3">
      <c r="A11" t="s">
        <v>983</v>
      </c>
      <c r="B11">
        <v>8</v>
      </c>
      <c r="C11">
        <v>2</v>
      </c>
      <c r="D11">
        <v>4895</v>
      </c>
      <c r="E11" t="s">
        <v>874</v>
      </c>
      <c r="G11">
        <v>45</v>
      </c>
      <c r="H11">
        <v>42</v>
      </c>
      <c r="I11">
        <v>45</v>
      </c>
      <c r="J11">
        <v>74</v>
      </c>
      <c r="K11">
        <v>64</v>
      </c>
      <c r="L11" t="s">
        <v>76</v>
      </c>
      <c r="M11" t="s">
        <v>33</v>
      </c>
      <c r="N11" t="s">
        <v>984</v>
      </c>
      <c r="O11">
        <v>7</v>
      </c>
      <c r="Q11" t="s">
        <v>357</v>
      </c>
      <c r="R11" t="s">
        <v>523</v>
      </c>
      <c r="S11" t="s">
        <v>328</v>
      </c>
      <c r="T11" t="s">
        <v>403</v>
      </c>
      <c r="U11" t="s">
        <v>403</v>
      </c>
      <c r="AB11" t="s">
        <v>866</v>
      </c>
    </row>
    <row r="12" spans="1:33" x14ac:dyDescent="0.3">
      <c r="A12" t="s">
        <v>985</v>
      </c>
      <c r="B12">
        <v>8</v>
      </c>
      <c r="C12">
        <v>1</v>
      </c>
      <c r="D12">
        <v>4896</v>
      </c>
      <c r="E12" t="s">
        <v>875</v>
      </c>
      <c r="G12">
        <v>70</v>
      </c>
      <c r="H12">
        <v>46</v>
      </c>
      <c r="I12">
        <v>45</v>
      </c>
      <c r="J12">
        <v>74</v>
      </c>
      <c r="K12">
        <v>64</v>
      </c>
      <c r="L12" t="s">
        <v>76</v>
      </c>
      <c r="M12" t="s">
        <v>33</v>
      </c>
      <c r="N12" t="s">
        <v>986</v>
      </c>
      <c r="O12">
        <v>7</v>
      </c>
      <c r="Q12" t="s">
        <v>357</v>
      </c>
      <c r="R12" t="s">
        <v>523</v>
      </c>
      <c r="S12" t="s">
        <v>328</v>
      </c>
      <c r="T12" t="s">
        <v>403</v>
      </c>
      <c r="U12" t="s">
        <v>403</v>
      </c>
      <c r="AB12" t="s">
        <v>866</v>
      </c>
    </row>
    <row r="13" spans="1:33" x14ac:dyDescent="0.3">
      <c r="A13" t="s">
        <v>987</v>
      </c>
      <c r="B13">
        <v>8</v>
      </c>
      <c r="C13">
        <v>2</v>
      </c>
      <c r="D13">
        <v>4897</v>
      </c>
      <c r="E13" t="s">
        <v>876</v>
      </c>
      <c r="G13">
        <v>55</v>
      </c>
      <c r="H13">
        <v>41</v>
      </c>
      <c r="I13">
        <v>45</v>
      </c>
      <c r="J13">
        <v>74</v>
      </c>
      <c r="K13">
        <v>64</v>
      </c>
      <c r="L13" t="s">
        <v>76</v>
      </c>
      <c r="M13" t="s">
        <v>33</v>
      </c>
      <c r="N13" t="s">
        <v>988</v>
      </c>
      <c r="O13">
        <v>7</v>
      </c>
      <c r="Q13" t="s">
        <v>357</v>
      </c>
      <c r="R13" t="s">
        <v>523</v>
      </c>
      <c r="S13" t="s">
        <v>328</v>
      </c>
      <c r="T13" t="s">
        <v>403</v>
      </c>
      <c r="U13" t="s">
        <v>403</v>
      </c>
      <c r="AB13" t="s">
        <v>866</v>
      </c>
      <c r="AC13" t="s">
        <v>337</v>
      </c>
    </row>
    <row r="14" spans="1:33" x14ac:dyDescent="0.3">
      <c r="A14" t="s">
        <v>989</v>
      </c>
      <c r="B14">
        <v>8</v>
      </c>
      <c r="C14">
        <v>2</v>
      </c>
      <c r="D14">
        <v>4898</v>
      </c>
      <c r="E14" t="s">
        <v>877</v>
      </c>
      <c r="G14">
        <v>46</v>
      </c>
      <c r="H14">
        <v>36</v>
      </c>
      <c r="I14">
        <v>42</v>
      </c>
      <c r="J14">
        <v>74</v>
      </c>
      <c r="K14">
        <v>64</v>
      </c>
      <c r="L14" t="s">
        <v>76</v>
      </c>
      <c r="M14" t="s">
        <v>33</v>
      </c>
      <c r="N14" t="s">
        <v>990</v>
      </c>
      <c r="O14">
        <v>7</v>
      </c>
      <c r="Q14" t="s">
        <v>357</v>
      </c>
      <c r="R14" t="s">
        <v>523</v>
      </c>
      <c r="S14" t="s">
        <v>328</v>
      </c>
      <c r="T14" t="s">
        <v>403</v>
      </c>
      <c r="U14" t="s">
        <v>403</v>
      </c>
      <c r="AB14" t="s">
        <v>866</v>
      </c>
    </row>
    <row r="15" spans="1:33" x14ac:dyDescent="0.3">
      <c r="A15" t="s">
        <v>991</v>
      </c>
      <c r="B15">
        <v>8</v>
      </c>
      <c r="C15">
        <v>2</v>
      </c>
      <c r="D15">
        <v>4900</v>
      </c>
      <c r="E15" t="s">
        <v>879</v>
      </c>
      <c r="G15">
        <v>41</v>
      </c>
      <c r="H15">
        <v>42</v>
      </c>
      <c r="I15">
        <v>45</v>
      </c>
      <c r="J15">
        <v>74</v>
      </c>
      <c r="K15">
        <v>64</v>
      </c>
      <c r="L15" t="s">
        <v>76</v>
      </c>
      <c r="M15" t="s">
        <v>33</v>
      </c>
      <c r="N15" t="s">
        <v>992</v>
      </c>
      <c r="O15">
        <v>7</v>
      </c>
      <c r="Q15" t="s">
        <v>357</v>
      </c>
      <c r="R15" t="s">
        <v>523</v>
      </c>
      <c r="S15" t="s">
        <v>328</v>
      </c>
      <c r="T15" t="s">
        <v>403</v>
      </c>
      <c r="U15" t="s">
        <v>403</v>
      </c>
      <c r="AB15" t="s">
        <v>866</v>
      </c>
    </row>
    <row r="16" spans="1:33" x14ac:dyDescent="0.3">
      <c r="A16" t="s">
        <v>993</v>
      </c>
      <c r="B16">
        <v>8</v>
      </c>
      <c r="C16">
        <v>2</v>
      </c>
      <c r="D16">
        <v>4902</v>
      </c>
      <c r="E16" t="s">
        <v>881</v>
      </c>
      <c r="G16">
        <v>45</v>
      </c>
      <c r="H16">
        <v>46</v>
      </c>
      <c r="I16">
        <v>46</v>
      </c>
      <c r="J16">
        <v>74</v>
      </c>
      <c r="K16">
        <v>64</v>
      </c>
      <c r="L16" t="s">
        <v>76</v>
      </c>
      <c r="M16" t="s">
        <v>33</v>
      </c>
      <c r="N16" t="s">
        <v>994</v>
      </c>
      <c r="O16">
        <v>7</v>
      </c>
      <c r="Q16" t="s">
        <v>357</v>
      </c>
      <c r="R16" t="s">
        <v>523</v>
      </c>
      <c r="S16" t="s">
        <v>328</v>
      </c>
      <c r="T16" t="s">
        <v>403</v>
      </c>
      <c r="U16" t="s">
        <v>403</v>
      </c>
      <c r="AB16" t="s">
        <v>866</v>
      </c>
    </row>
    <row r="17" spans="1:29" x14ac:dyDescent="0.3">
      <c r="A17" t="s">
        <v>995</v>
      </c>
      <c r="B17">
        <v>8</v>
      </c>
      <c r="C17">
        <v>1</v>
      </c>
      <c r="D17">
        <v>4903</v>
      </c>
      <c r="E17" t="s">
        <v>882</v>
      </c>
      <c r="G17">
        <v>52</v>
      </c>
      <c r="H17">
        <v>46</v>
      </c>
      <c r="I17">
        <v>60</v>
      </c>
      <c r="J17">
        <v>75</v>
      </c>
      <c r="K17">
        <v>64</v>
      </c>
      <c r="L17" t="s">
        <v>77</v>
      </c>
      <c r="M17" t="s">
        <v>33</v>
      </c>
      <c r="N17" t="s">
        <v>996</v>
      </c>
      <c r="O17">
        <v>7</v>
      </c>
      <c r="Q17" t="s">
        <v>357</v>
      </c>
      <c r="R17" t="s">
        <v>523</v>
      </c>
      <c r="S17" t="s">
        <v>328</v>
      </c>
      <c r="T17" t="s">
        <v>403</v>
      </c>
      <c r="U17" t="s">
        <v>403</v>
      </c>
      <c r="AB17" t="s">
        <v>866</v>
      </c>
    </row>
    <row r="18" spans="1:29" x14ac:dyDescent="0.3">
      <c r="A18" t="s">
        <v>997</v>
      </c>
      <c r="B18">
        <v>8</v>
      </c>
      <c r="C18">
        <v>4</v>
      </c>
      <c r="D18">
        <v>4904</v>
      </c>
      <c r="E18" t="s">
        <v>883</v>
      </c>
      <c r="G18">
        <v>47</v>
      </c>
      <c r="H18">
        <v>39</v>
      </c>
      <c r="I18">
        <v>50</v>
      </c>
      <c r="J18">
        <v>75</v>
      </c>
      <c r="K18">
        <v>64</v>
      </c>
      <c r="L18" t="s">
        <v>77</v>
      </c>
      <c r="M18" t="s">
        <v>33</v>
      </c>
      <c r="N18" t="s">
        <v>998</v>
      </c>
      <c r="O18">
        <v>7</v>
      </c>
      <c r="Q18" t="s">
        <v>357</v>
      </c>
      <c r="R18" t="s">
        <v>523</v>
      </c>
      <c r="S18" t="s">
        <v>328</v>
      </c>
      <c r="T18" t="s">
        <v>403</v>
      </c>
      <c r="U18" t="s">
        <v>403</v>
      </c>
      <c r="AB18" t="s">
        <v>866</v>
      </c>
    </row>
    <row r="19" spans="1:29" x14ac:dyDescent="0.3">
      <c r="A19" t="s">
        <v>999</v>
      </c>
      <c r="B19">
        <v>8</v>
      </c>
      <c r="C19">
        <v>2</v>
      </c>
      <c r="D19">
        <v>4905</v>
      </c>
      <c r="E19" t="s">
        <v>884</v>
      </c>
      <c r="G19">
        <v>43</v>
      </c>
      <c r="H19">
        <v>41</v>
      </c>
      <c r="I19">
        <v>54</v>
      </c>
      <c r="J19">
        <v>75</v>
      </c>
      <c r="K19">
        <v>64</v>
      </c>
      <c r="L19" t="s">
        <v>77</v>
      </c>
      <c r="M19" t="s">
        <v>33</v>
      </c>
      <c r="N19" t="s">
        <v>1000</v>
      </c>
      <c r="O19">
        <v>7</v>
      </c>
      <c r="Q19" t="s">
        <v>357</v>
      </c>
      <c r="R19" t="s">
        <v>523</v>
      </c>
      <c r="S19" t="s">
        <v>328</v>
      </c>
      <c r="T19" t="s">
        <v>403</v>
      </c>
      <c r="U19" t="s">
        <v>403</v>
      </c>
      <c r="AB19" t="s">
        <v>866</v>
      </c>
    </row>
    <row r="20" spans="1:29" x14ac:dyDescent="0.3">
      <c r="A20" t="s">
        <v>1001</v>
      </c>
      <c r="B20">
        <v>8</v>
      </c>
      <c r="C20">
        <v>3</v>
      </c>
      <c r="D20">
        <v>4906</v>
      </c>
      <c r="E20" t="s">
        <v>909</v>
      </c>
      <c r="G20">
        <v>47</v>
      </c>
      <c r="H20">
        <v>46</v>
      </c>
      <c r="I20">
        <v>50</v>
      </c>
      <c r="J20">
        <v>75</v>
      </c>
      <c r="K20">
        <v>64</v>
      </c>
      <c r="L20" t="s">
        <v>77</v>
      </c>
      <c r="M20" t="s">
        <v>33</v>
      </c>
      <c r="N20" t="s">
        <v>1002</v>
      </c>
      <c r="O20">
        <v>7</v>
      </c>
      <c r="Q20" t="s">
        <v>357</v>
      </c>
      <c r="R20" t="s">
        <v>523</v>
      </c>
      <c r="S20" t="s">
        <v>328</v>
      </c>
      <c r="T20" t="s">
        <v>403</v>
      </c>
      <c r="U20" t="s">
        <v>403</v>
      </c>
      <c r="AB20" t="s">
        <v>866</v>
      </c>
    </row>
    <row r="21" spans="1:29" x14ac:dyDescent="0.3">
      <c r="A21" t="s">
        <v>1003</v>
      </c>
      <c r="B21">
        <v>8</v>
      </c>
      <c r="C21">
        <v>1</v>
      </c>
      <c r="D21">
        <v>4907</v>
      </c>
      <c r="E21" t="s">
        <v>885</v>
      </c>
      <c r="G21">
        <v>47</v>
      </c>
      <c r="H21">
        <v>39</v>
      </c>
      <c r="I21">
        <v>50</v>
      </c>
      <c r="J21">
        <v>75</v>
      </c>
      <c r="K21">
        <v>64</v>
      </c>
      <c r="L21" t="s">
        <v>77</v>
      </c>
      <c r="M21" t="s">
        <v>33</v>
      </c>
      <c r="N21" t="s">
        <v>1004</v>
      </c>
      <c r="O21">
        <v>7</v>
      </c>
      <c r="Q21" t="s">
        <v>357</v>
      </c>
      <c r="R21" t="s">
        <v>523</v>
      </c>
      <c r="S21" t="s">
        <v>328</v>
      </c>
      <c r="T21" t="s">
        <v>403</v>
      </c>
      <c r="U21" t="s">
        <v>403</v>
      </c>
      <c r="AB21" t="s">
        <v>866</v>
      </c>
    </row>
    <row r="22" spans="1:29" x14ac:dyDescent="0.3">
      <c r="A22" t="s">
        <v>1005</v>
      </c>
      <c r="B22">
        <v>8</v>
      </c>
      <c r="C22">
        <v>1</v>
      </c>
      <c r="D22">
        <v>4908</v>
      </c>
      <c r="E22" t="s">
        <v>886</v>
      </c>
      <c r="G22">
        <v>48</v>
      </c>
      <c r="H22">
        <v>37</v>
      </c>
      <c r="I22">
        <v>60</v>
      </c>
      <c r="J22">
        <v>75</v>
      </c>
      <c r="K22">
        <v>64</v>
      </c>
      <c r="L22" t="s">
        <v>77</v>
      </c>
      <c r="M22" t="s">
        <v>33</v>
      </c>
      <c r="N22" t="s">
        <v>1006</v>
      </c>
      <c r="O22">
        <v>7</v>
      </c>
      <c r="Q22" t="s">
        <v>357</v>
      </c>
      <c r="R22" t="s">
        <v>523</v>
      </c>
      <c r="S22" t="s">
        <v>328</v>
      </c>
      <c r="T22" t="s">
        <v>403</v>
      </c>
      <c r="U22" t="s">
        <v>403</v>
      </c>
      <c r="AB22" t="s">
        <v>866</v>
      </c>
    </row>
    <row r="23" spans="1:29" x14ac:dyDescent="0.3">
      <c r="A23" t="s">
        <v>1007</v>
      </c>
      <c r="B23">
        <v>8</v>
      </c>
      <c r="C23">
        <v>1</v>
      </c>
      <c r="D23">
        <v>4912</v>
      </c>
      <c r="E23" t="s">
        <v>919</v>
      </c>
      <c r="G23">
        <v>46</v>
      </c>
      <c r="H23">
        <v>44</v>
      </c>
      <c r="I23">
        <v>75</v>
      </c>
      <c r="J23">
        <v>75</v>
      </c>
      <c r="K23">
        <v>64</v>
      </c>
      <c r="L23" t="s">
        <v>77</v>
      </c>
      <c r="M23" t="s">
        <v>33</v>
      </c>
      <c r="N23" t="s">
        <v>1008</v>
      </c>
      <c r="O23">
        <v>7</v>
      </c>
      <c r="Q23" t="s">
        <v>357</v>
      </c>
      <c r="R23" t="s">
        <v>523</v>
      </c>
      <c r="S23" t="s">
        <v>328</v>
      </c>
      <c r="T23" t="s">
        <v>403</v>
      </c>
      <c r="U23" t="s">
        <v>403</v>
      </c>
      <c r="AB23" t="s">
        <v>866</v>
      </c>
    </row>
    <row r="24" spans="1:29" x14ac:dyDescent="0.3">
      <c r="A24" t="s">
        <v>1009</v>
      </c>
      <c r="B24">
        <v>8</v>
      </c>
      <c r="C24">
        <v>3</v>
      </c>
      <c r="D24">
        <v>4913</v>
      </c>
      <c r="E24" t="s">
        <v>889</v>
      </c>
      <c r="G24">
        <v>44</v>
      </c>
      <c r="H24">
        <v>43</v>
      </c>
      <c r="I24">
        <v>47</v>
      </c>
      <c r="J24">
        <v>75</v>
      </c>
      <c r="K24">
        <v>64</v>
      </c>
      <c r="L24" t="s">
        <v>77</v>
      </c>
      <c r="M24" t="s">
        <v>33</v>
      </c>
      <c r="N24" t="s">
        <v>1010</v>
      </c>
      <c r="O24">
        <v>7</v>
      </c>
      <c r="Q24" t="s">
        <v>357</v>
      </c>
      <c r="R24" t="s">
        <v>523</v>
      </c>
      <c r="S24" t="s">
        <v>328</v>
      </c>
      <c r="T24" t="s">
        <v>403</v>
      </c>
      <c r="U24" t="s">
        <v>403</v>
      </c>
      <c r="AB24" t="s">
        <v>866</v>
      </c>
      <c r="AC24" t="s">
        <v>337</v>
      </c>
    </row>
    <row r="25" spans="1:29" x14ac:dyDescent="0.3">
      <c r="A25" t="s">
        <v>1011</v>
      </c>
      <c r="B25">
        <v>8</v>
      </c>
      <c r="C25">
        <v>3</v>
      </c>
      <c r="D25">
        <v>4914</v>
      </c>
      <c r="E25" t="s">
        <v>890</v>
      </c>
      <c r="G25">
        <v>48</v>
      </c>
      <c r="H25">
        <v>40</v>
      </c>
      <c r="I25">
        <v>52</v>
      </c>
      <c r="J25">
        <v>75</v>
      </c>
      <c r="K25">
        <v>64</v>
      </c>
      <c r="L25" t="s">
        <v>77</v>
      </c>
      <c r="M25" t="s">
        <v>33</v>
      </c>
      <c r="N25" t="s">
        <v>1012</v>
      </c>
      <c r="O25">
        <v>7</v>
      </c>
      <c r="Q25" t="s">
        <v>357</v>
      </c>
      <c r="R25" t="s">
        <v>523</v>
      </c>
      <c r="S25" t="s">
        <v>328</v>
      </c>
      <c r="T25" t="s">
        <v>403</v>
      </c>
      <c r="U25" t="s">
        <v>403</v>
      </c>
      <c r="AB25" t="s">
        <v>866</v>
      </c>
    </row>
    <row r="26" spans="1:29" x14ac:dyDescent="0.3">
      <c r="A26" t="s">
        <v>1013</v>
      </c>
      <c r="B26">
        <v>8</v>
      </c>
      <c r="C26">
        <v>1</v>
      </c>
      <c r="D26">
        <v>4915</v>
      </c>
      <c r="E26" t="s">
        <v>891</v>
      </c>
      <c r="G26">
        <v>45</v>
      </c>
      <c r="H26">
        <v>44</v>
      </c>
      <c r="I26">
        <v>47</v>
      </c>
      <c r="J26">
        <v>75</v>
      </c>
      <c r="K26">
        <v>64</v>
      </c>
      <c r="L26" t="s">
        <v>77</v>
      </c>
      <c r="M26" t="s">
        <v>33</v>
      </c>
      <c r="N26" t="s">
        <v>1014</v>
      </c>
      <c r="O26">
        <v>7</v>
      </c>
      <c r="Q26" t="s">
        <v>357</v>
      </c>
      <c r="R26" t="s">
        <v>523</v>
      </c>
      <c r="S26" t="s">
        <v>328</v>
      </c>
      <c r="T26" t="s">
        <v>403</v>
      </c>
      <c r="U26" t="s">
        <v>403</v>
      </c>
      <c r="AB26" t="s">
        <v>866</v>
      </c>
    </row>
    <row r="27" spans="1:29" x14ac:dyDescent="0.3">
      <c r="A27" t="s">
        <v>1015</v>
      </c>
      <c r="B27">
        <v>8</v>
      </c>
      <c r="C27">
        <v>1</v>
      </c>
      <c r="D27">
        <v>4917</v>
      </c>
      <c r="E27" t="s">
        <v>893</v>
      </c>
      <c r="G27">
        <v>50</v>
      </c>
      <c r="H27">
        <v>38</v>
      </c>
      <c r="I27">
        <v>52</v>
      </c>
      <c r="J27">
        <v>76</v>
      </c>
      <c r="K27">
        <v>64</v>
      </c>
      <c r="L27" t="s">
        <v>78</v>
      </c>
      <c r="M27" t="s">
        <v>33</v>
      </c>
      <c r="N27" t="s">
        <v>1016</v>
      </c>
      <c r="O27">
        <v>7</v>
      </c>
      <c r="Q27" t="s">
        <v>357</v>
      </c>
      <c r="R27" t="s">
        <v>523</v>
      </c>
      <c r="S27" t="s">
        <v>328</v>
      </c>
      <c r="T27" t="s">
        <v>403</v>
      </c>
      <c r="U27" t="s">
        <v>403</v>
      </c>
      <c r="AB27" t="s">
        <v>866</v>
      </c>
    </row>
    <row r="28" spans="1:29" x14ac:dyDescent="0.3">
      <c r="A28" t="s">
        <v>1017</v>
      </c>
      <c r="B28">
        <v>8</v>
      </c>
      <c r="C28">
        <v>1</v>
      </c>
      <c r="D28">
        <v>4918</v>
      </c>
      <c r="E28" t="s">
        <v>894</v>
      </c>
      <c r="G28">
        <v>44</v>
      </c>
      <c r="H28">
        <v>45</v>
      </c>
      <c r="I28">
        <v>78</v>
      </c>
      <c r="J28">
        <v>74</v>
      </c>
      <c r="K28">
        <v>64</v>
      </c>
      <c r="L28" t="s">
        <v>76</v>
      </c>
      <c r="M28" t="s">
        <v>33</v>
      </c>
      <c r="N28" t="s">
        <v>1018</v>
      </c>
      <c r="O28">
        <v>7</v>
      </c>
      <c r="Q28" t="s">
        <v>357</v>
      </c>
      <c r="R28" t="s">
        <v>523</v>
      </c>
      <c r="S28" t="s">
        <v>328</v>
      </c>
      <c r="T28" t="s">
        <v>403</v>
      </c>
      <c r="U28" t="s">
        <v>403</v>
      </c>
      <c r="AB28" t="s">
        <v>866</v>
      </c>
    </row>
    <row r="29" spans="1:29" x14ac:dyDescent="0.3">
      <c r="A29" t="s">
        <v>1019</v>
      </c>
      <c r="B29">
        <v>8</v>
      </c>
      <c r="C29">
        <v>4</v>
      </c>
      <c r="D29">
        <v>4919</v>
      </c>
      <c r="E29" t="s">
        <v>895</v>
      </c>
      <c r="G29">
        <v>45</v>
      </c>
      <c r="H29">
        <v>40</v>
      </c>
      <c r="I29">
        <v>50</v>
      </c>
      <c r="J29">
        <v>76</v>
      </c>
      <c r="K29">
        <v>64</v>
      </c>
      <c r="L29" t="s">
        <v>78</v>
      </c>
      <c r="M29" t="s">
        <v>33</v>
      </c>
      <c r="N29" t="s">
        <v>1020</v>
      </c>
      <c r="O29">
        <v>7</v>
      </c>
      <c r="Q29" t="s">
        <v>357</v>
      </c>
      <c r="R29" t="s">
        <v>523</v>
      </c>
      <c r="S29" t="s">
        <v>328</v>
      </c>
      <c r="T29" t="s">
        <v>403</v>
      </c>
      <c r="U29" t="s">
        <v>403</v>
      </c>
      <c r="AB29" t="s">
        <v>866</v>
      </c>
    </row>
    <row r="30" spans="1:29" x14ac:dyDescent="0.3">
      <c r="A30" t="s">
        <v>1021</v>
      </c>
      <c r="B30">
        <v>8</v>
      </c>
      <c r="C30">
        <v>2</v>
      </c>
      <c r="D30">
        <v>4920</v>
      </c>
      <c r="E30" t="s">
        <v>896</v>
      </c>
      <c r="G30">
        <v>47</v>
      </c>
      <c r="H30">
        <v>51</v>
      </c>
      <c r="I30">
        <v>80</v>
      </c>
      <c r="J30">
        <v>75</v>
      </c>
      <c r="K30">
        <v>64</v>
      </c>
      <c r="L30" t="s">
        <v>77</v>
      </c>
      <c r="M30" t="s">
        <v>33</v>
      </c>
      <c r="N30" t="s">
        <v>1022</v>
      </c>
      <c r="O30">
        <v>7</v>
      </c>
      <c r="Q30" t="s">
        <v>357</v>
      </c>
      <c r="R30" t="s">
        <v>523</v>
      </c>
      <c r="S30" t="s">
        <v>328</v>
      </c>
      <c r="T30" t="s">
        <v>403</v>
      </c>
      <c r="U30" t="s">
        <v>403</v>
      </c>
      <c r="AB30" t="s">
        <v>866</v>
      </c>
    </row>
    <row r="31" spans="1:29" x14ac:dyDescent="0.3">
      <c r="A31" t="s">
        <v>1023</v>
      </c>
      <c r="B31">
        <v>8</v>
      </c>
      <c r="C31">
        <v>2</v>
      </c>
      <c r="D31">
        <v>4921</v>
      </c>
      <c r="E31" t="s">
        <v>897</v>
      </c>
      <c r="G31">
        <v>40</v>
      </c>
      <c r="H31">
        <v>34</v>
      </c>
      <c r="I31">
        <v>48</v>
      </c>
      <c r="J31">
        <v>74</v>
      </c>
      <c r="K31">
        <v>64</v>
      </c>
      <c r="L31" t="s">
        <v>76</v>
      </c>
      <c r="M31" t="s">
        <v>33</v>
      </c>
      <c r="N31" t="s">
        <v>1024</v>
      </c>
      <c r="O31">
        <v>7</v>
      </c>
      <c r="Q31" t="s">
        <v>357</v>
      </c>
      <c r="R31" t="s">
        <v>523</v>
      </c>
      <c r="S31" t="s">
        <v>328</v>
      </c>
      <c r="T31" t="s">
        <v>403</v>
      </c>
      <c r="U31" t="s">
        <v>403</v>
      </c>
      <c r="AB31" t="s">
        <v>866</v>
      </c>
    </row>
    <row r="32" spans="1:29" x14ac:dyDescent="0.3">
      <c r="A32" t="s">
        <v>1025</v>
      </c>
      <c r="B32">
        <v>8</v>
      </c>
      <c r="C32">
        <v>1</v>
      </c>
      <c r="D32">
        <v>4923</v>
      </c>
      <c r="E32" t="s">
        <v>899</v>
      </c>
      <c r="G32">
        <v>44</v>
      </c>
      <c r="H32">
        <v>42</v>
      </c>
      <c r="I32">
        <v>50</v>
      </c>
      <c r="J32">
        <v>75</v>
      </c>
      <c r="K32">
        <v>64</v>
      </c>
      <c r="L32" t="s">
        <v>77</v>
      </c>
      <c r="M32" t="s">
        <v>33</v>
      </c>
      <c r="N32" t="s">
        <v>1026</v>
      </c>
      <c r="O32">
        <v>7</v>
      </c>
      <c r="Q32" t="s">
        <v>357</v>
      </c>
      <c r="R32" t="s">
        <v>523</v>
      </c>
      <c r="S32" t="s">
        <v>328</v>
      </c>
      <c r="T32" t="s">
        <v>403</v>
      </c>
      <c r="U32" t="s">
        <v>403</v>
      </c>
      <c r="AB32" t="s">
        <v>866</v>
      </c>
    </row>
    <row r="33" spans="1:29" x14ac:dyDescent="0.3">
      <c r="A33" t="s">
        <v>1027</v>
      </c>
      <c r="B33">
        <v>8</v>
      </c>
      <c r="C33">
        <v>4</v>
      </c>
      <c r="D33">
        <v>4925</v>
      </c>
      <c r="E33" t="s">
        <v>901</v>
      </c>
      <c r="G33">
        <v>48</v>
      </c>
      <c r="H33">
        <v>45</v>
      </c>
      <c r="I33">
        <v>58</v>
      </c>
      <c r="J33">
        <v>75</v>
      </c>
      <c r="K33">
        <v>64</v>
      </c>
      <c r="L33" t="s">
        <v>77</v>
      </c>
      <c r="M33" t="s">
        <v>33</v>
      </c>
      <c r="N33" t="s">
        <v>1028</v>
      </c>
      <c r="O33">
        <v>7</v>
      </c>
      <c r="Q33" t="s">
        <v>357</v>
      </c>
      <c r="R33" t="s">
        <v>523</v>
      </c>
      <c r="S33" t="s">
        <v>328</v>
      </c>
      <c r="T33" t="s">
        <v>403</v>
      </c>
      <c r="U33" t="s">
        <v>403</v>
      </c>
      <c r="AB33" t="s">
        <v>866</v>
      </c>
    </row>
    <row r="34" spans="1:29" x14ac:dyDescent="0.3">
      <c r="A34" t="s">
        <v>1029</v>
      </c>
      <c r="B34">
        <v>8</v>
      </c>
      <c r="C34">
        <v>1</v>
      </c>
      <c r="D34">
        <v>5132</v>
      </c>
      <c r="E34" t="s">
        <v>958</v>
      </c>
      <c r="G34">
        <v>44</v>
      </c>
      <c r="H34">
        <v>42</v>
      </c>
      <c r="I34">
        <v>51</v>
      </c>
      <c r="J34">
        <v>75</v>
      </c>
      <c r="K34">
        <v>64</v>
      </c>
      <c r="L34" t="s">
        <v>77</v>
      </c>
      <c r="M34" t="s">
        <v>33</v>
      </c>
      <c r="N34" t="s">
        <v>1030</v>
      </c>
      <c r="O34">
        <v>7</v>
      </c>
      <c r="Q34" t="s">
        <v>357</v>
      </c>
      <c r="R34" t="s">
        <v>523</v>
      </c>
      <c r="S34" t="s">
        <v>328</v>
      </c>
      <c r="T34" t="s">
        <v>403</v>
      </c>
      <c r="U34" t="s">
        <v>403</v>
      </c>
      <c r="AC34" t="s">
        <v>337</v>
      </c>
    </row>
    <row r="35" spans="1:29" x14ac:dyDescent="0.3">
      <c r="A35" t="s">
        <v>1031</v>
      </c>
      <c r="B35">
        <v>8</v>
      </c>
      <c r="C35">
        <v>1</v>
      </c>
      <c r="D35">
        <v>4927</v>
      </c>
      <c r="E35" t="s">
        <v>903</v>
      </c>
      <c r="G35">
        <v>44</v>
      </c>
      <c r="H35">
        <v>41</v>
      </c>
      <c r="I35">
        <v>50</v>
      </c>
      <c r="J35">
        <v>75</v>
      </c>
      <c r="K35">
        <v>64</v>
      </c>
      <c r="L35" t="s">
        <v>77</v>
      </c>
      <c r="M35" t="s">
        <v>33</v>
      </c>
      <c r="N35" t="s">
        <v>1032</v>
      </c>
      <c r="O35">
        <v>7</v>
      </c>
      <c r="Q35" t="s">
        <v>357</v>
      </c>
      <c r="R35" t="s">
        <v>523</v>
      </c>
      <c r="S35" t="s">
        <v>328</v>
      </c>
      <c r="T35" t="s">
        <v>403</v>
      </c>
      <c r="U35" t="s">
        <v>403</v>
      </c>
      <c r="AB35" t="s">
        <v>866</v>
      </c>
    </row>
    <row r="36" spans="1:29" x14ac:dyDescent="0.3">
      <c r="A36" t="s">
        <v>1033</v>
      </c>
      <c r="B36">
        <v>8</v>
      </c>
      <c r="C36">
        <v>1</v>
      </c>
      <c r="D36">
        <v>4928</v>
      </c>
      <c r="E36" t="s">
        <v>925</v>
      </c>
      <c r="G36">
        <v>44</v>
      </c>
      <c r="H36">
        <v>42</v>
      </c>
      <c r="I36">
        <v>50</v>
      </c>
      <c r="J36">
        <v>75</v>
      </c>
      <c r="K36">
        <v>64</v>
      </c>
      <c r="L36" t="s">
        <v>77</v>
      </c>
      <c r="M36" t="s">
        <v>33</v>
      </c>
      <c r="N36" t="s">
        <v>1034</v>
      </c>
      <c r="O36">
        <v>7</v>
      </c>
      <c r="Q36" t="s">
        <v>357</v>
      </c>
      <c r="R36" t="s">
        <v>523</v>
      </c>
      <c r="S36" t="s">
        <v>328</v>
      </c>
      <c r="T36" t="s">
        <v>403</v>
      </c>
      <c r="U36" t="s">
        <v>403</v>
      </c>
    </row>
    <row r="37" spans="1:29" x14ac:dyDescent="0.3">
      <c r="A37" t="s">
        <v>1035</v>
      </c>
      <c r="B37">
        <v>8</v>
      </c>
      <c r="C37">
        <v>3</v>
      </c>
      <c r="D37">
        <v>4929</v>
      </c>
      <c r="E37" t="s">
        <v>905</v>
      </c>
      <c r="G37">
        <v>52</v>
      </c>
      <c r="H37">
        <v>41</v>
      </c>
      <c r="I37">
        <v>50</v>
      </c>
      <c r="J37">
        <v>75</v>
      </c>
      <c r="K37">
        <v>64</v>
      </c>
      <c r="L37" t="s">
        <v>77</v>
      </c>
      <c r="M37" t="s">
        <v>33</v>
      </c>
      <c r="N37" t="s">
        <v>697</v>
      </c>
      <c r="O37">
        <v>7</v>
      </c>
      <c r="Q37" t="s">
        <v>357</v>
      </c>
      <c r="R37" t="s">
        <v>523</v>
      </c>
      <c r="S37" t="s">
        <v>328</v>
      </c>
      <c r="T37" t="s">
        <v>403</v>
      </c>
      <c r="U37" t="s">
        <v>403</v>
      </c>
      <c r="AB37" t="s">
        <v>866</v>
      </c>
    </row>
    <row r="38" spans="1:29" x14ac:dyDescent="0.3">
      <c r="A38" t="s">
        <v>1036</v>
      </c>
      <c r="B38">
        <v>8</v>
      </c>
      <c r="C38">
        <v>1</v>
      </c>
      <c r="D38">
        <v>4930</v>
      </c>
      <c r="E38" t="s">
        <v>906</v>
      </c>
      <c r="G38">
        <v>53</v>
      </c>
      <c r="H38">
        <v>36</v>
      </c>
      <c r="I38">
        <v>45</v>
      </c>
      <c r="J38">
        <v>77</v>
      </c>
      <c r="K38">
        <v>64</v>
      </c>
      <c r="L38" t="s">
        <v>79</v>
      </c>
      <c r="M38" t="s">
        <v>33</v>
      </c>
      <c r="N38" t="s">
        <v>764</v>
      </c>
      <c r="O38">
        <v>7</v>
      </c>
      <c r="Q38" t="s">
        <v>357</v>
      </c>
      <c r="R38" t="s">
        <v>523</v>
      </c>
      <c r="S38" t="s">
        <v>328</v>
      </c>
      <c r="T38" t="s">
        <v>403</v>
      </c>
      <c r="U38" t="s">
        <v>403</v>
      </c>
      <c r="AB38" t="s">
        <v>866</v>
      </c>
      <c r="AC38" t="s">
        <v>337</v>
      </c>
    </row>
    <row r="39" spans="1:29" x14ac:dyDescent="0.3">
      <c r="A39" t="s">
        <v>1037</v>
      </c>
      <c r="B39">
        <v>8</v>
      </c>
      <c r="C39">
        <v>1</v>
      </c>
      <c r="D39">
        <v>4931</v>
      </c>
      <c r="E39" t="s">
        <v>908</v>
      </c>
      <c r="G39">
        <v>60</v>
      </c>
      <c r="H39">
        <v>39</v>
      </c>
      <c r="I39">
        <v>45</v>
      </c>
      <c r="J39">
        <v>74</v>
      </c>
      <c r="K39">
        <v>64</v>
      </c>
      <c r="L39" t="s">
        <v>76</v>
      </c>
      <c r="M39" t="s">
        <v>33</v>
      </c>
      <c r="N39" t="s">
        <v>1038</v>
      </c>
      <c r="O39">
        <v>7</v>
      </c>
      <c r="Q39" t="s">
        <v>357</v>
      </c>
      <c r="R39" t="s">
        <v>523</v>
      </c>
      <c r="S39" t="s">
        <v>328</v>
      </c>
      <c r="T39" t="s">
        <v>403</v>
      </c>
      <c r="U39" t="s">
        <v>403</v>
      </c>
      <c r="AB39" t="s">
        <v>866</v>
      </c>
    </row>
    <row r="40" spans="1:29" x14ac:dyDescent="0.3">
      <c r="A40" t="s">
        <v>1039</v>
      </c>
      <c r="B40">
        <v>8</v>
      </c>
      <c r="C40">
        <v>2</v>
      </c>
      <c r="D40">
        <v>4934</v>
      </c>
      <c r="E40" t="s">
        <v>926</v>
      </c>
      <c r="G40">
        <v>38</v>
      </c>
      <c r="H40">
        <v>37</v>
      </c>
      <c r="I40">
        <v>69</v>
      </c>
      <c r="J40">
        <v>75</v>
      </c>
      <c r="K40">
        <v>64</v>
      </c>
      <c r="L40" t="s">
        <v>77</v>
      </c>
      <c r="M40" t="s">
        <v>33</v>
      </c>
      <c r="N40" t="s">
        <v>679</v>
      </c>
      <c r="O40">
        <v>7</v>
      </c>
      <c r="Q40" t="s">
        <v>357</v>
      </c>
      <c r="R40" t="s">
        <v>523</v>
      </c>
      <c r="S40" t="s">
        <v>328</v>
      </c>
      <c r="T40" t="s">
        <v>403</v>
      </c>
      <c r="U40" t="s">
        <v>403</v>
      </c>
      <c r="AB40" t="s">
        <v>866</v>
      </c>
    </row>
    <row r="41" spans="1:29" x14ac:dyDescent="0.3">
      <c r="A41" t="s">
        <v>1040</v>
      </c>
      <c r="B41">
        <v>8</v>
      </c>
      <c r="C41">
        <v>1</v>
      </c>
      <c r="D41">
        <v>4937</v>
      </c>
      <c r="E41" t="s">
        <v>929</v>
      </c>
      <c r="G41">
        <v>50</v>
      </c>
      <c r="H41">
        <v>42</v>
      </c>
      <c r="I41">
        <v>45</v>
      </c>
      <c r="J41">
        <v>74</v>
      </c>
      <c r="K41">
        <v>64</v>
      </c>
      <c r="L41" t="s">
        <v>76</v>
      </c>
      <c r="M41" t="s">
        <v>33</v>
      </c>
      <c r="N41" t="s">
        <v>1041</v>
      </c>
      <c r="O41">
        <v>7</v>
      </c>
      <c r="Q41" t="s">
        <v>357</v>
      </c>
      <c r="R41" t="s">
        <v>523</v>
      </c>
      <c r="S41" t="s">
        <v>328</v>
      </c>
      <c r="T41" t="s">
        <v>403</v>
      </c>
      <c r="U41" t="s">
        <v>403</v>
      </c>
      <c r="AB41" t="s">
        <v>866</v>
      </c>
    </row>
    <row r="42" spans="1:29" x14ac:dyDescent="0.3">
      <c r="A42" t="s">
        <v>1042</v>
      </c>
      <c r="B42">
        <v>8</v>
      </c>
      <c r="C42">
        <v>1</v>
      </c>
      <c r="D42">
        <v>4942</v>
      </c>
      <c r="E42" t="s">
        <v>934</v>
      </c>
      <c r="G42">
        <v>42</v>
      </c>
      <c r="H42">
        <v>46</v>
      </c>
      <c r="I42">
        <v>56</v>
      </c>
      <c r="J42">
        <v>75</v>
      </c>
      <c r="K42">
        <v>64</v>
      </c>
      <c r="L42" t="s">
        <v>77</v>
      </c>
      <c r="M42" t="s">
        <v>33</v>
      </c>
      <c r="N42" t="s">
        <v>1043</v>
      </c>
      <c r="O42">
        <v>7</v>
      </c>
      <c r="Q42" t="s">
        <v>357</v>
      </c>
      <c r="R42" t="s">
        <v>523</v>
      </c>
      <c r="S42" t="s">
        <v>328</v>
      </c>
      <c r="T42" t="s">
        <v>403</v>
      </c>
      <c r="U42" t="s">
        <v>403</v>
      </c>
      <c r="AB42" t="s">
        <v>866</v>
      </c>
    </row>
    <row r="43" spans="1:29" x14ac:dyDescent="0.3">
      <c r="A43" t="s">
        <v>1044</v>
      </c>
      <c r="B43">
        <v>8</v>
      </c>
      <c r="C43">
        <v>2</v>
      </c>
      <c r="D43">
        <v>5150</v>
      </c>
      <c r="E43" t="s">
        <v>962</v>
      </c>
      <c r="G43">
        <v>85</v>
      </c>
      <c r="H43">
        <v>48</v>
      </c>
      <c r="I43">
        <v>63</v>
      </c>
      <c r="J43">
        <v>75</v>
      </c>
      <c r="K43">
        <v>64</v>
      </c>
      <c r="L43" t="s">
        <v>77</v>
      </c>
      <c r="M43" t="s">
        <v>33</v>
      </c>
      <c r="N43" t="s">
        <v>1045</v>
      </c>
      <c r="O43">
        <v>7</v>
      </c>
      <c r="Q43" t="s">
        <v>357</v>
      </c>
      <c r="R43" t="s">
        <v>523</v>
      </c>
      <c r="S43" t="s">
        <v>328</v>
      </c>
      <c r="T43" t="s">
        <v>403</v>
      </c>
      <c r="U43" t="s">
        <v>403</v>
      </c>
    </row>
    <row r="44" spans="1:29" x14ac:dyDescent="0.3">
      <c r="A44" t="s">
        <v>1046</v>
      </c>
      <c r="B44">
        <v>8</v>
      </c>
      <c r="C44">
        <v>2</v>
      </c>
      <c r="D44">
        <v>5151</v>
      </c>
      <c r="E44" t="s">
        <v>963</v>
      </c>
      <c r="G44">
        <v>105</v>
      </c>
      <c r="H44">
        <v>65</v>
      </c>
      <c r="I44">
        <v>68</v>
      </c>
      <c r="J44">
        <v>75</v>
      </c>
      <c r="K44">
        <v>64</v>
      </c>
      <c r="L44" t="s">
        <v>77</v>
      </c>
      <c r="M44" t="s">
        <v>33</v>
      </c>
      <c r="N44" t="s">
        <v>758</v>
      </c>
      <c r="O44">
        <v>7</v>
      </c>
      <c r="Q44" t="s">
        <v>357</v>
      </c>
      <c r="R44" t="s">
        <v>523</v>
      </c>
      <c r="S44" t="s">
        <v>328</v>
      </c>
      <c r="T44" t="s">
        <v>403</v>
      </c>
      <c r="U44" t="s">
        <v>403</v>
      </c>
    </row>
    <row r="45" spans="1:29" x14ac:dyDescent="0.3">
      <c r="A45" t="s">
        <v>1047</v>
      </c>
      <c r="B45">
        <v>8</v>
      </c>
      <c r="C45">
        <v>3</v>
      </c>
      <c r="D45">
        <v>5152</v>
      </c>
      <c r="E45" t="s">
        <v>964</v>
      </c>
      <c r="G45">
        <v>39</v>
      </c>
      <c r="H45">
        <v>34</v>
      </c>
      <c r="I45">
        <v>48</v>
      </c>
      <c r="J45">
        <v>75</v>
      </c>
      <c r="K45">
        <v>64</v>
      </c>
      <c r="L45" t="s">
        <v>77</v>
      </c>
      <c r="M45" t="s">
        <v>33</v>
      </c>
      <c r="N45" t="s">
        <v>1048</v>
      </c>
      <c r="O45">
        <v>25</v>
      </c>
      <c r="P45" t="s">
        <v>965</v>
      </c>
      <c r="Q45" t="s">
        <v>360</v>
      </c>
      <c r="R45" t="s">
        <v>523</v>
      </c>
      <c r="S45" t="s">
        <v>328</v>
      </c>
      <c r="T45" t="s">
        <v>403</v>
      </c>
      <c r="U45" t="s">
        <v>403</v>
      </c>
    </row>
    <row r="46" spans="1:29" x14ac:dyDescent="0.3">
      <c r="A46" t="s">
        <v>1049</v>
      </c>
      <c r="B46">
        <v>8</v>
      </c>
      <c r="C46">
        <v>1</v>
      </c>
      <c r="D46">
        <v>5153</v>
      </c>
      <c r="E46" t="s">
        <v>969</v>
      </c>
      <c r="N46" t="s">
        <v>1050</v>
      </c>
      <c r="O46">
        <v>7</v>
      </c>
      <c r="P46" t="s">
        <v>970</v>
      </c>
      <c r="Q46" t="s">
        <v>357</v>
      </c>
      <c r="S46" t="s">
        <v>403</v>
      </c>
      <c r="T46" t="s">
        <v>403</v>
      </c>
      <c r="U46" t="s">
        <v>403</v>
      </c>
    </row>
    <row r="47" spans="1:29" x14ac:dyDescent="0.3">
      <c r="A47" t="s">
        <v>1051</v>
      </c>
      <c r="B47">
        <v>8</v>
      </c>
      <c r="C47">
        <v>1</v>
      </c>
      <c r="D47">
        <v>5154</v>
      </c>
      <c r="E47" t="s">
        <v>967</v>
      </c>
      <c r="G47">
        <v>65</v>
      </c>
      <c r="H47">
        <v>50</v>
      </c>
      <c r="I47">
        <v>70</v>
      </c>
      <c r="J47">
        <v>75</v>
      </c>
      <c r="K47">
        <v>64</v>
      </c>
      <c r="L47" t="s">
        <v>77</v>
      </c>
      <c r="M47" t="s">
        <v>33</v>
      </c>
      <c r="N47" t="s">
        <v>1052</v>
      </c>
      <c r="O47">
        <v>7</v>
      </c>
      <c r="Q47" t="s">
        <v>357</v>
      </c>
      <c r="R47" t="s">
        <v>523</v>
      </c>
      <c r="S47" t="s">
        <v>328</v>
      </c>
      <c r="T47" t="s">
        <v>403</v>
      </c>
      <c r="U47" t="s">
        <v>403</v>
      </c>
    </row>
    <row r="48" spans="1:29" x14ac:dyDescent="0.3">
      <c r="A48" t="s">
        <v>1053</v>
      </c>
      <c r="B48">
        <v>8</v>
      </c>
      <c r="C48">
        <v>1</v>
      </c>
      <c r="D48">
        <v>5155</v>
      </c>
      <c r="E48" t="s">
        <v>968</v>
      </c>
      <c r="G48">
        <v>102</v>
      </c>
      <c r="H48">
        <v>47</v>
      </c>
      <c r="I48">
        <v>57</v>
      </c>
      <c r="J48">
        <v>75</v>
      </c>
      <c r="K48">
        <v>64</v>
      </c>
      <c r="L48" t="s">
        <v>77</v>
      </c>
      <c r="M48" t="s">
        <v>33</v>
      </c>
      <c r="N48" t="s">
        <v>961</v>
      </c>
      <c r="O48">
        <v>7</v>
      </c>
      <c r="Q48" t="s">
        <v>357</v>
      </c>
      <c r="R48" t="s">
        <v>523</v>
      </c>
      <c r="S48" t="s">
        <v>328</v>
      </c>
      <c r="T48" t="s">
        <v>403</v>
      </c>
      <c r="U48" t="s">
        <v>403</v>
      </c>
    </row>
    <row r="49" spans="1:28" x14ac:dyDescent="0.3">
      <c r="A49" t="s">
        <v>1054</v>
      </c>
      <c r="B49">
        <v>9</v>
      </c>
      <c r="C49">
        <v>1</v>
      </c>
      <c r="D49">
        <v>1190</v>
      </c>
      <c r="E49" t="s">
        <v>96</v>
      </c>
      <c r="G49">
        <v>83</v>
      </c>
      <c r="H49">
        <v>57</v>
      </c>
      <c r="I49">
        <v>77</v>
      </c>
      <c r="J49">
        <v>75</v>
      </c>
      <c r="K49">
        <v>64</v>
      </c>
      <c r="L49" t="s">
        <v>77</v>
      </c>
      <c r="M49" t="s">
        <v>33</v>
      </c>
      <c r="N49" t="s">
        <v>1055</v>
      </c>
      <c r="O49">
        <v>7</v>
      </c>
      <c r="Q49" t="s">
        <v>357</v>
      </c>
      <c r="R49" t="s">
        <v>523</v>
      </c>
      <c r="S49" t="s">
        <v>328</v>
      </c>
      <c r="T49" t="s">
        <v>403</v>
      </c>
      <c r="U49" t="s">
        <v>403</v>
      </c>
      <c r="AB49" t="s">
        <v>866</v>
      </c>
    </row>
  </sheetData>
  <phoneticPr fontId="1" type="noConversion"/>
  <pageMargins left="0.7" right="0.7" top="0.75" bottom="0.75" header="0.3" footer="0.3"/>
  <pageSetup paperSize="147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602D-BA21-49BA-8E0F-AF3D52207428}">
  <dimension ref="A1:AG49"/>
  <sheetViews>
    <sheetView view="pageBreakPreview" zoomScale="60" zoomScaleNormal="85" workbookViewId="0">
      <selection activeCell="AN27" sqref="AN27"/>
    </sheetView>
  </sheetViews>
  <sheetFormatPr defaultRowHeight="14.4" x14ac:dyDescent="0.3"/>
  <cols>
    <col min="1" max="1" width="21.44140625" bestFit="1" customWidth="1"/>
    <col min="2" max="2" width="12.33203125" bestFit="1" customWidth="1"/>
    <col min="3" max="3" width="12.109375" bestFit="1" customWidth="1"/>
    <col min="4" max="4" width="6.5546875" bestFit="1" customWidth="1"/>
    <col min="5" max="5" width="15.33203125" bestFit="1" customWidth="1"/>
    <col min="6" max="6" width="11.33203125" hidden="1" customWidth="1"/>
    <col min="7" max="7" width="13.88671875" hidden="1" customWidth="1"/>
    <col min="8" max="8" width="14" hidden="1" customWidth="1"/>
    <col min="9" max="9" width="13.77734375" hidden="1" customWidth="1"/>
    <col min="10" max="10" width="10" hidden="1" customWidth="1"/>
    <col min="11" max="11" width="12.6640625" hidden="1" customWidth="1"/>
    <col min="12" max="12" width="18.109375" bestFit="1" customWidth="1"/>
    <col min="13" max="13" width="15.33203125" hidden="1" customWidth="1"/>
    <col min="14" max="14" width="35.109375" bestFit="1" customWidth="1"/>
    <col min="15" max="15" width="9.5546875" hidden="1" customWidth="1"/>
    <col min="16" max="16" width="16.5546875" hidden="1" customWidth="1"/>
    <col min="17" max="17" width="12.109375" hidden="1" customWidth="1"/>
    <col min="18" max="18" width="19.109375" hidden="1" customWidth="1"/>
    <col min="19" max="19" width="13.21875" hidden="1" customWidth="1"/>
    <col min="20" max="20" width="13.5546875" hidden="1" customWidth="1"/>
    <col min="21" max="21" width="13.21875" hidden="1" customWidth="1"/>
    <col min="22" max="22" width="19.33203125" bestFit="1" customWidth="1"/>
    <col min="23" max="23" width="16" hidden="1" customWidth="1"/>
    <col min="24" max="24" width="16.109375" hidden="1" customWidth="1"/>
    <col min="25" max="26" width="15.88671875" hidden="1" customWidth="1"/>
    <col min="27" max="27" width="5.77734375" hidden="1" customWidth="1"/>
    <col min="28" max="28" width="15" hidden="1" customWidth="1"/>
    <col min="29" max="29" width="8.21875" bestFit="1" customWidth="1"/>
    <col min="30" max="30" width="8.44140625" bestFit="1" customWidth="1"/>
    <col min="31" max="31" width="9.21875" bestFit="1" customWidth="1"/>
    <col min="32" max="32" width="7.5546875" bestFit="1" customWidth="1"/>
    <col min="33" max="33" width="9.5546875" bestFit="1" customWidth="1"/>
  </cols>
  <sheetData>
    <row r="1" spans="1:33" x14ac:dyDescent="0.3">
      <c r="A1" t="s">
        <v>390</v>
      </c>
      <c r="B1" t="s">
        <v>23</v>
      </c>
      <c r="C1" t="s">
        <v>391</v>
      </c>
      <c r="D1" t="s">
        <v>383</v>
      </c>
      <c r="E1" t="s">
        <v>392</v>
      </c>
      <c r="F1" t="s">
        <v>393</v>
      </c>
      <c r="G1" t="s">
        <v>394</v>
      </c>
      <c r="H1" t="s">
        <v>395</v>
      </c>
      <c r="I1" t="s">
        <v>396</v>
      </c>
      <c r="J1" t="s">
        <v>397</v>
      </c>
      <c r="K1" t="s">
        <v>398</v>
      </c>
      <c r="L1" t="s">
        <v>75</v>
      </c>
      <c r="M1" t="s">
        <v>41</v>
      </c>
      <c r="N1" t="s">
        <v>399</v>
      </c>
      <c r="O1" t="s">
        <v>400</v>
      </c>
      <c r="P1" t="s">
        <v>18</v>
      </c>
      <c r="Q1" t="s">
        <v>16</v>
      </c>
      <c r="R1" t="s">
        <v>83</v>
      </c>
      <c r="S1" t="s">
        <v>93</v>
      </c>
      <c r="T1" t="s">
        <v>94</v>
      </c>
      <c r="U1" t="s">
        <v>937</v>
      </c>
      <c r="V1" t="s">
        <v>12</v>
      </c>
      <c r="W1" t="s">
        <v>862</v>
      </c>
      <c r="X1" t="s">
        <v>863</v>
      </c>
      <c r="Y1" t="s">
        <v>864</v>
      </c>
      <c r="Z1" t="s">
        <v>860</v>
      </c>
      <c r="AA1" t="s">
        <v>938</v>
      </c>
      <c r="AB1" t="s">
        <v>870</v>
      </c>
      <c r="AC1" t="s">
        <v>953</v>
      </c>
      <c r="AD1" t="s">
        <v>954</v>
      </c>
      <c r="AE1" t="s">
        <v>955</v>
      </c>
      <c r="AF1" t="s">
        <v>956</v>
      </c>
      <c r="AG1" t="s">
        <v>957</v>
      </c>
    </row>
    <row r="2" spans="1:33" x14ac:dyDescent="0.3">
      <c r="A2" t="s">
        <v>971</v>
      </c>
      <c r="B2">
        <v>8</v>
      </c>
      <c r="C2">
        <v>1</v>
      </c>
      <c r="D2">
        <v>1200</v>
      </c>
      <c r="E2" t="s">
        <v>106</v>
      </c>
      <c r="G2">
        <v>90</v>
      </c>
      <c r="H2">
        <v>50</v>
      </c>
      <c r="I2">
        <v>52</v>
      </c>
      <c r="J2">
        <v>74</v>
      </c>
      <c r="K2">
        <v>64</v>
      </c>
      <c r="L2" t="s">
        <v>76</v>
      </c>
      <c r="M2" t="s">
        <v>33</v>
      </c>
      <c r="N2" t="s">
        <v>629</v>
      </c>
      <c r="O2">
        <v>7</v>
      </c>
      <c r="Q2" t="s">
        <v>357</v>
      </c>
      <c r="R2" t="s">
        <v>523</v>
      </c>
      <c r="S2" t="s">
        <v>328</v>
      </c>
      <c r="T2" t="s">
        <v>403</v>
      </c>
      <c r="U2" t="s">
        <v>403</v>
      </c>
      <c r="AB2" t="s">
        <v>866</v>
      </c>
    </row>
    <row r="3" spans="1:33" x14ac:dyDescent="0.3">
      <c r="A3" t="s">
        <v>972</v>
      </c>
      <c r="B3">
        <v>8</v>
      </c>
      <c r="C3">
        <v>1</v>
      </c>
      <c r="D3">
        <v>1246</v>
      </c>
      <c r="E3" t="s">
        <v>150</v>
      </c>
      <c r="G3">
        <v>42</v>
      </c>
      <c r="H3">
        <v>37</v>
      </c>
      <c r="I3">
        <v>51</v>
      </c>
      <c r="J3">
        <v>75</v>
      </c>
      <c r="K3">
        <v>64</v>
      </c>
      <c r="L3" t="s">
        <v>77</v>
      </c>
      <c r="M3" t="s">
        <v>33</v>
      </c>
      <c r="N3" t="s">
        <v>973</v>
      </c>
      <c r="O3">
        <v>7</v>
      </c>
      <c r="Q3" t="s">
        <v>357</v>
      </c>
      <c r="R3" t="s">
        <v>523</v>
      </c>
      <c r="S3" t="s">
        <v>328</v>
      </c>
      <c r="T3" t="s">
        <v>403</v>
      </c>
      <c r="U3" t="s">
        <v>403</v>
      </c>
      <c r="AB3" t="s">
        <v>866</v>
      </c>
    </row>
    <row r="4" spans="1:33" x14ac:dyDescent="0.3">
      <c r="A4" t="s">
        <v>974</v>
      </c>
      <c r="B4">
        <v>8</v>
      </c>
      <c r="C4">
        <v>2</v>
      </c>
      <c r="D4">
        <v>1270</v>
      </c>
      <c r="E4" t="s">
        <v>172</v>
      </c>
      <c r="G4">
        <v>42</v>
      </c>
      <c r="H4">
        <v>37</v>
      </c>
      <c r="I4">
        <v>43</v>
      </c>
      <c r="J4">
        <v>80</v>
      </c>
      <c r="K4">
        <v>64</v>
      </c>
      <c r="L4" t="s">
        <v>82</v>
      </c>
      <c r="M4" t="s">
        <v>33</v>
      </c>
      <c r="N4" t="s">
        <v>269</v>
      </c>
      <c r="O4">
        <v>7</v>
      </c>
      <c r="Q4" t="s">
        <v>357</v>
      </c>
      <c r="R4" t="s">
        <v>523</v>
      </c>
      <c r="S4" t="s">
        <v>328</v>
      </c>
      <c r="T4" t="s">
        <v>403</v>
      </c>
      <c r="U4" t="s">
        <v>403</v>
      </c>
      <c r="AB4" t="s">
        <v>866</v>
      </c>
    </row>
    <row r="5" spans="1:33" x14ac:dyDescent="0.3">
      <c r="A5" t="s">
        <v>975</v>
      </c>
      <c r="B5">
        <v>8</v>
      </c>
      <c r="C5">
        <v>2</v>
      </c>
      <c r="D5">
        <v>1302</v>
      </c>
      <c r="E5" t="s">
        <v>203</v>
      </c>
      <c r="G5">
        <v>36</v>
      </c>
      <c r="H5">
        <v>26</v>
      </c>
      <c r="I5">
        <v>50</v>
      </c>
      <c r="J5">
        <v>75</v>
      </c>
      <c r="K5">
        <v>64</v>
      </c>
      <c r="L5" t="s">
        <v>77</v>
      </c>
      <c r="M5" t="s">
        <v>33</v>
      </c>
      <c r="N5" t="s">
        <v>482</v>
      </c>
      <c r="O5">
        <v>25</v>
      </c>
      <c r="Q5" t="s">
        <v>360</v>
      </c>
      <c r="R5" t="s">
        <v>523</v>
      </c>
      <c r="S5" t="s">
        <v>328</v>
      </c>
      <c r="T5" t="s">
        <v>403</v>
      </c>
      <c r="U5" t="s">
        <v>403</v>
      </c>
      <c r="AB5" t="s">
        <v>866</v>
      </c>
    </row>
    <row r="6" spans="1:33" x14ac:dyDescent="0.3">
      <c r="A6" t="s">
        <v>976</v>
      </c>
      <c r="B6">
        <v>8</v>
      </c>
      <c r="C6">
        <v>1</v>
      </c>
      <c r="D6">
        <v>1310</v>
      </c>
      <c r="E6" t="s">
        <v>211</v>
      </c>
      <c r="G6">
        <v>37</v>
      </c>
      <c r="H6">
        <v>35</v>
      </c>
      <c r="I6">
        <v>60</v>
      </c>
      <c r="J6">
        <v>75</v>
      </c>
      <c r="K6">
        <v>64</v>
      </c>
      <c r="L6" t="s">
        <v>77</v>
      </c>
      <c r="M6" t="s">
        <v>33</v>
      </c>
      <c r="N6" t="s">
        <v>496</v>
      </c>
      <c r="O6">
        <v>25</v>
      </c>
      <c r="Q6" t="s">
        <v>360</v>
      </c>
      <c r="R6" t="s">
        <v>523</v>
      </c>
      <c r="S6" t="s">
        <v>328</v>
      </c>
      <c r="T6" t="s">
        <v>403</v>
      </c>
      <c r="U6" t="s">
        <v>403</v>
      </c>
      <c r="AB6" t="s">
        <v>866</v>
      </c>
    </row>
    <row r="7" spans="1:33" x14ac:dyDescent="0.3">
      <c r="A7" t="s">
        <v>977</v>
      </c>
      <c r="B7">
        <v>8</v>
      </c>
      <c r="C7">
        <v>1</v>
      </c>
      <c r="D7">
        <v>1312</v>
      </c>
      <c r="E7" t="s">
        <v>213</v>
      </c>
      <c r="G7">
        <v>36</v>
      </c>
      <c r="H7">
        <v>26</v>
      </c>
      <c r="I7">
        <v>47</v>
      </c>
      <c r="J7">
        <v>75</v>
      </c>
      <c r="K7">
        <v>64</v>
      </c>
      <c r="L7" t="s">
        <v>77</v>
      </c>
      <c r="M7" t="s">
        <v>33</v>
      </c>
      <c r="N7" t="s">
        <v>502</v>
      </c>
      <c r="O7">
        <v>25</v>
      </c>
      <c r="P7" t="s">
        <v>297</v>
      </c>
      <c r="Q7" t="s">
        <v>360</v>
      </c>
      <c r="R7" t="s">
        <v>523</v>
      </c>
      <c r="S7" t="s">
        <v>328</v>
      </c>
      <c r="T7" t="s">
        <v>403</v>
      </c>
      <c r="U7" t="s">
        <v>403</v>
      </c>
      <c r="W7">
        <v>138</v>
      </c>
      <c r="X7">
        <v>36</v>
      </c>
      <c r="Y7">
        <v>47</v>
      </c>
      <c r="Z7">
        <v>5</v>
      </c>
      <c r="AA7">
        <v>5</v>
      </c>
      <c r="AB7" t="s">
        <v>866</v>
      </c>
    </row>
    <row r="8" spans="1:33" x14ac:dyDescent="0.3">
      <c r="A8" t="s">
        <v>978</v>
      </c>
      <c r="B8">
        <v>8</v>
      </c>
      <c r="C8">
        <v>6</v>
      </c>
      <c r="D8">
        <v>1333</v>
      </c>
      <c r="E8" t="s">
        <v>231</v>
      </c>
      <c r="G8">
        <v>55</v>
      </c>
      <c r="H8">
        <v>40</v>
      </c>
      <c r="I8">
        <v>50</v>
      </c>
      <c r="J8">
        <v>74</v>
      </c>
      <c r="K8">
        <v>64</v>
      </c>
      <c r="L8" t="s">
        <v>76</v>
      </c>
      <c r="M8" t="s">
        <v>33</v>
      </c>
      <c r="N8" t="s">
        <v>960</v>
      </c>
      <c r="O8">
        <v>7</v>
      </c>
      <c r="Q8" t="s">
        <v>357</v>
      </c>
      <c r="R8" t="s">
        <v>523</v>
      </c>
      <c r="S8" t="s">
        <v>328</v>
      </c>
      <c r="T8" t="s">
        <v>403</v>
      </c>
      <c r="U8" t="s">
        <v>403</v>
      </c>
      <c r="AB8" t="s">
        <v>866</v>
      </c>
    </row>
    <row r="9" spans="1:33" x14ac:dyDescent="0.3">
      <c r="A9" t="s">
        <v>979</v>
      </c>
      <c r="B9">
        <v>8</v>
      </c>
      <c r="C9">
        <v>2</v>
      </c>
      <c r="D9">
        <v>4893</v>
      </c>
      <c r="E9" t="s">
        <v>872</v>
      </c>
      <c r="G9">
        <v>60</v>
      </c>
      <c r="H9">
        <v>39</v>
      </c>
      <c r="I9">
        <v>45</v>
      </c>
      <c r="J9">
        <v>74</v>
      </c>
      <c r="K9">
        <v>64</v>
      </c>
      <c r="L9" t="s">
        <v>76</v>
      </c>
      <c r="M9" t="s">
        <v>33</v>
      </c>
      <c r="N9" t="s">
        <v>980</v>
      </c>
      <c r="O9">
        <v>7</v>
      </c>
      <c r="Q9" t="s">
        <v>357</v>
      </c>
      <c r="R9" t="s">
        <v>523</v>
      </c>
      <c r="S9" t="s">
        <v>328</v>
      </c>
      <c r="T9" t="s">
        <v>403</v>
      </c>
      <c r="U9" t="s">
        <v>403</v>
      </c>
      <c r="AB9" t="s">
        <v>866</v>
      </c>
    </row>
    <row r="10" spans="1:33" x14ac:dyDescent="0.3">
      <c r="A10" t="s">
        <v>981</v>
      </c>
      <c r="B10">
        <v>8</v>
      </c>
      <c r="C10">
        <v>1</v>
      </c>
      <c r="D10">
        <v>4894</v>
      </c>
      <c r="E10" t="s">
        <v>873</v>
      </c>
      <c r="G10">
        <v>53</v>
      </c>
      <c r="H10">
        <v>46</v>
      </c>
      <c r="I10">
        <v>49</v>
      </c>
      <c r="J10">
        <v>74</v>
      </c>
      <c r="K10">
        <v>64</v>
      </c>
      <c r="L10" t="s">
        <v>76</v>
      </c>
      <c r="M10" t="s">
        <v>33</v>
      </c>
      <c r="N10" t="s">
        <v>982</v>
      </c>
      <c r="O10">
        <v>7</v>
      </c>
      <c r="Q10" t="s">
        <v>357</v>
      </c>
      <c r="R10" t="s">
        <v>523</v>
      </c>
      <c r="S10" t="s">
        <v>328</v>
      </c>
      <c r="T10" t="s">
        <v>403</v>
      </c>
      <c r="U10" t="s">
        <v>403</v>
      </c>
      <c r="AB10" t="s">
        <v>866</v>
      </c>
    </row>
    <row r="11" spans="1:33" x14ac:dyDescent="0.3">
      <c r="A11" t="s">
        <v>983</v>
      </c>
      <c r="B11">
        <v>8</v>
      </c>
      <c r="C11">
        <v>2</v>
      </c>
      <c r="D11">
        <v>4895</v>
      </c>
      <c r="E11" t="s">
        <v>874</v>
      </c>
      <c r="G11">
        <v>45</v>
      </c>
      <c r="H11">
        <v>42</v>
      </c>
      <c r="I11">
        <v>45</v>
      </c>
      <c r="J11">
        <v>74</v>
      </c>
      <c r="K11">
        <v>64</v>
      </c>
      <c r="L11" t="s">
        <v>76</v>
      </c>
      <c r="M11" t="s">
        <v>33</v>
      </c>
      <c r="N11" t="s">
        <v>984</v>
      </c>
      <c r="O11">
        <v>7</v>
      </c>
      <c r="Q11" t="s">
        <v>357</v>
      </c>
      <c r="R11" t="s">
        <v>523</v>
      </c>
      <c r="S11" t="s">
        <v>328</v>
      </c>
      <c r="T11" t="s">
        <v>403</v>
      </c>
      <c r="U11" t="s">
        <v>403</v>
      </c>
      <c r="AB11" t="s">
        <v>866</v>
      </c>
    </row>
    <row r="12" spans="1:33" x14ac:dyDescent="0.3">
      <c r="A12" t="s">
        <v>985</v>
      </c>
      <c r="B12">
        <v>8</v>
      </c>
      <c r="C12">
        <v>1</v>
      </c>
      <c r="D12">
        <v>4896</v>
      </c>
      <c r="E12" t="s">
        <v>875</v>
      </c>
      <c r="G12">
        <v>70</v>
      </c>
      <c r="H12">
        <v>46</v>
      </c>
      <c r="I12">
        <v>45</v>
      </c>
      <c r="J12">
        <v>74</v>
      </c>
      <c r="K12">
        <v>64</v>
      </c>
      <c r="L12" t="s">
        <v>76</v>
      </c>
      <c r="M12" t="s">
        <v>33</v>
      </c>
      <c r="N12" t="s">
        <v>986</v>
      </c>
      <c r="O12">
        <v>7</v>
      </c>
      <c r="Q12" t="s">
        <v>357</v>
      </c>
      <c r="R12" t="s">
        <v>523</v>
      </c>
      <c r="S12" t="s">
        <v>328</v>
      </c>
      <c r="T12" t="s">
        <v>403</v>
      </c>
      <c r="U12" t="s">
        <v>403</v>
      </c>
      <c r="AB12" t="s">
        <v>866</v>
      </c>
    </row>
    <row r="13" spans="1:33" x14ac:dyDescent="0.3">
      <c r="A13" t="s">
        <v>987</v>
      </c>
      <c r="B13">
        <v>8</v>
      </c>
      <c r="C13">
        <v>2</v>
      </c>
      <c r="D13">
        <v>4897</v>
      </c>
      <c r="E13" t="s">
        <v>876</v>
      </c>
      <c r="G13">
        <v>55</v>
      </c>
      <c r="H13">
        <v>41</v>
      </c>
      <c r="I13">
        <v>45</v>
      </c>
      <c r="J13">
        <v>74</v>
      </c>
      <c r="K13">
        <v>64</v>
      </c>
      <c r="L13" t="s">
        <v>76</v>
      </c>
      <c r="M13" t="s">
        <v>33</v>
      </c>
      <c r="N13" t="s">
        <v>988</v>
      </c>
      <c r="O13">
        <v>7</v>
      </c>
      <c r="Q13" t="s">
        <v>357</v>
      </c>
      <c r="R13" t="s">
        <v>523</v>
      </c>
      <c r="S13" t="s">
        <v>328</v>
      </c>
      <c r="T13" t="s">
        <v>403</v>
      </c>
      <c r="U13" t="s">
        <v>403</v>
      </c>
      <c r="AB13" t="s">
        <v>866</v>
      </c>
    </row>
    <row r="14" spans="1:33" x14ac:dyDescent="0.3">
      <c r="A14" t="s">
        <v>989</v>
      </c>
      <c r="B14">
        <v>8</v>
      </c>
      <c r="C14">
        <v>2</v>
      </c>
      <c r="D14">
        <v>4898</v>
      </c>
      <c r="E14" t="s">
        <v>877</v>
      </c>
      <c r="G14">
        <v>46</v>
      </c>
      <c r="H14">
        <v>36</v>
      </c>
      <c r="I14">
        <v>42</v>
      </c>
      <c r="J14">
        <v>74</v>
      </c>
      <c r="K14">
        <v>64</v>
      </c>
      <c r="L14" t="s">
        <v>76</v>
      </c>
      <c r="M14" t="s">
        <v>33</v>
      </c>
      <c r="N14" t="s">
        <v>990</v>
      </c>
      <c r="O14">
        <v>7</v>
      </c>
      <c r="Q14" t="s">
        <v>357</v>
      </c>
      <c r="R14" t="s">
        <v>523</v>
      </c>
      <c r="S14" t="s">
        <v>328</v>
      </c>
      <c r="T14" t="s">
        <v>403</v>
      </c>
      <c r="U14" t="s">
        <v>403</v>
      </c>
      <c r="AB14" t="s">
        <v>866</v>
      </c>
    </row>
    <row r="15" spans="1:33" x14ac:dyDescent="0.3">
      <c r="A15" t="s">
        <v>991</v>
      </c>
      <c r="B15">
        <v>8</v>
      </c>
      <c r="C15">
        <v>2</v>
      </c>
      <c r="D15">
        <v>4900</v>
      </c>
      <c r="E15" t="s">
        <v>879</v>
      </c>
      <c r="G15">
        <v>41</v>
      </c>
      <c r="H15">
        <v>42</v>
      </c>
      <c r="I15">
        <v>45</v>
      </c>
      <c r="J15">
        <v>74</v>
      </c>
      <c r="K15">
        <v>64</v>
      </c>
      <c r="L15" t="s">
        <v>76</v>
      </c>
      <c r="M15" t="s">
        <v>33</v>
      </c>
      <c r="N15" t="s">
        <v>992</v>
      </c>
      <c r="O15">
        <v>7</v>
      </c>
      <c r="Q15" t="s">
        <v>357</v>
      </c>
      <c r="R15" t="s">
        <v>523</v>
      </c>
      <c r="S15" t="s">
        <v>328</v>
      </c>
      <c r="T15" t="s">
        <v>403</v>
      </c>
      <c r="U15" t="s">
        <v>403</v>
      </c>
      <c r="AB15" t="s">
        <v>866</v>
      </c>
    </row>
    <row r="16" spans="1:33" x14ac:dyDescent="0.3">
      <c r="A16" t="s">
        <v>993</v>
      </c>
      <c r="B16">
        <v>8</v>
      </c>
      <c r="C16">
        <v>2</v>
      </c>
      <c r="D16">
        <v>4902</v>
      </c>
      <c r="E16" t="s">
        <v>881</v>
      </c>
      <c r="G16">
        <v>45</v>
      </c>
      <c r="H16">
        <v>46</v>
      </c>
      <c r="I16">
        <v>46</v>
      </c>
      <c r="J16">
        <v>74</v>
      </c>
      <c r="K16">
        <v>64</v>
      </c>
      <c r="L16" t="s">
        <v>76</v>
      </c>
      <c r="M16" t="s">
        <v>33</v>
      </c>
      <c r="N16" t="s">
        <v>994</v>
      </c>
      <c r="O16">
        <v>7</v>
      </c>
      <c r="Q16" t="s">
        <v>357</v>
      </c>
      <c r="R16" t="s">
        <v>523</v>
      </c>
      <c r="S16" t="s">
        <v>328</v>
      </c>
      <c r="T16" t="s">
        <v>403</v>
      </c>
      <c r="U16" t="s">
        <v>403</v>
      </c>
      <c r="AB16" t="s">
        <v>866</v>
      </c>
    </row>
    <row r="17" spans="1:28" x14ac:dyDescent="0.3">
      <c r="A17" t="s">
        <v>995</v>
      </c>
      <c r="B17">
        <v>8</v>
      </c>
      <c r="C17">
        <v>1</v>
      </c>
      <c r="D17">
        <v>4903</v>
      </c>
      <c r="E17" t="s">
        <v>882</v>
      </c>
      <c r="G17">
        <v>52</v>
      </c>
      <c r="H17">
        <v>46</v>
      </c>
      <c r="I17">
        <v>60</v>
      </c>
      <c r="J17">
        <v>75</v>
      </c>
      <c r="K17">
        <v>64</v>
      </c>
      <c r="L17" t="s">
        <v>77</v>
      </c>
      <c r="M17" t="s">
        <v>33</v>
      </c>
      <c r="N17" t="s">
        <v>996</v>
      </c>
      <c r="O17">
        <v>7</v>
      </c>
      <c r="Q17" t="s">
        <v>357</v>
      </c>
      <c r="R17" t="s">
        <v>523</v>
      </c>
      <c r="S17" t="s">
        <v>328</v>
      </c>
      <c r="T17" t="s">
        <v>403</v>
      </c>
      <c r="U17" t="s">
        <v>403</v>
      </c>
      <c r="AB17" t="s">
        <v>866</v>
      </c>
    </row>
    <row r="18" spans="1:28" x14ac:dyDescent="0.3">
      <c r="A18" t="s">
        <v>997</v>
      </c>
      <c r="B18">
        <v>8</v>
      </c>
      <c r="C18">
        <v>4</v>
      </c>
      <c r="D18">
        <v>4904</v>
      </c>
      <c r="E18" t="s">
        <v>883</v>
      </c>
      <c r="G18">
        <v>47</v>
      </c>
      <c r="H18">
        <v>39</v>
      </c>
      <c r="I18">
        <v>50</v>
      </c>
      <c r="J18">
        <v>75</v>
      </c>
      <c r="K18">
        <v>64</v>
      </c>
      <c r="L18" t="s">
        <v>77</v>
      </c>
      <c r="M18" t="s">
        <v>33</v>
      </c>
      <c r="N18" t="s">
        <v>998</v>
      </c>
      <c r="O18">
        <v>7</v>
      </c>
      <c r="Q18" t="s">
        <v>357</v>
      </c>
      <c r="R18" t="s">
        <v>523</v>
      </c>
      <c r="S18" t="s">
        <v>328</v>
      </c>
      <c r="T18" t="s">
        <v>403</v>
      </c>
      <c r="U18" t="s">
        <v>403</v>
      </c>
      <c r="AB18" t="s">
        <v>866</v>
      </c>
    </row>
    <row r="19" spans="1:28" x14ac:dyDescent="0.3">
      <c r="A19" t="s">
        <v>999</v>
      </c>
      <c r="B19">
        <v>8</v>
      </c>
      <c r="C19">
        <v>2</v>
      </c>
      <c r="D19">
        <v>4905</v>
      </c>
      <c r="E19" t="s">
        <v>884</v>
      </c>
      <c r="G19">
        <v>43</v>
      </c>
      <c r="H19">
        <v>41</v>
      </c>
      <c r="I19">
        <v>54</v>
      </c>
      <c r="J19">
        <v>75</v>
      </c>
      <c r="K19">
        <v>64</v>
      </c>
      <c r="L19" t="s">
        <v>77</v>
      </c>
      <c r="M19" t="s">
        <v>33</v>
      </c>
      <c r="N19" t="s">
        <v>1000</v>
      </c>
      <c r="O19">
        <v>7</v>
      </c>
      <c r="Q19" t="s">
        <v>357</v>
      </c>
      <c r="R19" t="s">
        <v>523</v>
      </c>
      <c r="S19" t="s">
        <v>328</v>
      </c>
      <c r="T19" t="s">
        <v>403</v>
      </c>
      <c r="U19" t="s">
        <v>403</v>
      </c>
      <c r="AB19" t="s">
        <v>866</v>
      </c>
    </row>
    <row r="20" spans="1:28" x14ac:dyDescent="0.3">
      <c r="A20" t="s">
        <v>1001</v>
      </c>
      <c r="B20">
        <v>8</v>
      </c>
      <c r="C20">
        <v>3</v>
      </c>
      <c r="D20">
        <v>4906</v>
      </c>
      <c r="E20" t="s">
        <v>909</v>
      </c>
      <c r="G20">
        <v>47</v>
      </c>
      <c r="H20">
        <v>46</v>
      </c>
      <c r="I20">
        <v>50</v>
      </c>
      <c r="J20">
        <v>75</v>
      </c>
      <c r="K20">
        <v>64</v>
      </c>
      <c r="L20" t="s">
        <v>77</v>
      </c>
      <c r="M20" t="s">
        <v>33</v>
      </c>
      <c r="N20" t="s">
        <v>1002</v>
      </c>
      <c r="O20">
        <v>7</v>
      </c>
      <c r="Q20" t="s">
        <v>357</v>
      </c>
      <c r="R20" t="s">
        <v>523</v>
      </c>
      <c r="S20" t="s">
        <v>328</v>
      </c>
      <c r="T20" t="s">
        <v>403</v>
      </c>
      <c r="U20" t="s">
        <v>403</v>
      </c>
      <c r="AB20" t="s">
        <v>866</v>
      </c>
    </row>
    <row r="21" spans="1:28" x14ac:dyDescent="0.3">
      <c r="A21" t="s">
        <v>1003</v>
      </c>
      <c r="B21">
        <v>8</v>
      </c>
      <c r="C21">
        <v>1</v>
      </c>
      <c r="D21">
        <v>4907</v>
      </c>
      <c r="E21" t="s">
        <v>885</v>
      </c>
      <c r="G21">
        <v>47</v>
      </c>
      <c r="H21">
        <v>39</v>
      </c>
      <c r="I21">
        <v>50</v>
      </c>
      <c r="J21">
        <v>75</v>
      </c>
      <c r="K21">
        <v>64</v>
      </c>
      <c r="L21" t="s">
        <v>77</v>
      </c>
      <c r="M21" t="s">
        <v>33</v>
      </c>
      <c r="N21" t="s">
        <v>1004</v>
      </c>
      <c r="O21">
        <v>7</v>
      </c>
      <c r="Q21" t="s">
        <v>357</v>
      </c>
      <c r="R21" t="s">
        <v>523</v>
      </c>
      <c r="S21" t="s">
        <v>328</v>
      </c>
      <c r="T21" t="s">
        <v>403</v>
      </c>
      <c r="U21" t="s">
        <v>403</v>
      </c>
      <c r="AB21" t="s">
        <v>866</v>
      </c>
    </row>
    <row r="22" spans="1:28" x14ac:dyDescent="0.3">
      <c r="A22" t="s">
        <v>1005</v>
      </c>
      <c r="B22">
        <v>8</v>
      </c>
      <c r="C22">
        <v>1</v>
      </c>
      <c r="D22">
        <v>4908</v>
      </c>
      <c r="E22" t="s">
        <v>886</v>
      </c>
      <c r="G22">
        <v>48</v>
      </c>
      <c r="H22">
        <v>37</v>
      </c>
      <c r="I22">
        <v>60</v>
      </c>
      <c r="J22">
        <v>75</v>
      </c>
      <c r="K22">
        <v>64</v>
      </c>
      <c r="L22" t="s">
        <v>77</v>
      </c>
      <c r="M22" t="s">
        <v>33</v>
      </c>
      <c r="N22" t="s">
        <v>1006</v>
      </c>
      <c r="O22">
        <v>7</v>
      </c>
      <c r="Q22" t="s">
        <v>357</v>
      </c>
      <c r="R22" t="s">
        <v>523</v>
      </c>
      <c r="S22" t="s">
        <v>328</v>
      </c>
      <c r="T22" t="s">
        <v>403</v>
      </c>
      <c r="U22" t="s">
        <v>403</v>
      </c>
      <c r="AB22" t="s">
        <v>866</v>
      </c>
    </row>
    <row r="23" spans="1:28" x14ac:dyDescent="0.3">
      <c r="A23" t="s">
        <v>1007</v>
      </c>
      <c r="B23">
        <v>8</v>
      </c>
      <c r="C23">
        <v>1</v>
      </c>
      <c r="D23">
        <v>4912</v>
      </c>
      <c r="E23" t="s">
        <v>919</v>
      </c>
      <c r="G23">
        <v>46</v>
      </c>
      <c r="H23">
        <v>44</v>
      </c>
      <c r="I23">
        <v>75</v>
      </c>
      <c r="J23">
        <v>75</v>
      </c>
      <c r="K23">
        <v>64</v>
      </c>
      <c r="L23" t="s">
        <v>77</v>
      </c>
      <c r="M23" t="s">
        <v>33</v>
      </c>
      <c r="N23" t="s">
        <v>1008</v>
      </c>
      <c r="O23">
        <v>7</v>
      </c>
      <c r="Q23" t="s">
        <v>357</v>
      </c>
      <c r="R23" t="s">
        <v>523</v>
      </c>
      <c r="S23" t="s">
        <v>328</v>
      </c>
      <c r="T23" t="s">
        <v>403</v>
      </c>
      <c r="U23" t="s">
        <v>403</v>
      </c>
      <c r="AB23" t="s">
        <v>866</v>
      </c>
    </row>
    <row r="24" spans="1:28" x14ac:dyDescent="0.3">
      <c r="A24" t="s">
        <v>1009</v>
      </c>
      <c r="B24">
        <v>8</v>
      </c>
      <c r="C24">
        <v>3</v>
      </c>
      <c r="D24">
        <v>4913</v>
      </c>
      <c r="E24" t="s">
        <v>889</v>
      </c>
      <c r="G24">
        <v>44</v>
      </c>
      <c r="H24">
        <v>43</v>
      </c>
      <c r="I24">
        <v>47</v>
      </c>
      <c r="J24">
        <v>75</v>
      </c>
      <c r="K24">
        <v>64</v>
      </c>
      <c r="L24" t="s">
        <v>77</v>
      </c>
      <c r="M24" t="s">
        <v>33</v>
      </c>
      <c r="N24" t="s">
        <v>1010</v>
      </c>
      <c r="O24">
        <v>7</v>
      </c>
      <c r="Q24" t="s">
        <v>357</v>
      </c>
      <c r="R24" t="s">
        <v>523</v>
      </c>
      <c r="S24" t="s">
        <v>328</v>
      </c>
      <c r="T24" t="s">
        <v>403</v>
      </c>
      <c r="U24" t="s">
        <v>403</v>
      </c>
      <c r="AB24" t="s">
        <v>866</v>
      </c>
    </row>
    <row r="25" spans="1:28" x14ac:dyDescent="0.3">
      <c r="A25" t="s">
        <v>1011</v>
      </c>
      <c r="B25">
        <v>8</v>
      </c>
      <c r="C25">
        <v>3</v>
      </c>
      <c r="D25">
        <v>4914</v>
      </c>
      <c r="E25" t="s">
        <v>890</v>
      </c>
      <c r="G25">
        <v>48</v>
      </c>
      <c r="H25">
        <v>40</v>
      </c>
      <c r="I25">
        <v>52</v>
      </c>
      <c r="J25">
        <v>75</v>
      </c>
      <c r="K25">
        <v>64</v>
      </c>
      <c r="L25" t="s">
        <v>77</v>
      </c>
      <c r="M25" t="s">
        <v>33</v>
      </c>
      <c r="N25" t="s">
        <v>1012</v>
      </c>
      <c r="O25">
        <v>7</v>
      </c>
      <c r="Q25" t="s">
        <v>357</v>
      </c>
      <c r="R25" t="s">
        <v>523</v>
      </c>
      <c r="S25" t="s">
        <v>328</v>
      </c>
      <c r="T25" t="s">
        <v>403</v>
      </c>
      <c r="U25" t="s">
        <v>403</v>
      </c>
      <c r="AB25" t="s">
        <v>866</v>
      </c>
    </row>
    <row r="26" spans="1:28" x14ac:dyDescent="0.3">
      <c r="A26" t="s">
        <v>1013</v>
      </c>
      <c r="B26">
        <v>8</v>
      </c>
      <c r="C26">
        <v>1</v>
      </c>
      <c r="D26">
        <v>4915</v>
      </c>
      <c r="E26" t="s">
        <v>891</v>
      </c>
      <c r="G26">
        <v>45</v>
      </c>
      <c r="H26">
        <v>44</v>
      </c>
      <c r="I26">
        <v>47</v>
      </c>
      <c r="J26">
        <v>75</v>
      </c>
      <c r="K26">
        <v>64</v>
      </c>
      <c r="L26" t="s">
        <v>77</v>
      </c>
      <c r="M26" t="s">
        <v>33</v>
      </c>
      <c r="N26" t="s">
        <v>1014</v>
      </c>
      <c r="O26">
        <v>7</v>
      </c>
      <c r="Q26" t="s">
        <v>357</v>
      </c>
      <c r="R26" t="s">
        <v>523</v>
      </c>
      <c r="S26" t="s">
        <v>328</v>
      </c>
      <c r="T26" t="s">
        <v>403</v>
      </c>
      <c r="U26" t="s">
        <v>403</v>
      </c>
      <c r="AB26" t="s">
        <v>866</v>
      </c>
    </row>
    <row r="27" spans="1:28" x14ac:dyDescent="0.3">
      <c r="A27" t="s">
        <v>1015</v>
      </c>
      <c r="B27">
        <v>8</v>
      </c>
      <c r="C27">
        <v>1</v>
      </c>
      <c r="D27">
        <v>4917</v>
      </c>
      <c r="E27" t="s">
        <v>893</v>
      </c>
      <c r="G27">
        <v>50</v>
      </c>
      <c r="H27">
        <v>38</v>
      </c>
      <c r="I27">
        <v>52</v>
      </c>
      <c r="J27">
        <v>76</v>
      </c>
      <c r="K27">
        <v>64</v>
      </c>
      <c r="L27" t="s">
        <v>78</v>
      </c>
      <c r="M27" t="s">
        <v>33</v>
      </c>
      <c r="N27" t="s">
        <v>1016</v>
      </c>
      <c r="O27">
        <v>7</v>
      </c>
      <c r="Q27" t="s">
        <v>357</v>
      </c>
      <c r="R27" t="s">
        <v>523</v>
      </c>
      <c r="S27" t="s">
        <v>328</v>
      </c>
      <c r="T27" t="s">
        <v>403</v>
      </c>
      <c r="U27" t="s">
        <v>403</v>
      </c>
      <c r="AB27" t="s">
        <v>866</v>
      </c>
    </row>
    <row r="28" spans="1:28" x14ac:dyDescent="0.3">
      <c r="A28" t="s">
        <v>1017</v>
      </c>
      <c r="B28">
        <v>8</v>
      </c>
      <c r="C28">
        <v>1</v>
      </c>
      <c r="D28">
        <v>4918</v>
      </c>
      <c r="E28" t="s">
        <v>894</v>
      </c>
      <c r="G28">
        <v>44</v>
      </c>
      <c r="H28">
        <v>45</v>
      </c>
      <c r="I28">
        <v>78</v>
      </c>
      <c r="J28">
        <v>74</v>
      </c>
      <c r="K28">
        <v>64</v>
      </c>
      <c r="L28" t="s">
        <v>76</v>
      </c>
      <c r="M28" t="s">
        <v>33</v>
      </c>
      <c r="N28" t="s">
        <v>1018</v>
      </c>
      <c r="O28">
        <v>7</v>
      </c>
      <c r="Q28" t="s">
        <v>357</v>
      </c>
      <c r="R28" t="s">
        <v>523</v>
      </c>
      <c r="S28" t="s">
        <v>328</v>
      </c>
      <c r="T28" t="s">
        <v>403</v>
      </c>
      <c r="U28" t="s">
        <v>403</v>
      </c>
      <c r="AB28" t="s">
        <v>866</v>
      </c>
    </row>
    <row r="29" spans="1:28" x14ac:dyDescent="0.3">
      <c r="A29" t="s">
        <v>1019</v>
      </c>
      <c r="B29">
        <v>8</v>
      </c>
      <c r="C29">
        <v>4</v>
      </c>
      <c r="D29">
        <v>4919</v>
      </c>
      <c r="E29" t="s">
        <v>895</v>
      </c>
      <c r="G29">
        <v>45</v>
      </c>
      <c r="H29">
        <v>40</v>
      </c>
      <c r="I29">
        <v>50</v>
      </c>
      <c r="J29">
        <v>76</v>
      </c>
      <c r="K29">
        <v>64</v>
      </c>
      <c r="L29" t="s">
        <v>78</v>
      </c>
      <c r="M29" t="s">
        <v>33</v>
      </c>
      <c r="N29" t="s">
        <v>1020</v>
      </c>
      <c r="O29">
        <v>7</v>
      </c>
      <c r="Q29" t="s">
        <v>357</v>
      </c>
      <c r="R29" t="s">
        <v>523</v>
      </c>
      <c r="S29" t="s">
        <v>328</v>
      </c>
      <c r="T29" t="s">
        <v>403</v>
      </c>
      <c r="U29" t="s">
        <v>403</v>
      </c>
      <c r="AB29" t="s">
        <v>866</v>
      </c>
    </row>
    <row r="30" spans="1:28" x14ac:dyDescent="0.3">
      <c r="A30" t="s">
        <v>1021</v>
      </c>
      <c r="B30">
        <v>8</v>
      </c>
      <c r="C30">
        <v>2</v>
      </c>
      <c r="D30">
        <v>4920</v>
      </c>
      <c r="E30" t="s">
        <v>896</v>
      </c>
      <c r="G30">
        <v>47</v>
      </c>
      <c r="H30">
        <v>51</v>
      </c>
      <c r="I30">
        <v>80</v>
      </c>
      <c r="J30">
        <v>75</v>
      </c>
      <c r="K30">
        <v>64</v>
      </c>
      <c r="L30" t="s">
        <v>77</v>
      </c>
      <c r="M30" t="s">
        <v>33</v>
      </c>
      <c r="N30" t="s">
        <v>1022</v>
      </c>
      <c r="O30">
        <v>7</v>
      </c>
      <c r="Q30" t="s">
        <v>357</v>
      </c>
      <c r="R30" t="s">
        <v>523</v>
      </c>
      <c r="S30" t="s">
        <v>328</v>
      </c>
      <c r="T30" t="s">
        <v>403</v>
      </c>
      <c r="U30" t="s">
        <v>403</v>
      </c>
      <c r="AB30" t="s">
        <v>866</v>
      </c>
    </row>
    <row r="31" spans="1:28" x14ac:dyDescent="0.3">
      <c r="A31" t="s">
        <v>1023</v>
      </c>
      <c r="B31">
        <v>8</v>
      </c>
      <c r="C31">
        <v>2</v>
      </c>
      <c r="D31">
        <v>4921</v>
      </c>
      <c r="E31" t="s">
        <v>897</v>
      </c>
      <c r="G31">
        <v>40</v>
      </c>
      <c r="H31">
        <v>34</v>
      </c>
      <c r="I31">
        <v>48</v>
      </c>
      <c r="J31">
        <v>74</v>
      </c>
      <c r="K31">
        <v>64</v>
      </c>
      <c r="L31" t="s">
        <v>76</v>
      </c>
      <c r="M31" t="s">
        <v>33</v>
      </c>
      <c r="N31" t="s">
        <v>1024</v>
      </c>
      <c r="O31">
        <v>7</v>
      </c>
      <c r="Q31" t="s">
        <v>357</v>
      </c>
      <c r="R31" t="s">
        <v>523</v>
      </c>
      <c r="S31" t="s">
        <v>328</v>
      </c>
      <c r="T31" t="s">
        <v>403</v>
      </c>
      <c r="U31" t="s">
        <v>403</v>
      </c>
      <c r="AB31" t="s">
        <v>866</v>
      </c>
    </row>
    <row r="32" spans="1:28" x14ac:dyDescent="0.3">
      <c r="A32" t="s">
        <v>1025</v>
      </c>
      <c r="B32">
        <v>8</v>
      </c>
      <c r="C32">
        <v>1</v>
      </c>
      <c r="D32">
        <v>4923</v>
      </c>
      <c r="E32" t="s">
        <v>899</v>
      </c>
      <c r="G32">
        <v>44</v>
      </c>
      <c r="H32">
        <v>42</v>
      </c>
      <c r="I32">
        <v>50</v>
      </c>
      <c r="J32">
        <v>75</v>
      </c>
      <c r="K32">
        <v>64</v>
      </c>
      <c r="L32" t="s">
        <v>77</v>
      </c>
      <c r="M32" t="s">
        <v>33</v>
      </c>
      <c r="N32" t="s">
        <v>1026</v>
      </c>
      <c r="O32">
        <v>7</v>
      </c>
      <c r="Q32" t="s">
        <v>357</v>
      </c>
      <c r="R32" t="s">
        <v>523</v>
      </c>
      <c r="S32" t="s">
        <v>328</v>
      </c>
      <c r="T32" t="s">
        <v>403</v>
      </c>
      <c r="U32" t="s">
        <v>403</v>
      </c>
      <c r="AB32" t="s">
        <v>866</v>
      </c>
    </row>
    <row r="33" spans="1:28" x14ac:dyDescent="0.3">
      <c r="A33" t="s">
        <v>1027</v>
      </c>
      <c r="B33">
        <v>8</v>
      </c>
      <c r="C33">
        <v>4</v>
      </c>
      <c r="D33">
        <v>4925</v>
      </c>
      <c r="E33" t="s">
        <v>901</v>
      </c>
      <c r="G33">
        <v>48</v>
      </c>
      <c r="H33">
        <v>45</v>
      </c>
      <c r="I33">
        <v>58</v>
      </c>
      <c r="J33">
        <v>75</v>
      </c>
      <c r="K33">
        <v>64</v>
      </c>
      <c r="L33" t="s">
        <v>77</v>
      </c>
      <c r="M33" t="s">
        <v>33</v>
      </c>
      <c r="N33" t="s">
        <v>1028</v>
      </c>
      <c r="O33">
        <v>7</v>
      </c>
      <c r="Q33" t="s">
        <v>357</v>
      </c>
      <c r="R33" t="s">
        <v>523</v>
      </c>
      <c r="S33" t="s">
        <v>328</v>
      </c>
      <c r="T33" t="s">
        <v>403</v>
      </c>
      <c r="U33" t="s">
        <v>403</v>
      </c>
      <c r="AB33" t="s">
        <v>866</v>
      </c>
    </row>
    <row r="34" spans="1:28" x14ac:dyDescent="0.3">
      <c r="A34" t="s">
        <v>1029</v>
      </c>
      <c r="B34">
        <v>8</v>
      </c>
      <c r="C34">
        <v>1</v>
      </c>
      <c r="D34">
        <v>5132</v>
      </c>
      <c r="E34" t="s">
        <v>958</v>
      </c>
      <c r="G34">
        <v>44</v>
      </c>
      <c r="H34">
        <v>42</v>
      </c>
      <c r="I34">
        <v>51</v>
      </c>
      <c r="J34">
        <v>75</v>
      </c>
      <c r="K34">
        <v>64</v>
      </c>
      <c r="L34" t="s">
        <v>77</v>
      </c>
      <c r="M34" t="s">
        <v>33</v>
      </c>
      <c r="N34" t="s">
        <v>1030</v>
      </c>
      <c r="O34">
        <v>7</v>
      </c>
      <c r="Q34" t="s">
        <v>357</v>
      </c>
      <c r="R34" t="s">
        <v>523</v>
      </c>
      <c r="S34" t="s">
        <v>328</v>
      </c>
      <c r="T34" t="s">
        <v>403</v>
      </c>
      <c r="U34" t="s">
        <v>403</v>
      </c>
    </row>
    <row r="35" spans="1:28" x14ac:dyDescent="0.3">
      <c r="A35" t="s">
        <v>1031</v>
      </c>
      <c r="B35">
        <v>8</v>
      </c>
      <c r="C35">
        <v>1</v>
      </c>
      <c r="D35">
        <v>4927</v>
      </c>
      <c r="E35" t="s">
        <v>903</v>
      </c>
      <c r="G35">
        <v>44</v>
      </c>
      <c r="H35">
        <v>41</v>
      </c>
      <c r="I35">
        <v>50</v>
      </c>
      <c r="J35">
        <v>75</v>
      </c>
      <c r="K35">
        <v>64</v>
      </c>
      <c r="L35" t="s">
        <v>77</v>
      </c>
      <c r="M35" t="s">
        <v>33</v>
      </c>
      <c r="N35" t="s">
        <v>1032</v>
      </c>
      <c r="O35">
        <v>7</v>
      </c>
      <c r="Q35" t="s">
        <v>357</v>
      </c>
      <c r="R35" t="s">
        <v>523</v>
      </c>
      <c r="S35" t="s">
        <v>328</v>
      </c>
      <c r="T35" t="s">
        <v>403</v>
      </c>
      <c r="U35" t="s">
        <v>403</v>
      </c>
      <c r="AB35" t="s">
        <v>866</v>
      </c>
    </row>
    <row r="36" spans="1:28" x14ac:dyDescent="0.3">
      <c r="A36" t="s">
        <v>1033</v>
      </c>
      <c r="B36">
        <v>8</v>
      </c>
      <c r="C36">
        <v>1</v>
      </c>
      <c r="D36">
        <v>4928</v>
      </c>
      <c r="E36" t="s">
        <v>925</v>
      </c>
      <c r="G36">
        <v>44</v>
      </c>
      <c r="H36">
        <v>42</v>
      </c>
      <c r="I36">
        <v>50</v>
      </c>
      <c r="J36">
        <v>75</v>
      </c>
      <c r="K36">
        <v>64</v>
      </c>
      <c r="L36" t="s">
        <v>77</v>
      </c>
      <c r="M36" t="s">
        <v>33</v>
      </c>
      <c r="N36" t="s">
        <v>1034</v>
      </c>
      <c r="O36">
        <v>7</v>
      </c>
      <c r="Q36" t="s">
        <v>357</v>
      </c>
      <c r="R36" t="s">
        <v>523</v>
      </c>
      <c r="S36" t="s">
        <v>328</v>
      </c>
      <c r="T36" t="s">
        <v>403</v>
      </c>
      <c r="U36" t="s">
        <v>403</v>
      </c>
    </row>
    <row r="37" spans="1:28" x14ac:dyDescent="0.3">
      <c r="A37" t="s">
        <v>1035</v>
      </c>
      <c r="B37">
        <v>8</v>
      </c>
      <c r="C37">
        <v>3</v>
      </c>
      <c r="D37">
        <v>4929</v>
      </c>
      <c r="E37" t="s">
        <v>905</v>
      </c>
      <c r="G37">
        <v>52</v>
      </c>
      <c r="H37">
        <v>41</v>
      </c>
      <c r="I37">
        <v>50</v>
      </c>
      <c r="J37">
        <v>75</v>
      </c>
      <c r="K37">
        <v>64</v>
      </c>
      <c r="L37" t="s">
        <v>77</v>
      </c>
      <c r="M37" t="s">
        <v>33</v>
      </c>
      <c r="N37" t="s">
        <v>697</v>
      </c>
      <c r="O37">
        <v>7</v>
      </c>
      <c r="Q37" t="s">
        <v>357</v>
      </c>
      <c r="R37" t="s">
        <v>523</v>
      </c>
      <c r="S37" t="s">
        <v>328</v>
      </c>
      <c r="T37" t="s">
        <v>403</v>
      </c>
      <c r="U37" t="s">
        <v>403</v>
      </c>
      <c r="AB37" t="s">
        <v>866</v>
      </c>
    </row>
    <row r="38" spans="1:28" x14ac:dyDescent="0.3">
      <c r="A38" t="s">
        <v>1036</v>
      </c>
      <c r="B38">
        <v>8</v>
      </c>
      <c r="C38">
        <v>1</v>
      </c>
      <c r="D38">
        <v>4930</v>
      </c>
      <c r="E38" t="s">
        <v>906</v>
      </c>
      <c r="G38">
        <v>53</v>
      </c>
      <c r="H38">
        <v>36</v>
      </c>
      <c r="I38">
        <v>45</v>
      </c>
      <c r="J38">
        <v>77</v>
      </c>
      <c r="K38">
        <v>64</v>
      </c>
      <c r="L38" t="s">
        <v>79</v>
      </c>
      <c r="M38" t="s">
        <v>33</v>
      </c>
      <c r="N38" t="s">
        <v>764</v>
      </c>
      <c r="O38">
        <v>7</v>
      </c>
      <c r="Q38" t="s">
        <v>357</v>
      </c>
      <c r="R38" t="s">
        <v>523</v>
      </c>
      <c r="S38" t="s">
        <v>328</v>
      </c>
      <c r="T38" t="s">
        <v>403</v>
      </c>
      <c r="U38" t="s">
        <v>403</v>
      </c>
      <c r="AB38" t="s">
        <v>866</v>
      </c>
    </row>
    <row r="39" spans="1:28" x14ac:dyDescent="0.3">
      <c r="A39" t="s">
        <v>1037</v>
      </c>
      <c r="B39">
        <v>8</v>
      </c>
      <c r="C39">
        <v>1</v>
      </c>
      <c r="D39">
        <v>4931</v>
      </c>
      <c r="E39" t="s">
        <v>908</v>
      </c>
      <c r="G39">
        <v>60</v>
      </c>
      <c r="H39">
        <v>39</v>
      </c>
      <c r="I39">
        <v>45</v>
      </c>
      <c r="J39">
        <v>74</v>
      </c>
      <c r="K39">
        <v>64</v>
      </c>
      <c r="L39" t="s">
        <v>76</v>
      </c>
      <c r="M39" t="s">
        <v>33</v>
      </c>
      <c r="N39" t="s">
        <v>1038</v>
      </c>
      <c r="O39">
        <v>7</v>
      </c>
      <c r="Q39" t="s">
        <v>357</v>
      </c>
      <c r="R39" t="s">
        <v>523</v>
      </c>
      <c r="S39" t="s">
        <v>328</v>
      </c>
      <c r="T39" t="s">
        <v>403</v>
      </c>
      <c r="U39" t="s">
        <v>403</v>
      </c>
      <c r="AB39" t="s">
        <v>866</v>
      </c>
    </row>
    <row r="40" spans="1:28" x14ac:dyDescent="0.3">
      <c r="A40" t="s">
        <v>1039</v>
      </c>
      <c r="B40">
        <v>8</v>
      </c>
      <c r="C40">
        <v>2</v>
      </c>
      <c r="D40">
        <v>4934</v>
      </c>
      <c r="E40" t="s">
        <v>926</v>
      </c>
      <c r="G40">
        <v>38</v>
      </c>
      <c r="H40">
        <v>37</v>
      </c>
      <c r="I40">
        <v>69</v>
      </c>
      <c r="J40">
        <v>75</v>
      </c>
      <c r="K40">
        <v>64</v>
      </c>
      <c r="L40" t="s">
        <v>77</v>
      </c>
      <c r="M40" t="s">
        <v>33</v>
      </c>
      <c r="N40" t="s">
        <v>679</v>
      </c>
      <c r="O40">
        <v>7</v>
      </c>
      <c r="Q40" t="s">
        <v>357</v>
      </c>
      <c r="R40" t="s">
        <v>523</v>
      </c>
      <c r="S40" t="s">
        <v>328</v>
      </c>
      <c r="T40" t="s">
        <v>403</v>
      </c>
      <c r="U40" t="s">
        <v>403</v>
      </c>
      <c r="AB40" t="s">
        <v>866</v>
      </c>
    </row>
    <row r="41" spans="1:28" x14ac:dyDescent="0.3">
      <c r="A41" t="s">
        <v>1040</v>
      </c>
      <c r="B41">
        <v>8</v>
      </c>
      <c r="C41">
        <v>1</v>
      </c>
      <c r="D41">
        <v>4937</v>
      </c>
      <c r="E41" t="s">
        <v>929</v>
      </c>
      <c r="G41">
        <v>50</v>
      </c>
      <c r="H41">
        <v>42</v>
      </c>
      <c r="I41">
        <v>45</v>
      </c>
      <c r="J41">
        <v>74</v>
      </c>
      <c r="K41">
        <v>64</v>
      </c>
      <c r="L41" t="s">
        <v>76</v>
      </c>
      <c r="M41" t="s">
        <v>33</v>
      </c>
      <c r="N41" t="s">
        <v>1041</v>
      </c>
      <c r="O41">
        <v>7</v>
      </c>
      <c r="Q41" t="s">
        <v>357</v>
      </c>
      <c r="R41" t="s">
        <v>523</v>
      </c>
      <c r="S41" t="s">
        <v>328</v>
      </c>
      <c r="T41" t="s">
        <v>403</v>
      </c>
      <c r="U41" t="s">
        <v>403</v>
      </c>
      <c r="AB41" t="s">
        <v>866</v>
      </c>
    </row>
    <row r="42" spans="1:28" x14ac:dyDescent="0.3">
      <c r="A42" t="s">
        <v>1042</v>
      </c>
      <c r="B42">
        <v>8</v>
      </c>
      <c r="C42">
        <v>1</v>
      </c>
      <c r="D42">
        <v>4942</v>
      </c>
      <c r="E42" t="s">
        <v>934</v>
      </c>
      <c r="G42">
        <v>42</v>
      </c>
      <c r="H42">
        <v>46</v>
      </c>
      <c r="I42">
        <v>56</v>
      </c>
      <c r="J42">
        <v>75</v>
      </c>
      <c r="K42">
        <v>64</v>
      </c>
      <c r="L42" t="s">
        <v>77</v>
      </c>
      <c r="M42" t="s">
        <v>33</v>
      </c>
      <c r="N42" t="s">
        <v>1043</v>
      </c>
      <c r="O42">
        <v>7</v>
      </c>
      <c r="Q42" t="s">
        <v>357</v>
      </c>
      <c r="R42" t="s">
        <v>523</v>
      </c>
      <c r="S42" t="s">
        <v>328</v>
      </c>
      <c r="T42" t="s">
        <v>403</v>
      </c>
      <c r="U42" t="s">
        <v>403</v>
      </c>
      <c r="AB42" t="s">
        <v>866</v>
      </c>
    </row>
    <row r="43" spans="1:28" x14ac:dyDescent="0.3">
      <c r="A43" t="s">
        <v>1044</v>
      </c>
      <c r="B43">
        <v>8</v>
      </c>
      <c r="C43">
        <v>2</v>
      </c>
      <c r="D43">
        <v>5150</v>
      </c>
      <c r="E43" t="s">
        <v>962</v>
      </c>
      <c r="G43">
        <v>85</v>
      </c>
      <c r="H43">
        <v>48</v>
      </c>
      <c r="I43">
        <v>63</v>
      </c>
      <c r="J43">
        <v>75</v>
      </c>
      <c r="K43">
        <v>64</v>
      </c>
      <c r="L43" t="s">
        <v>77</v>
      </c>
      <c r="M43" t="s">
        <v>33</v>
      </c>
      <c r="N43" t="s">
        <v>1045</v>
      </c>
      <c r="O43">
        <v>7</v>
      </c>
      <c r="Q43" t="s">
        <v>357</v>
      </c>
      <c r="R43" t="s">
        <v>523</v>
      </c>
      <c r="S43" t="s">
        <v>328</v>
      </c>
      <c r="T43" t="s">
        <v>403</v>
      </c>
      <c r="U43" t="s">
        <v>403</v>
      </c>
    </row>
    <row r="44" spans="1:28" x14ac:dyDescent="0.3">
      <c r="A44" t="s">
        <v>1046</v>
      </c>
      <c r="B44">
        <v>8</v>
      </c>
      <c r="C44">
        <v>2</v>
      </c>
      <c r="D44">
        <v>5151</v>
      </c>
      <c r="E44" t="s">
        <v>963</v>
      </c>
      <c r="G44">
        <v>105</v>
      </c>
      <c r="H44">
        <v>65</v>
      </c>
      <c r="I44">
        <v>68</v>
      </c>
      <c r="J44">
        <v>75</v>
      </c>
      <c r="K44">
        <v>64</v>
      </c>
      <c r="L44" t="s">
        <v>77</v>
      </c>
      <c r="M44" t="s">
        <v>33</v>
      </c>
      <c r="N44" t="s">
        <v>758</v>
      </c>
      <c r="O44">
        <v>7</v>
      </c>
      <c r="Q44" t="s">
        <v>357</v>
      </c>
      <c r="R44" t="s">
        <v>523</v>
      </c>
      <c r="S44" t="s">
        <v>328</v>
      </c>
      <c r="T44" t="s">
        <v>403</v>
      </c>
      <c r="U44" t="s">
        <v>403</v>
      </c>
    </row>
    <row r="45" spans="1:28" x14ac:dyDescent="0.3">
      <c r="A45" t="s">
        <v>1047</v>
      </c>
      <c r="B45">
        <v>8</v>
      </c>
      <c r="C45">
        <v>3</v>
      </c>
      <c r="D45">
        <v>5152</v>
      </c>
      <c r="E45" t="s">
        <v>964</v>
      </c>
      <c r="G45">
        <v>39</v>
      </c>
      <c r="H45">
        <v>34</v>
      </c>
      <c r="I45">
        <v>48</v>
      </c>
      <c r="J45">
        <v>75</v>
      </c>
      <c r="K45">
        <v>64</v>
      </c>
      <c r="L45" t="s">
        <v>77</v>
      </c>
      <c r="M45" t="s">
        <v>33</v>
      </c>
      <c r="N45" t="s">
        <v>1048</v>
      </c>
      <c r="O45">
        <v>25</v>
      </c>
      <c r="P45" t="s">
        <v>965</v>
      </c>
      <c r="Q45" t="s">
        <v>360</v>
      </c>
      <c r="R45" t="s">
        <v>523</v>
      </c>
      <c r="S45" t="s">
        <v>328</v>
      </c>
      <c r="T45" t="s">
        <v>403</v>
      </c>
      <c r="U45" t="s">
        <v>403</v>
      </c>
    </row>
    <row r="46" spans="1:28" x14ac:dyDescent="0.3">
      <c r="A46" t="s">
        <v>1049</v>
      </c>
      <c r="B46">
        <v>8</v>
      </c>
      <c r="C46">
        <v>1</v>
      </c>
      <c r="D46">
        <v>5153</v>
      </c>
      <c r="E46" t="s">
        <v>969</v>
      </c>
      <c r="N46" t="s">
        <v>1050</v>
      </c>
      <c r="O46">
        <v>7</v>
      </c>
      <c r="P46" t="s">
        <v>970</v>
      </c>
      <c r="Q46" t="s">
        <v>357</v>
      </c>
      <c r="S46" t="s">
        <v>403</v>
      </c>
      <c r="T46" t="s">
        <v>403</v>
      </c>
      <c r="U46" t="s">
        <v>403</v>
      </c>
    </row>
    <row r="47" spans="1:28" x14ac:dyDescent="0.3">
      <c r="A47" t="s">
        <v>1051</v>
      </c>
      <c r="B47">
        <v>8</v>
      </c>
      <c r="C47">
        <v>1</v>
      </c>
      <c r="D47">
        <v>5154</v>
      </c>
      <c r="E47" t="s">
        <v>967</v>
      </c>
      <c r="G47">
        <v>65</v>
      </c>
      <c r="H47">
        <v>50</v>
      </c>
      <c r="I47">
        <v>70</v>
      </c>
      <c r="J47">
        <v>75</v>
      </c>
      <c r="K47">
        <v>64</v>
      </c>
      <c r="L47" t="s">
        <v>77</v>
      </c>
      <c r="M47" t="s">
        <v>33</v>
      </c>
      <c r="N47" t="s">
        <v>1052</v>
      </c>
      <c r="O47">
        <v>7</v>
      </c>
      <c r="Q47" t="s">
        <v>357</v>
      </c>
      <c r="R47" t="s">
        <v>523</v>
      </c>
      <c r="S47" t="s">
        <v>328</v>
      </c>
      <c r="T47" t="s">
        <v>403</v>
      </c>
      <c r="U47" t="s">
        <v>403</v>
      </c>
    </row>
    <row r="48" spans="1:28" x14ac:dyDescent="0.3">
      <c r="A48" t="s">
        <v>1053</v>
      </c>
      <c r="B48">
        <v>8</v>
      </c>
      <c r="C48">
        <v>1</v>
      </c>
      <c r="D48">
        <v>5155</v>
      </c>
      <c r="E48" t="s">
        <v>968</v>
      </c>
      <c r="G48">
        <v>102</v>
      </c>
      <c r="H48">
        <v>47</v>
      </c>
      <c r="I48">
        <v>57</v>
      </c>
      <c r="J48">
        <v>75</v>
      </c>
      <c r="K48">
        <v>64</v>
      </c>
      <c r="L48" t="s">
        <v>77</v>
      </c>
      <c r="M48" t="s">
        <v>33</v>
      </c>
      <c r="N48" t="s">
        <v>961</v>
      </c>
      <c r="O48">
        <v>7</v>
      </c>
      <c r="Q48" t="s">
        <v>357</v>
      </c>
      <c r="R48" t="s">
        <v>523</v>
      </c>
      <c r="S48" t="s">
        <v>328</v>
      </c>
      <c r="T48" t="s">
        <v>403</v>
      </c>
      <c r="U48" t="s">
        <v>403</v>
      </c>
    </row>
    <row r="49" spans="1:28" x14ac:dyDescent="0.3">
      <c r="A49" t="s">
        <v>1054</v>
      </c>
      <c r="B49">
        <v>9</v>
      </c>
      <c r="C49">
        <v>1</v>
      </c>
      <c r="D49">
        <v>1190</v>
      </c>
      <c r="E49" t="s">
        <v>96</v>
      </c>
      <c r="G49">
        <v>83</v>
      </c>
      <c r="H49">
        <v>57</v>
      </c>
      <c r="I49">
        <v>77</v>
      </c>
      <c r="J49">
        <v>75</v>
      </c>
      <c r="K49">
        <v>64</v>
      </c>
      <c r="L49" t="s">
        <v>77</v>
      </c>
      <c r="M49" t="s">
        <v>33</v>
      </c>
      <c r="N49" t="s">
        <v>1055</v>
      </c>
      <c r="O49">
        <v>7</v>
      </c>
      <c r="Q49" t="s">
        <v>357</v>
      </c>
      <c r="R49" t="s">
        <v>523</v>
      </c>
      <c r="S49" t="s">
        <v>328</v>
      </c>
      <c r="T49" t="s">
        <v>403</v>
      </c>
      <c r="U49" t="s">
        <v>403</v>
      </c>
      <c r="AB49" t="s">
        <v>866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7603-6322-4B15-A9B1-721BD4B2A063}">
  <sheetPr>
    <pageSetUpPr fitToPage="1"/>
  </sheetPr>
  <dimension ref="A1:P97"/>
  <sheetViews>
    <sheetView topLeftCell="B1" zoomScale="145" zoomScaleNormal="145" workbookViewId="0">
      <selection activeCell="O35" sqref="O35"/>
    </sheetView>
  </sheetViews>
  <sheetFormatPr defaultRowHeight="14.4" x14ac:dyDescent="0.3"/>
  <cols>
    <col min="1" max="1" width="14.109375" hidden="1" customWidth="1"/>
    <col min="2" max="2" width="19.44140625" bestFit="1" customWidth="1"/>
    <col min="3" max="3" width="14" bestFit="1" customWidth="1"/>
    <col min="4" max="4" width="9.5546875" hidden="1" customWidth="1"/>
    <col min="5" max="5" width="10.5546875" hidden="1" customWidth="1"/>
    <col min="6" max="6" width="10.5546875" bestFit="1" customWidth="1"/>
    <col min="7" max="8" width="9.77734375" hidden="1" customWidth="1"/>
    <col min="9" max="9" width="11" hidden="1" customWidth="1"/>
    <col min="10" max="10" width="9.77734375" hidden="1" customWidth="1"/>
    <col min="11" max="11" width="10" bestFit="1" customWidth="1"/>
    <col min="12" max="12" width="0" hidden="1" customWidth="1"/>
    <col min="13" max="13" width="12.33203125" hidden="1" customWidth="1"/>
    <col min="14" max="14" width="15.77734375" bestFit="1" customWidth="1"/>
    <col min="15" max="15" width="12.5546875" bestFit="1" customWidth="1"/>
    <col min="16" max="16" width="10" bestFit="1" customWidth="1"/>
  </cols>
  <sheetData>
    <row r="1" spans="1:16" x14ac:dyDescent="0.3">
      <c r="A1" t="s">
        <v>1056</v>
      </c>
      <c r="B1" t="s">
        <v>390</v>
      </c>
      <c r="C1" t="s">
        <v>392</v>
      </c>
      <c r="D1" t="s">
        <v>399</v>
      </c>
      <c r="E1" t="s">
        <v>400</v>
      </c>
      <c r="F1" t="s">
        <v>23</v>
      </c>
      <c r="G1" t="s">
        <v>391</v>
      </c>
      <c r="H1" t="s">
        <v>1057</v>
      </c>
      <c r="I1" t="s">
        <v>1058</v>
      </c>
      <c r="J1" t="s">
        <v>1059</v>
      </c>
      <c r="K1" t="s">
        <v>1060</v>
      </c>
      <c r="L1" t="s">
        <v>1182</v>
      </c>
      <c r="M1" t="s">
        <v>1184</v>
      </c>
      <c r="N1" t="s">
        <v>1195</v>
      </c>
      <c r="O1" t="s">
        <v>1196</v>
      </c>
      <c r="P1" t="s">
        <v>1185</v>
      </c>
    </row>
    <row r="2" spans="1:16" hidden="1" x14ac:dyDescent="0.3">
      <c r="A2">
        <v>873</v>
      </c>
      <c r="B2" t="s">
        <v>424</v>
      </c>
      <c r="C2" s="98" t="s">
        <v>1685</v>
      </c>
      <c r="D2" t="s">
        <v>244</v>
      </c>
      <c r="E2">
        <v>7</v>
      </c>
      <c r="F2">
        <v>1</v>
      </c>
      <c r="G2">
        <v>15</v>
      </c>
      <c r="H2" t="s">
        <v>1061</v>
      </c>
      <c r="I2" t="s">
        <v>1061</v>
      </c>
      <c r="J2" t="s">
        <v>1061</v>
      </c>
      <c r="K2" t="s">
        <v>1063</v>
      </c>
      <c r="N2">
        <f>Query4[[#This Row],[qty branch]]*15</f>
        <v>0</v>
      </c>
      <c r="O2">
        <f>Query4[[#This Row],[quantity]]-Query4[[#This Row],[qty branch x15]]</f>
        <v>15</v>
      </c>
    </row>
    <row r="3" spans="1:16" hidden="1" x14ac:dyDescent="0.3">
      <c r="A3">
        <v>899</v>
      </c>
      <c r="B3" t="s">
        <v>452</v>
      </c>
      <c r="C3" s="98" t="s">
        <v>183</v>
      </c>
      <c r="D3" t="s">
        <v>277</v>
      </c>
      <c r="E3">
        <v>7</v>
      </c>
      <c r="F3">
        <v>1</v>
      </c>
      <c r="G3">
        <v>15</v>
      </c>
      <c r="H3" t="s">
        <v>1061</v>
      </c>
      <c r="I3" t="s">
        <v>1061</v>
      </c>
      <c r="J3" t="s">
        <v>1061</v>
      </c>
      <c r="K3" t="s">
        <v>1063</v>
      </c>
      <c r="N3">
        <f>Query4[[#This Row],[qty branch]]*15</f>
        <v>0</v>
      </c>
      <c r="O3">
        <f>Query4[[#This Row],[quantity]]-Query4[[#This Row],[qty branch x15]]</f>
        <v>15</v>
      </c>
    </row>
    <row r="4" spans="1:16" hidden="1" x14ac:dyDescent="0.3">
      <c r="A4">
        <v>935</v>
      </c>
      <c r="B4" t="s">
        <v>513</v>
      </c>
      <c r="C4" s="98" t="s">
        <v>340</v>
      </c>
      <c r="D4" t="s">
        <v>943</v>
      </c>
      <c r="E4">
        <v>7</v>
      </c>
      <c r="F4">
        <v>1</v>
      </c>
      <c r="G4">
        <v>15</v>
      </c>
      <c r="H4" t="s">
        <v>1061</v>
      </c>
      <c r="I4" t="s">
        <v>1061</v>
      </c>
      <c r="J4" t="s">
        <v>1061</v>
      </c>
      <c r="K4" t="s">
        <v>1063</v>
      </c>
      <c r="N4">
        <f>Query4[[#This Row],[qty branch]]*15</f>
        <v>0</v>
      </c>
      <c r="O4">
        <f>Query4[[#This Row],[quantity]]-Query4[[#This Row],[qty branch x15]]</f>
        <v>15</v>
      </c>
    </row>
    <row r="5" spans="1:16" hidden="1" x14ac:dyDescent="0.3">
      <c r="A5">
        <v>894</v>
      </c>
      <c r="B5" t="s">
        <v>447</v>
      </c>
      <c r="C5" s="98" t="s">
        <v>176</v>
      </c>
      <c r="D5" t="s">
        <v>273</v>
      </c>
      <c r="E5">
        <v>7</v>
      </c>
      <c r="F5">
        <v>1</v>
      </c>
      <c r="G5">
        <v>15</v>
      </c>
      <c r="H5" t="s">
        <v>1061</v>
      </c>
      <c r="I5" t="s">
        <v>1061</v>
      </c>
      <c r="J5" t="s">
        <v>1061</v>
      </c>
      <c r="K5" t="s">
        <v>1063</v>
      </c>
      <c r="N5">
        <f>Query4[[#This Row],[qty branch]]*15</f>
        <v>0</v>
      </c>
      <c r="O5">
        <f>Query4[[#This Row],[quantity]]-Query4[[#This Row],[qty branch x15]]</f>
        <v>15</v>
      </c>
    </row>
    <row r="6" spans="1:16" hidden="1" x14ac:dyDescent="0.3">
      <c r="A6">
        <v>921</v>
      </c>
      <c r="B6" t="s">
        <v>491</v>
      </c>
      <c r="C6" s="98" t="s">
        <v>209</v>
      </c>
      <c r="D6" t="s">
        <v>492</v>
      </c>
      <c r="E6">
        <v>25</v>
      </c>
      <c r="F6">
        <v>1</v>
      </c>
      <c r="G6">
        <v>45</v>
      </c>
      <c r="H6" t="s">
        <v>1061</v>
      </c>
      <c r="I6" t="s">
        <v>1061</v>
      </c>
      <c r="J6" t="s">
        <v>1061</v>
      </c>
      <c r="K6" t="s">
        <v>1063</v>
      </c>
      <c r="N6">
        <f>Query4[[#This Row],[qty branch]]*15</f>
        <v>0</v>
      </c>
      <c r="O6">
        <f>Query4[[#This Row],[quantity]]-Query4[[#This Row],[qty branch x15]]</f>
        <v>45</v>
      </c>
    </row>
    <row r="7" spans="1:16" hidden="1" x14ac:dyDescent="0.3">
      <c r="A7">
        <v>883</v>
      </c>
      <c r="B7" t="s">
        <v>435</v>
      </c>
      <c r="C7" s="98" t="s">
        <v>146</v>
      </c>
      <c r="D7" t="s">
        <v>940</v>
      </c>
      <c r="E7">
        <v>7</v>
      </c>
      <c r="F7">
        <v>1</v>
      </c>
      <c r="G7">
        <v>15</v>
      </c>
      <c r="H7" t="s">
        <v>1061</v>
      </c>
      <c r="I7" t="s">
        <v>1061</v>
      </c>
      <c r="J7" t="s">
        <v>1061</v>
      </c>
      <c r="K7" t="s">
        <v>1063</v>
      </c>
      <c r="N7">
        <f>Query4[[#This Row],[qty branch]]*15</f>
        <v>0</v>
      </c>
      <c r="O7">
        <f>Query4[[#This Row],[quantity]]-Query4[[#This Row],[qty branch x15]]</f>
        <v>15</v>
      </c>
    </row>
    <row r="8" spans="1:16" hidden="1" x14ac:dyDescent="0.3">
      <c r="A8">
        <v>904</v>
      </c>
      <c r="B8" t="s">
        <v>458</v>
      </c>
      <c r="C8" s="98" t="s">
        <v>191</v>
      </c>
      <c r="D8" t="s">
        <v>282</v>
      </c>
      <c r="E8">
        <v>7</v>
      </c>
      <c r="F8">
        <v>1</v>
      </c>
      <c r="G8">
        <v>15</v>
      </c>
      <c r="H8" t="s">
        <v>1061</v>
      </c>
      <c r="I8" t="s">
        <v>1061</v>
      </c>
      <c r="J8" t="s">
        <v>1061</v>
      </c>
      <c r="K8" t="s">
        <v>1063</v>
      </c>
      <c r="N8">
        <f>Query4[[#This Row],[qty branch]]*15</f>
        <v>0</v>
      </c>
      <c r="O8">
        <f>Query4[[#This Row],[quantity]]-Query4[[#This Row],[qty branch x15]]</f>
        <v>15</v>
      </c>
    </row>
    <row r="9" spans="1:16" hidden="1" x14ac:dyDescent="0.3">
      <c r="A9">
        <v>870</v>
      </c>
      <c r="B9" t="s">
        <v>421</v>
      </c>
      <c r="C9" s="98" t="s">
        <v>123</v>
      </c>
      <c r="D9" t="s">
        <v>1566</v>
      </c>
      <c r="E9">
        <v>7</v>
      </c>
      <c r="F9">
        <v>1</v>
      </c>
      <c r="G9">
        <v>15</v>
      </c>
      <c r="H9" t="s">
        <v>1061</v>
      </c>
      <c r="I9" t="s">
        <v>1061</v>
      </c>
      <c r="J9" t="s">
        <v>1061</v>
      </c>
      <c r="K9" t="s">
        <v>1063</v>
      </c>
      <c r="N9">
        <f>Query4[[#This Row],[qty branch]]*15</f>
        <v>0</v>
      </c>
      <c r="O9">
        <f>Query4[[#This Row],[quantity]]-Query4[[#This Row],[qty branch x15]]</f>
        <v>15</v>
      </c>
    </row>
    <row r="10" spans="1:16" hidden="1" x14ac:dyDescent="0.3">
      <c r="A10">
        <v>862</v>
      </c>
      <c r="B10" t="s">
        <v>410</v>
      </c>
      <c r="C10" s="98" t="s">
        <v>110</v>
      </c>
      <c r="D10" t="s">
        <v>859</v>
      </c>
      <c r="E10">
        <v>7</v>
      </c>
      <c r="F10">
        <v>1</v>
      </c>
      <c r="G10">
        <v>15</v>
      </c>
      <c r="H10" t="s">
        <v>1061</v>
      </c>
      <c r="I10" t="s">
        <v>1061</v>
      </c>
      <c r="J10" t="s">
        <v>1061</v>
      </c>
      <c r="K10" t="s">
        <v>1061</v>
      </c>
      <c r="L10" t="s">
        <v>1181</v>
      </c>
      <c r="M10">
        <v>1</v>
      </c>
      <c r="N10">
        <f>Query4[[#This Row],[qty branch]]*15</f>
        <v>15</v>
      </c>
      <c r="O10">
        <f>Query4[[#This Row],[quantity]]-Query4[[#This Row],[qty branch x15]]</f>
        <v>0</v>
      </c>
    </row>
    <row r="11" spans="1:16" hidden="1" x14ac:dyDescent="0.3">
      <c r="A11">
        <v>890</v>
      </c>
      <c r="B11" t="s">
        <v>443</v>
      </c>
      <c r="C11" s="98" t="s">
        <v>157</v>
      </c>
      <c r="D11" t="s">
        <v>257</v>
      </c>
      <c r="E11">
        <v>7</v>
      </c>
      <c r="F11">
        <v>1</v>
      </c>
      <c r="G11">
        <v>45</v>
      </c>
      <c r="H11" t="s">
        <v>1061</v>
      </c>
      <c r="I11" t="s">
        <v>1061</v>
      </c>
      <c r="J11" t="s">
        <v>1061</v>
      </c>
      <c r="K11" t="s">
        <v>1063</v>
      </c>
      <c r="L11" t="s">
        <v>1183</v>
      </c>
      <c r="M11">
        <v>1</v>
      </c>
      <c r="N11">
        <f>Query4[[#This Row],[qty branch]]*15</f>
        <v>15</v>
      </c>
      <c r="O11">
        <f>Query4[[#This Row],[quantity]]-Query4[[#This Row],[qty branch x15]]</f>
        <v>30</v>
      </c>
    </row>
    <row r="12" spans="1:16" hidden="1" x14ac:dyDescent="0.3">
      <c r="A12">
        <v>881</v>
      </c>
      <c r="B12" t="s">
        <v>433</v>
      </c>
      <c r="C12" s="98" t="s">
        <v>140</v>
      </c>
      <c r="D12" t="s">
        <v>756</v>
      </c>
      <c r="E12">
        <v>7</v>
      </c>
      <c r="F12">
        <v>1</v>
      </c>
      <c r="G12">
        <v>15</v>
      </c>
      <c r="H12" t="s">
        <v>1061</v>
      </c>
      <c r="I12" t="s">
        <v>1061</v>
      </c>
      <c r="J12" t="s">
        <v>1061</v>
      </c>
      <c r="K12" t="s">
        <v>1063</v>
      </c>
      <c r="N12">
        <f>Query4[[#This Row],[qty branch]]*15</f>
        <v>0</v>
      </c>
      <c r="O12">
        <f>Query4[[#This Row],[quantity]]-Query4[[#This Row],[qty branch x15]]</f>
        <v>15</v>
      </c>
    </row>
    <row r="13" spans="1:16" hidden="1" x14ac:dyDescent="0.3">
      <c r="A13">
        <v>923</v>
      </c>
      <c r="B13" t="s">
        <v>495</v>
      </c>
      <c r="C13" s="98" t="s">
        <v>211</v>
      </c>
      <c r="D13" t="s">
        <v>496</v>
      </c>
      <c r="E13">
        <v>25</v>
      </c>
      <c r="F13">
        <v>1</v>
      </c>
      <c r="G13">
        <v>15</v>
      </c>
      <c r="H13" t="s">
        <v>1061</v>
      </c>
      <c r="I13" t="s">
        <v>1061</v>
      </c>
      <c r="J13" t="s">
        <v>1061</v>
      </c>
      <c r="K13" t="s">
        <v>1063</v>
      </c>
      <c r="L13" t="s">
        <v>1183</v>
      </c>
      <c r="M13">
        <v>1</v>
      </c>
      <c r="N13">
        <f>Query4[[#This Row],[qty branch]]*15</f>
        <v>15</v>
      </c>
      <c r="O13">
        <f>Query4[[#This Row],[quantity]]-Query4[[#This Row],[qty branch x15]]</f>
        <v>0</v>
      </c>
    </row>
    <row r="14" spans="1:16" hidden="1" x14ac:dyDescent="0.3">
      <c r="A14">
        <v>898</v>
      </c>
      <c r="B14" t="s">
        <v>451</v>
      </c>
      <c r="C14" s="98" t="s">
        <v>182</v>
      </c>
      <c r="D14" t="s">
        <v>276</v>
      </c>
      <c r="E14">
        <v>7</v>
      </c>
      <c r="F14">
        <v>1</v>
      </c>
      <c r="G14">
        <v>15</v>
      </c>
      <c r="H14" t="s">
        <v>1061</v>
      </c>
      <c r="I14" t="s">
        <v>1061</v>
      </c>
      <c r="J14" t="s">
        <v>1061</v>
      </c>
      <c r="K14" t="s">
        <v>1063</v>
      </c>
      <c r="N14">
        <f>Query4[[#This Row],[qty branch]]*15</f>
        <v>0</v>
      </c>
      <c r="O14">
        <f>Query4[[#This Row],[quantity]]-Query4[[#This Row],[qty branch x15]]</f>
        <v>15</v>
      </c>
    </row>
    <row r="15" spans="1:16" hidden="1" x14ac:dyDescent="0.3">
      <c r="A15">
        <v>871</v>
      </c>
      <c r="B15" t="s">
        <v>422</v>
      </c>
      <c r="C15" s="98" t="s">
        <v>125</v>
      </c>
      <c r="D15" t="s">
        <v>243</v>
      </c>
      <c r="E15">
        <v>7</v>
      </c>
      <c r="F15">
        <v>1</v>
      </c>
      <c r="G15">
        <v>15</v>
      </c>
      <c r="H15" t="s">
        <v>1061</v>
      </c>
      <c r="I15" t="s">
        <v>1061</v>
      </c>
      <c r="J15" t="s">
        <v>1061</v>
      </c>
      <c r="K15" t="s">
        <v>1061</v>
      </c>
      <c r="N15">
        <f>Query4[[#This Row],[qty branch]]*15</f>
        <v>0</v>
      </c>
      <c r="O15">
        <f>Query4[[#This Row],[quantity]]-Query4[[#This Row],[qty branch x15]]</f>
        <v>15</v>
      </c>
    </row>
    <row r="16" spans="1:16" hidden="1" x14ac:dyDescent="0.3">
      <c r="A16">
        <v>917</v>
      </c>
      <c r="B16" t="s">
        <v>483</v>
      </c>
      <c r="C16" s="98" t="s">
        <v>204</v>
      </c>
      <c r="D16" t="s">
        <v>484</v>
      </c>
      <c r="E16">
        <v>25</v>
      </c>
      <c r="F16">
        <v>1</v>
      </c>
      <c r="G16">
        <v>45</v>
      </c>
      <c r="H16" t="s">
        <v>1061</v>
      </c>
      <c r="I16" t="s">
        <v>1061</v>
      </c>
      <c r="J16" t="s">
        <v>1061</v>
      </c>
      <c r="K16" t="s">
        <v>1061</v>
      </c>
      <c r="N16">
        <f>Query4[[#This Row],[qty branch]]*15</f>
        <v>0</v>
      </c>
      <c r="O16">
        <f>Query4[[#This Row],[quantity]]-Query4[[#This Row],[qty branch x15]]</f>
        <v>45</v>
      </c>
    </row>
    <row r="17" spans="1:15" hidden="1" x14ac:dyDescent="0.3">
      <c r="A17">
        <v>933</v>
      </c>
      <c r="B17" t="s">
        <v>511</v>
      </c>
      <c r="C17" s="98" t="s">
        <v>226</v>
      </c>
      <c r="D17" t="s">
        <v>1547</v>
      </c>
      <c r="E17">
        <v>7</v>
      </c>
      <c r="F17">
        <v>1</v>
      </c>
      <c r="G17">
        <v>30</v>
      </c>
      <c r="H17" t="s">
        <v>1061</v>
      </c>
      <c r="I17" t="s">
        <v>1061</v>
      </c>
      <c r="J17" t="s">
        <v>1061</v>
      </c>
      <c r="K17" t="s">
        <v>1063</v>
      </c>
      <c r="N17">
        <f>Query4[[#This Row],[qty branch]]*15</f>
        <v>0</v>
      </c>
      <c r="O17">
        <f>Query4[[#This Row],[quantity]]-Query4[[#This Row],[qty branch x15]]</f>
        <v>30</v>
      </c>
    </row>
    <row r="18" spans="1:15" hidden="1" x14ac:dyDescent="0.3">
      <c r="A18">
        <v>909</v>
      </c>
      <c r="B18" t="s">
        <v>467</v>
      </c>
      <c r="C18" s="98" t="s">
        <v>196</v>
      </c>
      <c r="D18" t="s">
        <v>468</v>
      </c>
      <c r="E18">
        <v>25</v>
      </c>
      <c r="F18">
        <v>1</v>
      </c>
      <c r="G18">
        <v>15</v>
      </c>
      <c r="H18" t="s">
        <v>1061</v>
      </c>
      <c r="I18" t="s">
        <v>1061</v>
      </c>
      <c r="J18" t="s">
        <v>1061</v>
      </c>
      <c r="K18" t="s">
        <v>1063</v>
      </c>
      <c r="N18">
        <f>Query4[[#This Row],[qty branch]]*15</f>
        <v>0</v>
      </c>
      <c r="O18">
        <f>Query4[[#This Row],[quantity]]-Query4[[#This Row],[qty branch x15]]</f>
        <v>15</v>
      </c>
    </row>
    <row r="19" spans="1:15" hidden="1" x14ac:dyDescent="0.3">
      <c r="A19">
        <v>882</v>
      </c>
      <c r="B19" t="s">
        <v>434</v>
      </c>
      <c r="C19" s="98" t="s">
        <v>141</v>
      </c>
      <c r="D19" t="s">
        <v>251</v>
      </c>
      <c r="E19">
        <v>7</v>
      </c>
      <c r="F19">
        <v>1</v>
      </c>
      <c r="G19">
        <v>15</v>
      </c>
      <c r="H19" t="s">
        <v>1061</v>
      </c>
      <c r="I19" t="s">
        <v>1061</v>
      </c>
      <c r="J19" t="s">
        <v>1061</v>
      </c>
      <c r="K19" t="s">
        <v>1063</v>
      </c>
      <c r="N19">
        <f>Query4[[#This Row],[qty branch]]*15</f>
        <v>0</v>
      </c>
      <c r="O19">
        <f>Query4[[#This Row],[quantity]]-Query4[[#This Row],[qty branch x15]]</f>
        <v>15</v>
      </c>
    </row>
    <row r="20" spans="1:15" hidden="1" x14ac:dyDescent="0.3">
      <c r="A20">
        <v>872</v>
      </c>
      <c r="B20" t="s">
        <v>423</v>
      </c>
      <c r="C20" s="98" t="s">
        <v>126</v>
      </c>
      <c r="D20" t="s">
        <v>243</v>
      </c>
      <c r="E20">
        <v>7</v>
      </c>
      <c r="F20">
        <v>1</v>
      </c>
      <c r="G20">
        <v>15</v>
      </c>
      <c r="H20" t="s">
        <v>1061</v>
      </c>
      <c r="I20" t="s">
        <v>1061</v>
      </c>
      <c r="J20" t="s">
        <v>1061</v>
      </c>
      <c r="K20" t="s">
        <v>1063</v>
      </c>
      <c r="N20">
        <f>Query4[[#This Row],[qty branch]]*15</f>
        <v>0</v>
      </c>
      <c r="O20">
        <f>Query4[[#This Row],[quantity]]-Query4[[#This Row],[qty branch x15]]</f>
        <v>15</v>
      </c>
    </row>
    <row r="21" spans="1:15" hidden="1" x14ac:dyDescent="0.3">
      <c r="A21">
        <v>905</v>
      </c>
      <c r="B21" t="s">
        <v>459</v>
      </c>
      <c r="C21" s="98" t="s">
        <v>192</v>
      </c>
      <c r="D21" t="s">
        <v>460</v>
      </c>
      <c r="E21">
        <v>25</v>
      </c>
      <c r="F21">
        <v>1</v>
      </c>
      <c r="G21">
        <v>15</v>
      </c>
      <c r="H21" t="s">
        <v>1061</v>
      </c>
      <c r="I21" t="s">
        <v>1061</v>
      </c>
      <c r="J21" t="s">
        <v>1061</v>
      </c>
      <c r="K21" t="s">
        <v>1063</v>
      </c>
      <c r="N21">
        <f>Query4[[#This Row],[qty branch]]*15</f>
        <v>0</v>
      </c>
      <c r="O21">
        <f>Query4[[#This Row],[quantity]]-Query4[[#This Row],[qty branch x15]]</f>
        <v>15</v>
      </c>
    </row>
    <row r="22" spans="1:15" hidden="1" x14ac:dyDescent="0.3">
      <c r="A22">
        <v>879</v>
      </c>
      <c r="B22" t="s">
        <v>431</v>
      </c>
      <c r="C22" s="98" t="s">
        <v>135</v>
      </c>
      <c r="D22" t="s">
        <v>248</v>
      </c>
      <c r="E22">
        <v>7</v>
      </c>
      <c r="F22">
        <v>1</v>
      </c>
      <c r="G22">
        <v>30</v>
      </c>
      <c r="H22" t="s">
        <v>1061</v>
      </c>
      <c r="I22" t="s">
        <v>1061</v>
      </c>
      <c r="J22" t="s">
        <v>1061</v>
      </c>
      <c r="K22" t="s">
        <v>1063</v>
      </c>
      <c r="N22">
        <f>Query4[[#This Row],[qty branch]]*15</f>
        <v>0</v>
      </c>
      <c r="O22">
        <f>Query4[[#This Row],[quantity]]-Query4[[#This Row],[qty branch x15]]</f>
        <v>30</v>
      </c>
    </row>
    <row r="23" spans="1:15" hidden="1" x14ac:dyDescent="0.3">
      <c r="A23">
        <v>859</v>
      </c>
      <c r="B23" t="s">
        <v>406</v>
      </c>
      <c r="C23" s="98" t="s">
        <v>104</v>
      </c>
      <c r="D23" t="s">
        <v>235</v>
      </c>
      <c r="E23">
        <v>7</v>
      </c>
      <c r="F23">
        <v>1</v>
      </c>
      <c r="G23">
        <v>30</v>
      </c>
      <c r="H23" t="s">
        <v>1061</v>
      </c>
      <c r="I23" t="s">
        <v>1061</v>
      </c>
      <c r="J23" t="s">
        <v>1061</v>
      </c>
      <c r="K23" t="s">
        <v>1063</v>
      </c>
      <c r="N23">
        <f>Query4[[#This Row],[qty branch]]*15</f>
        <v>0</v>
      </c>
      <c r="O23">
        <f>Query4[[#This Row],[quantity]]-Query4[[#This Row],[qty branch x15]]</f>
        <v>30</v>
      </c>
    </row>
    <row r="24" spans="1:15" hidden="1" x14ac:dyDescent="0.3">
      <c r="A24">
        <v>878</v>
      </c>
      <c r="B24" t="s">
        <v>429</v>
      </c>
      <c r="C24" s="98" t="s">
        <v>1686</v>
      </c>
      <c r="D24" t="s">
        <v>430</v>
      </c>
      <c r="E24">
        <v>7</v>
      </c>
      <c r="F24">
        <v>1</v>
      </c>
      <c r="G24">
        <v>15</v>
      </c>
      <c r="H24" t="s">
        <v>1061</v>
      </c>
      <c r="I24" t="s">
        <v>1061</v>
      </c>
      <c r="J24" t="s">
        <v>1061</v>
      </c>
      <c r="K24" t="s">
        <v>1063</v>
      </c>
      <c r="N24">
        <f>Query4[[#This Row],[qty branch]]*15</f>
        <v>0</v>
      </c>
      <c r="O24">
        <f>Query4[[#This Row],[quantity]]-Query4[[#This Row],[qty branch x15]]</f>
        <v>15</v>
      </c>
    </row>
    <row r="25" spans="1:15" hidden="1" x14ac:dyDescent="0.3">
      <c r="A25">
        <v>946</v>
      </c>
      <c r="B25" t="s">
        <v>944</v>
      </c>
      <c r="C25" s="98" t="s">
        <v>147</v>
      </c>
      <c r="D25" t="s">
        <v>437</v>
      </c>
      <c r="E25">
        <v>7</v>
      </c>
      <c r="F25">
        <v>3</v>
      </c>
      <c r="G25">
        <v>15</v>
      </c>
      <c r="H25" t="s">
        <v>1061</v>
      </c>
      <c r="I25" t="s">
        <v>1061</v>
      </c>
      <c r="J25" t="s">
        <v>1061</v>
      </c>
      <c r="K25" t="s">
        <v>1063</v>
      </c>
      <c r="N25">
        <f>Query4[[#This Row],[qty branch]]*15</f>
        <v>0</v>
      </c>
      <c r="O25">
        <f>Query4[[#This Row],[quantity]]-Query4[[#This Row],[qty branch x15]]</f>
        <v>15</v>
      </c>
    </row>
    <row r="26" spans="1:15" hidden="1" x14ac:dyDescent="0.3">
      <c r="A26">
        <v>907</v>
      </c>
      <c r="B26" t="s">
        <v>463</v>
      </c>
      <c r="C26" s="98" t="s">
        <v>194</v>
      </c>
      <c r="D26" t="s">
        <v>464</v>
      </c>
      <c r="E26">
        <v>25</v>
      </c>
      <c r="F26">
        <v>1</v>
      </c>
      <c r="G26">
        <v>30</v>
      </c>
      <c r="H26" t="s">
        <v>1061</v>
      </c>
      <c r="I26" t="s">
        <v>1061</v>
      </c>
      <c r="J26" t="s">
        <v>1061</v>
      </c>
      <c r="K26" t="s">
        <v>1063</v>
      </c>
      <c r="N26">
        <f>Query4[[#This Row],[qty branch]]*15</f>
        <v>0</v>
      </c>
      <c r="O26">
        <f>Query4[[#This Row],[quantity]]-Query4[[#This Row],[qty branch x15]]</f>
        <v>30</v>
      </c>
    </row>
    <row r="27" spans="1:15" x14ac:dyDescent="0.3">
      <c r="A27">
        <v>919</v>
      </c>
      <c r="B27" t="s">
        <v>487</v>
      </c>
      <c r="C27" s="98" t="s">
        <v>207</v>
      </c>
      <c r="D27" t="s">
        <v>488</v>
      </c>
      <c r="E27">
        <v>25</v>
      </c>
      <c r="F27">
        <v>1</v>
      </c>
      <c r="G27">
        <v>75</v>
      </c>
      <c r="H27" t="s">
        <v>1061</v>
      </c>
      <c r="I27" t="s">
        <v>1061</v>
      </c>
      <c r="J27" t="s">
        <v>1061</v>
      </c>
      <c r="K27" t="s">
        <v>1063</v>
      </c>
      <c r="N27">
        <f>Query4[[#This Row],[qty branch]]*15</f>
        <v>0</v>
      </c>
      <c r="O27">
        <f>Query4[[#This Row],[quantity]]-Query4[[#This Row],[qty branch x15]]</f>
        <v>75</v>
      </c>
    </row>
    <row r="28" spans="1:15" hidden="1" x14ac:dyDescent="0.3">
      <c r="A28">
        <v>950</v>
      </c>
      <c r="B28" t="s">
        <v>948</v>
      </c>
      <c r="C28" s="98" t="s">
        <v>198</v>
      </c>
      <c r="D28" t="s">
        <v>472</v>
      </c>
      <c r="E28">
        <v>25</v>
      </c>
      <c r="F28">
        <v>6</v>
      </c>
      <c r="G28">
        <v>180</v>
      </c>
      <c r="H28" t="s">
        <v>1061</v>
      </c>
      <c r="I28" t="s">
        <v>1061</v>
      </c>
      <c r="J28" t="s">
        <v>1061</v>
      </c>
      <c r="K28" t="s">
        <v>1061</v>
      </c>
      <c r="N28">
        <f>Query4[[#This Row],[qty branch]]*15</f>
        <v>0</v>
      </c>
      <c r="O28">
        <f>Query4[[#This Row],[quantity]]-Query4[[#This Row],[qty branch x15]]</f>
        <v>180</v>
      </c>
    </row>
    <row r="29" spans="1:15" hidden="1" x14ac:dyDescent="0.3">
      <c r="A29">
        <v>906</v>
      </c>
      <c r="B29" t="s">
        <v>461</v>
      </c>
      <c r="C29" s="98" t="s">
        <v>193</v>
      </c>
      <c r="D29" t="s">
        <v>462</v>
      </c>
      <c r="E29">
        <v>25</v>
      </c>
      <c r="F29">
        <v>1</v>
      </c>
      <c r="G29">
        <v>465</v>
      </c>
      <c r="H29" t="s">
        <v>1061</v>
      </c>
      <c r="I29" t="s">
        <v>1061</v>
      </c>
      <c r="J29" t="s">
        <v>1061</v>
      </c>
      <c r="K29" t="s">
        <v>1061</v>
      </c>
      <c r="N29">
        <f>Query4[[#This Row],[qty branch]]*15</f>
        <v>0</v>
      </c>
      <c r="O29">
        <f>Query4[[#This Row],[quantity]]-Query4[[#This Row],[qty branch x15]]</f>
        <v>465</v>
      </c>
    </row>
    <row r="30" spans="1:15" hidden="1" x14ac:dyDescent="0.3">
      <c r="A30">
        <v>911</v>
      </c>
      <c r="B30" t="s">
        <v>471</v>
      </c>
      <c r="C30" s="98" t="s">
        <v>198</v>
      </c>
      <c r="D30" t="s">
        <v>472</v>
      </c>
      <c r="E30">
        <v>25</v>
      </c>
      <c r="F30">
        <v>1</v>
      </c>
      <c r="G30">
        <v>180</v>
      </c>
      <c r="H30" t="s">
        <v>1061</v>
      </c>
      <c r="I30" t="s">
        <v>1061</v>
      </c>
      <c r="J30" t="s">
        <v>1061</v>
      </c>
      <c r="K30" t="s">
        <v>1061</v>
      </c>
      <c r="N30">
        <f>Query4[[#This Row],[qty branch]]*15</f>
        <v>0</v>
      </c>
      <c r="O30">
        <f>Query4[[#This Row],[quantity]]-Query4[[#This Row],[qty branch x15]]</f>
        <v>180</v>
      </c>
    </row>
    <row r="31" spans="1:15" hidden="1" x14ac:dyDescent="0.3">
      <c r="A31">
        <v>896</v>
      </c>
      <c r="B31" t="s">
        <v>449</v>
      </c>
      <c r="C31" s="98" t="s">
        <v>178</v>
      </c>
      <c r="D31" t="s">
        <v>941</v>
      </c>
      <c r="E31">
        <v>7</v>
      </c>
      <c r="F31">
        <v>1</v>
      </c>
      <c r="G31">
        <v>15</v>
      </c>
      <c r="H31" t="s">
        <v>1061</v>
      </c>
      <c r="I31" t="s">
        <v>1061</v>
      </c>
      <c r="J31" t="s">
        <v>1061</v>
      </c>
      <c r="K31" t="s">
        <v>1063</v>
      </c>
      <c r="L31" t="s">
        <v>1183</v>
      </c>
      <c r="M31">
        <v>1</v>
      </c>
      <c r="N31">
        <f>Query4[[#This Row],[qty branch]]*15</f>
        <v>15</v>
      </c>
      <c r="O31">
        <f>Query4[[#This Row],[quantity]]-Query4[[#This Row],[qty branch x15]]</f>
        <v>0</v>
      </c>
    </row>
    <row r="32" spans="1:15" hidden="1" x14ac:dyDescent="0.3">
      <c r="A32">
        <v>913</v>
      </c>
      <c r="B32" t="s">
        <v>475</v>
      </c>
      <c r="C32" s="98" t="s">
        <v>200</v>
      </c>
      <c r="D32" t="s">
        <v>476</v>
      </c>
      <c r="E32">
        <v>25</v>
      </c>
      <c r="F32">
        <v>1</v>
      </c>
      <c r="G32">
        <v>30</v>
      </c>
      <c r="H32" t="s">
        <v>1061</v>
      </c>
      <c r="I32" t="s">
        <v>1061</v>
      </c>
      <c r="J32" t="s">
        <v>1061</v>
      </c>
      <c r="K32" t="s">
        <v>1063</v>
      </c>
      <c r="N32">
        <f>Query4[[#This Row],[qty branch]]*15</f>
        <v>0</v>
      </c>
      <c r="O32">
        <f>Query4[[#This Row],[quantity]]-Query4[[#This Row],[qty branch x15]]</f>
        <v>30</v>
      </c>
    </row>
    <row r="33" spans="1:16" hidden="1" x14ac:dyDescent="0.3">
      <c r="A33">
        <v>886</v>
      </c>
      <c r="B33" t="s">
        <v>439</v>
      </c>
      <c r="C33" s="98" t="s">
        <v>151</v>
      </c>
      <c r="D33" t="s">
        <v>1561</v>
      </c>
      <c r="E33">
        <v>7</v>
      </c>
      <c r="F33">
        <v>1</v>
      </c>
      <c r="G33">
        <v>15</v>
      </c>
      <c r="H33" t="s">
        <v>1061</v>
      </c>
      <c r="I33" t="s">
        <v>1061</v>
      </c>
      <c r="J33" t="s">
        <v>1061</v>
      </c>
      <c r="K33" t="s">
        <v>1063</v>
      </c>
      <c r="L33" t="s">
        <v>1181</v>
      </c>
      <c r="M33">
        <v>3</v>
      </c>
      <c r="N33">
        <f>Query4[[#This Row],[qty branch]]*15</f>
        <v>45</v>
      </c>
      <c r="O33">
        <f>Query4[[#This Row],[quantity]]-Query4[[#This Row],[qty branch x15]]</f>
        <v>-30</v>
      </c>
      <c r="P33" t="s">
        <v>333</v>
      </c>
    </row>
    <row r="34" spans="1:16" hidden="1" x14ac:dyDescent="0.3">
      <c r="A34">
        <v>887</v>
      </c>
      <c r="B34" t="s">
        <v>440</v>
      </c>
      <c r="C34" s="98" t="s">
        <v>152</v>
      </c>
      <c r="D34" t="s">
        <v>1562</v>
      </c>
      <c r="E34">
        <v>7</v>
      </c>
      <c r="F34">
        <v>1</v>
      </c>
      <c r="G34">
        <v>15</v>
      </c>
      <c r="H34" t="s">
        <v>1061</v>
      </c>
      <c r="I34" t="s">
        <v>1061</v>
      </c>
      <c r="J34" t="s">
        <v>1061</v>
      </c>
      <c r="K34" t="s">
        <v>1063</v>
      </c>
      <c r="L34" t="s">
        <v>1183</v>
      </c>
      <c r="M34">
        <v>8</v>
      </c>
      <c r="N34">
        <f>Query4[[#This Row],[qty branch]]*15</f>
        <v>120</v>
      </c>
      <c r="O34">
        <f>Query4[[#This Row],[quantity]]-Query4[[#This Row],[qty branch x15]]</f>
        <v>-105</v>
      </c>
      <c r="P34" t="s">
        <v>332</v>
      </c>
    </row>
    <row r="35" spans="1:16" hidden="1" x14ac:dyDescent="0.3">
      <c r="A35">
        <v>880</v>
      </c>
      <c r="B35" t="s">
        <v>432</v>
      </c>
      <c r="C35" s="98" t="s">
        <v>136</v>
      </c>
      <c r="D35" t="s">
        <v>1550</v>
      </c>
      <c r="E35">
        <v>7</v>
      </c>
      <c r="F35">
        <v>1</v>
      </c>
      <c r="G35">
        <v>30</v>
      </c>
      <c r="H35" t="s">
        <v>1061</v>
      </c>
      <c r="I35" t="s">
        <v>1061</v>
      </c>
      <c r="J35" t="s">
        <v>1061</v>
      </c>
      <c r="K35" t="s">
        <v>1063</v>
      </c>
      <c r="L35" t="s">
        <v>1183</v>
      </c>
      <c r="M35">
        <v>1</v>
      </c>
      <c r="N35">
        <f>Query4[[#This Row],[qty branch]]*15</f>
        <v>15</v>
      </c>
      <c r="O35">
        <f>Query4[[#This Row],[quantity]]-Query4[[#This Row],[qty branch x15]]</f>
        <v>15</v>
      </c>
      <c r="P35" t="s">
        <v>334</v>
      </c>
    </row>
    <row r="36" spans="1:16" hidden="1" x14ac:dyDescent="0.3">
      <c r="A36">
        <v>901</v>
      </c>
      <c r="B36" t="s">
        <v>454</v>
      </c>
      <c r="C36" s="98" t="s">
        <v>185</v>
      </c>
      <c r="D36" t="s">
        <v>455</v>
      </c>
      <c r="E36">
        <v>7</v>
      </c>
      <c r="F36">
        <v>1</v>
      </c>
      <c r="G36">
        <v>15</v>
      </c>
      <c r="H36" t="s">
        <v>1061</v>
      </c>
      <c r="I36" t="s">
        <v>1061</v>
      </c>
      <c r="J36" t="s">
        <v>1061</v>
      </c>
      <c r="K36" t="s">
        <v>1063</v>
      </c>
      <c r="L36" t="s">
        <v>1181</v>
      </c>
      <c r="M36">
        <v>3</v>
      </c>
      <c r="N36">
        <f>Query4[[#This Row],[qty branch]]*15</f>
        <v>45</v>
      </c>
      <c r="O36">
        <f>Query4[[#This Row],[quantity]]-Query4[[#This Row],[qty branch x15]]</f>
        <v>-30</v>
      </c>
      <c r="P36" t="s">
        <v>333</v>
      </c>
    </row>
    <row r="37" spans="1:16" hidden="1" x14ac:dyDescent="0.3">
      <c r="A37">
        <v>937</v>
      </c>
      <c r="B37" t="s">
        <v>515</v>
      </c>
      <c r="C37" s="98" t="s">
        <v>379</v>
      </c>
      <c r="D37" t="s">
        <v>374</v>
      </c>
      <c r="E37">
        <v>7</v>
      </c>
      <c r="F37">
        <v>1</v>
      </c>
      <c r="G37">
        <v>15</v>
      </c>
      <c r="H37" t="s">
        <v>1061</v>
      </c>
      <c r="I37" t="s">
        <v>1061</v>
      </c>
      <c r="J37" t="s">
        <v>1061</v>
      </c>
      <c r="K37" t="s">
        <v>1061</v>
      </c>
      <c r="N37">
        <f>Query4[[#This Row],[qty branch]]*15</f>
        <v>0</v>
      </c>
      <c r="O37">
        <f>Query4[[#This Row],[quantity]]-Query4[[#This Row],[qty branch x15]]</f>
        <v>15</v>
      </c>
    </row>
    <row r="38" spans="1:16" hidden="1" x14ac:dyDescent="0.3">
      <c r="A38">
        <v>930</v>
      </c>
      <c r="B38" t="s">
        <v>508</v>
      </c>
      <c r="C38" s="98" t="s">
        <v>221</v>
      </c>
      <c r="D38" t="s">
        <v>287</v>
      </c>
      <c r="E38">
        <v>7</v>
      </c>
      <c r="F38">
        <v>1</v>
      </c>
      <c r="G38">
        <v>15</v>
      </c>
      <c r="H38" t="s">
        <v>1061</v>
      </c>
      <c r="I38" t="s">
        <v>1061</v>
      </c>
      <c r="J38" t="s">
        <v>1061</v>
      </c>
      <c r="K38" t="s">
        <v>1063</v>
      </c>
      <c r="N38">
        <f>Query4[[#This Row],[qty branch]]*15</f>
        <v>0</v>
      </c>
      <c r="O38">
        <f>Query4[[#This Row],[quantity]]-Query4[[#This Row],[qty branch x15]]</f>
        <v>15</v>
      </c>
    </row>
    <row r="39" spans="1:16" hidden="1" x14ac:dyDescent="0.3">
      <c r="A39">
        <v>893</v>
      </c>
      <c r="B39" t="s">
        <v>446</v>
      </c>
      <c r="C39" s="98" t="s">
        <v>175</v>
      </c>
      <c r="D39" t="s">
        <v>272</v>
      </c>
      <c r="E39">
        <v>7</v>
      </c>
      <c r="F39">
        <v>1</v>
      </c>
      <c r="G39">
        <v>30</v>
      </c>
      <c r="H39" t="s">
        <v>1061</v>
      </c>
      <c r="I39" t="s">
        <v>1061</v>
      </c>
      <c r="J39" t="s">
        <v>1061</v>
      </c>
      <c r="K39" t="s">
        <v>1063</v>
      </c>
      <c r="N39">
        <f>Query4[[#This Row],[qty branch]]*15</f>
        <v>0</v>
      </c>
      <c r="O39">
        <f>Query4[[#This Row],[quantity]]-Query4[[#This Row],[qty branch x15]]</f>
        <v>30</v>
      </c>
    </row>
    <row r="40" spans="1:16" hidden="1" x14ac:dyDescent="0.3">
      <c r="A40">
        <v>876</v>
      </c>
      <c r="B40" t="s">
        <v>427</v>
      </c>
      <c r="C40" s="98" t="s">
        <v>132</v>
      </c>
      <c r="D40" t="s">
        <v>246</v>
      </c>
      <c r="E40">
        <v>7</v>
      </c>
      <c r="F40">
        <v>1</v>
      </c>
      <c r="G40">
        <v>15</v>
      </c>
      <c r="H40" t="s">
        <v>1061</v>
      </c>
      <c r="I40" t="s">
        <v>1061</v>
      </c>
      <c r="J40" t="s">
        <v>1061</v>
      </c>
      <c r="K40" t="s">
        <v>1063</v>
      </c>
      <c r="N40">
        <f>Query4[[#This Row],[qty branch]]*15</f>
        <v>0</v>
      </c>
      <c r="O40">
        <f>Query4[[#This Row],[quantity]]-Query4[[#This Row],[qty branch x15]]</f>
        <v>15</v>
      </c>
    </row>
    <row r="41" spans="1:16" hidden="1" x14ac:dyDescent="0.3">
      <c r="A41">
        <v>931</v>
      </c>
      <c r="B41" t="s">
        <v>509</v>
      </c>
      <c r="C41" s="98" t="s">
        <v>218</v>
      </c>
      <c r="D41" t="s">
        <v>285</v>
      </c>
      <c r="E41">
        <v>7</v>
      </c>
      <c r="F41">
        <v>1</v>
      </c>
      <c r="G41">
        <v>30</v>
      </c>
      <c r="H41" t="s">
        <v>1061</v>
      </c>
      <c r="I41" t="s">
        <v>1061</v>
      </c>
      <c r="J41" t="s">
        <v>1061</v>
      </c>
      <c r="K41" t="s">
        <v>1061</v>
      </c>
      <c r="N41">
        <f>Query4[[#This Row],[qty branch]]*15</f>
        <v>0</v>
      </c>
      <c r="O41">
        <f>Query4[[#This Row],[quantity]]-Query4[[#This Row],[qty branch x15]]</f>
        <v>30</v>
      </c>
    </row>
    <row r="42" spans="1:16" hidden="1" x14ac:dyDescent="0.3">
      <c r="A42">
        <v>865</v>
      </c>
      <c r="B42" t="s">
        <v>414</v>
      </c>
      <c r="C42" s="98" t="s">
        <v>116</v>
      </c>
      <c r="D42" t="s">
        <v>415</v>
      </c>
      <c r="E42">
        <v>7</v>
      </c>
      <c r="F42">
        <v>1</v>
      </c>
      <c r="G42">
        <v>30</v>
      </c>
      <c r="H42" t="s">
        <v>1061</v>
      </c>
      <c r="I42" t="s">
        <v>1061</v>
      </c>
      <c r="J42" t="s">
        <v>1061</v>
      </c>
      <c r="K42" t="s">
        <v>1063</v>
      </c>
      <c r="N42">
        <f>Query4[[#This Row],[qty branch]]*15</f>
        <v>0</v>
      </c>
      <c r="O42">
        <f>Query4[[#This Row],[quantity]]-Query4[[#This Row],[qty branch x15]]</f>
        <v>30</v>
      </c>
    </row>
    <row r="43" spans="1:16" hidden="1" x14ac:dyDescent="0.3">
      <c r="A43">
        <v>863</v>
      </c>
      <c r="B43" t="s">
        <v>411</v>
      </c>
      <c r="C43" s="98" t="s">
        <v>111</v>
      </c>
      <c r="D43" t="s">
        <v>412</v>
      </c>
      <c r="E43">
        <v>7</v>
      </c>
      <c r="F43">
        <v>1</v>
      </c>
      <c r="G43">
        <v>15</v>
      </c>
      <c r="H43" t="s">
        <v>1061</v>
      </c>
      <c r="I43" t="s">
        <v>1061</v>
      </c>
      <c r="J43" t="s">
        <v>1061</v>
      </c>
      <c r="K43" t="s">
        <v>1063</v>
      </c>
      <c r="N43">
        <f>Query4[[#This Row],[qty branch]]*15</f>
        <v>0</v>
      </c>
      <c r="O43">
        <f>Query4[[#This Row],[quantity]]-Query4[[#This Row],[qty branch x15]]</f>
        <v>15</v>
      </c>
    </row>
    <row r="44" spans="1:16" hidden="1" x14ac:dyDescent="0.3">
      <c r="A44">
        <v>924</v>
      </c>
      <c r="B44" t="s">
        <v>497</v>
      </c>
      <c r="C44" s="98" t="s">
        <v>378</v>
      </c>
      <c r="D44" t="s">
        <v>498</v>
      </c>
      <c r="E44">
        <v>25</v>
      </c>
      <c r="F44">
        <v>1</v>
      </c>
      <c r="G44">
        <v>30</v>
      </c>
      <c r="H44" t="s">
        <v>1061</v>
      </c>
      <c r="I44" t="s">
        <v>1061</v>
      </c>
      <c r="J44" t="s">
        <v>1061</v>
      </c>
      <c r="K44" t="s">
        <v>1063</v>
      </c>
      <c r="L44" t="s">
        <v>1183</v>
      </c>
      <c r="M44">
        <v>1</v>
      </c>
      <c r="N44">
        <f>Query4[[#This Row],[qty branch]]*15</f>
        <v>15</v>
      </c>
      <c r="O44">
        <f>Query4[[#This Row],[quantity]]-Query4[[#This Row],[qty branch x15]]</f>
        <v>15</v>
      </c>
    </row>
    <row r="45" spans="1:16" hidden="1" x14ac:dyDescent="0.3">
      <c r="A45">
        <v>910</v>
      </c>
      <c r="B45" t="s">
        <v>469</v>
      </c>
      <c r="C45" s="98" t="s">
        <v>197</v>
      </c>
      <c r="D45" t="s">
        <v>470</v>
      </c>
      <c r="E45">
        <v>25</v>
      </c>
      <c r="F45">
        <v>1</v>
      </c>
      <c r="G45">
        <v>15</v>
      </c>
      <c r="H45" t="s">
        <v>1061</v>
      </c>
      <c r="I45" t="s">
        <v>1061</v>
      </c>
      <c r="J45" t="s">
        <v>1061</v>
      </c>
      <c r="K45" t="s">
        <v>1063</v>
      </c>
      <c r="N45">
        <f>Query4[[#This Row],[qty branch]]*15</f>
        <v>0</v>
      </c>
      <c r="O45">
        <f>Query4[[#This Row],[quantity]]-Query4[[#This Row],[qty branch x15]]</f>
        <v>15</v>
      </c>
    </row>
    <row r="46" spans="1:16" hidden="1" x14ac:dyDescent="0.3">
      <c r="A46">
        <v>920</v>
      </c>
      <c r="B46" t="s">
        <v>489</v>
      </c>
      <c r="C46" s="98" t="s">
        <v>208</v>
      </c>
      <c r="D46" t="s">
        <v>490</v>
      </c>
      <c r="E46">
        <v>25</v>
      </c>
      <c r="F46">
        <v>1</v>
      </c>
      <c r="G46">
        <v>45</v>
      </c>
      <c r="H46" t="s">
        <v>1061</v>
      </c>
      <c r="I46" t="s">
        <v>1061</v>
      </c>
      <c r="J46" t="s">
        <v>1061</v>
      </c>
      <c r="K46" t="s">
        <v>1063</v>
      </c>
      <c r="N46">
        <f>Query4[[#This Row],[qty branch]]*15</f>
        <v>0</v>
      </c>
      <c r="O46">
        <f>Query4[[#This Row],[quantity]]-Query4[[#This Row],[qty branch x15]]</f>
        <v>45</v>
      </c>
    </row>
    <row r="47" spans="1:16" hidden="1" x14ac:dyDescent="0.3">
      <c r="A47">
        <v>927</v>
      </c>
      <c r="B47" t="s">
        <v>503</v>
      </c>
      <c r="C47" s="98" t="s">
        <v>212</v>
      </c>
      <c r="D47" t="s">
        <v>504</v>
      </c>
      <c r="E47">
        <v>25</v>
      </c>
      <c r="F47">
        <v>1</v>
      </c>
      <c r="G47">
        <v>255</v>
      </c>
      <c r="H47" t="s">
        <v>1061</v>
      </c>
      <c r="I47" t="s">
        <v>1061</v>
      </c>
      <c r="J47" t="s">
        <v>1061</v>
      </c>
      <c r="K47" t="s">
        <v>1061</v>
      </c>
      <c r="N47">
        <f>Query4[[#This Row],[qty branch]]*15</f>
        <v>0</v>
      </c>
      <c r="O47">
        <f>Query4[[#This Row],[quantity]]-Query4[[#This Row],[qty branch x15]]</f>
        <v>255</v>
      </c>
    </row>
    <row r="48" spans="1:16" hidden="1" x14ac:dyDescent="0.3">
      <c r="A48">
        <v>869</v>
      </c>
      <c r="B48" t="s">
        <v>420</v>
      </c>
      <c r="C48" s="98" t="s">
        <v>122</v>
      </c>
      <c r="D48" t="s">
        <v>655</v>
      </c>
      <c r="E48">
        <v>7</v>
      </c>
      <c r="F48">
        <v>1</v>
      </c>
      <c r="G48">
        <v>30</v>
      </c>
      <c r="H48" t="s">
        <v>1061</v>
      </c>
      <c r="I48" t="s">
        <v>1061</v>
      </c>
      <c r="J48" t="s">
        <v>1061</v>
      </c>
      <c r="K48" t="s">
        <v>1063</v>
      </c>
      <c r="N48">
        <f>Query4[[#This Row],[qty branch]]*15</f>
        <v>0</v>
      </c>
      <c r="O48">
        <f>Query4[[#This Row],[quantity]]-Query4[[#This Row],[qty branch x15]]</f>
        <v>30</v>
      </c>
    </row>
    <row r="49" spans="1:16" hidden="1" x14ac:dyDescent="0.3">
      <c r="A49">
        <v>925</v>
      </c>
      <c r="B49" t="s">
        <v>499</v>
      </c>
      <c r="C49" s="98" t="s">
        <v>366</v>
      </c>
      <c r="D49" t="s">
        <v>500</v>
      </c>
      <c r="E49">
        <v>25</v>
      </c>
      <c r="F49">
        <v>1</v>
      </c>
      <c r="G49">
        <v>135</v>
      </c>
      <c r="H49" t="s">
        <v>1061</v>
      </c>
      <c r="I49" t="s">
        <v>1061</v>
      </c>
      <c r="J49" t="s">
        <v>1061</v>
      </c>
      <c r="K49" t="s">
        <v>1061</v>
      </c>
      <c r="N49">
        <f>Query4[[#This Row],[qty branch]]*15</f>
        <v>0</v>
      </c>
      <c r="O49">
        <f>Query4[[#This Row],[quantity]]-Query4[[#This Row],[qty branch x15]]</f>
        <v>135</v>
      </c>
    </row>
    <row r="50" spans="1:16" hidden="1" x14ac:dyDescent="0.3">
      <c r="A50">
        <v>948</v>
      </c>
      <c r="B50" t="s">
        <v>946</v>
      </c>
      <c r="C50" s="98" t="s">
        <v>110</v>
      </c>
      <c r="D50" t="s">
        <v>859</v>
      </c>
      <c r="E50">
        <v>7</v>
      </c>
      <c r="F50">
        <v>5</v>
      </c>
      <c r="G50">
        <v>15</v>
      </c>
      <c r="H50" t="s">
        <v>1061</v>
      </c>
      <c r="I50" t="s">
        <v>1061</v>
      </c>
      <c r="J50" t="s">
        <v>1061</v>
      </c>
      <c r="K50" t="s">
        <v>1063</v>
      </c>
      <c r="N50">
        <f>Query4[[#This Row],[qty branch]]*15</f>
        <v>0</v>
      </c>
      <c r="O50">
        <f>Query4[[#This Row],[quantity]]-Query4[[#This Row],[qty branch x15]]</f>
        <v>15</v>
      </c>
    </row>
    <row r="51" spans="1:16" hidden="1" x14ac:dyDescent="0.3">
      <c r="A51">
        <v>857</v>
      </c>
      <c r="B51" t="s">
        <v>404</v>
      </c>
      <c r="C51" s="98" t="s">
        <v>97</v>
      </c>
      <c r="D51" t="s">
        <v>939</v>
      </c>
      <c r="E51">
        <v>7</v>
      </c>
      <c r="F51">
        <v>1</v>
      </c>
      <c r="G51">
        <v>30</v>
      </c>
      <c r="H51" t="s">
        <v>1061</v>
      </c>
      <c r="I51" t="s">
        <v>1061</v>
      </c>
      <c r="J51" t="s">
        <v>1061</v>
      </c>
      <c r="K51" t="s">
        <v>1063</v>
      </c>
      <c r="N51">
        <f>Query4[[#This Row],[qty branch]]*15</f>
        <v>0</v>
      </c>
      <c r="O51">
        <f>Query4[[#This Row],[quantity]]-Query4[[#This Row],[qty branch x15]]</f>
        <v>30</v>
      </c>
    </row>
    <row r="52" spans="1:16" hidden="1" x14ac:dyDescent="0.3">
      <c r="A52">
        <v>874</v>
      </c>
      <c r="B52" t="s">
        <v>425</v>
      </c>
      <c r="C52" s="98" t="s">
        <v>130</v>
      </c>
      <c r="D52" t="s">
        <v>1064</v>
      </c>
      <c r="E52">
        <v>7</v>
      </c>
      <c r="F52">
        <v>1</v>
      </c>
      <c r="G52">
        <v>15</v>
      </c>
      <c r="H52" t="s">
        <v>1061</v>
      </c>
      <c r="I52" t="s">
        <v>1061</v>
      </c>
      <c r="J52" t="s">
        <v>1061</v>
      </c>
      <c r="K52" t="s">
        <v>1063</v>
      </c>
      <c r="L52" t="s">
        <v>1183</v>
      </c>
      <c r="M52">
        <v>8</v>
      </c>
      <c r="N52">
        <f>Query4[[#This Row],[qty branch]]*15</f>
        <v>120</v>
      </c>
      <c r="O52">
        <f>Query4[[#This Row],[quantity]]-Query4[[#This Row],[qty branch x15]]</f>
        <v>-105</v>
      </c>
      <c r="P52" t="s">
        <v>332</v>
      </c>
    </row>
    <row r="53" spans="1:16" hidden="1" x14ac:dyDescent="0.3">
      <c r="A53">
        <v>951</v>
      </c>
      <c r="B53" t="s">
        <v>949</v>
      </c>
      <c r="C53" s="98" t="s">
        <v>204</v>
      </c>
      <c r="D53" t="s">
        <v>484</v>
      </c>
      <c r="E53">
        <v>25</v>
      </c>
      <c r="F53">
        <v>6</v>
      </c>
      <c r="G53">
        <v>45</v>
      </c>
      <c r="H53" t="s">
        <v>1061</v>
      </c>
      <c r="I53" t="s">
        <v>1061</v>
      </c>
      <c r="J53" t="s">
        <v>1061</v>
      </c>
      <c r="K53" t="s">
        <v>1063</v>
      </c>
      <c r="L53" t="s">
        <v>1183</v>
      </c>
      <c r="M53">
        <v>3</v>
      </c>
      <c r="N53">
        <f>Query4[[#This Row],[qty branch]]*15</f>
        <v>45</v>
      </c>
      <c r="O53">
        <f>Query4[[#This Row],[quantity]]-Query4[[#This Row],[qty branch x15]]</f>
        <v>0</v>
      </c>
      <c r="P53" t="s">
        <v>332</v>
      </c>
    </row>
    <row r="54" spans="1:16" hidden="1" x14ac:dyDescent="0.3">
      <c r="A54">
        <v>934</v>
      </c>
      <c r="B54" t="s">
        <v>512</v>
      </c>
      <c r="C54" s="98" t="s">
        <v>230</v>
      </c>
      <c r="D54" t="s">
        <v>292</v>
      </c>
      <c r="E54">
        <v>7</v>
      </c>
      <c r="F54">
        <v>1</v>
      </c>
      <c r="G54">
        <v>15</v>
      </c>
      <c r="H54" t="s">
        <v>1061</v>
      </c>
      <c r="I54" t="s">
        <v>1061</v>
      </c>
      <c r="J54" t="s">
        <v>1061</v>
      </c>
      <c r="K54" t="s">
        <v>1063</v>
      </c>
      <c r="N54">
        <f>Query4[[#This Row],[qty branch]]*15</f>
        <v>0</v>
      </c>
      <c r="O54">
        <f>Query4[[#This Row],[quantity]]-Query4[[#This Row],[qty branch x15]]</f>
        <v>15</v>
      </c>
    </row>
    <row r="55" spans="1:16" hidden="1" x14ac:dyDescent="0.3">
      <c r="A55">
        <v>903</v>
      </c>
      <c r="B55" t="s">
        <v>457</v>
      </c>
      <c r="C55" s="98" t="s">
        <v>190</v>
      </c>
      <c r="D55" t="s">
        <v>735</v>
      </c>
      <c r="E55">
        <v>7</v>
      </c>
      <c r="F55">
        <v>1</v>
      </c>
      <c r="G55">
        <v>15</v>
      </c>
      <c r="H55" t="s">
        <v>1061</v>
      </c>
      <c r="I55" t="s">
        <v>1061</v>
      </c>
      <c r="J55" t="s">
        <v>1061</v>
      </c>
      <c r="K55" t="s">
        <v>1063</v>
      </c>
      <c r="N55">
        <f>Query4[[#This Row],[qty branch]]*15</f>
        <v>0</v>
      </c>
      <c r="O55">
        <f>Query4[[#This Row],[quantity]]-Query4[[#This Row],[qty branch x15]]</f>
        <v>15</v>
      </c>
    </row>
    <row r="56" spans="1:16" hidden="1" x14ac:dyDescent="0.3">
      <c r="A56">
        <v>897</v>
      </c>
      <c r="B56" t="s">
        <v>450</v>
      </c>
      <c r="C56" s="98" t="s">
        <v>179</v>
      </c>
      <c r="D56" t="s">
        <v>942</v>
      </c>
      <c r="E56">
        <v>7</v>
      </c>
      <c r="F56">
        <v>1</v>
      </c>
      <c r="G56">
        <v>15</v>
      </c>
      <c r="H56" t="s">
        <v>1061</v>
      </c>
      <c r="I56" t="s">
        <v>1061</v>
      </c>
      <c r="J56" t="s">
        <v>1061</v>
      </c>
      <c r="K56" t="s">
        <v>1063</v>
      </c>
      <c r="N56">
        <f>Query4[[#This Row],[qty branch]]*15</f>
        <v>0</v>
      </c>
      <c r="O56">
        <f>Query4[[#This Row],[quantity]]-Query4[[#This Row],[qty branch x15]]</f>
        <v>15</v>
      </c>
    </row>
    <row r="57" spans="1:16" hidden="1" x14ac:dyDescent="0.3">
      <c r="A57">
        <v>928</v>
      </c>
      <c r="B57" t="s">
        <v>505</v>
      </c>
      <c r="C57" s="98" t="s">
        <v>377</v>
      </c>
      <c r="D57" t="s">
        <v>666</v>
      </c>
      <c r="E57">
        <v>7</v>
      </c>
      <c r="F57">
        <v>1</v>
      </c>
      <c r="G57">
        <v>15</v>
      </c>
      <c r="H57" t="s">
        <v>1061</v>
      </c>
      <c r="I57" t="s">
        <v>1061</v>
      </c>
      <c r="J57" t="s">
        <v>1061</v>
      </c>
      <c r="K57" t="s">
        <v>1061</v>
      </c>
      <c r="N57">
        <f>Query4[[#This Row],[qty branch]]*15</f>
        <v>0</v>
      </c>
      <c r="O57">
        <f>Query4[[#This Row],[quantity]]-Query4[[#This Row],[qty branch x15]]</f>
        <v>15</v>
      </c>
    </row>
    <row r="58" spans="1:16" hidden="1" x14ac:dyDescent="0.3">
      <c r="A58">
        <v>891</v>
      </c>
      <c r="B58" t="s">
        <v>444</v>
      </c>
      <c r="C58" s="98" t="s">
        <v>158</v>
      </c>
      <c r="D58" t="s">
        <v>1563</v>
      </c>
      <c r="E58">
        <v>7</v>
      </c>
      <c r="F58">
        <v>1</v>
      </c>
      <c r="G58">
        <v>135</v>
      </c>
      <c r="H58" t="s">
        <v>1061</v>
      </c>
      <c r="I58" t="s">
        <v>1061</v>
      </c>
      <c r="J58" t="s">
        <v>1061</v>
      </c>
      <c r="K58" t="s">
        <v>1063</v>
      </c>
      <c r="N58">
        <f>Query4[[#This Row],[qty branch]]*15</f>
        <v>0</v>
      </c>
      <c r="O58">
        <f>Query4[[#This Row],[quantity]]-Query4[[#This Row],[qty branch x15]]</f>
        <v>135</v>
      </c>
    </row>
    <row r="59" spans="1:16" hidden="1" x14ac:dyDescent="0.3">
      <c r="A59">
        <v>884</v>
      </c>
      <c r="B59" t="s">
        <v>436</v>
      </c>
      <c r="C59" s="98" t="s">
        <v>147</v>
      </c>
      <c r="D59" t="s">
        <v>437</v>
      </c>
      <c r="E59">
        <v>7</v>
      </c>
      <c r="F59">
        <v>1</v>
      </c>
      <c r="G59">
        <v>15</v>
      </c>
      <c r="H59" t="s">
        <v>1061</v>
      </c>
      <c r="I59" t="s">
        <v>1061</v>
      </c>
      <c r="J59" t="s">
        <v>1061</v>
      </c>
      <c r="K59" t="s">
        <v>1061</v>
      </c>
      <c r="N59">
        <f>Query4[[#This Row],[qty branch]]*15</f>
        <v>0</v>
      </c>
      <c r="O59">
        <f>Query4[[#This Row],[quantity]]-Query4[[#This Row],[qty branch x15]]</f>
        <v>15</v>
      </c>
    </row>
    <row r="60" spans="1:16" hidden="1" x14ac:dyDescent="0.3">
      <c r="A60">
        <v>895</v>
      </c>
      <c r="B60" t="s">
        <v>448</v>
      </c>
      <c r="C60" s="98" t="s">
        <v>177</v>
      </c>
      <c r="D60" t="s">
        <v>765</v>
      </c>
      <c r="E60">
        <v>7</v>
      </c>
      <c r="F60">
        <v>1</v>
      </c>
      <c r="G60">
        <v>15</v>
      </c>
      <c r="H60" t="s">
        <v>1061</v>
      </c>
      <c r="I60" t="s">
        <v>1061</v>
      </c>
      <c r="J60" t="s">
        <v>1061</v>
      </c>
      <c r="K60" t="s">
        <v>1063</v>
      </c>
      <c r="N60">
        <f>Query4[[#This Row],[qty branch]]*15</f>
        <v>0</v>
      </c>
      <c r="O60">
        <f>Query4[[#This Row],[quantity]]-Query4[[#This Row],[qty branch x15]]</f>
        <v>15</v>
      </c>
    </row>
    <row r="61" spans="1:16" hidden="1" x14ac:dyDescent="0.3">
      <c r="A61">
        <v>940</v>
      </c>
      <c r="B61" t="s">
        <v>518</v>
      </c>
      <c r="C61" s="98" t="s">
        <v>375</v>
      </c>
      <c r="D61" t="s">
        <v>364</v>
      </c>
      <c r="E61">
        <v>7</v>
      </c>
      <c r="F61">
        <v>1</v>
      </c>
      <c r="G61">
        <v>15</v>
      </c>
      <c r="H61" t="s">
        <v>1061</v>
      </c>
      <c r="I61" t="s">
        <v>1061</v>
      </c>
      <c r="J61" t="s">
        <v>1061</v>
      </c>
      <c r="K61" t="s">
        <v>1063</v>
      </c>
      <c r="N61">
        <f>Query4[[#This Row],[qty branch]]*15</f>
        <v>0</v>
      </c>
      <c r="O61">
        <f>Query4[[#This Row],[quantity]]-Query4[[#This Row],[qty branch x15]]</f>
        <v>15</v>
      </c>
    </row>
    <row r="62" spans="1:16" hidden="1" x14ac:dyDescent="0.3">
      <c r="A62">
        <v>914</v>
      </c>
      <c r="B62" t="s">
        <v>477</v>
      </c>
      <c r="C62" s="98" t="s">
        <v>201</v>
      </c>
      <c r="D62" t="s">
        <v>478</v>
      </c>
      <c r="E62">
        <v>25</v>
      </c>
      <c r="F62">
        <v>1</v>
      </c>
      <c r="G62">
        <v>30</v>
      </c>
      <c r="H62" t="s">
        <v>1061</v>
      </c>
      <c r="I62" t="s">
        <v>1061</v>
      </c>
      <c r="J62" t="s">
        <v>1061</v>
      </c>
      <c r="K62" t="s">
        <v>1063</v>
      </c>
      <c r="N62">
        <f>Query4[[#This Row],[qty branch]]*15</f>
        <v>0</v>
      </c>
      <c r="O62">
        <f>Query4[[#This Row],[quantity]]-Query4[[#This Row],[qty branch x15]]</f>
        <v>30</v>
      </c>
    </row>
    <row r="63" spans="1:16" hidden="1" x14ac:dyDescent="0.3">
      <c r="A63">
        <v>858</v>
      </c>
      <c r="B63" t="s">
        <v>405</v>
      </c>
      <c r="C63" s="98" t="s">
        <v>101</v>
      </c>
      <c r="D63" t="s">
        <v>623</v>
      </c>
      <c r="E63">
        <v>7</v>
      </c>
      <c r="F63">
        <v>1</v>
      </c>
      <c r="G63">
        <v>15</v>
      </c>
      <c r="H63" t="s">
        <v>1061</v>
      </c>
      <c r="I63" t="s">
        <v>1061</v>
      </c>
      <c r="J63" t="s">
        <v>1061</v>
      </c>
      <c r="K63" t="s">
        <v>1063</v>
      </c>
      <c r="N63">
        <f>Query4[[#This Row],[qty branch]]*15</f>
        <v>0</v>
      </c>
      <c r="O63">
        <f>Query4[[#This Row],[quantity]]-Query4[[#This Row],[qty branch x15]]</f>
        <v>15</v>
      </c>
    </row>
    <row r="64" spans="1:16" hidden="1" x14ac:dyDescent="0.3">
      <c r="A64">
        <v>915</v>
      </c>
      <c r="B64" t="s">
        <v>479</v>
      </c>
      <c r="C64" s="98" t="s">
        <v>202</v>
      </c>
      <c r="D64" t="s">
        <v>480</v>
      </c>
      <c r="E64">
        <v>25</v>
      </c>
      <c r="F64">
        <v>1</v>
      </c>
      <c r="G64">
        <v>15</v>
      </c>
      <c r="H64" t="s">
        <v>1061</v>
      </c>
      <c r="I64" t="s">
        <v>1061</v>
      </c>
      <c r="J64" t="s">
        <v>1061</v>
      </c>
      <c r="K64" t="s">
        <v>1063</v>
      </c>
      <c r="N64">
        <f>Query4[[#This Row],[qty branch]]*15</f>
        <v>0</v>
      </c>
      <c r="O64">
        <f>Query4[[#This Row],[quantity]]-Query4[[#This Row],[qty branch x15]]</f>
        <v>15</v>
      </c>
    </row>
    <row r="65" spans="1:16" hidden="1" x14ac:dyDescent="0.3">
      <c r="A65">
        <v>954</v>
      </c>
      <c r="B65" t="s">
        <v>952</v>
      </c>
      <c r="C65" s="98" t="s">
        <v>212</v>
      </c>
      <c r="D65" t="s">
        <v>504</v>
      </c>
      <c r="E65">
        <v>25</v>
      </c>
      <c r="F65">
        <v>6</v>
      </c>
      <c r="G65">
        <v>255</v>
      </c>
      <c r="H65" t="s">
        <v>1061</v>
      </c>
      <c r="I65" t="s">
        <v>1061</v>
      </c>
      <c r="J65" t="s">
        <v>1061</v>
      </c>
      <c r="K65" t="s">
        <v>1063</v>
      </c>
      <c r="L65" t="s">
        <v>1183</v>
      </c>
      <c r="M65">
        <v>1</v>
      </c>
      <c r="N65">
        <f>Query4[[#This Row],[qty branch]]*15</f>
        <v>15</v>
      </c>
      <c r="O65">
        <f>Query4[[#This Row],[quantity]]-Query4[[#This Row],[qty branch x15]]</f>
        <v>240</v>
      </c>
    </row>
    <row r="66" spans="1:16" hidden="1" x14ac:dyDescent="0.3">
      <c r="A66">
        <v>953</v>
      </c>
      <c r="B66" t="s">
        <v>951</v>
      </c>
      <c r="C66" s="98" t="s">
        <v>213</v>
      </c>
      <c r="D66" t="s">
        <v>502</v>
      </c>
      <c r="E66">
        <v>25</v>
      </c>
      <c r="F66">
        <v>6</v>
      </c>
      <c r="G66">
        <v>630</v>
      </c>
      <c r="H66" t="s">
        <v>1061</v>
      </c>
      <c r="I66" t="s">
        <v>1061</v>
      </c>
      <c r="J66" t="s">
        <v>1061</v>
      </c>
      <c r="K66" t="s">
        <v>1063</v>
      </c>
      <c r="N66">
        <f>Query4[[#This Row],[qty branch]]*15</f>
        <v>0</v>
      </c>
      <c r="O66">
        <f>Query4[[#This Row],[quantity]]-Query4[[#This Row],[qty branch x15]]</f>
        <v>630</v>
      </c>
    </row>
    <row r="67" spans="1:16" hidden="1" x14ac:dyDescent="0.3">
      <c r="A67">
        <v>912</v>
      </c>
      <c r="B67" t="s">
        <v>473</v>
      </c>
      <c r="C67" s="98" t="s">
        <v>199</v>
      </c>
      <c r="D67" t="s">
        <v>474</v>
      </c>
      <c r="E67">
        <v>25</v>
      </c>
      <c r="F67">
        <v>1</v>
      </c>
      <c r="G67">
        <v>15</v>
      </c>
      <c r="H67" t="s">
        <v>1061</v>
      </c>
      <c r="I67" t="s">
        <v>1061</v>
      </c>
      <c r="J67" t="s">
        <v>1061</v>
      </c>
      <c r="K67" t="s">
        <v>1063</v>
      </c>
      <c r="N67">
        <f>Query4[[#This Row],[qty branch]]*15</f>
        <v>0</v>
      </c>
      <c r="O67">
        <f>Query4[[#This Row],[quantity]]-Query4[[#This Row],[qty branch x15]]</f>
        <v>15</v>
      </c>
    </row>
    <row r="68" spans="1:16" hidden="1" x14ac:dyDescent="0.3">
      <c r="A68">
        <v>916</v>
      </c>
      <c r="B68" t="s">
        <v>481</v>
      </c>
      <c r="C68" s="98" t="s">
        <v>203</v>
      </c>
      <c r="D68" t="s">
        <v>482</v>
      </c>
      <c r="E68">
        <v>25</v>
      </c>
      <c r="F68">
        <v>1</v>
      </c>
      <c r="G68">
        <v>30</v>
      </c>
      <c r="H68" t="s">
        <v>1061</v>
      </c>
      <c r="I68" t="s">
        <v>1061</v>
      </c>
      <c r="J68" t="s">
        <v>1061</v>
      </c>
      <c r="K68" t="s">
        <v>1063</v>
      </c>
      <c r="N68">
        <f>Query4[[#This Row],[qty branch]]*15</f>
        <v>0</v>
      </c>
      <c r="O68">
        <f>Query4[[#This Row],[quantity]]-Query4[[#This Row],[qty branch x15]]</f>
        <v>30</v>
      </c>
    </row>
    <row r="69" spans="1:16" hidden="1" x14ac:dyDescent="0.3">
      <c r="A69">
        <v>885</v>
      </c>
      <c r="B69" t="s">
        <v>438</v>
      </c>
      <c r="C69" s="98" t="s">
        <v>148</v>
      </c>
      <c r="D69" t="s">
        <v>1065</v>
      </c>
      <c r="E69">
        <v>7</v>
      </c>
      <c r="F69">
        <v>1</v>
      </c>
      <c r="G69">
        <v>15</v>
      </c>
      <c r="H69" t="s">
        <v>1061</v>
      </c>
      <c r="I69" t="s">
        <v>1061</v>
      </c>
      <c r="J69" t="s">
        <v>1061</v>
      </c>
      <c r="K69" t="s">
        <v>1063</v>
      </c>
      <c r="N69">
        <f>Query4[[#This Row],[qty branch]]*15</f>
        <v>0</v>
      </c>
      <c r="O69">
        <f>Query4[[#This Row],[quantity]]-Query4[[#This Row],[qty branch x15]]</f>
        <v>15</v>
      </c>
    </row>
    <row r="70" spans="1:16" hidden="1" x14ac:dyDescent="0.3">
      <c r="A70">
        <v>864</v>
      </c>
      <c r="B70" t="s">
        <v>413</v>
      </c>
      <c r="C70" s="98" t="s">
        <v>115</v>
      </c>
      <c r="D70" t="s">
        <v>237</v>
      </c>
      <c r="E70">
        <v>7</v>
      </c>
      <c r="F70">
        <v>1</v>
      </c>
      <c r="G70">
        <v>15</v>
      </c>
      <c r="H70" t="s">
        <v>1061</v>
      </c>
      <c r="I70" t="s">
        <v>1061</v>
      </c>
      <c r="J70" t="s">
        <v>1061</v>
      </c>
      <c r="K70" t="s">
        <v>1063</v>
      </c>
      <c r="L70" t="s">
        <v>1181</v>
      </c>
      <c r="M70">
        <v>1</v>
      </c>
      <c r="N70">
        <f>Query4[[#This Row],[qty branch]]*15</f>
        <v>15</v>
      </c>
      <c r="O70">
        <f>Query4[[#This Row],[quantity]]-Query4[[#This Row],[qty branch x15]]</f>
        <v>0</v>
      </c>
    </row>
    <row r="71" spans="1:16" hidden="1" x14ac:dyDescent="0.3">
      <c r="A71">
        <v>942</v>
      </c>
      <c r="B71" t="s">
        <v>521</v>
      </c>
      <c r="C71" s="98" t="s">
        <v>345</v>
      </c>
      <c r="D71" t="s">
        <v>365</v>
      </c>
      <c r="E71">
        <v>7</v>
      </c>
      <c r="F71">
        <v>1</v>
      </c>
      <c r="G71">
        <v>15</v>
      </c>
      <c r="H71" t="s">
        <v>1061</v>
      </c>
      <c r="I71" t="s">
        <v>1061</v>
      </c>
      <c r="J71" t="s">
        <v>1061</v>
      </c>
      <c r="K71" t="s">
        <v>1063</v>
      </c>
      <c r="N71">
        <f>Query4[[#This Row],[qty branch]]*15</f>
        <v>0</v>
      </c>
      <c r="O71">
        <f>Query4[[#This Row],[quantity]]-Query4[[#This Row],[qty branch x15]]</f>
        <v>15</v>
      </c>
    </row>
    <row r="72" spans="1:16" hidden="1" x14ac:dyDescent="0.3">
      <c r="A72">
        <v>949</v>
      </c>
      <c r="B72" t="s">
        <v>947</v>
      </c>
      <c r="C72" s="98" t="s">
        <v>193</v>
      </c>
      <c r="D72" t="s">
        <v>462</v>
      </c>
      <c r="E72">
        <v>25</v>
      </c>
      <c r="F72">
        <v>6</v>
      </c>
      <c r="G72">
        <v>465</v>
      </c>
      <c r="H72" t="s">
        <v>1061</v>
      </c>
      <c r="I72" t="s">
        <v>1061</v>
      </c>
      <c r="J72" t="s">
        <v>1061</v>
      </c>
      <c r="K72" t="s">
        <v>1063</v>
      </c>
      <c r="L72" t="s">
        <v>1183</v>
      </c>
      <c r="M72">
        <v>1</v>
      </c>
      <c r="N72">
        <f>Query4[[#This Row],[qty branch]]*15</f>
        <v>15</v>
      </c>
      <c r="O72">
        <f>Query4[[#This Row],[quantity]]-Query4[[#This Row],[qty branch x15]]</f>
        <v>450</v>
      </c>
    </row>
    <row r="73" spans="1:16" hidden="1" x14ac:dyDescent="0.3">
      <c r="A73">
        <v>861</v>
      </c>
      <c r="B73" t="s">
        <v>408</v>
      </c>
      <c r="C73" s="98" t="s">
        <v>109</v>
      </c>
      <c r="D73" t="s">
        <v>409</v>
      </c>
      <c r="E73">
        <v>7</v>
      </c>
      <c r="F73">
        <v>1</v>
      </c>
      <c r="G73">
        <v>30</v>
      </c>
      <c r="H73" t="s">
        <v>1061</v>
      </c>
      <c r="I73" t="s">
        <v>1061</v>
      </c>
      <c r="J73" t="s">
        <v>1061</v>
      </c>
      <c r="K73" t="s">
        <v>1063</v>
      </c>
      <c r="L73" t="s">
        <v>1183</v>
      </c>
      <c r="M73">
        <v>1</v>
      </c>
      <c r="N73">
        <f>Query4[[#This Row],[qty branch]]*15</f>
        <v>15</v>
      </c>
      <c r="O73">
        <f>Query4[[#This Row],[quantity]]-Query4[[#This Row],[qty branch x15]]</f>
        <v>15</v>
      </c>
    </row>
    <row r="74" spans="1:16" hidden="1" x14ac:dyDescent="0.3">
      <c r="A74">
        <v>929</v>
      </c>
      <c r="B74" t="s">
        <v>506</v>
      </c>
      <c r="C74" s="98" t="s">
        <v>217</v>
      </c>
      <c r="D74" t="s">
        <v>507</v>
      </c>
      <c r="E74">
        <v>7</v>
      </c>
      <c r="F74">
        <v>1</v>
      </c>
      <c r="G74">
        <v>45</v>
      </c>
      <c r="H74" t="s">
        <v>1061</v>
      </c>
      <c r="I74" t="s">
        <v>1061</v>
      </c>
      <c r="J74" t="s">
        <v>1061</v>
      </c>
      <c r="K74" t="s">
        <v>1063</v>
      </c>
      <c r="N74">
        <f>Query4[[#This Row],[qty branch]]*15</f>
        <v>0</v>
      </c>
      <c r="O74">
        <f>Query4[[#This Row],[quantity]]-Query4[[#This Row],[qty branch x15]]</f>
        <v>45</v>
      </c>
    </row>
    <row r="75" spans="1:16" hidden="1" x14ac:dyDescent="0.3">
      <c r="A75">
        <v>952</v>
      </c>
      <c r="B75" t="s">
        <v>950</v>
      </c>
      <c r="C75" s="98" t="s">
        <v>366</v>
      </c>
      <c r="D75" t="s">
        <v>500</v>
      </c>
      <c r="E75">
        <v>25</v>
      </c>
      <c r="F75">
        <v>6</v>
      </c>
      <c r="G75">
        <v>135</v>
      </c>
      <c r="H75" t="s">
        <v>1061</v>
      </c>
      <c r="I75" t="s">
        <v>1061</v>
      </c>
      <c r="J75" t="s">
        <v>1061</v>
      </c>
      <c r="K75" t="s">
        <v>1063</v>
      </c>
      <c r="N75">
        <f>Query4[[#This Row],[qty branch]]*15</f>
        <v>0</v>
      </c>
      <c r="O75">
        <f>Query4[[#This Row],[quantity]]-Query4[[#This Row],[qty branch x15]]</f>
        <v>135</v>
      </c>
    </row>
    <row r="76" spans="1:16" hidden="1" x14ac:dyDescent="0.3">
      <c r="A76">
        <v>892</v>
      </c>
      <c r="B76" t="s">
        <v>445</v>
      </c>
      <c r="C76" s="98" t="s">
        <v>159</v>
      </c>
      <c r="D76" t="s">
        <v>700</v>
      </c>
      <c r="E76">
        <v>7</v>
      </c>
      <c r="F76">
        <v>1</v>
      </c>
      <c r="G76">
        <v>45</v>
      </c>
      <c r="H76" t="s">
        <v>1061</v>
      </c>
      <c r="I76" t="s">
        <v>1061</v>
      </c>
      <c r="J76" t="s">
        <v>1061</v>
      </c>
      <c r="K76" t="s">
        <v>1063</v>
      </c>
      <c r="L76" t="s">
        <v>1183</v>
      </c>
      <c r="M76">
        <v>1</v>
      </c>
      <c r="N76">
        <f>Query4[[#This Row],[qty branch]]*15</f>
        <v>15</v>
      </c>
      <c r="O76">
        <f>Query4[[#This Row],[quantity]]-Query4[[#This Row],[qty branch x15]]</f>
        <v>30</v>
      </c>
    </row>
    <row r="77" spans="1:16" hidden="1" x14ac:dyDescent="0.3">
      <c r="A77">
        <v>889</v>
      </c>
      <c r="B77" t="s">
        <v>442</v>
      </c>
      <c r="C77" s="98" t="s">
        <v>368</v>
      </c>
      <c r="D77" t="s">
        <v>256</v>
      </c>
      <c r="E77">
        <v>7</v>
      </c>
      <c r="F77">
        <v>1</v>
      </c>
      <c r="G77">
        <v>30</v>
      </c>
      <c r="H77" t="s">
        <v>1061</v>
      </c>
      <c r="I77" t="s">
        <v>1061</v>
      </c>
      <c r="J77" t="s">
        <v>1061</v>
      </c>
      <c r="K77" t="s">
        <v>1063</v>
      </c>
      <c r="N77">
        <f>Query4[[#This Row],[qty branch]]*15</f>
        <v>0</v>
      </c>
      <c r="O77">
        <f>Query4[[#This Row],[quantity]]-Query4[[#This Row],[qty branch x15]]</f>
        <v>30</v>
      </c>
    </row>
    <row r="78" spans="1:16" hidden="1" x14ac:dyDescent="0.3">
      <c r="A78">
        <v>918</v>
      </c>
      <c r="B78" t="s">
        <v>485</v>
      </c>
      <c r="C78" s="98" t="s">
        <v>206</v>
      </c>
      <c r="D78" t="s">
        <v>486</v>
      </c>
      <c r="E78">
        <v>25</v>
      </c>
      <c r="F78">
        <v>1</v>
      </c>
      <c r="G78">
        <v>15</v>
      </c>
      <c r="H78" t="s">
        <v>1061</v>
      </c>
      <c r="I78" t="s">
        <v>1061</v>
      </c>
      <c r="J78" t="s">
        <v>1061</v>
      </c>
      <c r="K78" t="s">
        <v>1061</v>
      </c>
      <c r="L78" t="s">
        <v>1183</v>
      </c>
      <c r="M78">
        <v>3</v>
      </c>
      <c r="N78">
        <f>Query4[[#This Row],[qty branch]]*15</f>
        <v>45</v>
      </c>
      <c r="O78">
        <f>Query4[[#This Row],[quantity]]-Query4[[#This Row],[qty branch x15]]</f>
        <v>-30</v>
      </c>
      <c r="P78" t="s">
        <v>332</v>
      </c>
    </row>
    <row r="79" spans="1:16" hidden="1" x14ac:dyDescent="0.3">
      <c r="A79">
        <v>856</v>
      </c>
      <c r="B79" t="s">
        <v>401</v>
      </c>
      <c r="C79" s="98" t="s">
        <v>95</v>
      </c>
      <c r="D79" t="s">
        <v>402</v>
      </c>
      <c r="E79">
        <v>7</v>
      </c>
      <c r="F79">
        <v>1</v>
      </c>
      <c r="G79">
        <v>15</v>
      </c>
      <c r="H79" t="s">
        <v>1061</v>
      </c>
      <c r="I79" t="s">
        <v>1061</v>
      </c>
      <c r="J79" t="s">
        <v>1061</v>
      </c>
      <c r="K79" t="s">
        <v>1061</v>
      </c>
      <c r="L79" t="s">
        <v>1183</v>
      </c>
      <c r="M79">
        <v>1</v>
      </c>
      <c r="N79">
        <f>Query4[[#This Row],[qty branch]]*15</f>
        <v>15</v>
      </c>
      <c r="O79">
        <f>Query4[[#This Row],[quantity]]-Query4[[#This Row],[qty branch x15]]</f>
        <v>0</v>
      </c>
    </row>
    <row r="80" spans="1:16" hidden="1" x14ac:dyDescent="0.3">
      <c r="A80">
        <v>938</v>
      </c>
      <c r="B80" t="s">
        <v>516</v>
      </c>
      <c r="C80" s="98" t="s">
        <v>1687</v>
      </c>
      <c r="D80" t="s">
        <v>1062</v>
      </c>
      <c r="E80">
        <v>7</v>
      </c>
      <c r="F80">
        <v>1</v>
      </c>
      <c r="G80">
        <v>45</v>
      </c>
      <c r="H80" t="s">
        <v>1061</v>
      </c>
      <c r="I80" t="s">
        <v>1061</v>
      </c>
      <c r="J80" t="s">
        <v>1061</v>
      </c>
      <c r="K80" t="s">
        <v>1063</v>
      </c>
      <c r="N80">
        <f>Query4[[#This Row],[qty branch]]*15</f>
        <v>0</v>
      </c>
      <c r="O80">
        <f>Query4[[#This Row],[quantity]]-Query4[[#This Row],[qty branch x15]]</f>
        <v>45</v>
      </c>
    </row>
    <row r="81" spans="1:16" hidden="1" x14ac:dyDescent="0.3">
      <c r="A81">
        <v>922</v>
      </c>
      <c r="B81" t="s">
        <v>493</v>
      </c>
      <c r="C81" s="98" t="s">
        <v>210</v>
      </c>
      <c r="D81" t="s">
        <v>494</v>
      </c>
      <c r="E81">
        <v>25</v>
      </c>
      <c r="F81">
        <v>1</v>
      </c>
      <c r="G81">
        <v>30</v>
      </c>
      <c r="H81" t="s">
        <v>1061</v>
      </c>
      <c r="I81" t="s">
        <v>1061</v>
      </c>
      <c r="J81" t="s">
        <v>1061</v>
      </c>
      <c r="K81" t="s">
        <v>1063</v>
      </c>
      <c r="N81">
        <f>Query4[[#This Row],[qty branch]]*15</f>
        <v>0</v>
      </c>
      <c r="O81">
        <f>Query4[[#This Row],[quantity]]-Query4[[#This Row],[qty branch x15]]</f>
        <v>30</v>
      </c>
    </row>
    <row r="82" spans="1:16" hidden="1" x14ac:dyDescent="0.3">
      <c r="A82">
        <v>947</v>
      </c>
      <c r="B82" t="s">
        <v>945</v>
      </c>
      <c r="C82" s="98" t="s">
        <v>377</v>
      </c>
      <c r="D82" t="s">
        <v>666</v>
      </c>
      <c r="E82">
        <v>7</v>
      </c>
      <c r="F82">
        <v>4</v>
      </c>
      <c r="G82">
        <v>15</v>
      </c>
      <c r="H82" t="s">
        <v>1061</v>
      </c>
      <c r="I82" t="s">
        <v>1061</v>
      </c>
      <c r="J82" t="s">
        <v>1061</v>
      </c>
      <c r="K82" t="s">
        <v>1063</v>
      </c>
      <c r="L82" t="s">
        <v>1181</v>
      </c>
      <c r="M82">
        <v>1</v>
      </c>
      <c r="N82">
        <f>Query4[[#This Row],[qty branch]]*15</f>
        <v>15</v>
      </c>
      <c r="O82">
        <f>Query4[[#This Row],[quantity]]-Query4[[#This Row],[qty branch x15]]</f>
        <v>0</v>
      </c>
    </row>
    <row r="83" spans="1:16" hidden="1" x14ac:dyDescent="0.3">
      <c r="A83">
        <v>877</v>
      </c>
      <c r="B83" t="s">
        <v>428</v>
      </c>
      <c r="C83" s="98" t="s">
        <v>134</v>
      </c>
      <c r="D83" t="s">
        <v>1549</v>
      </c>
      <c r="E83">
        <v>7</v>
      </c>
      <c r="F83">
        <v>1</v>
      </c>
      <c r="G83">
        <v>30</v>
      </c>
      <c r="H83" t="s">
        <v>1061</v>
      </c>
      <c r="I83" t="s">
        <v>1061</v>
      </c>
      <c r="J83" t="s">
        <v>1061</v>
      </c>
      <c r="K83" t="s">
        <v>1063</v>
      </c>
      <c r="N83">
        <f>Query4[[#This Row],[qty branch]]*15</f>
        <v>0</v>
      </c>
      <c r="O83">
        <f>Query4[[#This Row],[quantity]]-Query4[[#This Row],[qty branch x15]]</f>
        <v>30</v>
      </c>
    </row>
    <row r="84" spans="1:16" hidden="1" x14ac:dyDescent="0.3">
      <c r="A84">
        <v>860</v>
      </c>
      <c r="B84" t="s">
        <v>407</v>
      </c>
      <c r="C84" s="98" t="s">
        <v>106</v>
      </c>
      <c r="D84" t="s">
        <v>629</v>
      </c>
      <c r="E84">
        <v>7</v>
      </c>
      <c r="F84">
        <v>1</v>
      </c>
      <c r="G84">
        <v>30</v>
      </c>
      <c r="H84" t="s">
        <v>1061</v>
      </c>
      <c r="I84" t="s">
        <v>1061</v>
      </c>
      <c r="J84" t="s">
        <v>1061</v>
      </c>
      <c r="K84" t="s">
        <v>1063</v>
      </c>
      <c r="N84">
        <f>Query4[[#This Row],[qty branch]]*15</f>
        <v>0</v>
      </c>
      <c r="O84">
        <f>Query4[[#This Row],[quantity]]-Query4[[#This Row],[qty branch x15]]</f>
        <v>30</v>
      </c>
    </row>
    <row r="85" spans="1:16" hidden="1" x14ac:dyDescent="0.3">
      <c r="A85">
        <v>902</v>
      </c>
      <c r="B85" t="s">
        <v>456</v>
      </c>
      <c r="C85" s="98" t="s">
        <v>187</v>
      </c>
      <c r="D85" t="s">
        <v>280</v>
      </c>
      <c r="E85">
        <v>7</v>
      </c>
      <c r="F85">
        <v>1</v>
      </c>
      <c r="G85">
        <v>15</v>
      </c>
      <c r="H85" t="s">
        <v>1061</v>
      </c>
      <c r="I85" t="s">
        <v>1061</v>
      </c>
      <c r="J85" t="s">
        <v>1061</v>
      </c>
      <c r="K85" t="s">
        <v>1063</v>
      </c>
      <c r="L85" t="s">
        <v>1181</v>
      </c>
      <c r="M85">
        <v>1</v>
      </c>
      <c r="N85">
        <f>Query4[[#This Row],[qty branch]]*15</f>
        <v>15</v>
      </c>
      <c r="O85">
        <f>Query4[[#This Row],[quantity]]-Query4[[#This Row],[qty branch x15]]</f>
        <v>0</v>
      </c>
    </row>
    <row r="86" spans="1:16" hidden="1" x14ac:dyDescent="0.3">
      <c r="A86">
        <v>908</v>
      </c>
      <c r="B86" t="s">
        <v>465</v>
      </c>
      <c r="C86" s="98" t="s">
        <v>195</v>
      </c>
      <c r="D86" t="s">
        <v>466</v>
      </c>
      <c r="E86">
        <v>25</v>
      </c>
      <c r="F86">
        <v>1</v>
      </c>
      <c r="G86">
        <v>15</v>
      </c>
      <c r="H86" t="s">
        <v>1061</v>
      </c>
      <c r="I86" t="s">
        <v>1061</v>
      </c>
      <c r="J86" t="s">
        <v>1061</v>
      </c>
      <c r="K86" t="s">
        <v>1061</v>
      </c>
      <c r="N86">
        <f>Query4[[#This Row],[qty branch]]*15</f>
        <v>0</v>
      </c>
      <c r="O86">
        <f>Query4[[#This Row],[quantity]]-Query4[[#This Row],[qty branch x15]]</f>
        <v>15</v>
      </c>
    </row>
    <row r="87" spans="1:16" hidden="1" x14ac:dyDescent="0.3">
      <c r="A87">
        <v>875</v>
      </c>
      <c r="B87" t="s">
        <v>426</v>
      </c>
      <c r="C87" s="98" t="s">
        <v>131</v>
      </c>
      <c r="D87" t="s">
        <v>245</v>
      </c>
      <c r="E87">
        <v>7</v>
      </c>
      <c r="F87">
        <v>1</v>
      </c>
      <c r="G87">
        <v>15</v>
      </c>
      <c r="H87" t="s">
        <v>1061</v>
      </c>
      <c r="I87" t="s">
        <v>1061</v>
      </c>
      <c r="J87" t="s">
        <v>1061</v>
      </c>
      <c r="K87" t="s">
        <v>1063</v>
      </c>
      <c r="N87">
        <f>Query4[[#This Row],[qty branch]]*15</f>
        <v>0</v>
      </c>
      <c r="O87">
        <f>Query4[[#This Row],[quantity]]-Query4[[#This Row],[qty branch x15]]</f>
        <v>15</v>
      </c>
    </row>
    <row r="88" spans="1:16" hidden="1" x14ac:dyDescent="0.3">
      <c r="A88">
        <v>936</v>
      </c>
      <c r="B88" t="s">
        <v>514</v>
      </c>
      <c r="C88" s="98" t="s">
        <v>219</v>
      </c>
      <c r="D88" t="s">
        <v>362</v>
      </c>
      <c r="E88">
        <v>7</v>
      </c>
      <c r="F88">
        <v>1</v>
      </c>
      <c r="G88">
        <v>15</v>
      </c>
      <c r="H88" t="s">
        <v>1061</v>
      </c>
      <c r="I88" t="s">
        <v>1061</v>
      </c>
      <c r="J88" t="s">
        <v>1061</v>
      </c>
      <c r="K88" t="s">
        <v>1063</v>
      </c>
      <c r="N88">
        <f>Query4[[#This Row],[qty branch]]*15</f>
        <v>0</v>
      </c>
      <c r="O88">
        <f>Query4[[#This Row],[quantity]]-Query4[[#This Row],[qty branch x15]]</f>
        <v>15</v>
      </c>
    </row>
    <row r="89" spans="1:16" hidden="1" x14ac:dyDescent="0.3">
      <c r="A89">
        <v>926</v>
      </c>
      <c r="B89" t="s">
        <v>501</v>
      </c>
      <c r="C89" s="98" t="s">
        <v>213</v>
      </c>
      <c r="D89" t="s">
        <v>502</v>
      </c>
      <c r="E89">
        <v>25</v>
      </c>
      <c r="F89">
        <v>1</v>
      </c>
      <c r="G89">
        <v>630</v>
      </c>
      <c r="H89" t="s">
        <v>1061</v>
      </c>
      <c r="I89" t="s">
        <v>1061</v>
      </c>
      <c r="J89" t="s">
        <v>1061</v>
      </c>
      <c r="K89" t="s">
        <v>1061</v>
      </c>
      <c r="N89">
        <f>Query4[[#This Row],[qty branch]]*15</f>
        <v>0</v>
      </c>
      <c r="O89">
        <f>Query4[[#This Row],[quantity]]-Query4[[#This Row],[qty branch x15]]</f>
        <v>630</v>
      </c>
    </row>
    <row r="90" spans="1:16" hidden="1" x14ac:dyDescent="0.3">
      <c r="A90">
        <v>941</v>
      </c>
      <c r="B90" t="s">
        <v>519</v>
      </c>
      <c r="C90" s="98" t="s">
        <v>380</v>
      </c>
      <c r="D90" t="s">
        <v>520</v>
      </c>
      <c r="E90">
        <v>25</v>
      </c>
      <c r="F90">
        <v>1</v>
      </c>
      <c r="G90">
        <v>30</v>
      </c>
      <c r="H90" t="s">
        <v>1061</v>
      </c>
      <c r="I90" t="s">
        <v>1061</v>
      </c>
      <c r="J90" t="s">
        <v>1061</v>
      </c>
      <c r="K90" t="s">
        <v>1063</v>
      </c>
      <c r="L90" t="s">
        <v>1181</v>
      </c>
      <c r="M90">
        <v>1</v>
      </c>
      <c r="N90">
        <f>Query4[[#This Row],[qty branch]]*15</f>
        <v>15</v>
      </c>
      <c r="O90">
        <f>Query4[[#This Row],[quantity]]-Query4[[#This Row],[qty branch x15]]</f>
        <v>15</v>
      </c>
    </row>
    <row r="91" spans="1:16" hidden="1" x14ac:dyDescent="0.3">
      <c r="A91">
        <v>932</v>
      </c>
      <c r="B91" t="s">
        <v>510</v>
      </c>
      <c r="C91" s="98" t="s">
        <v>223</v>
      </c>
      <c r="D91" t="s">
        <v>1579</v>
      </c>
      <c r="E91">
        <v>7</v>
      </c>
      <c r="F91">
        <v>1</v>
      </c>
      <c r="G91">
        <v>15</v>
      </c>
      <c r="H91" t="s">
        <v>1061</v>
      </c>
      <c r="I91" t="s">
        <v>1061</v>
      </c>
      <c r="J91" t="s">
        <v>1061</v>
      </c>
      <c r="K91" t="s">
        <v>1063</v>
      </c>
      <c r="N91">
        <f>Query4[[#This Row],[qty branch]]*15</f>
        <v>0</v>
      </c>
      <c r="O91">
        <f>Query4[[#This Row],[quantity]]-Query4[[#This Row],[qty branch x15]]</f>
        <v>15</v>
      </c>
    </row>
    <row r="92" spans="1:16" hidden="1" x14ac:dyDescent="0.3">
      <c r="A92">
        <v>866</v>
      </c>
      <c r="B92" t="s">
        <v>416</v>
      </c>
      <c r="C92" s="98" t="s">
        <v>117</v>
      </c>
      <c r="D92" t="s">
        <v>238</v>
      </c>
      <c r="E92">
        <v>7</v>
      </c>
      <c r="F92">
        <v>1</v>
      </c>
      <c r="G92">
        <v>30</v>
      </c>
      <c r="H92" t="s">
        <v>1061</v>
      </c>
      <c r="I92" t="s">
        <v>1061</v>
      </c>
      <c r="J92" t="s">
        <v>1061</v>
      </c>
      <c r="K92" t="s">
        <v>1063</v>
      </c>
      <c r="N92">
        <f>Query4[[#This Row],[qty branch]]*15</f>
        <v>0</v>
      </c>
      <c r="O92">
        <f>Query4[[#This Row],[quantity]]-Query4[[#This Row],[qty branch x15]]</f>
        <v>30</v>
      </c>
    </row>
    <row r="93" spans="1:16" hidden="1" x14ac:dyDescent="0.3">
      <c r="A93">
        <v>868</v>
      </c>
      <c r="B93" t="s">
        <v>419</v>
      </c>
      <c r="C93" s="98" t="s">
        <v>121</v>
      </c>
      <c r="D93" t="s">
        <v>240</v>
      </c>
      <c r="E93">
        <v>7</v>
      </c>
      <c r="F93">
        <v>1</v>
      </c>
      <c r="G93">
        <v>15</v>
      </c>
      <c r="H93" t="s">
        <v>1061</v>
      </c>
      <c r="I93" t="s">
        <v>1061</v>
      </c>
      <c r="J93" t="s">
        <v>1061</v>
      </c>
      <c r="K93" t="s">
        <v>1063</v>
      </c>
      <c r="L93" t="s">
        <v>1183</v>
      </c>
      <c r="M93">
        <v>1</v>
      </c>
      <c r="N93">
        <f>Query4[[#This Row],[qty branch]]*15</f>
        <v>15</v>
      </c>
      <c r="O93">
        <f>Query4[[#This Row],[quantity]]-Query4[[#This Row],[qty branch x15]]</f>
        <v>0</v>
      </c>
    </row>
    <row r="94" spans="1:16" hidden="1" x14ac:dyDescent="0.3">
      <c r="A94">
        <v>900</v>
      </c>
      <c r="B94" t="s">
        <v>453</v>
      </c>
      <c r="C94" s="98" t="s">
        <v>184</v>
      </c>
      <c r="D94" t="s">
        <v>278</v>
      </c>
      <c r="E94">
        <v>7</v>
      </c>
      <c r="F94">
        <v>1</v>
      </c>
      <c r="G94">
        <v>15</v>
      </c>
      <c r="H94" t="s">
        <v>1061</v>
      </c>
      <c r="I94" t="s">
        <v>1061</v>
      </c>
      <c r="J94" t="s">
        <v>1061</v>
      </c>
      <c r="K94" t="s">
        <v>1063</v>
      </c>
      <c r="N94">
        <f>Query4[[#This Row],[qty branch]]*15</f>
        <v>0</v>
      </c>
      <c r="O94">
        <f>Query4[[#This Row],[quantity]]-Query4[[#This Row],[qty branch x15]]</f>
        <v>15</v>
      </c>
    </row>
    <row r="95" spans="1:16" hidden="1" x14ac:dyDescent="0.3">
      <c r="A95">
        <v>867</v>
      </c>
      <c r="B95" t="s">
        <v>417</v>
      </c>
      <c r="C95" s="98" t="s">
        <v>118</v>
      </c>
      <c r="D95" t="s">
        <v>418</v>
      </c>
      <c r="E95">
        <v>7</v>
      </c>
      <c r="F95">
        <v>1</v>
      </c>
      <c r="G95">
        <v>30</v>
      </c>
      <c r="H95" t="s">
        <v>1061</v>
      </c>
      <c r="I95" t="s">
        <v>1061</v>
      </c>
      <c r="J95" t="s">
        <v>1061</v>
      </c>
      <c r="K95" t="s">
        <v>1063</v>
      </c>
      <c r="L95" t="s">
        <v>1183</v>
      </c>
      <c r="M95">
        <v>1</v>
      </c>
      <c r="N95">
        <f>Query4[[#This Row],[qty branch]]*15</f>
        <v>15</v>
      </c>
      <c r="O95">
        <f>Query4[[#This Row],[quantity]]-Query4[[#This Row],[qty branch x15]]</f>
        <v>15</v>
      </c>
      <c r="P95" t="s">
        <v>334</v>
      </c>
    </row>
    <row r="96" spans="1:16" hidden="1" x14ac:dyDescent="0.3">
      <c r="A96">
        <v>939</v>
      </c>
      <c r="B96" t="s">
        <v>517</v>
      </c>
      <c r="C96" s="98" t="s">
        <v>343</v>
      </c>
      <c r="D96" t="s">
        <v>363</v>
      </c>
      <c r="E96">
        <v>7</v>
      </c>
      <c r="F96">
        <v>1</v>
      </c>
      <c r="G96">
        <v>15</v>
      </c>
      <c r="H96" t="s">
        <v>1061</v>
      </c>
      <c r="I96" t="s">
        <v>1061</v>
      </c>
      <c r="J96" t="s">
        <v>1061</v>
      </c>
      <c r="K96" t="s">
        <v>1063</v>
      </c>
      <c r="N96">
        <f>Query4[[#This Row],[qty branch]]*15</f>
        <v>0</v>
      </c>
      <c r="O96">
        <f>Query4[[#This Row],[quantity]]-Query4[[#This Row],[qty branch x15]]</f>
        <v>15</v>
      </c>
    </row>
    <row r="97" spans="1:15" hidden="1" x14ac:dyDescent="0.3">
      <c r="A97">
        <v>888</v>
      </c>
      <c r="B97" t="s">
        <v>441</v>
      </c>
      <c r="C97" s="98" t="s">
        <v>154</v>
      </c>
      <c r="D97" t="s">
        <v>1580</v>
      </c>
      <c r="E97">
        <v>7</v>
      </c>
      <c r="F97">
        <v>1</v>
      </c>
      <c r="G97">
        <v>30</v>
      </c>
      <c r="H97" t="s">
        <v>1061</v>
      </c>
      <c r="I97" t="s">
        <v>1061</v>
      </c>
      <c r="J97" t="s">
        <v>1061</v>
      </c>
      <c r="K97" t="s">
        <v>1063</v>
      </c>
      <c r="N97">
        <f>Query4[[#This Row],[qty branch]]*15</f>
        <v>0</v>
      </c>
      <c r="O97">
        <f>Query4[[#This Row],[quantity]]-Query4[[#This Row],[qty branch x15]]</f>
        <v>30</v>
      </c>
    </row>
  </sheetData>
  <phoneticPr fontId="1" type="noConversion"/>
  <conditionalFormatting sqref="H2:K97">
    <cfRule type="cellIs" dxfId="2" priority="1" operator="equal">
      <formula>"passed"</formula>
    </cfRule>
  </conditionalFormatting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5D8C-AA02-425F-AD93-1F0B60790035}">
  <dimension ref="A1:K9"/>
  <sheetViews>
    <sheetView topLeftCell="B1" workbookViewId="0">
      <selection activeCell="C2" sqref="C2:F9"/>
    </sheetView>
  </sheetViews>
  <sheetFormatPr defaultRowHeight="14.4" x14ac:dyDescent="0.3"/>
  <cols>
    <col min="1" max="1" width="14.109375" hidden="1" customWidth="1"/>
    <col min="2" max="2" width="19.44140625" bestFit="1" customWidth="1"/>
    <col min="3" max="3" width="13.5546875" bestFit="1" customWidth="1"/>
    <col min="4" max="4" width="40.21875" bestFit="1" customWidth="1"/>
    <col min="5" max="5" width="9.5546875" bestFit="1" customWidth="1"/>
    <col min="6" max="6" width="10.5546875" bestFit="1" customWidth="1"/>
    <col min="7" max="7" width="10.33203125" bestFit="1" customWidth="1"/>
    <col min="8" max="9" width="9.77734375" bestFit="1" customWidth="1"/>
    <col min="10" max="10" width="11" bestFit="1" customWidth="1"/>
    <col min="11" max="11" width="9.77734375" customWidth="1"/>
  </cols>
  <sheetData>
    <row r="1" spans="1:11" x14ac:dyDescent="0.3">
      <c r="A1" t="s">
        <v>1056</v>
      </c>
      <c r="B1" t="s">
        <v>390</v>
      </c>
      <c r="C1" t="s">
        <v>392</v>
      </c>
      <c r="D1" t="s">
        <v>399</v>
      </c>
      <c r="E1" t="s">
        <v>400</v>
      </c>
      <c r="F1" t="s">
        <v>23</v>
      </c>
      <c r="G1" t="s">
        <v>391</v>
      </c>
      <c r="H1" t="s">
        <v>1057</v>
      </c>
      <c r="I1" t="s">
        <v>1058</v>
      </c>
      <c r="J1" t="s">
        <v>1059</v>
      </c>
      <c r="K1" t="s">
        <v>1060</v>
      </c>
    </row>
    <row r="2" spans="1:11" x14ac:dyDescent="0.3">
      <c r="A2">
        <v>1035</v>
      </c>
      <c r="B2" t="s">
        <v>1074</v>
      </c>
      <c r="C2" s="98" t="s">
        <v>97</v>
      </c>
      <c r="D2" t="s">
        <v>939</v>
      </c>
      <c r="E2">
        <v>7</v>
      </c>
      <c r="F2">
        <v>7</v>
      </c>
      <c r="G2">
        <v>1</v>
      </c>
      <c r="H2" t="s">
        <v>1061</v>
      </c>
      <c r="I2" t="s">
        <v>1061</v>
      </c>
      <c r="J2" t="s">
        <v>1061</v>
      </c>
      <c r="K2" t="s">
        <v>1061</v>
      </c>
    </row>
    <row r="3" spans="1:11" x14ac:dyDescent="0.3">
      <c r="A3">
        <v>1036</v>
      </c>
      <c r="B3" t="s">
        <v>1075</v>
      </c>
      <c r="C3" s="98" t="s">
        <v>106</v>
      </c>
      <c r="D3" t="s">
        <v>629</v>
      </c>
      <c r="E3">
        <v>7</v>
      </c>
      <c r="F3">
        <v>7</v>
      </c>
      <c r="G3">
        <v>1</v>
      </c>
      <c r="H3" t="s">
        <v>1061</v>
      </c>
      <c r="I3" t="s">
        <v>1061</v>
      </c>
      <c r="J3" t="s">
        <v>1061</v>
      </c>
      <c r="K3" t="s">
        <v>1061</v>
      </c>
    </row>
    <row r="4" spans="1:11" x14ac:dyDescent="0.3">
      <c r="A4">
        <v>1037</v>
      </c>
      <c r="B4" t="s">
        <v>1076</v>
      </c>
      <c r="C4" s="98" t="s">
        <v>108</v>
      </c>
      <c r="D4" t="s">
        <v>1077</v>
      </c>
      <c r="E4">
        <v>7</v>
      </c>
      <c r="F4">
        <v>7</v>
      </c>
      <c r="G4">
        <v>2</v>
      </c>
      <c r="H4" t="s">
        <v>1061</v>
      </c>
      <c r="I4" t="s">
        <v>1061</v>
      </c>
      <c r="J4" t="s">
        <v>1061</v>
      </c>
      <c r="K4" t="s">
        <v>1061</v>
      </c>
    </row>
    <row r="5" spans="1:11" x14ac:dyDescent="0.3">
      <c r="A5">
        <v>1038</v>
      </c>
      <c r="B5" t="s">
        <v>1078</v>
      </c>
      <c r="C5" s="98" t="s">
        <v>109</v>
      </c>
      <c r="D5" t="s">
        <v>409</v>
      </c>
      <c r="E5">
        <v>7</v>
      </c>
      <c r="F5">
        <v>7</v>
      </c>
      <c r="G5">
        <v>1</v>
      </c>
      <c r="H5" t="s">
        <v>1061</v>
      </c>
      <c r="I5" t="s">
        <v>1061</v>
      </c>
      <c r="J5" t="s">
        <v>1061</v>
      </c>
      <c r="K5" t="s">
        <v>1061</v>
      </c>
    </row>
    <row r="6" spans="1:11" x14ac:dyDescent="0.3">
      <c r="A6">
        <v>1039</v>
      </c>
      <c r="B6" t="s">
        <v>1079</v>
      </c>
      <c r="C6" s="98" t="s">
        <v>114</v>
      </c>
      <c r="D6" t="s">
        <v>1080</v>
      </c>
      <c r="E6">
        <v>7</v>
      </c>
      <c r="F6">
        <v>7</v>
      </c>
      <c r="G6">
        <v>1</v>
      </c>
      <c r="H6" t="s">
        <v>1061</v>
      </c>
      <c r="I6" t="s">
        <v>1061</v>
      </c>
      <c r="J6" t="s">
        <v>1061</v>
      </c>
      <c r="K6" t="s">
        <v>1061</v>
      </c>
    </row>
    <row r="7" spans="1:11" x14ac:dyDescent="0.3">
      <c r="A7">
        <v>1040</v>
      </c>
      <c r="B7" t="s">
        <v>1081</v>
      </c>
      <c r="C7" s="98" t="s">
        <v>372</v>
      </c>
      <c r="D7" t="s">
        <v>1082</v>
      </c>
      <c r="E7">
        <v>7</v>
      </c>
      <c r="F7">
        <v>7</v>
      </c>
      <c r="G7">
        <v>1</v>
      </c>
      <c r="H7" t="s">
        <v>1061</v>
      </c>
      <c r="I7" t="s">
        <v>1061</v>
      </c>
      <c r="J7" t="s">
        <v>1061</v>
      </c>
      <c r="K7" t="s">
        <v>1061</v>
      </c>
    </row>
    <row r="8" spans="1:11" x14ac:dyDescent="0.3">
      <c r="A8">
        <v>1041</v>
      </c>
      <c r="B8" t="s">
        <v>1083</v>
      </c>
      <c r="C8" s="98" t="s">
        <v>166</v>
      </c>
      <c r="D8" t="s">
        <v>1067</v>
      </c>
      <c r="E8">
        <v>7</v>
      </c>
      <c r="F8">
        <v>7</v>
      </c>
      <c r="G8">
        <v>1</v>
      </c>
      <c r="H8" t="s">
        <v>1061</v>
      </c>
      <c r="I8" t="s">
        <v>1061</v>
      </c>
      <c r="J8" t="s">
        <v>1061</v>
      </c>
      <c r="K8" t="s">
        <v>1061</v>
      </c>
    </row>
    <row r="9" spans="1:11" x14ac:dyDescent="0.3">
      <c r="A9">
        <v>1042</v>
      </c>
      <c r="B9" t="s">
        <v>1084</v>
      </c>
      <c r="C9" s="98" t="s">
        <v>177</v>
      </c>
      <c r="D9" t="s">
        <v>765</v>
      </c>
      <c r="E9">
        <v>7</v>
      </c>
      <c r="F9">
        <v>7</v>
      </c>
      <c r="G9">
        <v>1</v>
      </c>
      <c r="H9" t="s">
        <v>1061</v>
      </c>
      <c r="I9" t="s">
        <v>1061</v>
      </c>
      <c r="J9" t="s">
        <v>1061</v>
      </c>
      <c r="K9" t="s">
        <v>1061</v>
      </c>
    </row>
  </sheetData>
  <phoneticPr fontId="1" type="noConversion"/>
  <pageMargins left="0.7" right="0.7" top="0.75" bottom="0.75" header="0.3" footer="0.3"/>
  <pageSetup orientation="landscape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43B8-1AF8-4825-91FC-E0CCA0737F76}">
  <sheetPr>
    <pageSetUpPr fitToPage="1"/>
  </sheetPr>
  <dimension ref="A1:K49"/>
  <sheetViews>
    <sheetView workbookViewId="0">
      <selection activeCell="E60" sqref="E60"/>
    </sheetView>
  </sheetViews>
  <sheetFormatPr defaultRowHeight="14.4" x14ac:dyDescent="0.3"/>
  <cols>
    <col min="1" max="1" width="14.109375" bestFit="1" customWidth="1"/>
    <col min="2" max="2" width="19.44140625" bestFit="1" customWidth="1"/>
    <col min="3" max="3" width="13.5546875" bestFit="1" customWidth="1"/>
    <col min="4" max="4" width="32" bestFit="1" customWidth="1"/>
    <col min="5" max="5" width="9.5546875" bestFit="1" customWidth="1"/>
    <col min="6" max="6" width="10.5546875" bestFit="1" customWidth="1"/>
    <col min="7" max="7" width="10.33203125" bestFit="1" customWidth="1"/>
    <col min="8" max="9" width="9.77734375" bestFit="1" customWidth="1"/>
    <col min="10" max="10" width="11" bestFit="1" customWidth="1"/>
    <col min="11" max="11" width="6.5546875" customWidth="1"/>
  </cols>
  <sheetData>
    <row r="1" spans="1:11" x14ac:dyDescent="0.3">
      <c r="A1" t="s">
        <v>1056</v>
      </c>
      <c r="B1" t="s">
        <v>390</v>
      </c>
      <c r="C1" t="s">
        <v>392</v>
      </c>
      <c r="D1" t="s">
        <v>399</v>
      </c>
      <c r="E1" t="s">
        <v>400</v>
      </c>
      <c r="F1" t="s">
        <v>23</v>
      </c>
      <c r="G1" t="s">
        <v>391</v>
      </c>
      <c r="H1" t="s">
        <v>1057</v>
      </c>
      <c r="I1" t="s">
        <v>1058</v>
      </c>
      <c r="J1" t="s">
        <v>1059</v>
      </c>
      <c r="K1" t="s">
        <v>1060</v>
      </c>
    </row>
    <row r="2" spans="1:11" hidden="1" x14ac:dyDescent="0.3">
      <c r="A2">
        <v>1050</v>
      </c>
      <c r="B2" t="s">
        <v>977</v>
      </c>
      <c r="C2" s="98" t="s">
        <v>213</v>
      </c>
      <c r="D2" t="s">
        <v>502</v>
      </c>
      <c r="E2">
        <v>25</v>
      </c>
      <c r="F2">
        <v>8</v>
      </c>
      <c r="G2">
        <v>1</v>
      </c>
      <c r="H2" t="s">
        <v>1061</v>
      </c>
      <c r="I2" t="s">
        <v>1061</v>
      </c>
      <c r="J2" t="s">
        <v>1061</v>
      </c>
      <c r="K2" t="s">
        <v>1063</v>
      </c>
    </row>
    <row r="3" spans="1:11" hidden="1" x14ac:dyDescent="0.3">
      <c r="A3">
        <v>1079</v>
      </c>
      <c r="B3" t="s">
        <v>1033</v>
      </c>
      <c r="C3" s="98" t="s">
        <v>925</v>
      </c>
      <c r="D3" t="s">
        <v>1034</v>
      </c>
      <c r="E3">
        <v>7</v>
      </c>
      <c r="F3">
        <v>8</v>
      </c>
      <c r="G3">
        <v>1</v>
      </c>
      <c r="H3" t="s">
        <v>1061</v>
      </c>
      <c r="I3" t="s">
        <v>1061</v>
      </c>
      <c r="J3" t="s">
        <v>1061</v>
      </c>
      <c r="K3" t="s">
        <v>1063</v>
      </c>
    </row>
    <row r="4" spans="1:11" hidden="1" x14ac:dyDescent="0.3">
      <c r="A4">
        <v>1077</v>
      </c>
      <c r="B4" t="s">
        <v>1029</v>
      </c>
      <c r="C4" s="98" t="s">
        <v>958</v>
      </c>
      <c r="D4" t="s">
        <v>1030</v>
      </c>
      <c r="E4">
        <v>7</v>
      </c>
      <c r="F4">
        <v>8</v>
      </c>
      <c r="G4">
        <v>1</v>
      </c>
      <c r="H4" t="s">
        <v>1061</v>
      </c>
      <c r="I4" t="s">
        <v>1061</v>
      </c>
      <c r="J4" t="s">
        <v>1061</v>
      </c>
      <c r="K4" t="s">
        <v>1063</v>
      </c>
    </row>
    <row r="5" spans="1:11" hidden="1" x14ac:dyDescent="0.3">
      <c r="A5">
        <v>1072</v>
      </c>
      <c r="B5" t="s">
        <v>1019</v>
      </c>
      <c r="C5" s="98" t="s">
        <v>895</v>
      </c>
      <c r="D5" t="s">
        <v>1020</v>
      </c>
      <c r="E5">
        <v>7</v>
      </c>
      <c r="F5">
        <v>8</v>
      </c>
      <c r="G5">
        <v>4</v>
      </c>
      <c r="H5" t="s">
        <v>1061</v>
      </c>
      <c r="I5" t="s">
        <v>1061</v>
      </c>
      <c r="J5" t="s">
        <v>1061</v>
      </c>
      <c r="K5" t="s">
        <v>1063</v>
      </c>
    </row>
    <row r="6" spans="1:11" hidden="1" x14ac:dyDescent="0.3">
      <c r="A6">
        <v>1090</v>
      </c>
      <c r="B6" t="s">
        <v>1051</v>
      </c>
      <c r="C6" s="98" t="s">
        <v>967</v>
      </c>
      <c r="D6" t="s">
        <v>1052</v>
      </c>
      <c r="E6">
        <v>7</v>
      </c>
      <c r="F6">
        <v>8</v>
      </c>
      <c r="G6">
        <v>1</v>
      </c>
      <c r="H6" t="s">
        <v>1061</v>
      </c>
      <c r="I6" t="s">
        <v>1061</v>
      </c>
      <c r="J6" t="s">
        <v>1061</v>
      </c>
      <c r="K6" t="s">
        <v>1063</v>
      </c>
    </row>
    <row r="7" spans="1:11" hidden="1" x14ac:dyDescent="0.3">
      <c r="A7">
        <v>1052</v>
      </c>
      <c r="B7" t="s">
        <v>979</v>
      </c>
      <c r="C7" s="98" t="s">
        <v>872</v>
      </c>
      <c r="D7" t="s">
        <v>980</v>
      </c>
      <c r="E7">
        <v>7</v>
      </c>
      <c r="F7">
        <v>8</v>
      </c>
      <c r="G7">
        <v>2</v>
      </c>
      <c r="H7" t="s">
        <v>1061</v>
      </c>
      <c r="I7" t="s">
        <v>1061</v>
      </c>
      <c r="J7" t="s">
        <v>1061</v>
      </c>
      <c r="K7" t="s">
        <v>1063</v>
      </c>
    </row>
    <row r="8" spans="1:11" hidden="1" x14ac:dyDescent="0.3">
      <c r="A8">
        <v>1065</v>
      </c>
      <c r="B8" t="s">
        <v>1005</v>
      </c>
      <c r="C8" s="98" t="s">
        <v>886</v>
      </c>
      <c r="D8" t="s">
        <v>1006</v>
      </c>
      <c r="E8">
        <v>7</v>
      </c>
      <c r="F8">
        <v>8</v>
      </c>
      <c r="G8">
        <v>1</v>
      </c>
      <c r="H8" t="s">
        <v>1061</v>
      </c>
      <c r="I8" t="s">
        <v>1061</v>
      </c>
      <c r="J8" t="s">
        <v>1061</v>
      </c>
      <c r="K8" t="s">
        <v>1063</v>
      </c>
    </row>
    <row r="9" spans="1:11" hidden="1" x14ac:dyDescent="0.3">
      <c r="A9">
        <v>1091</v>
      </c>
      <c r="B9" t="s">
        <v>1053</v>
      </c>
      <c r="C9" s="98" t="s">
        <v>968</v>
      </c>
      <c r="D9" t="s">
        <v>961</v>
      </c>
      <c r="E9">
        <v>7</v>
      </c>
      <c r="F9">
        <v>8</v>
      </c>
      <c r="G9">
        <v>1</v>
      </c>
      <c r="H9" t="s">
        <v>1061</v>
      </c>
      <c r="I9" t="s">
        <v>1061</v>
      </c>
      <c r="J9" t="s">
        <v>1061</v>
      </c>
      <c r="K9" t="s">
        <v>1063</v>
      </c>
    </row>
    <row r="10" spans="1:11" hidden="1" x14ac:dyDescent="0.3">
      <c r="A10">
        <v>1082</v>
      </c>
      <c r="B10" t="s">
        <v>1037</v>
      </c>
      <c r="C10" s="98" t="s">
        <v>908</v>
      </c>
      <c r="D10" t="s">
        <v>1038</v>
      </c>
      <c r="E10">
        <v>7</v>
      </c>
      <c r="F10">
        <v>8</v>
      </c>
      <c r="G10">
        <v>1</v>
      </c>
      <c r="H10" t="s">
        <v>1061</v>
      </c>
      <c r="I10" t="s">
        <v>1061</v>
      </c>
      <c r="J10" t="s">
        <v>1061</v>
      </c>
      <c r="K10" t="s">
        <v>1063</v>
      </c>
    </row>
    <row r="11" spans="1:11" hidden="1" x14ac:dyDescent="0.3">
      <c r="A11">
        <v>1081</v>
      </c>
      <c r="B11" t="s">
        <v>1036</v>
      </c>
      <c r="C11" s="98" t="s">
        <v>906</v>
      </c>
      <c r="D11" t="s">
        <v>764</v>
      </c>
      <c r="E11">
        <v>7</v>
      </c>
      <c r="F11">
        <v>8</v>
      </c>
      <c r="G11">
        <v>1</v>
      </c>
      <c r="H11" t="s">
        <v>1061</v>
      </c>
      <c r="I11" t="s">
        <v>1061</v>
      </c>
      <c r="J11" t="s">
        <v>1061</v>
      </c>
      <c r="K11" t="s">
        <v>1063</v>
      </c>
    </row>
    <row r="12" spans="1:11" hidden="1" x14ac:dyDescent="0.3">
      <c r="A12">
        <v>1053</v>
      </c>
      <c r="B12" t="s">
        <v>981</v>
      </c>
      <c r="C12" s="98" t="s">
        <v>873</v>
      </c>
      <c r="D12" t="s">
        <v>982</v>
      </c>
      <c r="E12">
        <v>7</v>
      </c>
      <c r="F12">
        <v>8</v>
      </c>
      <c r="G12">
        <v>1</v>
      </c>
      <c r="H12" t="s">
        <v>1061</v>
      </c>
      <c r="I12" t="s">
        <v>1061</v>
      </c>
      <c r="J12" t="s">
        <v>1061</v>
      </c>
      <c r="K12" t="s">
        <v>1063</v>
      </c>
    </row>
    <row r="13" spans="1:11" hidden="1" x14ac:dyDescent="0.3">
      <c r="A13">
        <v>1054</v>
      </c>
      <c r="B13" t="s">
        <v>983</v>
      </c>
      <c r="C13" s="98" t="s">
        <v>874</v>
      </c>
      <c r="D13" t="s">
        <v>984</v>
      </c>
      <c r="E13">
        <v>7</v>
      </c>
      <c r="F13">
        <v>8</v>
      </c>
      <c r="G13">
        <v>2</v>
      </c>
      <c r="H13" t="s">
        <v>1061</v>
      </c>
      <c r="I13" t="s">
        <v>1061</v>
      </c>
      <c r="J13" t="s">
        <v>1061</v>
      </c>
      <c r="K13" t="s">
        <v>1063</v>
      </c>
    </row>
    <row r="14" spans="1:11" hidden="1" x14ac:dyDescent="0.3">
      <c r="A14">
        <v>1064</v>
      </c>
      <c r="B14" t="s">
        <v>1003</v>
      </c>
      <c r="C14" s="98" t="s">
        <v>885</v>
      </c>
      <c r="D14" t="s">
        <v>1004</v>
      </c>
      <c r="E14">
        <v>7</v>
      </c>
      <c r="F14">
        <v>8</v>
      </c>
      <c r="G14">
        <v>1</v>
      </c>
      <c r="H14" t="s">
        <v>1061</v>
      </c>
      <c r="I14" t="s">
        <v>1061</v>
      </c>
      <c r="J14" t="s">
        <v>1061</v>
      </c>
      <c r="K14" t="s">
        <v>1063</v>
      </c>
    </row>
    <row r="15" spans="1:11" hidden="1" x14ac:dyDescent="0.3">
      <c r="A15">
        <v>1080</v>
      </c>
      <c r="B15" t="s">
        <v>1035</v>
      </c>
      <c r="C15" s="98" t="s">
        <v>905</v>
      </c>
      <c r="D15" t="s">
        <v>697</v>
      </c>
      <c r="E15">
        <v>7</v>
      </c>
      <c r="F15">
        <v>8</v>
      </c>
      <c r="G15">
        <v>3</v>
      </c>
      <c r="H15" t="s">
        <v>1061</v>
      </c>
      <c r="I15" t="s">
        <v>1061</v>
      </c>
      <c r="J15" t="s">
        <v>1061</v>
      </c>
      <c r="K15" t="s">
        <v>1063</v>
      </c>
    </row>
    <row r="16" spans="1:11" hidden="1" x14ac:dyDescent="0.3">
      <c r="A16">
        <v>1048</v>
      </c>
      <c r="B16" t="s">
        <v>975</v>
      </c>
      <c r="C16" s="98" t="s">
        <v>203</v>
      </c>
      <c r="D16" t="s">
        <v>482</v>
      </c>
      <c r="E16">
        <v>25</v>
      </c>
      <c r="F16">
        <v>8</v>
      </c>
      <c r="G16">
        <v>2</v>
      </c>
      <c r="H16" t="s">
        <v>1061</v>
      </c>
      <c r="I16" t="s">
        <v>1061</v>
      </c>
      <c r="J16" t="s">
        <v>1061</v>
      </c>
      <c r="K16" t="s">
        <v>1063</v>
      </c>
    </row>
    <row r="17" spans="1:11" hidden="1" x14ac:dyDescent="0.3">
      <c r="A17">
        <v>1083</v>
      </c>
      <c r="B17" t="s">
        <v>1039</v>
      </c>
      <c r="C17" s="98" t="s">
        <v>926</v>
      </c>
      <c r="D17" t="s">
        <v>679</v>
      </c>
      <c r="E17">
        <v>7</v>
      </c>
      <c r="F17">
        <v>8</v>
      </c>
      <c r="G17">
        <v>2</v>
      </c>
      <c r="H17" t="s">
        <v>1061</v>
      </c>
      <c r="I17" t="s">
        <v>1061</v>
      </c>
      <c r="J17" t="s">
        <v>1061</v>
      </c>
      <c r="K17" t="s">
        <v>1063</v>
      </c>
    </row>
    <row r="18" spans="1:11" hidden="1" x14ac:dyDescent="0.3">
      <c r="A18">
        <v>1056</v>
      </c>
      <c r="B18" t="s">
        <v>987</v>
      </c>
      <c r="C18" s="98" t="s">
        <v>876</v>
      </c>
      <c r="D18" t="s">
        <v>988</v>
      </c>
      <c r="E18">
        <v>7</v>
      </c>
      <c r="F18">
        <v>8</v>
      </c>
      <c r="G18">
        <v>2</v>
      </c>
      <c r="H18" t="s">
        <v>1061</v>
      </c>
      <c r="I18" t="s">
        <v>1061</v>
      </c>
      <c r="J18" t="s">
        <v>1061</v>
      </c>
      <c r="K18" t="s">
        <v>1063</v>
      </c>
    </row>
    <row r="19" spans="1:11" hidden="1" x14ac:dyDescent="0.3">
      <c r="A19">
        <v>1092</v>
      </c>
      <c r="B19" t="s">
        <v>1054</v>
      </c>
      <c r="C19" s="98" t="s">
        <v>96</v>
      </c>
      <c r="D19" t="s">
        <v>1055</v>
      </c>
      <c r="E19">
        <v>7</v>
      </c>
      <c r="F19">
        <v>9</v>
      </c>
      <c r="G19">
        <v>1</v>
      </c>
      <c r="H19" t="s">
        <v>1061</v>
      </c>
      <c r="I19" t="s">
        <v>1061</v>
      </c>
      <c r="J19" t="s">
        <v>1061</v>
      </c>
      <c r="K19" t="s">
        <v>1063</v>
      </c>
    </row>
    <row r="20" spans="1:11" hidden="1" x14ac:dyDescent="0.3">
      <c r="A20">
        <v>1047</v>
      </c>
      <c r="B20" t="s">
        <v>974</v>
      </c>
      <c r="C20" s="98" t="s">
        <v>172</v>
      </c>
      <c r="D20" t="s">
        <v>269</v>
      </c>
      <c r="E20">
        <v>7</v>
      </c>
      <c r="F20">
        <v>8</v>
      </c>
      <c r="G20">
        <v>2</v>
      </c>
      <c r="H20" t="s">
        <v>1061</v>
      </c>
      <c r="I20" t="s">
        <v>1061</v>
      </c>
      <c r="J20" t="s">
        <v>1061</v>
      </c>
      <c r="K20" t="s">
        <v>1063</v>
      </c>
    </row>
    <row r="21" spans="1:11" hidden="1" x14ac:dyDescent="0.3">
      <c r="A21">
        <v>1075</v>
      </c>
      <c r="B21" t="s">
        <v>1025</v>
      </c>
      <c r="C21" s="98" t="s">
        <v>899</v>
      </c>
      <c r="D21" t="s">
        <v>1026</v>
      </c>
      <c r="E21">
        <v>7</v>
      </c>
      <c r="F21">
        <v>8</v>
      </c>
      <c r="G21">
        <v>1</v>
      </c>
      <c r="H21" t="s">
        <v>1061</v>
      </c>
      <c r="I21" t="s">
        <v>1061</v>
      </c>
      <c r="J21" t="s">
        <v>1061</v>
      </c>
      <c r="K21" t="s">
        <v>1063</v>
      </c>
    </row>
    <row r="22" spans="1:11" hidden="1" x14ac:dyDescent="0.3">
      <c r="A22">
        <v>1073</v>
      </c>
      <c r="B22" t="s">
        <v>1021</v>
      </c>
      <c r="C22" s="98" t="s">
        <v>896</v>
      </c>
      <c r="D22" t="s">
        <v>1022</v>
      </c>
      <c r="E22">
        <v>7</v>
      </c>
      <c r="F22">
        <v>8</v>
      </c>
      <c r="G22">
        <v>2</v>
      </c>
      <c r="H22" t="s">
        <v>1061</v>
      </c>
      <c r="I22" t="s">
        <v>1061</v>
      </c>
      <c r="J22" t="s">
        <v>1061</v>
      </c>
      <c r="K22" t="s">
        <v>1063</v>
      </c>
    </row>
    <row r="23" spans="1:11" hidden="1" x14ac:dyDescent="0.3">
      <c r="A23">
        <v>1069</v>
      </c>
      <c r="B23" t="s">
        <v>1013</v>
      </c>
      <c r="C23" s="98" t="s">
        <v>891</v>
      </c>
      <c r="D23" t="s">
        <v>1014</v>
      </c>
      <c r="E23">
        <v>7</v>
      </c>
      <c r="F23">
        <v>8</v>
      </c>
      <c r="G23">
        <v>1</v>
      </c>
      <c r="H23" t="s">
        <v>1061</v>
      </c>
      <c r="I23" t="s">
        <v>1061</v>
      </c>
      <c r="J23" t="s">
        <v>1061</v>
      </c>
      <c r="K23" t="s">
        <v>1063</v>
      </c>
    </row>
    <row r="24" spans="1:11" hidden="1" x14ac:dyDescent="0.3">
      <c r="A24">
        <v>1067</v>
      </c>
      <c r="B24" t="s">
        <v>1009</v>
      </c>
      <c r="C24" s="98" t="s">
        <v>889</v>
      </c>
      <c r="D24" t="s">
        <v>1010</v>
      </c>
      <c r="E24">
        <v>7</v>
      </c>
      <c r="F24">
        <v>8</v>
      </c>
      <c r="G24">
        <v>3</v>
      </c>
      <c r="H24" t="s">
        <v>1061</v>
      </c>
      <c r="I24" t="s">
        <v>1061</v>
      </c>
      <c r="J24" t="s">
        <v>1061</v>
      </c>
      <c r="K24" t="s">
        <v>1063</v>
      </c>
    </row>
    <row r="25" spans="1:11" hidden="1" x14ac:dyDescent="0.3">
      <c r="A25">
        <v>1089</v>
      </c>
      <c r="B25" t="s">
        <v>1049</v>
      </c>
      <c r="C25" s="98" t="s">
        <v>969</v>
      </c>
      <c r="D25" t="s">
        <v>1050</v>
      </c>
      <c r="E25">
        <v>7</v>
      </c>
      <c r="F25">
        <v>8</v>
      </c>
      <c r="G25">
        <v>1</v>
      </c>
      <c r="H25" t="s">
        <v>1061</v>
      </c>
      <c r="I25" t="s">
        <v>1061</v>
      </c>
      <c r="J25" t="s">
        <v>1061</v>
      </c>
      <c r="K25" t="s">
        <v>1063</v>
      </c>
    </row>
    <row r="26" spans="1:11" hidden="1" x14ac:dyDescent="0.3">
      <c r="A26">
        <v>1068</v>
      </c>
      <c r="B26" t="s">
        <v>1011</v>
      </c>
      <c r="C26" s="98" t="s">
        <v>890</v>
      </c>
      <c r="D26" t="s">
        <v>1012</v>
      </c>
      <c r="E26">
        <v>7</v>
      </c>
      <c r="F26">
        <v>8</v>
      </c>
      <c r="G26">
        <v>3</v>
      </c>
      <c r="H26" t="s">
        <v>1061</v>
      </c>
      <c r="I26" t="s">
        <v>1061</v>
      </c>
      <c r="J26" t="s">
        <v>1061</v>
      </c>
      <c r="K26" t="s">
        <v>1063</v>
      </c>
    </row>
    <row r="27" spans="1:11" hidden="1" x14ac:dyDescent="0.3">
      <c r="A27">
        <v>1046</v>
      </c>
      <c r="B27" t="s">
        <v>972</v>
      </c>
      <c r="C27" s="98" t="s">
        <v>150</v>
      </c>
      <c r="D27" t="s">
        <v>973</v>
      </c>
      <c r="E27">
        <v>7</v>
      </c>
      <c r="F27">
        <v>8</v>
      </c>
      <c r="G27">
        <v>1</v>
      </c>
      <c r="H27" t="s">
        <v>1061</v>
      </c>
      <c r="I27" t="s">
        <v>1061</v>
      </c>
      <c r="J27" t="s">
        <v>1061</v>
      </c>
      <c r="K27" t="s">
        <v>1063</v>
      </c>
    </row>
    <row r="28" spans="1:11" hidden="1" x14ac:dyDescent="0.3">
      <c r="A28">
        <v>1070</v>
      </c>
      <c r="B28" t="s">
        <v>1015</v>
      </c>
      <c r="C28" s="98" t="s">
        <v>893</v>
      </c>
      <c r="D28" t="s">
        <v>1016</v>
      </c>
      <c r="E28">
        <v>7</v>
      </c>
      <c r="F28">
        <v>8</v>
      </c>
      <c r="G28">
        <v>1</v>
      </c>
      <c r="H28" t="s">
        <v>1061</v>
      </c>
      <c r="I28" t="s">
        <v>1061</v>
      </c>
      <c r="J28" t="s">
        <v>1061</v>
      </c>
      <c r="K28" t="s">
        <v>1063</v>
      </c>
    </row>
    <row r="29" spans="1:11" hidden="1" x14ac:dyDescent="0.3">
      <c r="A29">
        <v>1088</v>
      </c>
      <c r="B29" t="s">
        <v>1047</v>
      </c>
      <c r="C29" s="98" t="s">
        <v>964</v>
      </c>
      <c r="D29" t="s">
        <v>1048</v>
      </c>
      <c r="E29">
        <v>25</v>
      </c>
      <c r="F29">
        <v>8</v>
      </c>
      <c r="G29">
        <v>3</v>
      </c>
      <c r="H29" t="s">
        <v>1061</v>
      </c>
      <c r="I29" t="s">
        <v>1061</v>
      </c>
      <c r="J29" t="s">
        <v>1061</v>
      </c>
      <c r="K29" t="s">
        <v>1063</v>
      </c>
    </row>
    <row r="30" spans="1:11" hidden="1" x14ac:dyDescent="0.3">
      <c r="A30">
        <v>1058</v>
      </c>
      <c r="B30" t="s">
        <v>991</v>
      </c>
      <c r="C30" s="98" t="s">
        <v>879</v>
      </c>
      <c r="D30" t="s">
        <v>992</v>
      </c>
      <c r="E30">
        <v>7</v>
      </c>
      <c r="F30">
        <v>8</v>
      </c>
      <c r="G30">
        <v>2</v>
      </c>
      <c r="H30" t="s">
        <v>1061</v>
      </c>
      <c r="I30" t="s">
        <v>1061</v>
      </c>
      <c r="J30" t="s">
        <v>1061</v>
      </c>
      <c r="K30" t="s">
        <v>1063</v>
      </c>
    </row>
    <row r="31" spans="1:11" hidden="1" x14ac:dyDescent="0.3">
      <c r="A31">
        <v>1087</v>
      </c>
      <c r="B31" t="s">
        <v>1046</v>
      </c>
      <c r="C31" s="98" t="s">
        <v>963</v>
      </c>
      <c r="D31" t="s">
        <v>758</v>
      </c>
      <c r="E31">
        <v>7</v>
      </c>
      <c r="F31">
        <v>8</v>
      </c>
      <c r="G31">
        <v>2</v>
      </c>
      <c r="H31" t="s">
        <v>1061</v>
      </c>
      <c r="I31" t="s">
        <v>1061</v>
      </c>
      <c r="J31" t="s">
        <v>1061</v>
      </c>
      <c r="K31" t="s">
        <v>1063</v>
      </c>
    </row>
    <row r="32" spans="1:11" hidden="1" x14ac:dyDescent="0.3">
      <c r="A32">
        <v>1086</v>
      </c>
      <c r="B32" t="s">
        <v>1044</v>
      </c>
      <c r="C32" s="98" t="s">
        <v>962</v>
      </c>
      <c r="D32" t="s">
        <v>1045</v>
      </c>
      <c r="E32">
        <v>7</v>
      </c>
      <c r="F32">
        <v>8</v>
      </c>
      <c r="G32">
        <v>2</v>
      </c>
      <c r="H32" t="s">
        <v>1061</v>
      </c>
      <c r="I32" t="s">
        <v>1061</v>
      </c>
      <c r="J32" t="s">
        <v>1061</v>
      </c>
      <c r="K32" t="s">
        <v>1063</v>
      </c>
    </row>
    <row r="33" spans="1:11" hidden="1" x14ac:dyDescent="0.3">
      <c r="A33">
        <v>1061</v>
      </c>
      <c r="B33" t="s">
        <v>997</v>
      </c>
      <c r="C33" s="98" t="s">
        <v>883</v>
      </c>
      <c r="D33" t="s">
        <v>998</v>
      </c>
      <c r="E33">
        <v>7</v>
      </c>
      <c r="F33">
        <v>8</v>
      </c>
      <c r="G33">
        <v>4</v>
      </c>
      <c r="H33" t="s">
        <v>1061</v>
      </c>
      <c r="I33" t="s">
        <v>1061</v>
      </c>
      <c r="J33" t="s">
        <v>1061</v>
      </c>
      <c r="K33" t="s">
        <v>1063</v>
      </c>
    </row>
    <row r="34" spans="1:11" hidden="1" x14ac:dyDescent="0.3">
      <c r="A34">
        <v>1063</v>
      </c>
      <c r="B34" t="s">
        <v>1001</v>
      </c>
      <c r="C34" s="98" t="s">
        <v>909</v>
      </c>
      <c r="D34" t="s">
        <v>1002</v>
      </c>
      <c r="E34">
        <v>7</v>
      </c>
      <c r="F34">
        <v>8</v>
      </c>
      <c r="G34">
        <v>3</v>
      </c>
      <c r="H34" t="s">
        <v>1061</v>
      </c>
      <c r="I34" t="s">
        <v>1061</v>
      </c>
      <c r="J34" t="s">
        <v>1061</v>
      </c>
      <c r="K34" t="s">
        <v>1063</v>
      </c>
    </row>
    <row r="35" spans="1:11" hidden="1" x14ac:dyDescent="0.3">
      <c r="A35">
        <v>1055</v>
      </c>
      <c r="B35" t="s">
        <v>985</v>
      </c>
      <c r="C35" s="98" t="s">
        <v>875</v>
      </c>
      <c r="D35" t="s">
        <v>986</v>
      </c>
      <c r="E35">
        <v>7</v>
      </c>
      <c r="F35">
        <v>8</v>
      </c>
      <c r="G35">
        <v>1</v>
      </c>
      <c r="H35" t="s">
        <v>1061</v>
      </c>
      <c r="I35" t="s">
        <v>1061</v>
      </c>
      <c r="J35" t="s">
        <v>1061</v>
      </c>
      <c r="K35" t="s">
        <v>1063</v>
      </c>
    </row>
    <row r="36" spans="1:11" hidden="1" x14ac:dyDescent="0.3">
      <c r="A36">
        <v>1085</v>
      </c>
      <c r="B36" t="s">
        <v>1042</v>
      </c>
      <c r="C36" s="98" t="s">
        <v>934</v>
      </c>
      <c r="D36" t="s">
        <v>1043</v>
      </c>
      <c r="E36">
        <v>7</v>
      </c>
      <c r="F36">
        <v>8</v>
      </c>
      <c r="G36">
        <v>1</v>
      </c>
      <c r="H36" t="s">
        <v>1061</v>
      </c>
      <c r="I36" t="s">
        <v>1061</v>
      </c>
      <c r="J36" t="s">
        <v>1061</v>
      </c>
      <c r="K36" t="s">
        <v>1063</v>
      </c>
    </row>
    <row r="37" spans="1:11" hidden="1" x14ac:dyDescent="0.3">
      <c r="A37">
        <v>1084</v>
      </c>
      <c r="B37" t="s">
        <v>1040</v>
      </c>
      <c r="C37" s="98" t="s">
        <v>929</v>
      </c>
      <c r="D37" t="s">
        <v>1041</v>
      </c>
      <c r="E37">
        <v>7</v>
      </c>
      <c r="F37">
        <v>8</v>
      </c>
      <c r="G37">
        <v>1</v>
      </c>
      <c r="H37" t="s">
        <v>1061</v>
      </c>
      <c r="I37" t="s">
        <v>1061</v>
      </c>
      <c r="J37" t="s">
        <v>1061</v>
      </c>
      <c r="K37" t="s">
        <v>1063</v>
      </c>
    </row>
    <row r="38" spans="1:11" hidden="1" x14ac:dyDescent="0.3">
      <c r="A38">
        <v>1059</v>
      </c>
      <c r="B38" t="s">
        <v>993</v>
      </c>
      <c r="C38" s="98" t="s">
        <v>881</v>
      </c>
      <c r="D38" t="s">
        <v>994</v>
      </c>
      <c r="E38">
        <v>7</v>
      </c>
      <c r="F38">
        <v>8</v>
      </c>
      <c r="G38">
        <v>2</v>
      </c>
      <c r="H38" t="s">
        <v>1061</v>
      </c>
      <c r="I38" t="s">
        <v>1061</v>
      </c>
      <c r="J38" t="s">
        <v>1061</v>
      </c>
      <c r="K38" t="s">
        <v>1063</v>
      </c>
    </row>
    <row r="39" spans="1:11" hidden="1" x14ac:dyDescent="0.3">
      <c r="A39">
        <v>1076</v>
      </c>
      <c r="B39" t="s">
        <v>1027</v>
      </c>
      <c r="C39" s="98" t="s">
        <v>901</v>
      </c>
      <c r="D39" t="s">
        <v>1028</v>
      </c>
      <c r="E39">
        <v>7</v>
      </c>
      <c r="F39">
        <v>8</v>
      </c>
      <c r="G39">
        <v>4</v>
      </c>
      <c r="H39" t="s">
        <v>1061</v>
      </c>
      <c r="I39" t="s">
        <v>1061</v>
      </c>
      <c r="J39" t="s">
        <v>1061</v>
      </c>
      <c r="K39" t="s">
        <v>1063</v>
      </c>
    </row>
    <row r="40" spans="1:11" hidden="1" x14ac:dyDescent="0.3">
      <c r="A40">
        <v>1071</v>
      </c>
      <c r="B40" t="s">
        <v>1017</v>
      </c>
      <c r="C40" s="98" t="s">
        <v>894</v>
      </c>
      <c r="D40" t="s">
        <v>1018</v>
      </c>
      <c r="E40">
        <v>7</v>
      </c>
      <c r="F40">
        <v>8</v>
      </c>
      <c r="G40">
        <v>1</v>
      </c>
      <c r="H40" t="s">
        <v>1061</v>
      </c>
      <c r="I40" t="s">
        <v>1061</v>
      </c>
      <c r="J40" t="s">
        <v>1061</v>
      </c>
      <c r="K40" t="s">
        <v>1063</v>
      </c>
    </row>
    <row r="41" spans="1:11" hidden="1" x14ac:dyDescent="0.3">
      <c r="A41">
        <v>1062</v>
      </c>
      <c r="B41" t="s">
        <v>999</v>
      </c>
      <c r="C41" s="98" t="s">
        <v>884</v>
      </c>
      <c r="D41" t="s">
        <v>1000</v>
      </c>
      <c r="E41">
        <v>7</v>
      </c>
      <c r="F41">
        <v>8</v>
      </c>
      <c r="G41">
        <v>2</v>
      </c>
      <c r="H41" t="s">
        <v>1061</v>
      </c>
      <c r="I41" t="s">
        <v>1061</v>
      </c>
      <c r="J41" t="s">
        <v>1061</v>
      </c>
      <c r="K41" t="s">
        <v>1063</v>
      </c>
    </row>
    <row r="42" spans="1:11" hidden="1" x14ac:dyDescent="0.3">
      <c r="A42">
        <v>1057</v>
      </c>
      <c r="B42" t="s">
        <v>989</v>
      </c>
      <c r="C42" s="98" t="s">
        <v>877</v>
      </c>
      <c r="D42" t="s">
        <v>990</v>
      </c>
      <c r="E42">
        <v>7</v>
      </c>
      <c r="F42">
        <v>8</v>
      </c>
      <c r="G42">
        <v>2</v>
      </c>
      <c r="H42" t="s">
        <v>1061</v>
      </c>
      <c r="I42" t="s">
        <v>1061</v>
      </c>
      <c r="J42" t="s">
        <v>1061</v>
      </c>
      <c r="K42" t="s">
        <v>1063</v>
      </c>
    </row>
    <row r="43" spans="1:11" hidden="1" x14ac:dyDescent="0.3">
      <c r="A43">
        <v>1051</v>
      </c>
      <c r="B43" t="s">
        <v>978</v>
      </c>
      <c r="C43" s="98" t="s">
        <v>231</v>
      </c>
      <c r="D43" t="s">
        <v>960</v>
      </c>
      <c r="E43">
        <v>7</v>
      </c>
      <c r="F43">
        <v>8</v>
      </c>
      <c r="G43">
        <v>6</v>
      </c>
      <c r="H43" t="s">
        <v>1061</v>
      </c>
      <c r="I43" t="s">
        <v>1061</v>
      </c>
      <c r="J43" t="s">
        <v>1061</v>
      </c>
      <c r="K43" t="s">
        <v>1063</v>
      </c>
    </row>
    <row r="44" spans="1:11" hidden="1" x14ac:dyDescent="0.3">
      <c r="A44">
        <v>1049</v>
      </c>
      <c r="B44" t="s">
        <v>976</v>
      </c>
      <c r="C44" s="98" t="s">
        <v>211</v>
      </c>
      <c r="D44" t="s">
        <v>496</v>
      </c>
      <c r="E44">
        <v>25</v>
      </c>
      <c r="F44">
        <v>8</v>
      </c>
      <c r="G44">
        <v>1</v>
      </c>
      <c r="H44" t="s">
        <v>1061</v>
      </c>
      <c r="I44" t="s">
        <v>1061</v>
      </c>
      <c r="J44" t="s">
        <v>1061</v>
      </c>
      <c r="K44" t="s">
        <v>1063</v>
      </c>
    </row>
    <row r="45" spans="1:11" hidden="1" x14ac:dyDescent="0.3">
      <c r="A45">
        <v>1078</v>
      </c>
      <c r="B45" t="s">
        <v>1031</v>
      </c>
      <c r="C45" s="98" t="s">
        <v>903</v>
      </c>
      <c r="D45" t="s">
        <v>1032</v>
      </c>
      <c r="E45">
        <v>7</v>
      </c>
      <c r="F45">
        <v>8</v>
      </c>
      <c r="G45">
        <v>1</v>
      </c>
      <c r="H45" t="s">
        <v>1061</v>
      </c>
      <c r="I45" t="s">
        <v>1061</v>
      </c>
      <c r="J45" t="s">
        <v>1061</v>
      </c>
      <c r="K45" t="s">
        <v>1063</v>
      </c>
    </row>
    <row r="46" spans="1:11" hidden="1" x14ac:dyDescent="0.3">
      <c r="A46">
        <v>1045</v>
      </c>
      <c r="B46" t="s">
        <v>971</v>
      </c>
      <c r="C46" s="98" t="s">
        <v>106</v>
      </c>
      <c r="D46" t="s">
        <v>629</v>
      </c>
      <c r="E46">
        <v>7</v>
      </c>
      <c r="F46">
        <v>8</v>
      </c>
      <c r="G46">
        <v>1</v>
      </c>
      <c r="H46" t="s">
        <v>1061</v>
      </c>
      <c r="I46" t="s">
        <v>1061</v>
      </c>
      <c r="J46" t="s">
        <v>1061</v>
      </c>
      <c r="K46" t="s">
        <v>1063</v>
      </c>
    </row>
    <row r="47" spans="1:11" hidden="1" x14ac:dyDescent="0.3">
      <c r="A47">
        <v>1074</v>
      </c>
      <c r="B47" t="s">
        <v>1023</v>
      </c>
      <c r="C47" s="98" t="s">
        <v>897</v>
      </c>
      <c r="D47" t="s">
        <v>1024</v>
      </c>
      <c r="E47">
        <v>7</v>
      </c>
      <c r="F47">
        <v>8</v>
      </c>
      <c r="G47">
        <v>2</v>
      </c>
      <c r="H47" t="s">
        <v>1061</v>
      </c>
      <c r="I47" t="s">
        <v>1061</v>
      </c>
      <c r="J47" t="s">
        <v>1061</v>
      </c>
      <c r="K47" t="s">
        <v>1063</v>
      </c>
    </row>
    <row r="48" spans="1:11" hidden="1" x14ac:dyDescent="0.3">
      <c r="A48">
        <v>1060</v>
      </c>
      <c r="B48" t="s">
        <v>995</v>
      </c>
      <c r="C48" s="98" t="s">
        <v>882</v>
      </c>
      <c r="D48" t="s">
        <v>996</v>
      </c>
      <c r="E48">
        <v>7</v>
      </c>
      <c r="F48">
        <v>8</v>
      </c>
      <c r="G48">
        <v>1</v>
      </c>
      <c r="H48" t="s">
        <v>1061</v>
      </c>
      <c r="I48" t="s">
        <v>1061</v>
      </c>
      <c r="J48" t="s">
        <v>1061</v>
      </c>
      <c r="K48" t="s">
        <v>1063</v>
      </c>
    </row>
    <row r="49" spans="1:11" hidden="1" x14ac:dyDescent="0.3">
      <c r="A49">
        <v>1066</v>
      </c>
      <c r="B49" t="s">
        <v>1007</v>
      </c>
      <c r="C49" s="98" t="s">
        <v>919</v>
      </c>
      <c r="D49" t="s">
        <v>1008</v>
      </c>
      <c r="E49">
        <v>7</v>
      </c>
      <c r="F49">
        <v>8</v>
      </c>
      <c r="G49">
        <v>1</v>
      </c>
      <c r="H49" t="s">
        <v>1061</v>
      </c>
      <c r="I49" t="s">
        <v>1061</v>
      </c>
      <c r="J49" t="s">
        <v>1061</v>
      </c>
      <c r="K49" t="s">
        <v>1063</v>
      </c>
    </row>
  </sheetData>
  <phoneticPr fontId="1" type="noConversion"/>
  <pageMargins left="0.7" right="0.7" top="0.75" bottom="0.75" header="0.3" footer="0.3"/>
  <pageSetup paperSize="9" scale="9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D63C70-88E7-48AB-95E6-4C565552D1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product_list</vt:lpstr>
      <vt:lpstr>vlookup</vt:lpstr>
      <vt:lpstr>H248ClipPosition</vt:lpstr>
      <vt:lpstr>H248_SC35H</vt:lpstr>
      <vt:lpstr>h248LL</vt:lpstr>
      <vt:lpstr>sa_mma_3</vt:lpstr>
      <vt:lpstr>pivot_sa_mma_3</vt:lpstr>
      <vt:lpstr>batchs</vt:lpstr>
      <vt:lpstr>х248 миссинг</vt:lpstr>
      <vt:lpstr>dispach 0302026</vt:lpstr>
      <vt:lpstr>dispach 29062026</vt:lpstr>
      <vt:lpstr>product_list (2)</vt:lpstr>
      <vt:lpstr>type_list</vt:lpstr>
      <vt:lpstr>price_offer_list</vt:lpstr>
      <vt:lpstr>color_list</vt:lpstr>
      <vt:lpstr>material_list</vt:lpstr>
      <vt:lpstr>product_projects</vt:lpstr>
      <vt:lpstr>product_families</vt:lpstr>
      <vt:lpstr>barcode</vt:lpstr>
      <vt:lpstr>sps calc</vt:lpstr>
      <vt:lpstr>Sheet3</vt:lpstr>
      <vt:lpstr>pch</vt:lpstr>
      <vt:lpstr>b1-6</vt:lpstr>
      <vt:lpstr>engine</vt:lpstr>
      <vt:lpstr>main15_view</vt:lpstr>
      <vt:lpstr>11 jb rest view</vt:lpstr>
      <vt:lpstr>engine 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DIMITROV</dc:creator>
  <cp:lastModifiedBy>EloparBG EloparBG</cp:lastModifiedBy>
  <cp:lastPrinted>2026-07-22T11:52:54Z</cp:lastPrinted>
  <dcterms:created xsi:type="dcterms:W3CDTF">2015-06-05T18:17:20Z</dcterms:created>
  <dcterms:modified xsi:type="dcterms:W3CDTF">2026-07-22T13:35:50Z</dcterms:modified>
</cp:coreProperties>
</file>