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951EAFD9-2A4F-47CB-A8AD-758DD6F275A8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vlookup lhd" sheetId="39" r:id="rId2"/>
    <sheet name="rhd batch30" sheetId="48" r:id="rId3"/>
    <sheet name="batchs" sheetId="28" r:id="rId4"/>
    <sheet name="H248ClipPosition" sheetId="44" r:id="rId5"/>
    <sheet name="H248_SC35H" sheetId="45" r:id="rId6"/>
    <sheet name="h248SABoardsCCB" sheetId="47" r:id="rId7"/>
    <sheet name="h248LL" sheetId="43" r:id="rId8"/>
    <sheet name="h248RL" sheetId="49" r:id="rId9"/>
    <sheet name="sa_mma_3" sheetId="41" r:id="rId10"/>
    <sheet name="pivot_sa_mma_3" sheetId="42" r:id="rId11"/>
    <sheet name="type_list" sheetId="4" r:id="rId12"/>
    <sheet name="price_offer_list" sheetId="3" r:id="rId13"/>
    <sheet name="color_list" sheetId="2" r:id="rId14"/>
    <sheet name="material_list" sheetId="5" r:id="rId15"/>
    <sheet name="dn" sheetId="46" r:id="rId16"/>
    <sheet name="product_projects" sheetId="15" r:id="rId17"/>
    <sheet name="product_families" sheetId="16" r:id="rId18"/>
    <sheet name="barcode" sheetId="21" r:id="rId19"/>
    <sheet name="sps calc" sheetId="30" r:id="rId20"/>
    <sheet name="Sheet3" sheetId="31" r:id="rId21"/>
    <sheet name="pch" sheetId="9" r:id="rId22"/>
  </sheets>
  <definedNames>
    <definedName name="_xlnm._FilterDatabase" localSheetId="5" hidden="1">H248_SC35H!$C$2:$F$42</definedName>
    <definedName name="_xlnm._FilterDatabase" localSheetId="4" hidden="1">H248ClipPosition!$A$2:$D$31</definedName>
    <definedName name="_xlnm._FilterDatabase" localSheetId="1" hidden="1">'vlookup lhd'!$A$15:$M$151</definedName>
    <definedName name="defaultdb_barcode_scans" localSheetId="21" hidden="1">pch!#REF!</definedName>
    <definedName name="ExternalData_1" localSheetId="7" hidden="1">'h248LL'!$A$1:$K$88</definedName>
    <definedName name="ExternalData_1" localSheetId="8" hidden="1">h248RL!$A$1:$K$64</definedName>
    <definedName name="ExternalData_1" localSheetId="6" hidden="1">h248SABoardsCCB!$A$1:$K$69</definedName>
    <definedName name="Table18_1" localSheetId="21" hidden="1">pch!#REF!</definedName>
  </definedNames>
  <calcPr calcId="181029"/>
  <pivotCaches>
    <pivotCache cacheId="10" r:id="rId2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526" i="1" l="1"/>
  <c r="Y525" i="1"/>
  <c r="Y524" i="1"/>
  <c r="Y523" i="1"/>
  <c r="AA520" i="1"/>
  <c r="Y520" i="1" s="1"/>
  <c r="AA521" i="1"/>
  <c r="Y521" i="1" s="1"/>
  <c r="AA522" i="1"/>
  <c r="Y522" i="1" s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7" i="1"/>
  <c r="AA108" i="1"/>
  <c r="AA109" i="1"/>
  <c r="AA110" i="1"/>
  <c r="AA112" i="1"/>
  <c r="AA113" i="1"/>
  <c r="AA114" i="1"/>
  <c r="AA115" i="1"/>
  <c r="AA116" i="1"/>
  <c r="AA117" i="1"/>
  <c r="AA118" i="1"/>
  <c r="AA119" i="1"/>
  <c r="AA120" i="1"/>
  <c r="AA122" i="1"/>
  <c r="AA123" i="1"/>
  <c r="AA125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40" i="1"/>
  <c r="AA241" i="1"/>
  <c r="AA242" i="1"/>
  <c r="AA243" i="1"/>
  <c r="AA244" i="1"/>
  <c r="AA245" i="1"/>
  <c r="AA246" i="1"/>
  <c r="AA247" i="1"/>
  <c r="AA248" i="1"/>
  <c r="AA249" i="1"/>
  <c r="AA256" i="1"/>
  <c r="AA257" i="1"/>
  <c r="AA258" i="1"/>
  <c r="AA259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7" i="1"/>
  <c r="AA528" i="1"/>
  <c r="AA529" i="1"/>
  <c r="AA530" i="1"/>
  <c r="AA531" i="1"/>
  <c r="AA532" i="1"/>
  <c r="AA534" i="1"/>
  <c r="AA535" i="1"/>
  <c r="AA536" i="1"/>
  <c r="AA537" i="1"/>
  <c r="AA538" i="1"/>
  <c r="AA539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Y398" i="1" l="1"/>
  <c r="Y397" i="1"/>
  <c r="Y396" i="1"/>
  <c r="Y395" i="1"/>
  <c r="Y394" i="1"/>
  <c r="Y312" i="1"/>
  <c r="Y313" i="1"/>
  <c r="Y528" i="1" l="1"/>
  <c r="Y529" i="1"/>
  <c r="Y504" i="1" l="1"/>
  <c r="Y505" i="1"/>
  <c r="Y506" i="1"/>
  <c r="Y531" i="1"/>
  <c r="Y532" i="1"/>
  <c r="Y540" i="1" l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539" i="1"/>
  <c r="Y535" i="1" l="1"/>
  <c r="H135" i="39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7" i="1"/>
  <c r="Y530" i="1"/>
  <c r="Y533" i="1"/>
  <c r="Y534" i="1"/>
  <c r="Y2" i="1"/>
  <c r="H151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H150" i="39" l="1"/>
  <c r="H149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6" i="39"/>
  <c r="H17" i="39"/>
  <c r="H24" i="39"/>
  <c r="H23" i="39"/>
  <c r="H22" i="39"/>
  <c r="H21" i="39"/>
  <c r="H20" i="39"/>
  <c r="H19" i="39"/>
  <c r="H18" i="39"/>
  <c r="D2" i="39" l="1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4" xr16:uid="{4C6CF620-ED6B-4470-B940-EB050941FCD8}" keepAlive="1" name="Query - h248LL (2)" description="Connection to the 'h248LL (2)' query in the workbook." type="5" refreshedVersion="8" background="1" saveData="1">
    <dbPr connection="Provider=Microsoft.Mashup.OleDb.1;Data Source=$Workbook$;Location=&quot;h248LL (2)&quot;;Extended Properties=&quot;&quot;" command="SELECT * FROM [h248LL (2)]"/>
  </connection>
  <connection id="5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6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7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8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9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0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1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2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3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<sst xmlns="http://schemas.openxmlformats.org/spreadsheetml/2006/main" count="8258" uniqueCount="2039">
  <si>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</si>
  <si>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</si>
  <si>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</si>
  <si>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</si>
  <si>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</si>
  <si>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</si>
  <si>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</si>
  <si>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</si>
  <si>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</si>
  <si>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</si>
  <si>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</si>
  <si>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</si>
  <si>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</si>
  <si>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</si>
  <si>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</si>
  <si>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</si>
  <si>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</si>
  <si>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</si>
  <si>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</si>
  <si>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</si>
  <si>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</si>
  <si>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</si>
  <si>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</si>
  <si>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</si>
  <si>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</si>
  <si>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</si>
  <si>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</si>
  <si>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</si>
  <si>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</si>
  <si>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</si>
  <si>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</si>
  <si>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</si>
  <si>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</si>
  <si>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</si>
  <si>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</si>
  <si>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</si>
  <si>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</si>
  <si>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</si>
  <si>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</si>
  <si>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</si>
  <si>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</si>
  <si>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</si>
  <si>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</si>
  <si>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</si>
  <si>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</si>
  <si>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</si>
  <si>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</si>
  <si>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</si>
  <si>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</si>
  <si>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</si>
  <si>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</si>
  <si>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</si>
  <si>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</si>
  <si>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</si>
  <si>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</si>
  <si>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</si>
  <si>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</si>
  <si>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</si>
  <si>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</si>
  <si>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</si>
  <si>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</si>
  <si>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</si>
  <si>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</si>
  <si>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</si>
  <si>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</si>
  <si>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</si>
  <si>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</si>
  <si>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</si>
  <si>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</si>
  <si>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</si>
  <si>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</si>
  <si>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</si>
  <si>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</si>
  <si>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</si>
  <si>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</si>
  <si>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</si>
  <si>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</si>
  <si>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</si>
  <si>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</si>
  <si>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</si>
  <si>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</si>
  <si>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</si>
  <si>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</si>
  <si>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</si>
  <si>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</si>
  <si>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</si>
  <si>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</si>
  <si>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</si>
  <si>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</si>
  <si>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</si>
  <si>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</si>
  <si>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</si>
  <si>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</si>
  <si>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</si>
  <si>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</si>
  <si>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</si>
  <si>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</si>
  <si>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</si>
  <si>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</si>
  <si>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</si>
  <si>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</si>
  <si>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</si>
  <si>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</si>
  <si>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</si>
  <si>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</si>
  <si>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</si>
  <si>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</si>
  <si>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</si>
  <si>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</si>
  <si>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</si>
  <si>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</si>
  <si>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</si>
  <si>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</si>
  <si>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</si>
  <si>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</si>
  <si>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</si>
  <si>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</si>
  <si>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</si>
  <si>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</si>
  <si>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</si>
  <si>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</si>
  <si>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</si>
  <si>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</si>
  <si>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</si>
  <si>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</si>
  <si>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</si>
  <si>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</si>
  <si>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</si>
  <si>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</si>
  <si>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</si>
  <si>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</si>
  <si>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</si>
  <si>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</si>
  <si>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</si>
  <si>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</si>
  <si>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</si>
  <si>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</si>
  <si>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</si>
  <si>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</si>
  <si>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</si>
  <si>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</si>
  <si>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</si>
  <si>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</si>
  <si>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</si>
  <si>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</si>
  <si>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</si>
  <si>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</si>
  <si>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</si>
  <si>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</si>
  <si>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</si>
  <si>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</si>
  <si>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</si>
  <si>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</si>
  <si>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</si>
  <si>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</si>
  <si>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</si>
  <si>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</si>
  <si>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</si>
  <si>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</si>
  <si>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</si>
  <si>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</si>
  <si>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</si>
  <si>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</si>
  <si>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</si>
  <si>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</si>
  <si>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</si>
  <si>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</si>
  <si>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</si>
  <si>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</si>
  <si>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</si>
  <si>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</si>
  <si>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</si>
  <si>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</si>
  <si>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</si>
  <si>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</si>
  <si>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</si>
  <si>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</si>
  <si>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</si>
  <si>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</si>
  <si>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</si>
  <si>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</si>
  <si>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</si>
  <si>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</si>
  <si>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</si>
  <si>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</si>
  <si>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</si>
  <si>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</si>
  <si>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</si>
  <si>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</si>
  <si>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</si>
  <si>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</si>
  <si>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</si>
  <si>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</si>
  <si>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</si>
  <si>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</si>
  <si>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</si>
  <si>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</si>
  <si>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</si>
  <si>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</si>
  <si>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</si>
  <si>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</si>
  <si>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</si>
  <si>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</si>
  <si>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</si>
  <si>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</si>
  <si>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</si>
  <si>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</si>
  <si>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</si>
  <si>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</si>
  <si>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</si>
  <si>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</si>
  <si>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</si>
  <si>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</si>
  <si>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</si>
  <si>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</si>
  <si>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</si>
  <si>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</si>
  <si>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</si>
  <si>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</si>
  <si>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</si>
  <si>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</si>
  <si>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</si>
  <si>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</si>
  <si>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</si>
  <si>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</si>
  <si>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</si>
  <si>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</si>
  <si>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</si>
  <si>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</si>
  <si>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</si>
  <si>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</si>
  <si>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</si>
  <si>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</si>
  <si>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</si>
  <si>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</si>
  <si>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</si>
  <si>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</si>
  <si>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</si>
  <si>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</si>
  <si>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</si>
  <si>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</si>
  <si>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</si>
  <si>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</si>
  <si>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</si>
  <si>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</si>
  <si>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</si>
  <si>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</si>
  <si>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</si>
  <si>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</si>
  <si>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</si>
  <si>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</si>
  <si>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</si>
  <si>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</si>
  <si>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</si>
  <si>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</si>
  <si>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</si>
  <si>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</si>
  <si>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</si>
  <si>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</si>
  <si>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</si>
  <si>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</si>
  <si>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</si>
  <si>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</si>
  <si>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</si>
  <si>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</si>
  <si>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</si>
  <si>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</si>
  <si>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</si>
  <si>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</si>
  <si>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</si>
  <si>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</si>
  <si>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</si>
  <si>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</si>
  <si>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</si>
  <si>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</si>
  <si>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</si>
  <si>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family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</si>
  <si>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</si>
  <si>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</si>
  <si>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</si>
  <si>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</si>
  <si>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</si>
  <si>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</si>
  <si>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</si>
  <si>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</si>
  <si>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</si>
  <si>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</si>
  <si>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</si>
  <si>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</si>
  <si>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</si>
  <si>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</si>
  <si>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</si>
  <si>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</si>
  <si>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</si>
  <si>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</si>
  <si>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</si>
  <si>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</si>
  <si>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</si>
  <si>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</si>
  <si>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</si>
  <si>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</si>
  <si>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</si>
  <si>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</si>
  <si>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</si>
  <si>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</si>
  <si>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</si>
  <si>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</si>
  <si>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</si>
  <si>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</si>
  <si>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</si>
  <si>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</si>
  <si>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</si>
  <si>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</si>
  <si>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</si>
  <si>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</si>
  <si>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</si>
  <si>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</si>
  <si>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</si>
  <si>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</si>
  <si>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</si>
  <si>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</si>
  <si>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</si>
  <si>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</si>
  <si>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</si>
  <si>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</si>
  <si>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</si>
  <si>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</si>
  <si>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</si>
  <si>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</si>
  <si>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</si>
  <si>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</si>
  <si>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</si>
  <si>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</si>
  <si>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</si>
  <si>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</si>
  <si>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</si>
  <si>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</si>
  <si>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</si>
  <si>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</si>
  <si>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</si>
  <si>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</si>
  <si>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</si>
  <si>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</si>
  <si>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</si>
  <si>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</si>
  <si>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</si>
  <si>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</si>
  <si>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</si>
  <si>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</si>
  <si>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</si>
  <si>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</si>
  <si>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</si>
  <si>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</si>
  <si>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</si>
  <si>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</si>
  <si>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</si>
  <si>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</si>
  <si>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</si>
  <si>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</si>
  <si>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</si>
  <si>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</si>
  <si>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</si>
  <si>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</si>
  <si>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</si>
  <si>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</si>
  <si>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</si>
  <si>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</si>
  <si>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</si>
  <si>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</si>
  <si>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</si>
  <si>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</si>
  <si>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</si>
  <si>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</si>
  <si>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</si>
  <si>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</si>
  <si>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</si>
  <si>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</si>
  <si>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</si>
  <si>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</si>
  <si>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</si>
  <si>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</si>
  <si>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</si>
  <si>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</si>
  <si>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</si>
  <si>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</si>
  <si>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</si>
  <si>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</si>
  <si>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</si>
  <si>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</si>
  <si>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</si>
  <si>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</si>
  <si>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</si>
  <si>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</si>
  <si>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</si>
  <si>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</si>
  <si>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</si>
  <si>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</si>
  <si>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</si>
  <si>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</si>
  <si>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</si>
  <si>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</si>
  <si>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</si>
  <si>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</si>
  <si>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</si>
  <si>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</si>
  <si>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</si>
  <si>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</si>
  <si>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</si>
  <si>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</si>
  <si>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</si>
  <si>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</si>
  <si>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</si>
  <si>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</si>
  <si>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</si>
  <si>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</si>
  <si>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</si>
  <si>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</si>
  <si>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</si>
  <si>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</si>
  <si>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</si>
  <si>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</si>
  <si>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</si>
  <si>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</si>
  <si>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</si>
  <si>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</si>
  <si>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</si>
  <si>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</si>
  <si>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</si>
  <si>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</si>
  <si>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</si>
  <si>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</si>
  <si>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</si>
  <si>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</si>
  <si>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</si>
  <si>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</si>
  <si>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</si>
  <si>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</si>
  <si>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</si>
  <si>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</si>
  <si>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</si>
  <si>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</si>
  <si>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</si>
  <si>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</si>
  <si>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</si>
  <si>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</si>
  <si>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</si>
  <si>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</si>
  <si>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</si>
  <si>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</si>
  <si>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</si>
  <si>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</si>
  <si>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</si>
  <si>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</si>
  <si>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</si>
  <si>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</si>
  <si>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</si>
  <si>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</si>
  <si>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</si>
  <si>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</si>
  <si>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</si>
  <si>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</si>
  <si>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</si>
  <si>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</si>
  <si>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</si>
  <si>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</si>
  <si>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</si>
  <si>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</si>
  <si>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</si>
  <si>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</si>
  <si>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</si>
  <si>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</si>
  <si>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</si>
  <si>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</si>
  <si>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</si>
  <si>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</si>
  <si>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</si>
  <si>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</si>
  <si>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</si>
  <si>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</si>
  <si>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</si>
  <si>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</si>
  <si>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</si>
  <si>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</si>
  <si>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</si>
  <si>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</si>
  <si>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</si>
  <si>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</si>
  <si>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</si>
  <si>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</si>
  <si>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</si>
  <si>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</si>
  <si>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</si>
  <si>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</si>
  <si>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</si>
  <si>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</si>
  <si>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</si>
  <si>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</si>
  <si>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</si>
  <si>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</si>
  <si>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</si>
  <si>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</si>
  <si>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</si>
  <si>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</si>
  <si>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</si>
  <si>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</si>
  <si>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</si>
  <si>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</si>
  <si>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</si>
  <si>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</si>
  <si>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</si>
  <si>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</si>
  <si>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</si>
  <si>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</si>
  <si>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</si>
  <si>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</si>
  <si>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</si>
  <si>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</si>
  <si>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</si>
  <si>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</si>
  <si>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</si>
  <si>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</si>
  <si>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</si>
  <si>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</si>
  <si>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</si>
  <si>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</si>
  <si>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</si>
  <si>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</si>
  <si>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</si>
  <si>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</si>
  <si>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</si>
  <si>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</si>
  <si>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</si>
  <si>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</si>
  <si>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</si>
  <si>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</si>
  <si>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</si>
  <si>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</si>
  <si>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</si>
  <si>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</si>
  <si>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</si>
  <si>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</si>
  <si>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</si>
  <si>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</si>
  <si>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</si>
  <si>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</si>
  <si>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</si>
  <si>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</si>
  <si>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</si>
  <si>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</si>
  <si>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</si>
  <si>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</si>
  <si>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</si>
  <si>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</si>
  <si>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</si>
  <si>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</si>
  <si>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</si>
  <si>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</si>
  <si>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</si>
  <si>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</si>
  <si>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</si>
  <si>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</si>
  <si>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</si>
  <si>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</si>
  <si>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</si>
  <si>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</si>
  <si>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</si>
  <si>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</si>
  <si>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</si>
  <si>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</si>
  <si>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</si>
  <si>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</si>
  <si>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</si>
  <si>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</si>
  <si>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</si>
  <si>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</si>
  <si>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</si>
  <si>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</si>
  <si>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</si>
  <si>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</si>
  <si>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</si>
  <si>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</si>
  <si>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</si>
  <si>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</si>
  <si>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</si>
  <si>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</si>
  <si>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</si>
  <si>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</si>
  <si>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</si>
  <si>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</si>
  <si>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</si>
  <si>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</si>
  <si>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</si>
  <si>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</si>
  <si>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</si>
  <si>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</si>
  <si>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</si>
  <si>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</si>
  <si>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</si>
  <si>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</si>
  <si>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</si>
  <si>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</si>
  <si>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</si>
  <si>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</si>
  <si>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</si>
  <si>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</si>
  <si>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</si>
  <si>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</si>
  <si>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</si>
  <si>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</si>
  <si>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</si>
  <si>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</si>
  <si>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</si>
  <si>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</si>
  <si>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</si>
  <si>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</si>
  <si>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</si>
  <si>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</si>
  <si>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</si>
  <si>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</si>
  <si>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</si>
  <si>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</si>
  <si>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</si>
  <si>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</si>
  <si>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</si>
  <si>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</si>
  <si>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</si>
  <si>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</si>
  <si>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</si>
  <si>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</si>
  <si>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</si>
  <si>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</si>
  <si>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</si>
  <si>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</si>
  <si>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</si>
  <si>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</si>
  <si>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</si>
  <si>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</si>
  <si>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</si>
  <si>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</si>
  <si>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</si>
  <si>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</si>
  <si>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</si>
  <si>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</si>
  <si>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</si>
  <si>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</si>
  <si>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</si>
  <si>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</si>
  <si>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</si>
  <si>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</si>
  <si>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</si>
  <si>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</si>
  <si>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</si>
  <si>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</si>
  <si>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</si>
  <si>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</si>
  <si>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</si>
  <si>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</si>
  <si>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</si>
  <si>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</si>
  <si>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</si>
  <si>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</si>
  <si>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</si>
  <si>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</si>
  <si>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</si>
  <si>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</si>
  <si>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</si>
  <si>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</si>
  <si>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</si>
  <si>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</si>
  <si>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</si>
  <si>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</si>
  <si>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</si>
  <si>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</si>
  <si>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</si>
  <si>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</si>
  <si>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</si>
  <si>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</si>
  <si>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</si>
  <si>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</si>
  <si>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</si>
  <si>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</si>
  <si>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</si>
  <si>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</si>
  <si>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</si>
  <si>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</si>
  <si>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</si>
  <si>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</si>
  <si>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</si>
  <si>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</si>
  <si>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</si>
  <si>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</si>
  <si>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</si>
  <si>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</si>
  <si>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</si>
  <si>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</si>
  <si>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</si>
  <si>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</si>
  <si>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</si>
  <si>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</si>
  <si>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</si>
  <si>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</si>
  <si>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</si>
  <si>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</si>
  <si>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</si>
  <si>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</si>
  <si>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</si>
  <si>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</si>
  <si>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</si>
  <si>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</si>
  <si>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</si>
  <si>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</si>
  <si>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</si>
  <si>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</si>
  <si>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</si>
  <si>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</si>
  <si>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</si>
  <si>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</si>
  <si>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</si>
  <si>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</si>
  <si>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</si>
  <si>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</si>
  <si>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</si>
  <si>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</si>
  <si>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</si>
  <si>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</si>
  <si>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</si>
  <si>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</si>
  <si>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</si>
  <si>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</si>
  <si>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</si>
  <si>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</si>
  <si>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</si>
  <si>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</si>
  <si>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</si>
  <si>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</si>
  <si>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</si>
  <si>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</si>
  <si>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</si>
  <si>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</si>
  <si>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</si>
  <si>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</si>
  <si>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</si>
  <si>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</si>
  <si>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</si>
  <si>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</si>
  <si>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</si>
  <si>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</si>
  <si>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</si>
  <si>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</si>
  <si>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</si>
  <si>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</si>
  <si>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</si>
  <si>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</si>
  <si>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</si>
  <si>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</si>
  <si>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</si>
  <si>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</si>
  <si>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</si>
  <si>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</si>
  <si>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</si>
  <si>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</si>
  <si>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</si>
  <si>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</si>
  <si>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</si>
  <si>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</si>
  <si>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</si>
  <si>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</si>
  <si>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</si>
  <si>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</si>
  <si>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</si>
  <si>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</si>
  <si>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</si>
  <si>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</si>
  <si>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</si>
  <si>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</si>
  <si>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</si>
  <si>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</si>
  <si>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</si>
  <si>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</si>
  <si>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</si>
  <si>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</si>
  <si>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</si>
  <si>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</si>
  <si>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</si>
  <si>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</si>
  <si>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</si>
  <si>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</si>
  <si>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</si>
  <si>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</si>
  <si>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</si>
  <si>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</si>
  <si>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</si>
  <si>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</si>
  <si>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</si>
  <si>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</si>
  <si>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</si>
  <si>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</si>
  <si>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</si>
  <si>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</si>
  <si>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</si>
  <si>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</si>
  <si>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</si>
  <si>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</si>
  <si>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</si>
  <si>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</si>
  <si>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</si>
  <si>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</si>
  <si>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</si>
  <si>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</si>
  <si>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</si>
  <si>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</si>
  <si>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</si>
  <si>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</si>
  <si>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</si>
  <si>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</si>
  <si>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</si>
  <si>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</si>
  <si>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</si>
  <si>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</si>
  <si>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</si>
  <si>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</si>
  <si>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</si>
  <si>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</si>
  <si>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</si>
  <si>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</si>
  <si>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</si>
  <si>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</si>
  <si>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</si>
  <si>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</si>
  <si>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</si>
  <si>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</si>
  <si>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</si>
  <si>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</si>
  <si>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</si>
  <si>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</si>
  <si>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</si>
  <si>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</si>
  <si>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</si>
  <si>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</si>
  <si>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</si>
  <si>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</si>
  <si>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</si>
  <si>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</si>
  <si>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</si>
  <si>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</si>
  <si>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</si>
  <si>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</si>
  <si>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7298677930</t>
  </si>
  <si>
    <t>7298913330</t>
  </si>
  <si>
    <t>7298948930</t>
  </si>
  <si>
    <t>7298949030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</si>
  <si>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</si>
  <si>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</si>
  <si>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</si>
  <si>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</si>
  <si>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</si>
  <si>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</si>
  <si>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</si>
  <si>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</si>
  <si>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</si>
  <si>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</si>
  <si>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</si>
  <si>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</si>
  <si>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</si>
  <si>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</si>
  <si>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</si>
  <si>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</si>
  <si>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</si>
  <si>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</si>
  <si>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</si>
  <si>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</si>
  <si>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</si>
  <si>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</si>
  <si>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</si>
  <si>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</si>
  <si>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</si>
  <si>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</si>
  <si>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</si>
  <si>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</si>
  <si>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</si>
  <si>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</si>
  <si>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</si>
  <si>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</si>
  <si>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</si>
  <si>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</si>
  <si>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</si>
  <si>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</si>
  <si>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</si>
  <si>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</si>
  <si>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</si>
  <si>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</si>
  <si>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</si>
  <si>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</si>
  <si>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</si>
  <si>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</si>
  <si>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</si>
  <si>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</si>
  <si>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</si>
  <si>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</si>
  <si>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</si>
  <si>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</si>
  <si>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</si>
  <si>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</si>
  <si>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</si>
  <si>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</si>
  <si>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</si>
  <si>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</si>
  <si>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</si>
  <si>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</si>
  <si>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</si>
  <si>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</si>
  <si>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</si>
  <si>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</si>
  <si>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</si>
  <si>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</si>
  <si>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</si>
  <si>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</si>
  <si>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</si>
  <si>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</si>
  <si>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</si>
  <si>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</si>
  <si>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</si>
  <si>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</si>
  <si>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</si>
  <si>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</si>
  <si>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</si>
  <si>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</si>
  <si>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</si>
  <si>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</si>
  <si>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</si>
  <si>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</si>
  <si>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</si>
  <si>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</si>
  <si>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</si>
  <si>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</si>
  <si>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</si>
  <si>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</si>
  <si>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</si>
  <si>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</si>
  <si>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</si>
  <si>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</si>
  <si>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</si>
  <si>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</si>
  <si>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</si>
  <si>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</si>
  <si>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</si>
  <si>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</si>
  <si>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</si>
  <si>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</si>
  <si>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</si>
  <si>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</si>
  <si>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</si>
  <si>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</si>
  <si>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</si>
  <si>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</si>
  <si>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</si>
  <si>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</si>
  <si>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</si>
  <si>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</si>
  <si>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</si>
  <si>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</si>
  <si>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</si>
  <si>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</si>
  <si>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</si>
  <si>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</si>
  <si>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</si>
  <si>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</si>
  <si>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</si>
  <si>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</si>
  <si>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</si>
  <si>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</si>
  <si>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</si>
  <si>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</si>
  <si>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</si>
  <si>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</si>
  <si>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</si>
  <si>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</si>
  <si>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</si>
  <si>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</si>
  <si>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</si>
  <si>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</si>
  <si>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</si>
  <si>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</si>
  <si>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</si>
  <si>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</si>
  <si>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</si>
  <si>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</si>
  <si>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</si>
  <si>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</si>
  <si>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</si>
  <si>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</si>
  <si>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</si>
  <si>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</si>
  <si>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</si>
  <si>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</si>
  <si>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</si>
  <si>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</si>
  <si>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</si>
  <si>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</si>
  <si>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</si>
  <si>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</si>
  <si>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</si>
  <si>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</si>
  <si>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</si>
  <si>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</si>
  <si>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</si>
  <si>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</si>
  <si>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</si>
  <si>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</si>
  <si>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</si>
  <si>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</si>
  <si>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</si>
  <si>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</si>
  <si>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</si>
  <si>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</si>
  <si>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</si>
  <si>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</si>
  <si>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</si>
  <si>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</si>
  <si>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</si>
  <si>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</si>
  <si>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</si>
  <si>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</si>
  <si>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</si>
  <si>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</si>
  <si>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</si>
  <si>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</si>
  <si>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</si>
  <si>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</si>
  <si>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</si>
  <si>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</si>
  <si>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</si>
  <si>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</si>
  <si>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</si>
  <si>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</si>
  <si>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</si>
  <si>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</si>
  <si>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</si>
  <si>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</si>
  <si>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</si>
  <si>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</si>
  <si>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</si>
  <si>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</si>
  <si>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</si>
  <si>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</si>
  <si>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</si>
  <si>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</si>
  <si>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</si>
  <si>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</si>
  <si>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</si>
  <si>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</si>
  <si>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</si>
  <si>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</si>
  <si>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</si>
  <si>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</si>
  <si>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</si>
  <si>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</si>
  <si>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</si>
  <si>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</si>
  <si>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</si>
  <si>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</si>
  <si>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</si>
  <si>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</si>
  <si>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</si>
  <si>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</si>
  <si>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</si>
  <si>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</si>
  <si>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</si>
  <si>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</si>
  <si>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</si>
  <si>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</si>
  <si>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</si>
  <si>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</si>
  <si>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</si>
  <si>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</si>
  <si>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</si>
  <si>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</si>
  <si>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</si>
  <si>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</si>
  <si>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</si>
  <si>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</si>
  <si>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</si>
  <si>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</si>
  <si>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</si>
  <si>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</si>
  <si>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</si>
  <si>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</si>
  <si>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</si>
  <si>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</si>
  <si>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</si>
  <si>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</si>
  <si>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</si>
  <si>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</si>
  <si>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</si>
  <si>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</si>
  <si>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</si>
  <si>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</si>
  <si>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</si>
  <si>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</si>
  <si>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</si>
  <si>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</si>
  <si>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</si>
  <si>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</si>
  <si>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</si>
  <si>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</si>
  <si>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</si>
  <si>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</si>
  <si>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</si>
  <si>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</si>
  <si>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</si>
  <si>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</si>
  <si>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</si>
  <si>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</si>
  <si>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</si>
  <si>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</si>
  <si>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</si>
  <si>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</si>
  <si>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</si>
  <si>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</si>
  <si>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</si>
  <si>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</si>
  <si>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</si>
  <si>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</si>
  <si>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</si>
  <si>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</si>
  <si>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</si>
  <si>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</si>
  <si>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</si>
  <si>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</si>
  <si>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</si>
  <si>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</si>
  <si>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</si>
  <si>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</si>
  <si>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</si>
  <si>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</si>
  <si>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</si>
  <si>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</si>
  <si>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</si>
  <si>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</si>
  <si>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</si>
  <si>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</si>
  <si>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</si>
  <si>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</si>
  <si>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</si>
  <si>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</si>
  <si>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</si>
  <si>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</si>
  <si>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</si>
  <si>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</si>
  <si>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</si>
  <si>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</si>
  <si>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</si>
  <si>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</si>
  <si>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</si>
  <si>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</si>
  <si>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</si>
  <si>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</si>
  <si>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</si>
  <si>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</si>
  <si>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</si>
  <si>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</si>
  <si>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</si>
  <si>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</si>
  <si>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</si>
  <si>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</si>
  <si>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</si>
  <si>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</si>
  <si>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</si>
  <si>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</si>
  <si>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</si>
  <si>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</si>
  <si>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</si>
  <si>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</si>
  <si>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</si>
  <si>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</si>
  <si>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</si>
  <si>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</si>
  <si>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</si>
  <si>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</si>
  <si>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</si>
  <si>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</si>
  <si>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</si>
  <si>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</si>
  <si>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</si>
  <si>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</si>
  <si>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</si>
  <si>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</si>
  <si>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</si>
  <si>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</si>
  <si>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</si>
  <si>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</si>
  <si>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</si>
  <si>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</si>
  <si>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</si>
  <si>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</si>
  <si>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</si>
  <si>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</si>
  <si>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</si>
  <si>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</si>
  <si>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</si>
  <si>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</si>
  <si>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</si>
  <si>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</si>
  <si>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</si>
  <si>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</si>
  <si>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</si>
  <si>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</si>
  <si>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</si>
  <si>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</si>
  <si>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</si>
  <si>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</si>
  <si>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</si>
  <si>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</si>
  <si>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</si>
  <si>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</si>
  <si>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</si>
  <si>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</si>
  <si>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</si>
  <si>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</si>
  <si>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</si>
  <si>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</si>
  <si>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</si>
  <si>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</si>
  <si>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</si>
  <si>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</si>
  <si>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</si>
  <si>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</si>
  <si>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QL08</t>
  </si>
  <si>
    <t>SA90_B</t>
  </si>
  <si>
    <t>WRFT10</t>
  </si>
  <si>
    <t>additional sheet</t>
  </si>
  <si>
    <t>10.78.11960</t>
  </si>
  <si>
    <t>I10123</t>
  </si>
  <si>
    <t>ANTENNAS SPOT TAPE</t>
  </si>
  <si>
    <t>ASSY_123024501+ASSY_023024521</t>
  </si>
  <si>
    <t>WAVES_3</t>
  </si>
  <si>
    <t>SB60</t>
  </si>
  <si>
    <t>SB40</t>
  </si>
  <si>
    <t>SB70</t>
  </si>
  <si>
    <t>SB90</t>
  </si>
  <si>
    <t>SB41</t>
  </si>
  <si>
    <t>SB50</t>
  </si>
  <si>
    <t>WIRE HOLDER U/D 6</t>
  </si>
  <si>
    <t>I10124</t>
  </si>
  <si>
    <t>C-SUB02_A</t>
  </si>
  <si>
    <t>2C09C4</t>
  </si>
  <si>
    <t>2C12C4</t>
  </si>
  <si>
    <t>2A12C4</t>
  </si>
  <si>
    <t>1A12D4</t>
  </si>
  <si>
    <t>SC35H</t>
  </si>
  <si>
    <t>3C1212C4</t>
  </si>
  <si>
    <t>2A09B4</t>
  </si>
  <si>
    <t>7297914930</t>
  </si>
  <si>
    <t>C-SUB23</t>
  </si>
  <si>
    <t>I10125</t>
  </si>
  <si>
    <t>pon</t>
  </si>
  <si>
    <t>ma</t>
  </si>
  <si>
    <t>Row Labels</t>
  </si>
  <si>
    <t>Grand Total</t>
  </si>
  <si>
    <t>Sum of qty</t>
  </si>
  <si>
    <t>Column Labels</t>
  </si>
  <si>
    <t>10.21.77088A</t>
  </si>
  <si>
    <t>10.21.77146A</t>
  </si>
  <si>
    <t>10.21.97224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</si>
  <si>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</si>
  <si>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</si>
  <si>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</si>
  <si>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</si>
  <si>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</si>
  <si>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</si>
  <si>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</si>
  <si>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</si>
  <si>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</si>
  <si>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</si>
  <si>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</si>
  <si>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</si>
  <si>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</si>
  <si>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</si>
  <si>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</si>
  <si>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</si>
  <si>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</si>
  <si>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</si>
  <si>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</si>
  <si>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</si>
  <si>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</si>
  <si>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</si>
  <si>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</si>
  <si>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</si>
  <si>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</si>
  <si>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</si>
  <si>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</si>
  <si>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</si>
  <si>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</si>
  <si>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</si>
  <si>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</si>
  <si>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</si>
  <si>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</si>
  <si>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</si>
  <si>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</si>
  <si>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10.21.00023T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</si>
  <si>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</si>
  <si>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</si>
  <si>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</si>
  <si>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</si>
  <si>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</si>
  <si>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</si>
  <si>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</si>
  <si>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</si>
  <si>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</si>
  <si>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</si>
  <si>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</si>
  <si>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</si>
  <si>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</si>
  <si>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</si>
  <si>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</si>
  <si>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</si>
  <si>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</si>
  <si>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</si>
  <si>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</si>
  <si>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</si>
  <si>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</si>
  <si>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</si>
  <si>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</si>
  <si>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</si>
  <si>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</si>
  <si>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</si>
  <si>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</si>
  <si>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</si>
  <si>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</si>
  <si>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</si>
  <si>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</si>
  <si>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</si>
  <si>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</si>
  <si>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</si>
  <si>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</si>
  <si>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</si>
  <si>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</si>
  <si>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</si>
  <si>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</si>
  <si>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</si>
  <si>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</si>
  <si>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</si>
  <si>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</si>
  <si>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</si>
  <si>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</si>
  <si>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</si>
  <si>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</si>
  <si>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</si>
  <si>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</si>
  <si>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</si>
  <si>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</si>
  <si>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</si>
  <si>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</si>
  <si>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</si>
  <si>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</si>
  <si>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</si>
  <si>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</si>
  <si>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</si>
  <si>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</si>
  <si>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</si>
  <si>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</si>
  <si>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</si>
  <si>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</si>
  <si>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</si>
  <si>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</si>
  <si>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</si>
  <si>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</si>
  <si>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</si>
  <si>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</si>
  <si>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</si>
  <si>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</si>
  <si>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</si>
  <si>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</si>
  <si>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</si>
  <si>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</si>
  <si>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</si>
  <si>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</si>
  <si>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</si>
  <si>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</si>
  <si>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</si>
  <si>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</si>
  <si>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</si>
  <si>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</si>
  <si>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</si>
  <si>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</si>
  <si>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</si>
  <si>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</si>
  <si>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</si>
  <si>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</si>
  <si>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</si>
  <si>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</si>
  <si>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</si>
  <si>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</si>
  <si>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</si>
  <si>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</si>
  <si>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</si>
  <si>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</si>
  <si>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</si>
  <si>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</si>
  <si>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</si>
  <si>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</si>
  <si>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</si>
  <si>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</si>
  <si>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</si>
  <si>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</si>
  <si>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</si>
  <si>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</si>
  <si>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no sample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</si>
  <si>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</si>
  <si>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</si>
  <si>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</si>
  <si>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</si>
  <si>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</si>
  <si>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</si>
  <si>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</si>
  <si>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</si>
  <si>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</si>
  <si>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</si>
  <si>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</si>
  <si>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</si>
  <si>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</si>
  <si>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</si>
  <si>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</si>
  <si>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</si>
  <si>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</si>
  <si>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</si>
  <si>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</si>
  <si>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</si>
  <si>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</si>
  <si>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</si>
  <si>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</si>
  <si>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</si>
  <si>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</si>
  <si>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</si>
  <si>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</si>
  <si>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</si>
  <si>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</si>
  <si>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</si>
  <si>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</si>
  <si>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</si>
  <si>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</si>
  <si>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</si>
  <si>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</si>
  <si>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</si>
  <si>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</si>
  <si>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</si>
  <si>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</si>
  <si>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</si>
  <si>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</si>
  <si>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</si>
  <si>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</si>
  <si>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</si>
  <si>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</si>
  <si>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</si>
  <si>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</si>
  <si>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</si>
  <si>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</si>
  <si>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</si>
  <si>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</si>
  <si>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</si>
  <si>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</si>
  <si>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</si>
  <si>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</si>
  <si>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</si>
  <si>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</si>
  <si>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</si>
  <si>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</si>
  <si>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</si>
  <si>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</si>
  <si>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</si>
  <si>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</si>
  <si>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</si>
  <si>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</si>
  <si>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</si>
  <si>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</si>
  <si>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</si>
  <si>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</si>
  <si>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</si>
  <si>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</si>
  <si>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</si>
  <si>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</si>
  <si>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</si>
  <si>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</si>
  <si>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</si>
  <si>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</si>
  <si>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</si>
  <si>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</si>
  <si>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</si>
  <si>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</si>
  <si>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</si>
  <si>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</si>
  <si>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</si>
  <si>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</si>
  <si>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</si>
  <si>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</si>
  <si>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</si>
  <si>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</si>
  <si>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</si>
  <si>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</si>
  <si>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</si>
  <si>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</si>
  <si>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</si>
  <si>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</si>
  <si>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</si>
  <si>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</si>
  <si>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</si>
  <si>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</si>
  <si>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</si>
  <si>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</si>
  <si>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</si>
  <si>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</si>
  <si>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</si>
  <si>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</si>
  <si>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</si>
  <si>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</si>
  <si>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</si>
  <si>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</si>
  <si>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</si>
  <si>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</si>
  <si>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</si>
  <si>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</si>
  <si>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</si>
  <si>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</si>
  <si>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</si>
  <si>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</si>
  <si>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</si>
  <si>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</si>
  <si>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</si>
  <si>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</si>
  <si>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</si>
  <si>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</si>
  <si>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</si>
  <si>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</si>
  <si>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</si>
  <si>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</si>
  <si>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</si>
  <si>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</si>
  <si>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</si>
  <si>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</si>
  <si>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</si>
  <si>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</si>
  <si>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</si>
  <si>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</si>
  <si>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</si>
  <si>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</si>
  <si>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</si>
  <si>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</si>
  <si>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</si>
  <si>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</si>
  <si>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</si>
  <si>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</si>
  <si>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</si>
  <si>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</si>
  <si>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</si>
  <si>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</si>
  <si>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</si>
  <si>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</si>
  <si>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</si>
  <si>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</si>
  <si>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</si>
  <si>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</si>
  <si>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</si>
  <si>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</si>
  <si>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</si>
  <si>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</si>
  <si>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</si>
  <si>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</si>
  <si>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</si>
  <si>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</si>
  <si>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</si>
  <si>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</si>
  <si>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</si>
  <si>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</si>
  <si>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</si>
  <si>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</si>
  <si>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</si>
  <si>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</si>
  <si>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</si>
  <si>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</si>
  <si>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</si>
  <si>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</si>
  <si>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</si>
  <si>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</si>
  <si>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</si>
  <si>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</si>
  <si>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</si>
  <si>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</si>
  <si>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</si>
  <si>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</si>
  <si>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</si>
  <si>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</si>
  <si>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</si>
  <si>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</si>
  <si>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</si>
  <si>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</si>
  <si>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</si>
  <si>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</si>
  <si>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</si>
  <si>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</si>
  <si>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</si>
  <si>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</si>
  <si>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</si>
  <si>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</si>
  <si>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</si>
  <si>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</si>
  <si>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</si>
  <si>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</si>
  <si>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</si>
  <si>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</si>
  <si>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</si>
  <si>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</si>
  <si>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</si>
  <si>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</si>
  <si>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</si>
  <si>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</si>
  <si>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</si>
  <si>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</si>
  <si>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</si>
  <si>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</si>
  <si>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</si>
  <si>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</si>
  <si>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</si>
  <si>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</si>
  <si>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</si>
  <si>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</si>
  <si>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</si>
  <si>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</si>
  <si>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</si>
  <si>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</si>
  <si>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</si>
  <si>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</si>
  <si>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</si>
  <si>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</si>
  <si>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</si>
  <si>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</si>
  <si>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</si>
  <si>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</si>
  <si>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</si>
  <si>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</si>
  <si>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</si>
  <si>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</si>
  <si>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</si>
  <si>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</si>
  <si>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</si>
  <si>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</si>
  <si>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</si>
  <si>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</si>
  <si>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</si>
  <si>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</si>
  <si>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</si>
  <si>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</si>
  <si>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</si>
  <si>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</si>
  <si>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</si>
  <si>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</si>
  <si>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</si>
  <si>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</si>
  <si>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</si>
  <si>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</si>
  <si>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</si>
  <si>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</si>
  <si>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</si>
  <si>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</si>
  <si>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</si>
  <si>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</si>
  <si>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</si>
  <si>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</si>
  <si>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</si>
  <si>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</si>
  <si>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</si>
  <si>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</si>
  <si>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</si>
  <si>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</si>
  <si>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</si>
  <si>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</si>
  <si>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</si>
  <si>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</si>
  <si>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</si>
  <si>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</si>
  <si>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</si>
  <si>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</si>
  <si>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</si>
  <si>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</si>
  <si>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</si>
  <si>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</si>
  <si>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</si>
  <si>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</si>
  <si>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</si>
  <si>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</si>
  <si>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</si>
  <si>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</si>
  <si>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</si>
  <si>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</si>
  <si>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</si>
  <si>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</si>
  <si>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</si>
  <si>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</si>
  <si>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</si>
  <si>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</si>
  <si>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</si>
  <si>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</si>
  <si>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</si>
  <si>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</si>
  <si>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</si>
  <si>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</si>
  <si>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</si>
  <si>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</si>
  <si>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</si>
  <si>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</si>
  <si>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</si>
  <si>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</si>
  <si>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</si>
  <si>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</si>
  <si>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</si>
  <si>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</si>
  <si>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</si>
  <si>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</si>
  <si>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</si>
  <si>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</si>
  <si>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</si>
  <si>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</si>
  <si>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</si>
  <si>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</si>
  <si>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</si>
  <si>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</si>
  <si>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</si>
  <si>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</si>
  <si>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</si>
  <si>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</si>
  <si>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</si>
  <si>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</si>
  <si>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</si>
  <si>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</si>
  <si>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</si>
  <si>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</si>
  <si>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</si>
  <si>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</si>
  <si>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</si>
  <si>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</si>
  <si>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</si>
  <si>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</si>
  <si>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</si>
  <si>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</si>
  <si>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</si>
  <si>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</si>
  <si>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</si>
  <si>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</si>
  <si>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10.21.83295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</si>
  <si>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</si>
  <si>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</si>
  <si>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</si>
  <si>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</si>
  <si>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</si>
  <si>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</si>
  <si>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</si>
  <si>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</si>
  <si>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</si>
  <si>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</si>
  <si>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</si>
  <si>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</si>
  <si>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</si>
  <si>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</si>
  <si>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</si>
  <si>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</si>
  <si>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</si>
  <si>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engravig</t>
  </si>
  <si>
    <t>str maroco</t>
  </si>
  <si>
    <t>oposite 90</t>
  </si>
  <si>
    <t>maroco</t>
  </si>
  <si>
    <t>a31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</si>
  <si>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</si>
  <si>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</si>
  <si>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</si>
  <si>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</si>
  <si>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</si>
  <si>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</si>
  <si>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</si>
  <si>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</si>
  <si>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</si>
  <si>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</si>
  <si>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</si>
  <si>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</si>
  <si>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</si>
  <si>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</si>
  <si>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</si>
  <si>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</si>
  <si>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</si>
  <si>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</si>
  <si>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</si>
  <si>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</si>
  <si>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</si>
  <si>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</si>
  <si>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</si>
  <si>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</si>
  <si>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</si>
  <si>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</si>
  <si>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</si>
  <si>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</si>
  <si>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</si>
  <si>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</si>
  <si>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</si>
  <si>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</si>
  <si>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</si>
  <si>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</si>
  <si>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</si>
  <si>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</si>
  <si>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</si>
  <si>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</si>
  <si>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</si>
  <si>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</si>
  <si>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</si>
  <si>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Указание за монтаж на SC35H - H248 LHD /серия19; 20; 22/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</si>
  <si>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</si>
  <si>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</si>
  <si>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</si>
  <si>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</si>
  <si>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</si>
  <si>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</si>
  <si>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</si>
  <si>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Main RHD H248 14+2jb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</si>
  <si>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</si>
  <si>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</si>
  <si>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</si>
  <si>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</si>
  <si>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</si>
  <si>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</si>
  <si>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</si>
  <si>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</si>
  <si>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</si>
  <si>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</si>
  <si>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</si>
  <si>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</si>
  <si>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</si>
  <si>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</si>
  <si>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</si>
  <si>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</si>
  <si>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</si>
  <si>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</si>
  <si>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</si>
  <si>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</si>
  <si>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</si>
  <si>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</si>
  <si>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</si>
  <si>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</si>
  <si>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</si>
  <si>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</si>
  <si>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</si>
  <si>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</si>
  <si>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</si>
  <si>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</si>
  <si>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</si>
  <si>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</si>
  <si>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</si>
  <si>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</si>
  <si>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</si>
  <si>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</si>
  <si>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</si>
  <si>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</si>
  <si>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</si>
  <si>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</si>
  <si>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</si>
  <si>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</si>
  <si>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</si>
  <si>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</si>
  <si>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</si>
  <si>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</si>
  <si>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</si>
  <si>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</si>
  <si>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</si>
  <si>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</si>
  <si>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</si>
  <si>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</si>
  <si>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</si>
  <si>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</si>
  <si>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</si>
  <si>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</si>
  <si>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</si>
  <si>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</si>
  <si>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</si>
  <si>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</si>
  <si>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</si>
  <si>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</si>
  <si>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</si>
  <si>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</si>
  <si>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</si>
  <si>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</si>
  <si>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</si>
  <si>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</si>
  <si>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</si>
  <si>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</si>
  <si>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</si>
  <si>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262699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</si>
  <si>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</si>
  <si>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</si>
  <si>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</si>
  <si>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</si>
  <si>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</si>
  <si>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</si>
  <si>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</si>
  <si>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</si>
  <si>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</si>
  <si>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</si>
  <si>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</si>
  <si>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</si>
  <si>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</si>
  <si>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</si>
  <si>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</si>
  <si>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</si>
  <si>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</si>
  <si>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</si>
  <si>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</si>
  <si>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</si>
  <si>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</si>
  <si>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</si>
  <si>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</si>
  <si>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</si>
  <si>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</si>
  <si>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</si>
  <si>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</si>
  <si>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</si>
  <si>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</si>
  <si>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</si>
  <si>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</si>
  <si>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</si>
  <si>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</si>
  <si>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</si>
  <si>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</si>
  <si>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</si>
  <si>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</si>
  <si>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</si>
  <si>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h248 SaBoards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</si>
  <si>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</si>
  <si>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</si>
  <si>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</si>
  <si>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</si>
  <si>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</si>
  <si>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</si>
  <si>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</si>
  <si>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</si>
  <si>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</si>
  <si>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</si>
  <si>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</si>
  <si>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</si>
  <si>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</si>
  <si>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</si>
  <si>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RPA</t>
  </si>
  <si>
    <t>Terminal Protection Glass Yazaki design
(medium), light blue - dia : 67,5 mm, height: 85
mm</t>
  </si>
  <si>
    <t>Item</t>
  </si>
  <si>
    <t>Purchase Order No-Item</t>
  </si>
  <si>
    <t>Offer NO</t>
  </si>
  <si>
    <t>Product Description</t>
  </si>
  <si>
    <t>MA number</t>
  </si>
  <si>
    <t>Quantity</t>
  </si>
  <si>
    <t>10.01.01345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</si>
  <si>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</si>
  <si>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</si>
  <si>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</si>
  <si>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</si>
  <si>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</si>
  <si>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</si>
  <si>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</si>
  <si>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</si>
  <si>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</si>
  <si>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</si>
  <si>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</si>
  <si>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</si>
  <si>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</si>
  <si>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</si>
  <si>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</si>
  <si>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</si>
  <si>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</si>
  <si>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</si>
  <si>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</si>
  <si>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</si>
  <si>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</si>
  <si>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</si>
  <si>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</si>
  <si>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</si>
  <si>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</si>
  <si>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</si>
  <si>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</si>
  <si>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</si>
  <si>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</si>
  <si>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</si>
  <si>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</si>
  <si>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</si>
  <si>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</si>
  <si>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</si>
  <si>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</si>
  <si>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</si>
  <si>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</si>
  <si>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</si>
  <si>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</si>
  <si>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</si>
  <si>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</si>
  <si>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</si>
  <si>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</si>
  <si>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</si>
  <si>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</si>
  <si>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</si>
  <si>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</si>
  <si>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</si>
  <si>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</si>
  <si>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</si>
  <si>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</si>
  <si>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</si>
  <si>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</si>
  <si>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</si>
  <si>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</si>
  <si>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</si>
  <si>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</si>
  <si>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</si>
  <si>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</si>
  <si>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</si>
  <si>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</si>
  <si>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</si>
  <si>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</si>
  <si>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</si>
  <si>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</si>
  <si>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</si>
  <si>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</si>
  <si>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</si>
  <si>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</si>
  <si>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</si>
  <si>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</si>
  <si>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</si>
  <si>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</si>
  <si>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</si>
  <si>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</si>
  <si>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</si>
  <si>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</si>
  <si>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ima za remont</t>
  </si>
  <si>
    <t>10.21.91455A</t>
  </si>
  <si>
    <t>10.21.91937A</t>
  </si>
  <si>
    <t>cfpx3</t>
  </si>
  <si>
    <t>10.21.91954A</t>
  </si>
  <si>
    <t>10.21.91954A-1</t>
  </si>
  <si>
    <t>10.21.91954A-2</t>
  </si>
  <si>
    <t>cfpx2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</si>
</sst>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79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0" xfId="0" pivotButton="1"/>
    <xf numFmtId="0" fontId="12" fillId="0" borderId="4" xfId="0" applyFont="1" applyBorder="1"/>
    <xf numFmtId="49" fontId="0" fillId="0" borderId="0" xfId="0" applyNumberFormat="1"/>
    <xf numFmtId="0" fontId="0" fillId="10" borderId="0" xfId="0" applyFill="1"/>
    <xf numFmtId="0" fontId="0" fillId="0" borderId="4" xfId="0" pivotButton="1" applyBorder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0" borderId="0" xfId="0" applyFill="1"/>
    <xf numFmtId="0" fontId="0" fillId="0" borderId="4" xfId="0" applyNumberFormat="1" applyBorder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LAMEN DIMITROV" refreshedDate="46251.443399189811" createdVersion="8" refreshedVersion="8" minRefreshableVersion="3" recordCount="30" xr:uid="{0E3B092B-151A-4270-B72A-DB054E73BD8E}">
  <cacheSource type="worksheet">
    <worksheetSource name="Table19"/>
  </cacheSource>
  <cacheFields count="5">
    <cacheField name="pon" numFmtId="0">
      <sharedItems count="3">
        <s v="I10123"/>
        <s v="I10124"/>
        <s v="I10125"/>
      </sharedItems>
    </cacheField>
    <cacheField name="family" numFmtId="0">
      <sharedItems/>
    </cacheField>
    <cacheField name="name" numFmtId="49">
      <sharedItems containsMixedTypes="1" containsNumber="1" containsInteger="1" minValue="7297913630" maxValue="7297913630" count="26">
        <s v="ASSY_123024501+ASSY_023024521"/>
        <s v="WAVES_3"/>
        <s v="SB60"/>
        <s v="SB40"/>
        <s v="SB70"/>
        <s v="SB90"/>
        <s v="SB41"/>
        <s v="SB50"/>
        <s v="SA90_B"/>
        <s v="WIRE HOLDER U/D 6"/>
        <s v="2C09C4"/>
        <s v="2C12C4"/>
        <s v="2A12C4"/>
        <s v="1A12D4"/>
        <s v="SC35H"/>
        <s v="WRFT10"/>
        <s v="3C1212C4"/>
        <s v="QL08"/>
        <s v="2A09B4"/>
        <s v="7298677930"/>
        <s v="7298949030"/>
        <s v="7298913330"/>
        <s v="ASSY_118021051"/>
        <n v="7297913630"/>
        <s v="7298948930"/>
        <s v="7297914930"/>
      </sharedItems>
    </cacheField>
    <cacheField name="ma" numFmtId="0">
      <sharedItems containsBlank="1"/>
    </cacheField>
    <cacheField name="qty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ANTENNAS SPOT TAPE"/>
    <x v="0"/>
    <m/>
    <n v="10"/>
  </r>
  <r>
    <x v="0"/>
    <s v="ANTENNAS SPOT TAPE"/>
    <x v="1"/>
    <s v="additional sheet"/>
    <n v="6"/>
  </r>
  <r>
    <x v="0"/>
    <s v="ANTENNAS SPOT TAPE"/>
    <x v="2"/>
    <m/>
    <n v="1"/>
  </r>
  <r>
    <x v="0"/>
    <s v="ANTENNAS SPOT TAPE"/>
    <x v="3"/>
    <m/>
    <n v="1"/>
  </r>
  <r>
    <x v="0"/>
    <s v="ANTENNAS SPOT TAPE"/>
    <x v="4"/>
    <m/>
    <n v="2"/>
  </r>
  <r>
    <x v="0"/>
    <s v="ANTENNAS SPOT TAPE"/>
    <x v="5"/>
    <m/>
    <n v="3"/>
  </r>
  <r>
    <x v="0"/>
    <s v="ANTENNAS SPOT TAPE"/>
    <x v="6"/>
    <m/>
    <n v="1"/>
  </r>
  <r>
    <x v="0"/>
    <s v="ANTENNAS SPOT TAPE"/>
    <x v="7"/>
    <m/>
    <n v="2"/>
  </r>
  <r>
    <x v="0"/>
    <s v="ANTENNAS SPOT TAPE"/>
    <x v="8"/>
    <m/>
    <n v="2"/>
  </r>
  <r>
    <x v="0"/>
    <s v="ANTENNAS SPOT TAPE"/>
    <x v="9"/>
    <s v="additional sheet"/>
    <n v="4"/>
  </r>
  <r>
    <x v="1"/>
    <s v="C-SUB02_A"/>
    <x v="10"/>
    <m/>
    <n v="2"/>
  </r>
  <r>
    <x v="1"/>
    <s v="C-SUB02_A"/>
    <x v="11"/>
    <m/>
    <n v="3"/>
  </r>
  <r>
    <x v="1"/>
    <s v="C-SUB02_A"/>
    <x v="12"/>
    <m/>
    <n v="2"/>
  </r>
  <r>
    <x v="1"/>
    <s v="C-SUB02_A"/>
    <x v="13"/>
    <m/>
    <n v="1"/>
  </r>
  <r>
    <x v="1"/>
    <s v="C-SUB02_A"/>
    <x v="14"/>
    <m/>
    <n v="6"/>
  </r>
  <r>
    <x v="1"/>
    <s v="C-SUB02_A"/>
    <x v="15"/>
    <m/>
    <n v="1"/>
  </r>
  <r>
    <x v="1"/>
    <s v="C-SUB02_A"/>
    <x v="16"/>
    <m/>
    <n v="1"/>
  </r>
  <r>
    <x v="1"/>
    <s v="C-SUB02_A"/>
    <x v="17"/>
    <m/>
    <n v="1"/>
  </r>
  <r>
    <x v="1"/>
    <s v="C-SUB02_A"/>
    <x v="18"/>
    <m/>
    <n v="1"/>
  </r>
  <r>
    <x v="1"/>
    <s v="C-SUB02_A"/>
    <x v="19"/>
    <s v="10.21.76980B"/>
    <n v="1"/>
  </r>
  <r>
    <x v="1"/>
    <s v="C-SUB02_A"/>
    <x v="20"/>
    <s v="10.21.76979B"/>
    <n v="1"/>
  </r>
  <r>
    <x v="1"/>
    <s v="C-SUB02_A"/>
    <x v="21"/>
    <s v="10.21.76963A"/>
    <n v="1"/>
  </r>
  <r>
    <x v="1"/>
    <s v="C-SUB02_A"/>
    <x v="22"/>
    <s v="10.21.76965A"/>
    <n v="2"/>
  </r>
  <r>
    <x v="1"/>
    <s v="C-SUB02_A"/>
    <x v="23"/>
    <m/>
    <n v="1"/>
  </r>
  <r>
    <x v="1"/>
    <s v="C-SUB02_A"/>
    <x v="24"/>
    <s v="10.21.72976A"/>
    <n v="1"/>
  </r>
  <r>
    <x v="1"/>
    <s v="C-SUB02_A"/>
    <x v="25"/>
    <m/>
    <n v="1"/>
  </r>
  <r>
    <x v="2"/>
    <s v="C-SUB23"/>
    <x v="8"/>
    <m/>
    <n v="1"/>
  </r>
  <r>
    <x v="2"/>
    <s v="C-SUB23"/>
    <x v="15"/>
    <s v="10.78.11960"/>
    <n v="1"/>
  </r>
  <r>
    <x v="2"/>
    <s v="C-SUB23"/>
    <x v="0"/>
    <m/>
    <n v="4"/>
  </r>
  <r>
    <x v="2"/>
    <s v="C-SUB23"/>
    <x v="11"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1F1F8-3EA4-4AE1-8A93-8B5BE8B6860E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7:K55" firstHeaderRow="1" firstDataRow="2" firstDataCol="1"/>
  <pivotFields count="5"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27">
        <item x="13"/>
        <item x="18"/>
        <item x="12"/>
        <item x="10"/>
        <item x="11"/>
        <item x="16"/>
        <item x="25"/>
        <item x="19"/>
        <item x="21"/>
        <item x="24"/>
        <item x="20"/>
        <item x="22"/>
        <item x="0"/>
        <item x="17"/>
        <item x="8"/>
        <item x="3"/>
        <item x="6"/>
        <item x="7"/>
        <item x="2"/>
        <item x="4"/>
        <item x="5"/>
        <item x="14"/>
        <item x="1"/>
        <item x="9"/>
        <item x="15"/>
        <item x="23"/>
        <item t="default"/>
      </items>
    </pivotField>
    <pivotField showAll="0"/>
    <pivotField dataField="1"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 of qty" fld="4" baseField="0" baseItem="0"/>
  </dataFields>
  <formats count="6"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ED3E88-01ED-489E-B42B-493CEB7FC13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B19FB17-96EF-44B9-B5DF-5F57057A3A6B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B641" totalsRowShown="0" headerRowDxfId="107" dataDxfId="106">
  <autoFilter ref="A1:AB641" xr:uid="{4FD4EFE6-1099-438A-9D64-1AFEA3E877E1}"/>
  <tableColumns count="28">
    <tableColumn id="1" xr3:uid="{3B7E460A-E4F8-4748-BDB7-69F9DF95E095}" name="MA_Number" dataDxfId="105"/>
    <tableColumn id="2" xr3:uid="{0C86C14C-C734-4C14-9D15-5BF628634433}" name="Product_Name" dataDxfId="104"/>
    <tableColumn id="30" xr3:uid="{050D8DE9-BC74-4050-94FA-10894F23596C}" name="alt_name" dataDxfId="103"/>
    <tableColumn id="5" xr3:uid="{B7270D78-2CE2-41E9-A475-02143C2A7D02}" name="type_code" dataDxfId="102"/>
    <tableColumn id="3" xr3:uid="{80614BD7-785D-4865-A2C0-9EC9C8EACE03}" name="Description" dataDxfId="101"/>
    <tableColumn id="4" xr3:uid="{712E4162-81D9-47C7-8EEF-73A898972DF4}" name="Is_Assembly" dataDxfId="100"/>
    <tableColumn id="16" xr3:uid="{499F8FD0-A2A3-4176-A552-313DDDC5BA39}" name="parent_ma" dataDxfId="99"/>
    <tableColumn id="7" xr3:uid="{D05F0B8F-F449-4B71-BFD4-5C771658ED9C}" name="Part_Number" dataDxfId="98"/>
    <tableColumn id="8" xr3:uid="{B643C364-3099-4EEB-AED1-F61689849DDE}" name="Part_Qty" dataDxfId="97"/>
    <tableColumn id="9" xr3:uid="{1FB793F0-5C0E-4E9E-A553-69662201D95E}" name="Part_Length" dataDxfId="96"/>
    <tableColumn id="10" xr3:uid="{A46D0FCB-3E53-48F9-A53C-473B67948093}" name="Part_Width" dataDxfId="95"/>
    <tableColumn id="11" xr3:uid="{60D16FF4-D45B-4799-81B5-5A76D0C9B75F}" name="Part_Height" dataDxfId="94"/>
    <tableColumn id="12" xr3:uid="{9236BC38-CC48-4A88-8E0F-CC0CF0FD23E8}" name="color_code" dataDxfId="93"/>
    <tableColumn id="13" xr3:uid="{733327CD-E162-4FAD-AEA1-3C7B2D569A38}" name="material_code" dataDxfId="92"/>
    <tableColumn id="18" xr3:uid="{71BB0E28-DF33-49EB-86CF-D06CFB367F4F}" name="process_cut" dataDxfId="91"/>
    <tableColumn id="19" xr3:uid="{A88BCE54-C957-4D13-B884-66299105378A}" name="process_mill" dataDxfId="90"/>
    <tableColumn id="22" xr3:uid="{470DB65E-5747-4C8C-9238-C17C0675B78F}" name="group_processing" dataDxfId="89"/>
    <tableColumn id="25" xr3:uid="{30741311-55D9-429E-B38B-6427F3C29609}" name="dimension_x_g" dataDxfId="88"/>
    <tableColumn id="24" xr3:uid="{18A9B155-40E3-47EE-8E28-F4D7F3F4192C}" name="dimension_y_g" dataDxfId="87"/>
    <tableColumn id="23" xr3:uid="{F373FF10-9E7B-464C-898A-9AC55A93F09E}" name="dimension_z_g" dataDxfId="86"/>
    <tableColumn id="26" xr3:uid="{7F78AD9C-5261-4F67-A5CE-87A37B6268AB}" name="qty_per_group" dataDxfId="85"/>
    <tableColumn id="21" xr3:uid="{9058C990-680C-4FA0-A028-47CC2085F6BD}" name="is_3d_part" dataDxfId="84"/>
    <tableColumn id="14" xr3:uid="{02DB0385-C9D0-43F2-90B3-4B0F2B4A9E03}" name="Assembly_Order" dataDxfId="83"/>
    <tableColumn id="6" xr3:uid="{FF75CC84-E8C7-4A41-8450-E0DE1E70A57B}" name="batch_id" dataDxfId="82"/>
    <tableColumn id="15" xr3:uid="{CA727344-6660-47E3-8037-BC628C2DE7FA}" name="qty" dataDxfId="81">
      <calculatedColumnFormula>Table1[[#This Row],[qPer board]]*Table1[[#This Row],[boards]]</calculatedColumnFormula>
    </tableColumn>
    <tableColumn id="17" xr3:uid="{B4D2D7A1-56A7-4DC1-BF72-D931C6B7031B}" name="price_offer_num" dataDxfId="80"/>
    <tableColumn id="20" xr3:uid="{3A0B6352-4B27-4D73-AFD3-C44D92AE0AF6}" name="qPer board" dataDxfId="79">
      <calculatedColumnFormula>VLOOKUP(Table1[[#This Row],[MA_Number]], 'rhd batch30'!$A$1:$B$64,2,FALSE)</calculatedColumnFormula>
    </tableColumn>
    <tableColumn id="27" xr3:uid="{A532D005-1250-4010-B0C4-372C0604AEAE}" name="boards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E50" totalsRowShown="0">
  <autoFilter ref="A1:E50" xr:uid="{FCEE75A9-4206-42D9-9E61-31E926C19243}"/>
  <sortState xmlns:xlrd2="http://schemas.microsoft.com/office/spreadsheetml/2017/richdata2" ref="A2:C12">
    <sortCondition ref="A2:A12"/>
  </sortState>
  <tableColumns count="5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77" dataDxfId="76">
  <autoFilter ref="A2:E31" xr:uid="{9AA6459D-2BA3-4DCE-8DD8-A89C7C049A96}">
    <filterColumn colId="0">
      <filters>
        <filter val="7047186030D"/>
        <filter val="7047186030D_DP"/>
        <filter val="7047186030S"/>
        <filter val="7047186030S_DP"/>
        <filter val="7047186030U_DP"/>
      </filters>
    </filterColumn>
  </autoFilter>
  <tableColumns count="5">
    <tableColumn id="1" xr3:uid="{756A7530-3445-4E09-B2D4-E6220A7C7E4B}" name="name" dataDxfId="75"/>
    <tableColumn id="2" xr3:uid="{12AA66ED-01B7-416F-A504-6DB7FFA8A29D}" name="qtyx1" dataDxfId="74"/>
    <tableColumn id="3" xr3:uid="{592CF1E9-C507-4794-AC13-0255DD011EF8}" name="qtyx28" dataDxfId="73">
      <calculatedColumnFormula>B3*28</calculatedColumnFormula>
    </tableColumn>
    <tableColumn id="4" xr3:uid="{0C73800E-0FF5-45BE-823F-6BB8ACABDBA8}" name="assembly_position" dataDxfId="72"/>
    <tableColumn id="5" xr3:uid="{907E01ED-22E9-41C1-A066-6E71847DDDF4}" name="status" dataDxfId="7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2" totalsRowShown="0" headerRowDxfId="70" dataDxfId="69">
  <autoFilter ref="C2:G42" xr:uid="{9AA6459D-2BA3-4DCE-8DD8-A89C7C049A96}"/>
  <tableColumns count="5">
    <tableColumn id="1" xr3:uid="{41AD1F83-D5D1-4960-B725-0ABBCC60E358}" name="name" dataDxfId="68"/>
    <tableColumn id="2" xr3:uid="{5FA011EA-38FD-4A81-B8A4-2D659771776A}" name="qtyx1" dataDxfId="67"/>
    <tableColumn id="3" xr3:uid="{8EAF81D7-2BAF-43F9-9678-235C01E0D50A}" name="qtyx28" dataDxfId="66">
      <calculatedColumnFormula>Table2123[[#This Row],[qtyx1]]*28</calculatedColumnFormula>
    </tableColumn>
    <tableColumn id="4" xr3:uid="{D9532E54-4950-4B3D-8CB6-A95BAA789078}" name="Zone" dataDxfId="65"/>
    <tableColumn id="5" xr3:uid="{F8F1C49E-3F8C-42D4-9FDA-4E5ADD122B93}" name="status" dataDxfId="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K69" tableType="queryTable" totalsRowShown="0">
  <autoFilter ref="A1:K69" xr:uid="{7712BAE5-B718-4CEC-B5A0-5B4332D66C09}"/>
  <tableColumns count="11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63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88" tableType="queryTable" totalsRowShown="0">
  <autoFilter ref="A1:K88" xr:uid="{A19E5BE4-3314-481D-B5D9-FBDB974CBE79}">
    <filterColumn colId="4">
      <filters>
        <filter val="7"/>
      </filters>
    </filterColumn>
  </autoFilter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62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LL10" displayName="h248LL10" ref="A1:K64" tableType="queryTable" totalsRowShown="0">
  <autoFilter ref="A1:K64" xr:uid="{A19E5BE4-3314-481D-B5D9-FBDB974CBE79}"/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31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E299D2F-8B34-483C-997C-57C7B2C9E6FB}" name="Table19" displayName="Table19" ref="A1:E31" totalsRowShown="0">
  <autoFilter ref="A1:E31" xr:uid="{5E299D2F-8B34-483C-997C-57C7B2C9E6FB}">
    <filterColumn colId="2">
      <filters>
        <filter val="ASSY_123024501+ASSY_023024521"/>
      </filters>
    </filterColumn>
  </autoFilter>
  <tableColumns count="5">
    <tableColumn id="1" xr3:uid="{CFE4EDCD-D208-4C94-A5E8-653FB830A80D}" name="pon"/>
    <tableColumn id="2" xr3:uid="{12FAE2BF-C667-480A-BEB4-6D9A417AACDD}" name="family"/>
    <tableColumn id="3" xr3:uid="{AA617937-E5E8-4339-BAB0-53B6369E0DEF}" name="name" dataDxfId="61"/>
    <tableColumn id="4" xr3:uid="{5A855A6D-3778-4944-A2E5-D2B71127A094}" name="ma"/>
    <tableColumn id="5" xr3:uid="{15E34E89-C52D-44C8-8A4E-857D1ADC012C}" name="q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4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8" totalsRowShown="0" headerRowDxfId="53" dataDxfId="51" headerRowBorderDxfId="52" tableBorderDxfId="50">
  <autoFilter ref="A1:F8" xr:uid="{E9933DB6-918E-4FEA-999F-8E2F371FD542}"/>
  <tableColumns count="6">
    <tableColumn id="1" xr3:uid="{1D09E4AC-6D58-4BE4-BC90-DFEC76898D89}" name="Item" dataDxfId="49"/>
    <tableColumn id="2" xr3:uid="{A2CE1B8C-DBD4-4C83-8917-697CA1986FD4}" name="Purchase Order No-Item" dataDxfId="48"/>
    <tableColumn id="3" xr3:uid="{EEE537D3-7E73-406F-A614-6B74A315CF42}" name="Offer NO" dataDxfId="47"/>
    <tableColumn id="4" xr3:uid="{0FEBE92D-3744-4748-AD70-1678488652A2}" name="Product Description" dataDxfId="46"/>
    <tableColumn id="5" xr3:uid="{0066E08B-BEF2-4D9A-A801-494D08E8536D}" name="MA number" dataDxfId="45"/>
    <tableColumn id="6" xr3:uid="{8B6E2938-CF5D-42D9-B3C9-4E094B70314D}" name="Quantity" dataDxfId="4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43">
  <autoFilter ref="A1:B207" xr:uid="{4A12CC0F-BA4B-4517-812C-552B4C16D8A8}"/>
  <tableColumns count="2">
    <tableColumn id="1" xr3:uid="{777335E3-37FC-488C-BBD4-A347C9069C69}" name="product_ma" dataDxfId="42"/>
    <tableColumn id="2" xr3:uid="{4A323716-0B34-450A-BD01-CE7BB4EEED8D}" name="project_name" dataDxfId="4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4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39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38">
  <autoFilter ref="A1:G489" xr:uid="{8003C9C0-5B77-46A7-96FA-AD43C9191ADA}"/>
  <tableColumns count="7">
    <tableColumn id="1" xr3:uid="{A8CED59A-1BC4-4ED2-84AB-9F7502AA4B79}" name="ypn" dataDxfId="37"/>
    <tableColumn id="6" xr3:uid="{0B5D0403-385A-41EE-8D3C-DE6487E266A8}" name="trim" dataDxfId="36">
      <calculatedColumnFormula>TRIM(Table4[[#This Row],[ypn]])</calculatedColumnFormula>
    </tableColumn>
    <tableColumn id="7" xr3:uid="{761C3012-0CF8-4D0E-9149-F4D039E6FC4A}" name="check equal" dataDxfId="35">
      <calculatedColumnFormula>Table4[[#This Row],[ypn]]=Table4[[#This Row],[trim]]</calculatedColumnFormula>
    </tableColumn>
    <tableColumn id="8" xr3:uid="{89621021-7EC7-4A86-AE34-00ED0C97D3B3}" name="check string" dataDxfId="34">
      <calculatedColumnFormula>Table4[[#This Row],[ypn]]*1</calculatedColumnFormula>
    </tableColumn>
    <tableColumn id="10" xr3:uid="{23BD3994-3453-4EB6-B6EF-F287F710DDE4}" name="type" dataDxfId="33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641"/>
  <sheetViews>
    <sheetView tabSelected="1" topLeftCell="M1" zoomScale="85" zoomScaleNormal="85" workbookViewId="0">
      <selection activeCell="U17" sqref="U17"/>
    </sheetView>
  </sheetViews>
  <sheetFormatPr defaultRowHeight="14.4" x14ac:dyDescent="0.3"/>
  <cols>
    <col min="1" max="1" width="18.77734375" customWidth="1"/>
    <col min="2" max="2" width="65.109375" style="1" bestFit="1" customWidth="1"/>
    <col min="3" max="3" width="21.3320312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12.5546875" bestFit="1" customWidth="1"/>
  </cols>
  <sheetData>
    <row r="1" spans="1:28" x14ac:dyDescent="0.3">
      <c r="A1" t="s">
        <v>0</v>
      </c>
      <c r="B1" t="s">
        <v>1</v>
      </c>
      <c r="C1" t="s">
        <v>808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754</v>
      </c>
      <c r="R1" t="s">
        <v>755</v>
      </c>
      <c r="S1" t="s">
        <v>756</v>
      </c>
      <c r="T1" t="s">
        <v>757</v>
      </c>
      <c r="U1" t="s">
        <v>753</v>
      </c>
      <c r="V1" t="s">
        <v>420</v>
      </c>
      <c r="W1" t="s">
        <v>9</v>
      </c>
      <c r="X1" t="s">
        <v>22</v>
      </c>
      <c r="Y1" t="s">
        <v>23</v>
      </c>
      <c r="Z1" t="s">
        <v>12</v>
      </c>
      <c r="AA1" t="s">
        <v>1822</v>
      </c>
      <c r="AB1" t="s">
        <v>1823</v>
      </c>
    </row>
    <row r="2" spans="1:28" x14ac:dyDescent="0.3">
      <c r="A2" t="s">
        <v>74</v>
      </c>
      <c r="B2" s="1">
        <v>7075231830</v>
      </c>
      <c r="C2" s="1" t="s">
        <v>638</v>
      </c>
      <c r="D2" t="s">
        <v>280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Y2" t="e">
        <f>Table1[[#This Row],[qPer board]]*Table1[[#This Row],[boards]]</f>
        <v>#N/A</v>
      </c>
      <c r="AA2" t="e">
        <f>VLOOKUP(Table1[[#This Row],[MA_Number]], 'rhd batch30'!$A$1:$B$64,2,FALSE)</f>
        <v>#N/A</v>
      </c>
      <c r="AB2">
        <v>17</v>
      </c>
    </row>
    <row r="3" spans="1:28" x14ac:dyDescent="0.3">
      <c r="A3" t="s">
        <v>75</v>
      </c>
      <c r="B3" s="1">
        <v>7075231930</v>
      </c>
      <c r="C3" s="1" t="s">
        <v>885</v>
      </c>
      <c r="D3" t="s">
        <v>280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30</v>
      </c>
      <c r="Y3">
        <f>Table1[[#This Row],[qPer board]]*Table1[[#This Row],[boards]]</f>
        <v>17</v>
      </c>
      <c r="Z3" t="s">
        <v>1820</v>
      </c>
      <c r="AA3">
        <f>VLOOKUP(Table1[[#This Row],[MA_Number]], 'rhd batch30'!$A$1:$B$64,2,FALSE)</f>
        <v>1</v>
      </c>
      <c r="AB3">
        <v>17</v>
      </c>
    </row>
    <row r="4" spans="1:28" x14ac:dyDescent="0.3">
      <c r="A4" t="s">
        <v>76</v>
      </c>
      <c r="B4" s="1">
        <v>7075236930</v>
      </c>
      <c r="C4" s="1" t="s">
        <v>804</v>
      </c>
      <c r="D4" t="s">
        <v>280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Y4" t="e">
        <f>Table1[[#This Row],[qPer board]]*Table1[[#This Row],[boards]]</f>
        <v>#N/A</v>
      </c>
      <c r="AA4" t="e">
        <f>VLOOKUP(Table1[[#This Row],[MA_Number]], 'rhd batch30'!$A$1:$B$64,2,FALSE)</f>
        <v>#N/A</v>
      </c>
      <c r="AB4">
        <v>17</v>
      </c>
    </row>
    <row r="5" spans="1:28" x14ac:dyDescent="0.3">
      <c r="A5" t="s">
        <v>77</v>
      </c>
      <c r="B5" s="1">
        <v>7075244730</v>
      </c>
      <c r="C5" s="1"/>
      <c r="D5" t="s">
        <v>280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Y5" t="e">
        <f>Table1[[#This Row],[qPer board]]*Table1[[#This Row],[boards]]</f>
        <v>#N/A</v>
      </c>
      <c r="AA5" t="e">
        <f>VLOOKUP(Table1[[#This Row],[MA_Number]], 'rhd batch30'!$A$1:$B$64,2,FALSE)</f>
        <v>#N/A</v>
      </c>
      <c r="AB5">
        <v>17</v>
      </c>
    </row>
    <row r="6" spans="1:28" x14ac:dyDescent="0.3">
      <c r="A6" t="s">
        <v>78</v>
      </c>
      <c r="B6" s="1">
        <v>71186354</v>
      </c>
      <c r="C6" s="1"/>
      <c r="D6" t="s">
        <v>280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30</v>
      </c>
      <c r="Y6">
        <f>Table1[[#This Row],[qPer board]]*Table1[[#This Row],[boards]]</f>
        <v>34</v>
      </c>
      <c r="Z6" t="s">
        <v>1820</v>
      </c>
      <c r="AA6">
        <f>VLOOKUP(Table1[[#This Row],[MA_Number]], 'rhd batch30'!$A$1:$B$64,2,FALSE)</f>
        <v>2</v>
      </c>
      <c r="AB6">
        <v>17</v>
      </c>
    </row>
    <row r="7" spans="1:28" x14ac:dyDescent="0.3">
      <c r="A7" t="s">
        <v>79</v>
      </c>
      <c r="B7" s="1" t="s">
        <v>212</v>
      </c>
      <c r="C7" s="1"/>
      <c r="D7" t="s">
        <v>280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Y7" t="e">
        <f>Table1[[#This Row],[qPer board]]*Table1[[#This Row],[boards]]</f>
        <v>#N/A</v>
      </c>
      <c r="AA7" t="e">
        <f>VLOOKUP(Table1[[#This Row],[MA_Number]], 'rhd batch30'!$A$1:$B$64,2,FALSE)</f>
        <v>#N/A</v>
      </c>
      <c r="AB7">
        <v>17</v>
      </c>
    </row>
    <row r="8" spans="1:28" x14ac:dyDescent="0.3">
      <c r="A8" t="s">
        <v>80</v>
      </c>
      <c r="B8" s="1" t="s">
        <v>520</v>
      </c>
      <c r="C8" s="1"/>
      <c r="D8" t="s">
        <v>280</v>
      </c>
      <c r="E8" t="s">
        <v>1812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30</v>
      </c>
      <c r="Y8">
        <f>Table1[[#This Row],[qPer board]]*Table1[[#This Row],[boards]]</f>
        <v>34</v>
      </c>
      <c r="Z8" t="s">
        <v>1820</v>
      </c>
      <c r="AA8">
        <f>VLOOKUP(Table1[[#This Row],[MA_Number]], 'rhd batch30'!$A$1:$B$64,2,FALSE)</f>
        <v>2</v>
      </c>
      <c r="AB8">
        <v>17</v>
      </c>
    </row>
    <row r="9" spans="1:28" x14ac:dyDescent="0.3">
      <c r="A9" t="s">
        <v>81</v>
      </c>
      <c r="B9" s="1">
        <v>7118670020</v>
      </c>
      <c r="C9" s="1"/>
      <c r="D9" t="s">
        <v>280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30</v>
      </c>
      <c r="Y9">
        <f>Table1[[#This Row],[qPer board]]*Table1[[#This Row],[boards]]</f>
        <v>34</v>
      </c>
      <c r="Z9" t="s">
        <v>1820</v>
      </c>
      <c r="AA9">
        <f>VLOOKUP(Table1[[#This Row],[MA_Number]], 'rhd batch30'!$A$1:$B$64,2,FALSE)</f>
        <v>2</v>
      </c>
      <c r="AB9">
        <v>17</v>
      </c>
    </row>
    <row r="10" spans="1:28" x14ac:dyDescent="0.3">
      <c r="A10" t="s">
        <v>82</v>
      </c>
      <c r="B10" s="1" t="s">
        <v>1269</v>
      </c>
      <c r="C10" s="1"/>
      <c r="D10" t="s">
        <v>280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Y10" t="e">
        <f>Table1[[#This Row],[qPer board]]*Table1[[#This Row],[boards]]</f>
        <v>#N/A</v>
      </c>
      <c r="AA10" t="e">
        <f>VLOOKUP(Table1[[#This Row],[MA_Number]], 'rhd batch30'!$A$1:$B$64,2,FALSE)</f>
        <v>#N/A</v>
      </c>
      <c r="AB10">
        <v>17</v>
      </c>
    </row>
    <row r="11" spans="1:28" x14ac:dyDescent="0.3">
      <c r="A11" t="s">
        <v>83</v>
      </c>
      <c r="B11" s="1" t="s">
        <v>214</v>
      </c>
      <c r="C11" s="1"/>
      <c r="D11" t="s">
        <v>280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Y11" t="e">
        <f>Table1[[#This Row],[qPer board]]*Table1[[#This Row],[boards]]</f>
        <v>#N/A</v>
      </c>
      <c r="AA11" t="e">
        <f>VLOOKUP(Table1[[#This Row],[MA_Number]], 'rhd batch30'!$A$1:$B$64,2,FALSE)</f>
        <v>#N/A</v>
      </c>
      <c r="AB11">
        <v>17</v>
      </c>
    </row>
    <row r="12" spans="1:28" x14ac:dyDescent="0.3">
      <c r="A12" t="s">
        <v>84</v>
      </c>
      <c r="B12" s="1">
        <v>7119131530</v>
      </c>
      <c r="C12" s="1"/>
      <c r="D12" t="s">
        <v>280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30</v>
      </c>
      <c r="Y12">
        <f>Table1[[#This Row],[qPer board]]*Table1[[#This Row],[boards]]</f>
        <v>51</v>
      </c>
      <c r="Z12" t="s">
        <v>1820</v>
      </c>
      <c r="AA12">
        <f>VLOOKUP(Table1[[#This Row],[MA_Number]], 'rhd batch30'!$A$1:$B$64,2,FALSE)</f>
        <v>3</v>
      </c>
      <c r="AB12">
        <v>17</v>
      </c>
    </row>
    <row r="13" spans="1:28" x14ac:dyDescent="0.3">
      <c r="A13" t="s">
        <v>85</v>
      </c>
      <c r="B13" s="1" t="s">
        <v>526</v>
      </c>
      <c r="C13" s="1"/>
      <c r="D13" t="s">
        <v>280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Y13" t="e">
        <f>Table1[[#This Row],[qPer board]]*Table1[[#This Row],[boards]]</f>
        <v>#N/A</v>
      </c>
      <c r="AA13" t="e">
        <f>VLOOKUP(Table1[[#This Row],[MA_Number]], 'rhd batch30'!$A$1:$B$64,2,FALSE)</f>
        <v>#N/A</v>
      </c>
      <c r="AB13">
        <v>17</v>
      </c>
    </row>
    <row r="14" spans="1:28" x14ac:dyDescent="0.3">
      <c r="A14" t="s">
        <v>86</v>
      </c>
      <c r="B14" s="1">
        <v>7119146730</v>
      </c>
      <c r="C14" s="1"/>
      <c r="D14" t="s">
        <v>280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30</v>
      </c>
      <c r="Y14">
        <f>Table1[[#This Row],[qPer board]]*Table1[[#This Row],[boards]]</f>
        <v>17</v>
      </c>
      <c r="Z14" t="s">
        <v>1820</v>
      </c>
      <c r="AA14">
        <f>VLOOKUP(Table1[[#This Row],[MA_Number]], 'rhd batch30'!$A$1:$B$64,2,FALSE)</f>
        <v>1</v>
      </c>
      <c r="AB14">
        <v>17</v>
      </c>
    </row>
    <row r="15" spans="1:28" x14ac:dyDescent="0.3">
      <c r="A15" t="s">
        <v>87</v>
      </c>
      <c r="B15" s="1">
        <v>71191993</v>
      </c>
      <c r="C15" s="1"/>
      <c r="D15" t="s">
        <v>280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30</v>
      </c>
      <c r="Y15">
        <f>Table1[[#This Row],[qPer board]]*Table1[[#This Row],[boards]]</f>
        <v>17</v>
      </c>
      <c r="Z15" t="s">
        <v>1820</v>
      </c>
      <c r="AA15">
        <f>VLOOKUP(Table1[[#This Row],[MA_Number]], 'rhd batch30'!$A$1:$B$64,2,FALSE)</f>
        <v>1</v>
      </c>
      <c r="AB15">
        <v>17</v>
      </c>
    </row>
    <row r="16" spans="1:28" x14ac:dyDescent="0.3">
      <c r="A16" t="s">
        <v>88</v>
      </c>
      <c r="B16" s="1">
        <v>71196180</v>
      </c>
      <c r="C16" s="1"/>
      <c r="D16" t="s">
        <v>280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Y16" t="e">
        <f>Table1[[#This Row],[qPer board]]*Table1[[#This Row],[boards]]</f>
        <v>#N/A</v>
      </c>
      <c r="AA16" t="e">
        <f>VLOOKUP(Table1[[#This Row],[MA_Number]], 'rhd batch30'!$A$1:$B$64,2,FALSE)</f>
        <v>#N/A</v>
      </c>
      <c r="AB16">
        <v>17</v>
      </c>
    </row>
    <row r="17" spans="1:28" x14ac:dyDescent="0.3">
      <c r="A17" t="s">
        <v>89</v>
      </c>
      <c r="B17" s="1" t="s">
        <v>752</v>
      </c>
      <c r="C17" s="1"/>
      <c r="D17" t="s">
        <v>280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Y17" t="e">
        <f>Table1[[#This Row],[qPer board]]*Table1[[#This Row],[boards]]</f>
        <v>#N/A</v>
      </c>
      <c r="AA17" t="e">
        <f>VLOOKUP(Table1[[#This Row],[MA_Number]], 'rhd batch30'!$A$1:$B$64,2,FALSE)</f>
        <v>#N/A</v>
      </c>
      <c r="AB17">
        <v>17</v>
      </c>
    </row>
    <row r="18" spans="1:28" x14ac:dyDescent="0.3">
      <c r="A18" t="s">
        <v>90</v>
      </c>
      <c r="B18" s="1">
        <v>7119639830</v>
      </c>
      <c r="C18" s="1"/>
      <c r="D18" t="s">
        <v>280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30</v>
      </c>
      <c r="Y18">
        <f>Table1[[#This Row],[qPer board]]*Table1[[#This Row],[boards]]</f>
        <v>17</v>
      </c>
      <c r="Z18" t="s">
        <v>1820</v>
      </c>
      <c r="AA18">
        <f>VLOOKUP(Table1[[#This Row],[MA_Number]], 'rhd batch30'!$A$1:$B$64,2,FALSE)</f>
        <v>1</v>
      </c>
      <c r="AB18">
        <v>17</v>
      </c>
    </row>
    <row r="19" spans="1:28" x14ac:dyDescent="0.3">
      <c r="A19" t="s">
        <v>91</v>
      </c>
      <c r="B19" s="1">
        <v>71196401</v>
      </c>
      <c r="C19" s="1"/>
      <c r="D19" t="s">
        <v>280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30</v>
      </c>
      <c r="Y19">
        <f>Table1[[#This Row],[qPer board]]*Table1[[#This Row],[boards]]</f>
        <v>17</v>
      </c>
      <c r="Z19" t="s">
        <v>1820</v>
      </c>
      <c r="AA19">
        <f>VLOOKUP(Table1[[#This Row],[MA_Number]], 'rhd batch30'!$A$1:$B$64,2,FALSE)</f>
        <v>1</v>
      </c>
      <c r="AB19">
        <v>17</v>
      </c>
    </row>
    <row r="20" spans="1:28" x14ac:dyDescent="0.3">
      <c r="A20" t="s">
        <v>92</v>
      </c>
      <c r="B20" s="1">
        <v>7119641970</v>
      </c>
      <c r="C20" s="1"/>
      <c r="D20" t="s">
        <v>280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Y20" t="e">
        <f>Table1[[#This Row],[qPer board]]*Table1[[#This Row],[boards]]</f>
        <v>#N/A</v>
      </c>
      <c r="AA20" t="e">
        <f>VLOOKUP(Table1[[#This Row],[MA_Number]], 'rhd batch30'!$A$1:$B$64,2,FALSE)</f>
        <v>#N/A</v>
      </c>
      <c r="AB20">
        <v>17</v>
      </c>
    </row>
    <row r="21" spans="1:28" x14ac:dyDescent="0.3">
      <c r="A21" t="s">
        <v>93</v>
      </c>
      <c r="B21" s="1">
        <v>71196506</v>
      </c>
      <c r="C21" s="1"/>
      <c r="D21" t="s">
        <v>280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Y21" t="e">
        <f>Table1[[#This Row],[qPer board]]*Table1[[#This Row],[boards]]</f>
        <v>#N/A</v>
      </c>
      <c r="AA21" t="e">
        <f>VLOOKUP(Table1[[#This Row],[MA_Number]], 'rhd batch30'!$A$1:$B$64,2,FALSE)</f>
        <v>#N/A</v>
      </c>
      <c r="AB21">
        <v>17</v>
      </c>
    </row>
    <row r="22" spans="1:28" x14ac:dyDescent="0.3">
      <c r="A22" t="s">
        <v>94</v>
      </c>
      <c r="B22" s="1" t="s">
        <v>216</v>
      </c>
      <c r="C22" s="1"/>
      <c r="D22" t="s">
        <v>280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Y22" t="e">
        <f>Table1[[#This Row],[qPer board]]*Table1[[#This Row],[boards]]</f>
        <v>#N/A</v>
      </c>
      <c r="AA22" t="e">
        <f>VLOOKUP(Table1[[#This Row],[MA_Number]], 'rhd batch30'!$A$1:$B$64,2,FALSE)</f>
        <v>#N/A</v>
      </c>
      <c r="AB22">
        <v>17</v>
      </c>
    </row>
    <row r="23" spans="1:28" x14ac:dyDescent="0.3">
      <c r="A23" t="s">
        <v>95</v>
      </c>
      <c r="B23" s="1">
        <v>7119668820</v>
      </c>
      <c r="C23" s="1"/>
      <c r="D23" t="s">
        <v>280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Y23" t="e">
        <f>Table1[[#This Row],[qPer board]]*Table1[[#This Row],[boards]]</f>
        <v>#N/A</v>
      </c>
      <c r="AA23" t="e">
        <f>VLOOKUP(Table1[[#This Row],[MA_Number]], 'rhd batch30'!$A$1:$B$64,2,FALSE)</f>
        <v>#N/A</v>
      </c>
      <c r="AB23">
        <v>17</v>
      </c>
    </row>
    <row r="24" spans="1:28" x14ac:dyDescent="0.3">
      <c r="A24" t="s">
        <v>96</v>
      </c>
      <c r="B24" s="1" t="s">
        <v>217</v>
      </c>
      <c r="C24" s="1"/>
      <c r="D24" t="s">
        <v>280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Y24" t="e">
        <f>Table1[[#This Row],[qPer board]]*Table1[[#This Row],[boards]]</f>
        <v>#N/A</v>
      </c>
      <c r="AA24" t="e">
        <f>VLOOKUP(Table1[[#This Row],[MA_Number]], 'rhd batch30'!$A$1:$B$64,2,FALSE)</f>
        <v>#N/A</v>
      </c>
      <c r="AB24">
        <v>17</v>
      </c>
    </row>
    <row r="25" spans="1:28" x14ac:dyDescent="0.3">
      <c r="A25" t="s">
        <v>97</v>
      </c>
      <c r="B25" s="1">
        <v>71196714</v>
      </c>
      <c r="C25" s="1"/>
      <c r="D25" t="s">
        <v>280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30</v>
      </c>
      <c r="Y25">
        <f>Table1[[#This Row],[qPer board]]*Table1[[#This Row],[boards]]</f>
        <v>17</v>
      </c>
      <c r="Z25" t="s">
        <v>1820</v>
      </c>
      <c r="AA25">
        <f>VLOOKUP(Table1[[#This Row],[MA_Number]], 'rhd batch30'!$A$1:$B$64,2,FALSE)</f>
        <v>1</v>
      </c>
      <c r="AB25">
        <v>17</v>
      </c>
    </row>
    <row r="26" spans="1:28" x14ac:dyDescent="0.3">
      <c r="A26" t="s">
        <v>98</v>
      </c>
      <c r="B26" s="1" t="s">
        <v>218</v>
      </c>
      <c r="C26" s="1"/>
      <c r="D26" t="s">
        <v>280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Y26" t="e">
        <f>Table1[[#This Row],[qPer board]]*Table1[[#This Row],[boards]]</f>
        <v>#N/A</v>
      </c>
      <c r="AA26" t="e">
        <f>VLOOKUP(Table1[[#This Row],[MA_Number]], 'rhd batch30'!$A$1:$B$64,2,FALSE)</f>
        <v>#N/A</v>
      </c>
      <c r="AB26">
        <v>17</v>
      </c>
    </row>
    <row r="27" spans="1:28" x14ac:dyDescent="0.3">
      <c r="A27" t="s">
        <v>99</v>
      </c>
      <c r="B27" s="1">
        <v>71781405</v>
      </c>
      <c r="C27" s="1"/>
      <c r="D27" t="s">
        <v>280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Y27" t="e">
        <f>Table1[[#This Row],[qPer board]]*Table1[[#This Row],[boards]]</f>
        <v>#N/A</v>
      </c>
      <c r="AA27" t="e">
        <f>VLOOKUP(Table1[[#This Row],[MA_Number]], 'rhd batch30'!$A$1:$B$64,2,FALSE)</f>
        <v>#N/A</v>
      </c>
      <c r="AB27">
        <v>17</v>
      </c>
    </row>
    <row r="28" spans="1:28" x14ac:dyDescent="0.3">
      <c r="A28" t="s">
        <v>100</v>
      </c>
      <c r="B28" s="1" t="s">
        <v>219</v>
      </c>
      <c r="C28" s="1"/>
      <c r="D28" t="s">
        <v>280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Y28" t="e">
        <f>Table1[[#This Row],[qPer board]]*Table1[[#This Row],[boards]]</f>
        <v>#N/A</v>
      </c>
      <c r="AA28" t="e">
        <f>VLOOKUP(Table1[[#This Row],[MA_Number]], 'rhd batch30'!$A$1:$B$64,2,FALSE)</f>
        <v>#N/A</v>
      </c>
      <c r="AB28">
        <v>17</v>
      </c>
    </row>
    <row r="29" spans="1:28" x14ac:dyDescent="0.3">
      <c r="A29" t="s">
        <v>101</v>
      </c>
      <c r="B29" s="1" t="s">
        <v>552</v>
      </c>
      <c r="C29" s="1"/>
      <c r="D29" t="s">
        <v>280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Y29" t="e">
        <f>Table1[[#This Row],[qPer board]]*Table1[[#This Row],[boards]]</f>
        <v>#N/A</v>
      </c>
      <c r="AA29" t="e">
        <f>VLOOKUP(Table1[[#This Row],[MA_Number]], 'rhd batch30'!$A$1:$B$64,2,FALSE)</f>
        <v>#N/A</v>
      </c>
      <c r="AB29">
        <v>17</v>
      </c>
    </row>
    <row r="30" spans="1:28" x14ac:dyDescent="0.3">
      <c r="A30" t="s">
        <v>102</v>
      </c>
      <c r="B30" s="1" t="s">
        <v>1292</v>
      </c>
      <c r="C30" s="1"/>
      <c r="D30" t="s">
        <v>280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Y30" t="e">
        <f>Table1[[#This Row],[qPer board]]*Table1[[#This Row],[boards]]</f>
        <v>#N/A</v>
      </c>
      <c r="AA30" t="e">
        <f>VLOOKUP(Table1[[#This Row],[MA_Number]], 'rhd batch30'!$A$1:$B$64,2,FALSE)</f>
        <v>#N/A</v>
      </c>
      <c r="AB30">
        <v>17</v>
      </c>
    </row>
    <row r="31" spans="1:28" x14ac:dyDescent="0.3">
      <c r="A31" t="s">
        <v>103</v>
      </c>
      <c r="B31" s="1" t="s">
        <v>221</v>
      </c>
      <c r="C31" s="1"/>
      <c r="D31" t="s">
        <v>280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30</v>
      </c>
      <c r="Y31">
        <f>Table1[[#This Row],[qPer board]]*Table1[[#This Row],[boards]]</f>
        <v>17</v>
      </c>
      <c r="Z31" t="s">
        <v>1820</v>
      </c>
      <c r="AA31">
        <f>VLOOKUP(Table1[[#This Row],[MA_Number]], 'rhd batch30'!$A$1:$B$64,2,FALSE)</f>
        <v>1</v>
      </c>
      <c r="AB31">
        <v>17</v>
      </c>
    </row>
    <row r="32" spans="1:28" x14ac:dyDescent="0.3">
      <c r="A32" t="s">
        <v>104</v>
      </c>
      <c r="B32" s="1" t="s">
        <v>222</v>
      </c>
      <c r="C32" s="1"/>
      <c r="D32" t="s">
        <v>280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Y32" t="e">
        <f>Table1[[#This Row],[qPer board]]*Table1[[#This Row],[boards]]</f>
        <v>#N/A</v>
      </c>
      <c r="AA32" t="e">
        <f>VLOOKUP(Table1[[#This Row],[MA_Number]], 'rhd batch30'!$A$1:$B$64,2,FALSE)</f>
        <v>#N/A</v>
      </c>
      <c r="AB32">
        <v>17</v>
      </c>
    </row>
    <row r="33" spans="1:28" x14ac:dyDescent="0.3">
      <c r="A33" t="s">
        <v>105</v>
      </c>
      <c r="B33" s="1" t="s">
        <v>222</v>
      </c>
      <c r="C33" s="1"/>
      <c r="D33" t="s">
        <v>280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Y33" t="e">
        <f>Table1[[#This Row],[qPer board]]*Table1[[#This Row],[boards]]</f>
        <v>#N/A</v>
      </c>
      <c r="AA33" t="e">
        <f>VLOOKUP(Table1[[#This Row],[MA_Number]], 'rhd batch30'!$A$1:$B$64,2,FALSE)</f>
        <v>#N/A</v>
      </c>
      <c r="AB33">
        <v>17</v>
      </c>
    </row>
    <row r="34" spans="1:28" x14ac:dyDescent="0.3">
      <c r="A34" t="s">
        <v>106</v>
      </c>
      <c r="B34" s="1">
        <v>7189663170</v>
      </c>
      <c r="C34" s="1"/>
      <c r="D34" t="s">
        <v>280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30</v>
      </c>
      <c r="Y34">
        <f>Table1[[#This Row],[qPer board]]*Table1[[#This Row],[boards]]</f>
        <v>34</v>
      </c>
      <c r="Z34" t="s">
        <v>1820</v>
      </c>
      <c r="AA34">
        <f>VLOOKUP(Table1[[#This Row],[MA_Number]], 'rhd batch30'!$A$1:$B$64,2,FALSE)</f>
        <v>2</v>
      </c>
      <c r="AB34">
        <v>17</v>
      </c>
    </row>
    <row r="35" spans="1:28" x14ac:dyDescent="0.3">
      <c r="A35" t="s">
        <v>751</v>
      </c>
      <c r="B35" s="1" t="s">
        <v>1274</v>
      </c>
      <c r="C35" s="1"/>
      <c r="D35" t="s">
        <v>280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Y35" t="e">
        <f>Table1[[#This Row],[qPer board]]*Table1[[#This Row],[boards]]</f>
        <v>#N/A</v>
      </c>
      <c r="AA35" t="e">
        <f>VLOOKUP(Table1[[#This Row],[MA_Number]], 'rhd batch30'!$A$1:$B$64,2,FALSE)</f>
        <v>#N/A</v>
      </c>
      <c r="AB35">
        <v>17</v>
      </c>
    </row>
    <row r="36" spans="1:28" x14ac:dyDescent="0.3">
      <c r="A36" t="s">
        <v>107</v>
      </c>
      <c r="B36" s="1">
        <v>71899503</v>
      </c>
      <c r="C36" s="1"/>
      <c r="D36" t="s">
        <v>280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30</v>
      </c>
      <c r="Y36">
        <f>Table1[[#This Row],[qPer board]]*Table1[[#This Row],[boards]]</f>
        <v>34</v>
      </c>
      <c r="Z36" t="s">
        <v>1820</v>
      </c>
      <c r="AA36">
        <f>VLOOKUP(Table1[[#This Row],[MA_Number]], 'rhd batch30'!$A$1:$B$64,2,FALSE)</f>
        <v>2</v>
      </c>
      <c r="AB36">
        <v>17</v>
      </c>
    </row>
    <row r="37" spans="1:28" x14ac:dyDescent="0.3">
      <c r="A37" t="s">
        <v>108</v>
      </c>
      <c r="B37" s="1">
        <v>7189982830</v>
      </c>
      <c r="C37" s="1"/>
      <c r="D37" t="s">
        <v>280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30</v>
      </c>
      <c r="Y37">
        <f>Table1[[#This Row],[qPer board]]*Table1[[#This Row],[boards]]</f>
        <v>17</v>
      </c>
      <c r="Z37" t="s">
        <v>1820</v>
      </c>
      <c r="AA37">
        <f>VLOOKUP(Table1[[#This Row],[MA_Number]], 'rhd batch30'!$A$1:$B$64,2,FALSE)</f>
        <v>1</v>
      </c>
      <c r="AB37">
        <v>17</v>
      </c>
    </row>
    <row r="38" spans="1:28" x14ac:dyDescent="0.3">
      <c r="A38" t="s">
        <v>109</v>
      </c>
      <c r="B38" s="1" t="s">
        <v>860</v>
      </c>
      <c r="C38" s="1"/>
      <c r="D38" t="s">
        <v>280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Y38" t="e">
        <f>Table1[[#This Row],[qPer board]]*Table1[[#This Row],[boards]]</f>
        <v>#N/A</v>
      </c>
      <c r="AA38" t="e">
        <f>VLOOKUP(Table1[[#This Row],[MA_Number]], 'rhd batch30'!$A$1:$B$64,2,FALSE)</f>
        <v>#N/A</v>
      </c>
      <c r="AB38">
        <v>17</v>
      </c>
    </row>
    <row r="39" spans="1:28" x14ac:dyDescent="0.3">
      <c r="A39" t="s">
        <v>110</v>
      </c>
      <c r="B39" s="1" t="s">
        <v>224</v>
      </c>
      <c r="C39" s="1"/>
      <c r="D39" t="s">
        <v>280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Y39" t="e">
        <f>Table1[[#This Row],[qPer board]]*Table1[[#This Row],[boards]]</f>
        <v>#N/A</v>
      </c>
      <c r="AA39" t="e">
        <f>VLOOKUP(Table1[[#This Row],[MA_Number]], 'rhd batch30'!$A$1:$B$64,2,FALSE)</f>
        <v>#N/A</v>
      </c>
      <c r="AB39">
        <v>17</v>
      </c>
    </row>
    <row r="40" spans="1:28" x14ac:dyDescent="0.3">
      <c r="A40" t="s">
        <v>111</v>
      </c>
      <c r="B40" s="1" t="s">
        <v>225</v>
      </c>
      <c r="C40" s="1"/>
      <c r="D40" t="s">
        <v>280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Y40" t="e">
        <f>Table1[[#This Row],[qPer board]]*Table1[[#This Row],[boards]]</f>
        <v>#N/A</v>
      </c>
      <c r="AA40" t="e">
        <f>VLOOKUP(Table1[[#This Row],[MA_Number]], 'rhd batch30'!$A$1:$B$64,2,FALSE)</f>
        <v>#N/A</v>
      </c>
      <c r="AB40">
        <v>17</v>
      </c>
    </row>
    <row r="41" spans="1:28" x14ac:dyDescent="0.3">
      <c r="A41" t="s">
        <v>112</v>
      </c>
      <c r="B41" s="1">
        <v>71980943</v>
      </c>
      <c r="C41" s="1"/>
      <c r="D41" t="s">
        <v>280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Y41" t="e">
        <f>Table1[[#This Row],[qPer board]]*Table1[[#This Row],[boards]]</f>
        <v>#N/A</v>
      </c>
      <c r="AA41" t="e">
        <f>VLOOKUP(Table1[[#This Row],[MA_Number]], 'rhd batch30'!$A$1:$B$64,2,FALSE)</f>
        <v>#N/A</v>
      </c>
      <c r="AB41">
        <v>17</v>
      </c>
    </row>
    <row r="42" spans="1:28" x14ac:dyDescent="0.3">
      <c r="A42" t="s">
        <v>113</v>
      </c>
      <c r="B42" s="1" t="s">
        <v>1275</v>
      </c>
      <c r="C42" s="1"/>
      <c r="D42" t="s">
        <v>280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Y42" t="e">
        <f>Table1[[#This Row],[qPer board]]*Table1[[#This Row],[boards]]</f>
        <v>#N/A</v>
      </c>
      <c r="AA42" t="e">
        <f>VLOOKUP(Table1[[#This Row],[MA_Number]], 'rhd batch30'!$A$1:$B$64,2,FALSE)</f>
        <v>#N/A</v>
      </c>
      <c r="AB42">
        <v>17</v>
      </c>
    </row>
    <row r="43" spans="1:28" x14ac:dyDescent="0.3">
      <c r="A43" t="s">
        <v>750</v>
      </c>
      <c r="B43" s="1">
        <v>71986562</v>
      </c>
      <c r="C43" s="1"/>
      <c r="D43" t="s">
        <v>280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30</v>
      </c>
      <c r="Y43">
        <f>Table1[[#This Row],[qPer board]]*Table1[[#This Row],[boards]]</f>
        <v>17</v>
      </c>
      <c r="Z43" t="s">
        <v>1820</v>
      </c>
      <c r="AA43">
        <f>VLOOKUP(Table1[[#This Row],[MA_Number]], 'rhd batch30'!$A$1:$B$64,2,FALSE)</f>
        <v>1</v>
      </c>
      <c r="AB43">
        <v>17</v>
      </c>
    </row>
    <row r="44" spans="1:28" x14ac:dyDescent="0.3">
      <c r="A44" t="s">
        <v>114</v>
      </c>
      <c r="B44" s="1" t="s">
        <v>227</v>
      </c>
      <c r="C44" s="1"/>
      <c r="D44" t="s">
        <v>280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Y44" t="e">
        <f>Table1[[#This Row],[qPer board]]*Table1[[#This Row],[boards]]</f>
        <v>#N/A</v>
      </c>
      <c r="AA44" t="e">
        <f>VLOOKUP(Table1[[#This Row],[MA_Number]], 'rhd batch30'!$A$1:$B$64,2,FALSE)</f>
        <v>#N/A</v>
      </c>
      <c r="AB44">
        <v>17</v>
      </c>
    </row>
    <row r="45" spans="1:28" x14ac:dyDescent="0.3">
      <c r="A45" t="s">
        <v>115</v>
      </c>
      <c r="B45" s="1" t="s">
        <v>1276</v>
      </c>
      <c r="C45" s="1"/>
      <c r="D45" t="s">
        <v>280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Y45" t="e">
        <f>Table1[[#This Row],[qPer board]]*Table1[[#This Row],[boards]]</f>
        <v>#N/A</v>
      </c>
      <c r="AA45" t="e">
        <f>VLOOKUP(Table1[[#This Row],[MA_Number]], 'rhd batch30'!$A$1:$B$64,2,FALSE)</f>
        <v>#N/A</v>
      </c>
      <c r="AB45">
        <v>17</v>
      </c>
    </row>
    <row r="46" spans="1:28" x14ac:dyDescent="0.3">
      <c r="A46" t="s">
        <v>116</v>
      </c>
      <c r="B46" s="1" t="s">
        <v>1277</v>
      </c>
      <c r="C46" s="1"/>
      <c r="D46" t="s">
        <v>280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Y46" t="e">
        <f>Table1[[#This Row],[qPer board]]*Table1[[#This Row],[boards]]</f>
        <v>#N/A</v>
      </c>
      <c r="AA46" t="e">
        <f>VLOOKUP(Table1[[#This Row],[MA_Number]], 'rhd batch30'!$A$1:$B$64,2,FALSE)</f>
        <v>#N/A</v>
      </c>
      <c r="AB46">
        <v>17</v>
      </c>
    </row>
    <row r="47" spans="1:28" x14ac:dyDescent="0.3">
      <c r="A47" t="s">
        <v>117</v>
      </c>
      <c r="B47" s="1">
        <v>7198796290</v>
      </c>
      <c r="C47" s="1"/>
      <c r="D47" t="s">
        <v>280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30</v>
      </c>
      <c r="Y47">
        <f>Table1[[#This Row],[qPer board]]*Table1[[#This Row],[boards]]</f>
        <v>34</v>
      </c>
      <c r="Z47" t="s">
        <v>1820</v>
      </c>
      <c r="AA47">
        <f>VLOOKUP(Table1[[#This Row],[MA_Number]], 'rhd batch30'!$A$1:$B$64,2,FALSE)</f>
        <v>2</v>
      </c>
      <c r="AB47">
        <v>17</v>
      </c>
    </row>
    <row r="48" spans="1:28" x14ac:dyDescent="0.3">
      <c r="A48" t="s">
        <v>118</v>
      </c>
      <c r="B48" s="1">
        <v>71988082</v>
      </c>
      <c r="C48" s="1"/>
      <c r="D48" t="s">
        <v>280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X48">
        <v>30</v>
      </c>
      <c r="Y48">
        <f>Table1[[#This Row],[qPer board]]*Table1[[#This Row],[boards]]</f>
        <v>17</v>
      </c>
      <c r="Z48" t="s">
        <v>1820</v>
      </c>
      <c r="AA48">
        <f>VLOOKUP(Table1[[#This Row],[MA_Number]], 'rhd batch30'!$A$1:$B$64,2,FALSE)</f>
        <v>1</v>
      </c>
      <c r="AB48">
        <v>17</v>
      </c>
    </row>
    <row r="49" spans="1:28" x14ac:dyDescent="0.3">
      <c r="A49" t="s">
        <v>119</v>
      </c>
      <c r="B49" s="1" t="s">
        <v>653</v>
      </c>
      <c r="C49" s="1"/>
      <c r="D49" t="s">
        <v>280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Y49" t="e">
        <f>Table1[[#This Row],[qPer board]]*Table1[[#This Row],[boards]]</f>
        <v>#N/A</v>
      </c>
      <c r="AA49" t="e">
        <f>VLOOKUP(Table1[[#This Row],[MA_Number]], 'rhd batch30'!$A$1:$B$64,2,FALSE)</f>
        <v>#N/A</v>
      </c>
      <c r="AB49">
        <v>17</v>
      </c>
    </row>
    <row r="50" spans="1:28" x14ac:dyDescent="0.3">
      <c r="A50" t="s">
        <v>120</v>
      </c>
      <c r="B50" s="1" t="s">
        <v>230</v>
      </c>
      <c r="C50" s="1"/>
      <c r="D50" t="s">
        <v>280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Y50" t="e">
        <f>Table1[[#This Row],[qPer board]]*Table1[[#This Row],[boards]]</f>
        <v>#N/A</v>
      </c>
      <c r="AA50" t="e">
        <f>VLOOKUP(Table1[[#This Row],[MA_Number]], 'rhd batch30'!$A$1:$B$64,2,FALSE)</f>
        <v>#N/A</v>
      </c>
      <c r="AB50">
        <v>17</v>
      </c>
    </row>
    <row r="51" spans="1:28" x14ac:dyDescent="0.3">
      <c r="A51" t="s">
        <v>121</v>
      </c>
      <c r="B51" s="1">
        <v>7198916130</v>
      </c>
      <c r="C51" s="1"/>
      <c r="D51" t="s">
        <v>280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30</v>
      </c>
      <c r="Y51">
        <f>Table1[[#This Row],[qPer board]]*Table1[[#This Row],[boards]]</f>
        <v>17</v>
      </c>
      <c r="Z51" t="s">
        <v>1820</v>
      </c>
      <c r="AA51">
        <f>VLOOKUP(Table1[[#This Row],[MA_Number]], 'rhd batch30'!$A$1:$B$64,2,FALSE)</f>
        <v>1</v>
      </c>
      <c r="AB51">
        <v>17</v>
      </c>
    </row>
    <row r="52" spans="1:28" x14ac:dyDescent="0.3">
      <c r="A52" t="s">
        <v>122</v>
      </c>
      <c r="B52" s="1">
        <v>71989162</v>
      </c>
      <c r="C52" s="1"/>
      <c r="D52" t="s">
        <v>280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30</v>
      </c>
      <c r="Y52">
        <f>Table1[[#This Row],[qPer board]]*Table1[[#This Row],[boards]]</f>
        <v>51</v>
      </c>
      <c r="Z52" t="s">
        <v>1820</v>
      </c>
      <c r="AA52">
        <f>VLOOKUP(Table1[[#This Row],[MA_Number]], 'rhd batch30'!$A$1:$B$64,2,FALSE)</f>
        <v>3</v>
      </c>
      <c r="AB52">
        <v>17</v>
      </c>
    </row>
    <row r="53" spans="1:28" x14ac:dyDescent="0.3">
      <c r="A53" t="s">
        <v>123</v>
      </c>
      <c r="B53" s="1">
        <v>7198948560</v>
      </c>
      <c r="C53" s="1"/>
      <c r="D53" t="s">
        <v>280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30</v>
      </c>
      <c r="Y53">
        <f>Table1[[#This Row],[qPer board]]*Table1[[#This Row],[boards]]</f>
        <v>17</v>
      </c>
      <c r="Z53" t="s">
        <v>1820</v>
      </c>
      <c r="AA53">
        <f>VLOOKUP(Table1[[#This Row],[MA_Number]], 'rhd batch30'!$A$1:$B$64,2,FALSE)</f>
        <v>1</v>
      </c>
      <c r="AB53">
        <v>17</v>
      </c>
    </row>
    <row r="54" spans="1:28" x14ac:dyDescent="0.3">
      <c r="A54" t="s">
        <v>124</v>
      </c>
      <c r="B54" s="1">
        <v>7223686530</v>
      </c>
      <c r="C54" s="1"/>
      <c r="D54" t="s">
        <v>280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Y54" t="e">
        <f>Table1[[#This Row],[qPer board]]*Table1[[#This Row],[boards]]</f>
        <v>#N/A</v>
      </c>
      <c r="AA54" t="e">
        <f>VLOOKUP(Table1[[#This Row],[MA_Number]], 'rhd batch30'!$A$1:$B$64,2,FALSE)</f>
        <v>#N/A</v>
      </c>
      <c r="AB54">
        <v>17</v>
      </c>
    </row>
    <row r="55" spans="1:28" x14ac:dyDescent="0.3">
      <c r="A55" t="s">
        <v>125</v>
      </c>
      <c r="B55" s="1">
        <v>7271007030</v>
      </c>
      <c r="C55" s="1" t="s">
        <v>1264</v>
      </c>
      <c r="D55" t="s">
        <v>280</v>
      </c>
      <c r="F55" t="b">
        <v>1</v>
      </c>
      <c r="I55">
        <v>1</v>
      </c>
      <c r="X55">
        <v>30</v>
      </c>
      <c r="Y55">
        <f>Table1[[#This Row],[qPer board]]*Table1[[#This Row],[boards]]</f>
        <v>17</v>
      </c>
      <c r="Z55" t="s">
        <v>1820</v>
      </c>
      <c r="AA55">
        <f>VLOOKUP(Table1[[#This Row],[MA_Number]], 'rhd batch30'!$A$1:$B$64,2,FALSE)</f>
        <v>1</v>
      </c>
      <c r="AB55">
        <v>17</v>
      </c>
    </row>
    <row r="56" spans="1:28" x14ac:dyDescent="0.3">
      <c r="B56" s="1">
        <v>7271007030</v>
      </c>
      <c r="C56" s="1"/>
      <c r="G56" t="s">
        <v>125</v>
      </c>
      <c r="H56" t="s">
        <v>1362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Y56" t="e">
        <f>Table1[[#This Row],[qPer board]]*Table1[[#This Row],[boards]]</f>
        <v>#N/A</v>
      </c>
      <c r="AA56" t="e">
        <f>VLOOKUP(Table1[[#This Row],[MA_Number]], 'rhd batch30'!$A$1:$B$64,2,FALSE)</f>
        <v>#N/A</v>
      </c>
      <c r="AB56">
        <v>17</v>
      </c>
    </row>
    <row r="57" spans="1:28" x14ac:dyDescent="0.3">
      <c r="B57" s="1">
        <v>7271007030</v>
      </c>
      <c r="C57" s="1"/>
      <c r="G57" t="s">
        <v>125</v>
      </c>
      <c r="H57" t="s">
        <v>1363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Y57" t="e">
        <f>Table1[[#This Row],[qPer board]]*Table1[[#This Row],[boards]]</f>
        <v>#N/A</v>
      </c>
      <c r="AA57" t="e">
        <f>VLOOKUP(Table1[[#This Row],[MA_Number]], 'rhd batch30'!$A$1:$B$64,2,FALSE)</f>
        <v>#N/A</v>
      </c>
      <c r="AB57">
        <v>17</v>
      </c>
    </row>
    <row r="58" spans="1:28" x14ac:dyDescent="0.3">
      <c r="A58" t="s">
        <v>127</v>
      </c>
      <c r="B58" s="1" t="s">
        <v>861</v>
      </c>
      <c r="C58" s="1"/>
      <c r="D58" t="s">
        <v>280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Y58" t="e">
        <f>Table1[[#This Row],[qPer board]]*Table1[[#This Row],[boards]]</f>
        <v>#N/A</v>
      </c>
      <c r="AA58" t="e">
        <f>VLOOKUP(Table1[[#This Row],[MA_Number]], 'rhd batch30'!$A$1:$B$64,2,FALSE)</f>
        <v>#N/A</v>
      </c>
      <c r="AB58">
        <v>17</v>
      </c>
    </row>
    <row r="59" spans="1:28" x14ac:dyDescent="0.3">
      <c r="A59" t="s">
        <v>128</v>
      </c>
      <c r="B59" s="1">
        <v>7278246930</v>
      </c>
      <c r="C59" s="1"/>
      <c r="D59" t="s">
        <v>280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Y59" t="e">
        <f>Table1[[#This Row],[qPer board]]*Table1[[#This Row],[boards]]</f>
        <v>#N/A</v>
      </c>
      <c r="AA59" t="e">
        <f>VLOOKUP(Table1[[#This Row],[MA_Number]], 'rhd batch30'!$A$1:$B$64,2,FALSE)</f>
        <v>#N/A</v>
      </c>
      <c r="AB59">
        <v>17</v>
      </c>
    </row>
    <row r="60" spans="1:28" x14ac:dyDescent="0.3">
      <c r="A60" t="s">
        <v>129</v>
      </c>
      <c r="B60" s="1">
        <v>7283837230</v>
      </c>
      <c r="C60" s="1"/>
      <c r="D60" t="s">
        <v>280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Y60" t="e">
        <f>Table1[[#This Row],[qPer board]]*Table1[[#This Row],[boards]]</f>
        <v>#N/A</v>
      </c>
      <c r="AA60" t="e">
        <f>VLOOKUP(Table1[[#This Row],[MA_Number]], 'rhd batch30'!$A$1:$B$64,2,FALSE)</f>
        <v>#N/A</v>
      </c>
      <c r="AB60">
        <v>17</v>
      </c>
    </row>
    <row r="61" spans="1:28" x14ac:dyDescent="0.3">
      <c r="A61" t="s">
        <v>130</v>
      </c>
      <c r="B61" s="1" t="s">
        <v>1287</v>
      </c>
      <c r="C61" s="1"/>
      <c r="D61" t="s">
        <v>280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Y61" t="e">
        <f>Table1[[#This Row],[qPer board]]*Table1[[#This Row],[boards]]</f>
        <v>#N/A</v>
      </c>
      <c r="AA61" t="e">
        <f>VLOOKUP(Table1[[#This Row],[MA_Number]], 'rhd batch30'!$A$1:$B$64,2,FALSE)</f>
        <v>#N/A</v>
      </c>
      <c r="AB61">
        <v>17</v>
      </c>
    </row>
    <row r="62" spans="1:28" x14ac:dyDescent="0.3">
      <c r="A62" t="s">
        <v>131</v>
      </c>
      <c r="B62" s="1" t="s">
        <v>1288</v>
      </c>
      <c r="C62" s="1"/>
      <c r="D62" t="s">
        <v>280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Y62" t="e">
        <f>Table1[[#This Row],[qPer board]]*Table1[[#This Row],[boards]]</f>
        <v>#N/A</v>
      </c>
      <c r="AA62" t="e">
        <f>VLOOKUP(Table1[[#This Row],[MA_Number]], 'rhd batch30'!$A$1:$B$64,2,FALSE)</f>
        <v>#N/A</v>
      </c>
      <c r="AB62">
        <v>17</v>
      </c>
    </row>
    <row r="63" spans="1:28" x14ac:dyDescent="0.3">
      <c r="A63" t="s">
        <v>132</v>
      </c>
      <c r="B63" s="1">
        <v>7289896430</v>
      </c>
      <c r="C63" s="1"/>
      <c r="D63" t="s">
        <v>280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30</v>
      </c>
      <c r="Y63">
        <f>Table1[[#This Row],[qPer board]]*Table1[[#This Row],[boards]]</f>
        <v>17</v>
      </c>
      <c r="Z63" t="s">
        <v>1820</v>
      </c>
      <c r="AA63">
        <f>VLOOKUP(Table1[[#This Row],[MA_Number]], 'rhd batch30'!$A$1:$B$64,2,FALSE)</f>
        <v>1</v>
      </c>
      <c r="AB63">
        <v>17</v>
      </c>
    </row>
    <row r="64" spans="1:28" x14ac:dyDescent="0.3">
      <c r="A64" t="s">
        <v>133</v>
      </c>
      <c r="B64" s="1">
        <v>72897304</v>
      </c>
      <c r="C64" s="1"/>
      <c r="D64" t="s">
        <v>280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30</v>
      </c>
      <c r="Y64">
        <f>Table1[[#This Row],[qPer board]]*Table1[[#This Row],[boards]]</f>
        <v>34</v>
      </c>
      <c r="Z64" t="s">
        <v>1820</v>
      </c>
      <c r="AA64">
        <f>VLOOKUP(Table1[[#This Row],[MA_Number]], 'rhd batch30'!$A$1:$B$64,2,FALSE)</f>
        <v>2</v>
      </c>
      <c r="AB64">
        <v>17</v>
      </c>
    </row>
    <row r="65" spans="1:28" x14ac:dyDescent="0.3">
      <c r="A65" t="s">
        <v>134</v>
      </c>
      <c r="B65" s="1">
        <v>7297944190</v>
      </c>
      <c r="C65" s="1"/>
      <c r="D65" t="s">
        <v>280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30</v>
      </c>
      <c r="Y65">
        <f>Table1[[#This Row],[qPer board]]*Table1[[#This Row],[boards]]</f>
        <v>34</v>
      </c>
      <c r="Z65" t="s">
        <v>1820</v>
      </c>
      <c r="AA65">
        <f>VLOOKUP(Table1[[#This Row],[MA_Number]], 'rhd batch30'!$A$1:$B$64,2,FALSE)</f>
        <v>2</v>
      </c>
      <c r="AB65">
        <v>17</v>
      </c>
    </row>
    <row r="66" spans="1:28" x14ac:dyDescent="0.3">
      <c r="A66" t="s">
        <v>295</v>
      </c>
      <c r="B66" s="1">
        <v>72988085</v>
      </c>
      <c r="C66" s="1"/>
      <c r="D66" t="s">
        <v>280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Y66" t="e">
        <f>Table1[[#This Row],[qPer board]]*Table1[[#This Row],[boards]]</f>
        <v>#N/A</v>
      </c>
      <c r="AA66" t="e">
        <f>VLOOKUP(Table1[[#This Row],[MA_Number]], 'rhd batch30'!$A$1:$B$64,2,FALSE)</f>
        <v>#N/A</v>
      </c>
      <c r="AB66">
        <v>17</v>
      </c>
    </row>
    <row r="67" spans="1:28" x14ac:dyDescent="0.3">
      <c r="A67" t="s">
        <v>135</v>
      </c>
      <c r="B67" s="1" t="s">
        <v>234</v>
      </c>
      <c r="C67" s="1"/>
      <c r="D67" t="s">
        <v>280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Y67" t="e">
        <f>Table1[[#This Row],[qPer board]]*Table1[[#This Row],[boards]]</f>
        <v>#N/A</v>
      </c>
      <c r="AA67" t="e">
        <f>VLOOKUP(Table1[[#This Row],[MA_Number]], 'rhd batch30'!$A$1:$B$64,2,FALSE)</f>
        <v>#N/A</v>
      </c>
      <c r="AB67">
        <v>17</v>
      </c>
    </row>
    <row r="68" spans="1:28" x14ac:dyDescent="0.3">
      <c r="A68" t="s">
        <v>1408</v>
      </c>
      <c r="B68" s="1" t="s">
        <v>235</v>
      </c>
      <c r="C68" s="1"/>
      <c r="D68" t="s">
        <v>280</v>
      </c>
      <c r="E68" t="s">
        <v>1812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24</v>
      </c>
      <c r="Y68">
        <f>Table1[[#This Row],[qPer board]]*Table1[[#This Row],[boards]]</f>
        <v>112</v>
      </c>
      <c r="Z68" t="s">
        <v>1348</v>
      </c>
      <c r="AA68">
        <v>4</v>
      </c>
      <c r="AB68">
        <v>28</v>
      </c>
    </row>
    <row r="69" spans="1:28" x14ac:dyDescent="0.3">
      <c r="A69" t="s">
        <v>136</v>
      </c>
      <c r="B69" s="1" t="s">
        <v>236</v>
      </c>
      <c r="C69" s="1"/>
      <c r="D69" t="s">
        <v>280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Y69" t="e">
        <f>Table1[[#This Row],[qPer board]]*Table1[[#This Row],[boards]]</f>
        <v>#N/A</v>
      </c>
      <c r="AA69" t="e">
        <f>VLOOKUP(Table1[[#This Row],[MA_Number]], 'rhd batch30'!$A$1:$B$64,2,FALSE)</f>
        <v>#N/A</v>
      </c>
      <c r="AB69">
        <v>17</v>
      </c>
    </row>
    <row r="70" spans="1:28" x14ac:dyDescent="0.3">
      <c r="A70" t="s">
        <v>137</v>
      </c>
      <c r="B70" s="1" t="s">
        <v>1289</v>
      </c>
      <c r="C70" s="1" t="s">
        <v>237</v>
      </c>
      <c r="D70" t="s">
        <v>280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Y70">
        <f>Table1[[#This Row],[qPer board]]*Table1[[#This Row],[boards]]</f>
        <v>0</v>
      </c>
      <c r="AB70">
        <v>17</v>
      </c>
    </row>
    <row r="71" spans="1:28" x14ac:dyDescent="0.3">
      <c r="A71" t="s">
        <v>138</v>
      </c>
      <c r="B71" s="1" t="s">
        <v>597</v>
      </c>
      <c r="C71" s="1"/>
      <c r="D71" t="s">
        <v>280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30</v>
      </c>
      <c r="Y71">
        <f>Table1[[#This Row],[qPer board]]*Table1[[#This Row],[boards]]</f>
        <v>34</v>
      </c>
      <c r="Z71" t="s">
        <v>1820</v>
      </c>
      <c r="AA71">
        <f>VLOOKUP(Table1[[#This Row],[MA_Number]], 'rhd batch30'!$A$1:$B$64,2,FALSE)</f>
        <v>2</v>
      </c>
      <c r="AB71">
        <v>17</v>
      </c>
    </row>
    <row r="72" spans="1:28" x14ac:dyDescent="0.3">
      <c r="A72" t="s">
        <v>139</v>
      </c>
      <c r="B72" s="1" t="s">
        <v>238</v>
      </c>
      <c r="C72" s="1"/>
      <c r="D72" t="s">
        <v>280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30</v>
      </c>
      <c r="Y72">
        <f>Table1[[#This Row],[qPer board]]*Table1[[#This Row],[boards]]</f>
        <v>34</v>
      </c>
      <c r="Z72" t="s">
        <v>1820</v>
      </c>
      <c r="AA72">
        <f>VLOOKUP(Table1[[#This Row],[MA_Number]], 'rhd batch30'!$A$1:$B$64,2,FALSE)</f>
        <v>2</v>
      </c>
      <c r="AB72">
        <v>17</v>
      </c>
    </row>
    <row r="73" spans="1:28" x14ac:dyDescent="0.3">
      <c r="A73" t="s">
        <v>140</v>
      </c>
      <c r="B73" s="1" t="s">
        <v>239</v>
      </c>
      <c r="C73" s="1"/>
      <c r="D73" t="s">
        <v>280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Y73" t="e">
        <f>Table1[[#This Row],[qPer board]]*Table1[[#This Row],[boards]]</f>
        <v>#N/A</v>
      </c>
      <c r="AA73" t="e">
        <f>VLOOKUP(Table1[[#This Row],[MA_Number]], 'rhd batch30'!$A$1:$B$64,2,FALSE)</f>
        <v>#N/A</v>
      </c>
      <c r="AB73">
        <v>17</v>
      </c>
    </row>
    <row r="74" spans="1:28" x14ac:dyDescent="0.3">
      <c r="A74" t="s">
        <v>141</v>
      </c>
      <c r="B74" s="1" t="s">
        <v>240</v>
      </c>
      <c r="C74" s="1"/>
      <c r="D74" t="s">
        <v>280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30</v>
      </c>
      <c r="Y74">
        <f>Table1[[#This Row],[qPer board]]*Table1[[#This Row],[boards]]</f>
        <v>34</v>
      </c>
      <c r="Z74" t="s">
        <v>1820</v>
      </c>
      <c r="AA74">
        <f>VLOOKUP(Table1[[#This Row],[MA_Number]], 'rhd batch30'!$A$1:$B$64,2,FALSE)</f>
        <v>2</v>
      </c>
      <c r="AB74">
        <v>17</v>
      </c>
    </row>
    <row r="75" spans="1:28" x14ac:dyDescent="0.3">
      <c r="A75" t="s">
        <v>142</v>
      </c>
      <c r="B75" s="1" t="s">
        <v>862</v>
      </c>
      <c r="C75" s="1"/>
      <c r="D75" t="s">
        <v>280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30</v>
      </c>
      <c r="Y75">
        <f>Table1[[#This Row],[qPer board]]*Table1[[#This Row],[boards]]</f>
        <v>34</v>
      </c>
      <c r="Z75" t="s">
        <v>1820</v>
      </c>
      <c r="AA75">
        <f>VLOOKUP(Table1[[#This Row],[MA_Number]], 'rhd batch30'!$A$1:$B$64,2,FALSE)</f>
        <v>2</v>
      </c>
      <c r="AB75">
        <v>17</v>
      </c>
    </row>
    <row r="76" spans="1:28" x14ac:dyDescent="0.3">
      <c r="A76" t="s">
        <v>143</v>
      </c>
      <c r="B76" s="1" t="s">
        <v>241</v>
      </c>
      <c r="C76" s="1"/>
      <c r="D76" t="s">
        <v>280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30</v>
      </c>
      <c r="Y76">
        <f>Table1[[#This Row],[qPer board]]*Table1[[#This Row],[boards]]</f>
        <v>34</v>
      </c>
      <c r="Z76" t="s">
        <v>1820</v>
      </c>
      <c r="AA76">
        <f>VLOOKUP(Table1[[#This Row],[MA_Number]], 'rhd batch30'!$A$1:$B$64,2,FALSE)</f>
        <v>2</v>
      </c>
      <c r="AB76">
        <v>17</v>
      </c>
    </row>
    <row r="77" spans="1:28" x14ac:dyDescent="0.3">
      <c r="A77" t="s">
        <v>144</v>
      </c>
      <c r="B77" s="1" t="s">
        <v>242</v>
      </c>
      <c r="C77" s="1"/>
      <c r="D77" t="s">
        <v>280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30</v>
      </c>
      <c r="Y77">
        <f>Table1[[#This Row],[qPer board]]*Table1[[#This Row],[boards]]</f>
        <v>17</v>
      </c>
      <c r="Z77" t="s">
        <v>1820</v>
      </c>
      <c r="AA77">
        <f>VLOOKUP(Table1[[#This Row],[MA_Number]], 'rhd batch30'!$A$1:$B$64,2,FALSE)</f>
        <v>1</v>
      </c>
      <c r="AB77">
        <v>17</v>
      </c>
    </row>
    <row r="78" spans="1:28" x14ac:dyDescent="0.3">
      <c r="A78" t="s">
        <v>145</v>
      </c>
      <c r="B78" s="1" t="s">
        <v>863</v>
      </c>
      <c r="C78" s="1"/>
      <c r="D78" t="s">
        <v>280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30</v>
      </c>
      <c r="Y78">
        <f>Table1[[#This Row],[qPer board]]*Table1[[#This Row],[boards]]</f>
        <v>17</v>
      </c>
      <c r="Z78" t="s">
        <v>1820</v>
      </c>
      <c r="AA78">
        <f>VLOOKUP(Table1[[#This Row],[MA_Number]], 'rhd batch30'!$A$1:$B$64,2,FALSE)</f>
        <v>1</v>
      </c>
      <c r="AB78">
        <v>17</v>
      </c>
    </row>
    <row r="79" spans="1:28" x14ac:dyDescent="0.3">
      <c r="A79" t="s">
        <v>146</v>
      </c>
      <c r="B79" s="1" t="s">
        <v>243</v>
      </c>
      <c r="C79" s="1"/>
      <c r="D79" t="s">
        <v>280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Y79" t="e">
        <f>Table1[[#This Row],[qPer board]]*Table1[[#This Row],[boards]]</f>
        <v>#N/A</v>
      </c>
      <c r="AA79" t="e">
        <f>VLOOKUP(Table1[[#This Row],[MA_Number]], 'rhd batch30'!$A$1:$B$64,2,FALSE)</f>
        <v>#N/A</v>
      </c>
      <c r="AB79">
        <v>17</v>
      </c>
    </row>
    <row r="80" spans="1:28" x14ac:dyDescent="0.3">
      <c r="A80" t="s">
        <v>147</v>
      </c>
      <c r="B80" s="1" t="s">
        <v>244</v>
      </c>
      <c r="C80" s="1"/>
      <c r="D80" t="s">
        <v>280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30</v>
      </c>
      <c r="Y80">
        <f>Table1[[#This Row],[qPer board]]*Table1[[#This Row],[boards]]</f>
        <v>34</v>
      </c>
      <c r="Z80" t="s">
        <v>1820</v>
      </c>
      <c r="AA80">
        <f>VLOOKUP(Table1[[#This Row],[MA_Number]], 'rhd batch30'!$A$1:$B$64,2,FALSE)</f>
        <v>2</v>
      </c>
      <c r="AB80">
        <v>17</v>
      </c>
    </row>
    <row r="81" spans="1:28" x14ac:dyDescent="0.3">
      <c r="A81" t="s">
        <v>148</v>
      </c>
      <c r="B81" s="1" t="s">
        <v>245</v>
      </c>
      <c r="C81" s="1"/>
      <c r="D81" t="s">
        <v>280</v>
      </c>
      <c r="E81" t="s">
        <v>1812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30</v>
      </c>
      <c r="Y81">
        <f>Table1[[#This Row],[qPer board]]*Table1[[#This Row],[boards]]</f>
        <v>17</v>
      </c>
      <c r="Z81" t="s">
        <v>1820</v>
      </c>
      <c r="AA81">
        <f>VLOOKUP(Table1[[#This Row],[MA_Number]], 'rhd batch30'!$A$1:$B$64,2,FALSE)</f>
        <v>1</v>
      </c>
      <c r="AB81">
        <v>17</v>
      </c>
    </row>
    <row r="82" spans="1:28" x14ac:dyDescent="0.3">
      <c r="A82" t="s">
        <v>149</v>
      </c>
      <c r="B82" s="1" t="s">
        <v>246</v>
      </c>
      <c r="C82" s="1"/>
      <c r="D82" t="s">
        <v>280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30</v>
      </c>
      <c r="Y82">
        <f>Table1[[#This Row],[qPer board]]*Table1[[#This Row],[boards]]</f>
        <v>17</v>
      </c>
      <c r="Z82" t="s">
        <v>1820</v>
      </c>
      <c r="AA82">
        <f>VLOOKUP(Table1[[#This Row],[MA_Number]], 'rhd batch30'!$A$1:$B$64,2,FALSE)</f>
        <v>1</v>
      </c>
      <c r="AB82">
        <v>17</v>
      </c>
    </row>
    <row r="83" spans="1:28" x14ac:dyDescent="0.3">
      <c r="A83" t="s">
        <v>150</v>
      </c>
      <c r="B83" s="1" t="s">
        <v>247</v>
      </c>
      <c r="C83" s="1"/>
      <c r="D83" t="s">
        <v>280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30</v>
      </c>
      <c r="Y83">
        <f>Table1[[#This Row],[qPer board]]*Table1[[#This Row],[boards]]</f>
        <v>17</v>
      </c>
      <c r="Z83" t="s">
        <v>1820</v>
      </c>
      <c r="AA83">
        <f>VLOOKUP(Table1[[#This Row],[MA_Number]], 'rhd batch30'!$A$1:$B$64,2,FALSE)</f>
        <v>1</v>
      </c>
      <c r="AB83">
        <v>17</v>
      </c>
    </row>
    <row r="84" spans="1:28" x14ac:dyDescent="0.3">
      <c r="A84" t="s">
        <v>151</v>
      </c>
      <c r="B84" s="1" t="s">
        <v>248</v>
      </c>
      <c r="C84" s="1"/>
      <c r="D84" t="s">
        <v>280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Y84" t="e">
        <f>Table1[[#This Row],[qPer board]]*Table1[[#This Row],[boards]]</f>
        <v>#N/A</v>
      </c>
      <c r="AA84" t="e">
        <f>VLOOKUP(Table1[[#This Row],[MA_Number]], 'rhd batch30'!$A$1:$B$64,2,FALSE)</f>
        <v>#N/A</v>
      </c>
      <c r="AB84">
        <v>17</v>
      </c>
    </row>
    <row r="85" spans="1:28" x14ac:dyDescent="0.3">
      <c r="A85" t="s">
        <v>152</v>
      </c>
      <c r="B85" s="1" t="s">
        <v>249</v>
      </c>
      <c r="C85" s="1"/>
      <c r="D85" t="s">
        <v>280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Y85" t="e">
        <f>Table1[[#This Row],[qPer board]]*Table1[[#This Row],[boards]]</f>
        <v>#N/A</v>
      </c>
      <c r="AA85" t="e">
        <f>VLOOKUP(Table1[[#This Row],[MA_Number]], 'rhd batch30'!$A$1:$B$64,2,FALSE)</f>
        <v>#N/A</v>
      </c>
      <c r="AB85">
        <v>17</v>
      </c>
    </row>
    <row r="86" spans="1:28" x14ac:dyDescent="0.3">
      <c r="A86" t="s">
        <v>153</v>
      </c>
      <c r="B86" s="1" t="s">
        <v>250</v>
      </c>
      <c r="C86" s="1"/>
      <c r="D86" t="s">
        <v>280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Y86" t="e">
        <f>Table1[[#This Row],[qPer board]]*Table1[[#This Row],[boards]]</f>
        <v>#N/A</v>
      </c>
      <c r="AA86" t="e">
        <f>VLOOKUP(Table1[[#This Row],[MA_Number]], 'rhd batch30'!$A$1:$B$64,2,FALSE)</f>
        <v>#N/A</v>
      </c>
      <c r="AB86">
        <v>17</v>
      </c>
    </row>
    <row r="87" spans="1:28" x14ac:dyDescent="0.3">
      <c r="A87" t="s">
        <v>154</v>
      </c>
      <c r="B87" s="1" t="s">
        <v>251</v>
      </c>
      <c r="C87" s="1"/>
      <c r="D87" t="s">
        <v>280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Y87" t="e">
        <f>Table1[[#This Row],[qPer board]]*Table1[[#This Row],[boards]]</f>
        <v>#N/A</v>
      </c>
      <c r="AA87" t="e">
        <f>VLOOKUP(Table1[[#This Row],[MA_Number]], 'rhd batch30'!$A$1:$B$64,2,FALSE)</f>
        <v>#N/A</v>
      </c>
      <c r="AB87">
        <v>17</v>
      </c>
    </row>
    <row r="88" spans="1:28" x14ac:dyDescent="0.3">
      <c r="A88" t="s">
        <v>155</v>
      </c>
      <c r="B88" s="1" t="s">
        <v>252</v>
      </c>
      <c r="C88" s="1"/>
      <c r="D88" t="s">
        <v>280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30</v>
      </c>
      <c r="Y88">
        <f>Table1[[#This Row],[qPer board]]*Table1[[#This Row],[boards]]</f>
        <v>17</v>
      </c>
      <c r="Z88" t="s">
        <v>1820</v>
      </c>
      <c r="AA88">
        <f>VLOOKUP(Table1[[#This Row],[MA_Number]], 'rhd batch30'!$A$1:$B$64,2,FALSE)</f>
        <v>1</v>
      </c>
      <c r="AB88">
        <v>17</v>
      </c>
    </row>
    <row r="89" spans="1:28" x14ac:dyDescent="0.3">
      <c r="A89" t="s">
        <v>156</v>
      </c>
      <c r="B89" s="1" t="s">
        <v>662</v>
      </c>
      <c r="C89" s="1"/>
      <c r="D89" t="s">
        <v>280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30</v>
      </c>
      <c r="Y89">
        <f>Table1[[#This Row],[qPer board]]*Table1[[#This Row],[boards]]</f>
        <v>17</v>
      </c>
      <c r="Z89" t="s">
        <v>1820</v>
      </c>
      <c r="AA89">
        <f>VLOOKUP(Table1[[#This Row],[MA_Number]], 'rhd batch30'!$A$1:$B$64,2,FALSE)</f>
        <v>1</v>
      </c>
      <c r="AB89">
        <v>17</v>
      </c>
    </row>
    <row r="90" spans="1:28" x14ac:dyDescent="0.3">
      <c r="A90" t="s">
        <v>157</v>
      </c>
      <c r="B90" s="1">
        <v>7178270480</v>
      </c>
      <c r="C90" s="1" t="s">
        <v>806</v>
      </c>
      <c r="D90" t="s">
        <v>280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Y90" t="e">
        <f>Table1[[#This Row],[qPer board]]*Table1[[#This Row],[boards]]</f>
        <v>#N/A</v>
      </c>
      <c r="AA90" t="e">
        <f>VLOOKUP(Table1[[#This Row],[MA_Number]], 'rhd batch30'!$A$1:$B$64,2,FALSE)</f>
        <v>#N/A</v>
      </c>
      <c r="AB90">
        <v>17</v>
      </c>
    </row>
    <row r="91" spans="1:28" x14ac:dyDescent="0.3">
      <c r="A91" t="s">
        <v>158</v>
      </c>
      <c r="B91" s="1">
        <v>7075226730</v>
      </c>
      <c r="C91" s="1" t="s">
        <v>807</v>
      </c>
      <c r="D91" t="s">
        <v>280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Y91" t="e">
        <f>Table1[[#This Row],[qPer board]]*Table1[[#This Row],[boards]]</f>
        <v>#N/A</v>
      </c>
      <c r="AA91" t="e">
        <f>VLOOKUP(Table1[[#This Row],[MA_Number]], 'rhd batch30'!$A$1:$B$64,2,FALSE)</f>
        <v>#N/A</v>
      </c>
      <c r="AB91">
        <v>17</v>
      </c>
    </row>
    <row r="92" spans="1:28" x14ac:dyDescent="0.3">
      <c r="A92" t="s">
        <v>159</v>
      </c>
      <c r="B92" s="1" t="s">
        <v>254</v>
      </c>
      <c r="C92" s="1"/>
      <c r="D92" t="s">
        <v>280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Y92" t="e">
        <f>Table1[[#This Row],[qPer board]]*Table1[[#This Row],[boards]]</f>
        <v>#N/A</v>
      </c>
      <c r="AA92" t="e">
        <f>VLOOKUP(Table1[[#This Row],[MA_Number]], 'rhd batch30'!$A$1:$B$64,2,FALSE)</f>
        <v>#N/A</v>
      </c>
      <c r="AB92">
        <v>17</v>
      </c>
    </row>
    <row r="93" spans="1:28" x14ac:dyDescent="0.3">
      <c r="A93" t="s">
        <v>160</v>
      </c>
      <c r="B93" s="1" t="s">
        <v>254</v>
      </c>
      <c r="C93" s="1"/>
      <c r="D93" t="s">
        <v>280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Y93" t="e">
        <f>Table1[[#This Row],[qPer board]]*Table1[[#This Row],[boards]]</f>
        <v>#N/A</v>
      </c>
      <c r="AA93" t="e">
        <f>VLOOKUP(Table1[[#This Row],[MA_Number]], 'rhd batch30'!$A$1:$B$64,2,FALSE)</f>
        <v>#N/A</v>
      </c>
      <c r="AB93">
        <v>17</v>
      </c>
    </row>
    <row r="94" spans="1:28" x14ac:dyDescent="0.3">
      <c r="A94" t="s">
        <v>161</v>
      </c>
      <c r="B94" s="1" t="s">
        <v>601</v>
      </c>
      <c r="C94" s="1"/>
      <c r="D94" t="s">
        <v>280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30</v>
      </c>
      <c r="Y94">
        <f>Table1[[#This Row],[qPer board]]*Table1[[#This Row],[boards]]</f>
        <v>17</v>
      </c>
      <c r="Z94" t="s">
        <v>1820</v>
      </c>
      <c r="AA94">
        <f>VLOOKUP(Table1[[#This Row],[MA_Number]], 'rhd batch30'!$A$1:$B$64,2,FALSE)</f>
        <v>1</v>
      </c>
      <c r="AB94">
        <v>17</v>
      </c>
    </row>
    <row r="95" spans="1:28" x14ac:dyDescent="0.3">
      <c r="A95" t="s">
        <v>162</v>
      </c>
      <c r="B95" s="1" t="s">
        <v>256</v>
      </c>
      <c r="C95" s="1"/>
      <c r="D95" t="s">
        <v>280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Y95" t="e">
        <f>Table1[[#This Row],[qPer board]]*Table1[[#This Row],[boards]]</f>
        <v>#N/A</v>
      </c>
      <c r="AA95" t="e">
        <f>VLOOKUP(Table1[[#This Row],[MA_Number]], 'rhd batch30'!$A$1:$B$64,2,FALSE)</f>
        <v>#N/A</v>
      </c>
      <c r="AB95">
        <v>17</v>
      </c>
    </row>
    <row r="96" spans="1:28" x14ac:dyDescent="0.3">
      <c r="A96" t="s">
        <v>163</v>
      </c>
      <c r="B96" s="1" t="s">
        <v>257</v>
      </c>
      <c r="C96" s="1"/>
      <c r="D96" t="s">
        <v>280</v>
      </c>
      <c r="E96" t="s">
        <v>299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Y96" t="e">
        <f>Table1[[#This Row],[qPer board]]*Table1[[#This Row],[boards]]</f>
        <v>#N/A</v>
      </c>
      <c r="AA96" t="e">
        <f>VLOOKUP(Table1[[#This Row],[MA_Number]], 'rhd batch30'!$A$1:$B$64,2,FALSE)</f>
        <v>#N/A</v>
      </c>
      <c r="AB96">
        <v>17</v>
      </c>
    </row>
    <row r="97" spans="1:28" x14ac:dyDescent="0.3">
      <c r="A97" t="s">
        <v>164</v>
      </c>
      <c r="B97" s="1">
        <v>7009741102</v>
      </c>
      <c r="C97" s="1"/>
      <c r="D97" t="s">
        <v>280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Y97" t="e">
        <f>Table1[[#This Row],[qPer board]]*Table1[[#This Row],[boards]]</f>
        <v>#N/A</v>
      </c>
      <c r="AA97" t="e">
        <f>VLOOKUP(Table1[[#This Row],[MA_Number]], 'rhd batch30'!$A$1:$B$64,2,FALSE)</f>
        <v>#N/A</v>
      </c>
      <c r="AB97">
        <v>17</v>
      </c>
    </row>
    <row r="98" spans="1:28" x14ac:dyDescent="0.3">
      <c r="A98" t="s">
        <v>1409</v>
      </c>
      <c r="B98" s="1" t="s">
        <v>258</v>
      </c>
      <c r="C98" s="1"/>
      <c r="D98" t="s">
        <v>280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Y98" t="e">
        <f>Table1[[#This Row],[qPer board]]*Table1[[#This Row],[boards]]</f>
        <v>#N/A</v>
      </c>
      <c r="AA98" t="e">
        <f>VLOOKUP(Table1[[#This Row],[MA_Number]], 'rhd batch30'!$A$1:$B$64,2,FALSE)</f>
        <v>#N/A</v>
      </c>
      <c r="AB98">
        <v>17</v>
      </c>
    </row>
    <row r="99" spans="1:28" x14ac:dyDescent="0.3">
      <c r="A99" t="s">
        <v>165</v>
      </c>
      <c r="B99" s="1">
        <v>7289063430</v>
      </c>
      <c r="C99" s="1"/>
      <c r="D99" t="s">
        <v>280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Y99" t="e">
        <f>Table1[[#This Row],[qPer board]]*Table1[[#This Row],[boards]]</f>
        <v>#N/A</v>
      </c>
      <c r="AA99" t="e">
        <f>VLOOKUP(Table1[[#This Row],[MA_Number]], 'rhd batch30'!$A$1:$B$64,2,FALSE)</f>
        <v>#N/A</v>
      </c>
      <c r="AB99">
        <v>17</v>
      </c>
    </row>
    <row r="100" spans="1:28" x14ac:dyDescent="0.3">
      <c r="A100" t="s">
        <v>166</v>
      </c>
      <c r="B100" s="1" t="s">
        <v>259</v>
      </c>
      <c r="C100" s="1"/>
      <c r="D100" t="s">
        <v>280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Y100" t="e">
        <f>Table1[[#This Row],[qPer board]]*Table1[[#This Row],[boards]]</f>
        <v>#N/A</v>
      </c>
      <c r="AA100" t="e">
        <f>VLOOKUP(Table1[[#This Row],[MA_Number]], 'rhd batch30'!$A$1:$B$64,2,FALSE)</f>
        <v>#N/A</v>
      </c>
      <c r="AB100">
        <v>17</v>
      </c>
    </row>
    <row r="101" spans="1:28" x14ac:dyDescent="0.3">
      <c r="A101" t="s">
        <v>167</v>
      </c>
      <c r="B101" s="1" t="s">
        <v>599</v>
      </c>
      <c r="C101" s="1"/>
      <c r="D101" t="s">
        <v>280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Y101" t="e">
        <f>Table1[[#This Row],[qPer board]]*Table1[[#This Row],[boards]]</f>
        <v>#N/A</v>
      </c>
      <c r="AA101" t="e">
        <f>VLOOKUP(Table1[[#This Row],[MA_Number]], 'rhd batch30'!$A$1:$B$64,2,FALSE)</f>
        <v>#N/A</v>
      </c>
      <c r="AB101">
        <v>17</v>
      </c>
    </row>
    <row r="102" spans="1:28" x14ac:dyDescent="0.3">
      <c r="A102" t="s">
        <v>168</v>
      </c>
      <c r="B102" s="1" t="s">
        <v>260</v>
      </c>
      <c r="C102" s="1"/>
      <c r="D102" t="s">
        <v>280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Y102" t="e">
        <f>Table1[[#This Row],[qPer board]]*Table1[[#This Row],[boards]]</f>
        <v>#N/A</v>
      </c>
      <c r="AA102" t="e">
        <f>VLOOKUP(Table1[[#This Row],[MA_Number]], 'rhd batch30'!$A$1:$B$64,2,FALSE)</f>
        <v>#N/A</v>
      </c>
      <c r="AB102">
        <v>17</v>
      </c>
    </row>
    <row r="103" spans="1:28" x14ac:dyDescent="0.3">
      <c r="A103" t="s">
        <v>169</v>
      </c>
      <c r="B103" s="1" t="s">
        <v>632</v>
      </c>
      <c r="C103" s="1"/>
      <c r="D103" t="s">
        <v>280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30</v>
      </c>
      <c r="Y103">
        <f>Table1[[#This Row],[qPer board]]*Table1[[#This Row],[boards]]</f>
        <v>17</v>
      </c>
      <c r="Z103" t="s">
        <v>1820</v>
      </c>
      <c r="AA103">
        <f>VLOOKUP(Table1[[#This Row],[MA_Number]], 'rhd batch30'!$A$1:$B$64,2,FALSE)</f>
        <v>1</v>
      </c>
      <c r="AB103">
        <v>17</v>
      </c>
    </row>
    <row r="104" spans="1:28" x14ac:dyDescent="0.3">
      <c r="A104" t="s">
        <v>170</v>
      </c>
      <c r="B104" s="1" t="s">
        <v>261</v>
      </c>
      <c r="C104" s="1"/>
      <c r="D104" t="s">
        <v>280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30</v>
      </c>
      <c r="Y104">
        <f>Table1[[#This Row],[qPer board]]*Table1[[#This Row],[boards]]</f>
        <v>17</v>
      </c>
      <c r="Z104" t="s">
        <v>1820</v>
      </c>
      <c r="AA104">
        <f>VLOOKUP(Table1[[#This Row],[MA_Number]], 'rhd batch30'!$A$1:$B$64,2,FALSE)</f>
        <v>1</v>
      </c>
      <c r="AB104">
        <v>17</v>
      </c>
    </row>
    <row r="105" spans="1:28" x14ac:dyDescent="0.3">
      <c r="A105" t="s">
        <v>171</v>
      </c>
      <c r="B105" s="1">
        <v>7047135830</v>
      </c>
      <c r="C105" s="1"/>
      <c r="D105" t="s">
        <v>283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Y105" t="e">
        <f>Table1[[#This Row],[qPer board]]*Table1[[#This Row],[boards]]</f>
        <v>#N/A</v>
      </c>
      <c r="AA105" t="e">
        <f>VLOOKUP(Table1[[#This Row],[MA_Number]], 'rhd batch30'!$A$1:$B$64,2,FALSE)</f>
        <v>#N/A</v>
      </c>
      <c r="AB105">
        <v>17</v>
      </c>
    </row>
    <row r="106" spans="1:28" x14ac:dyDescent="0.3">
      <c r="A106" t="s">
        <v>1392</v>
      </c>
      <c r="B106" s="1">
        <v>7047186030</v>
      </c>
      <c r="C106" s="1"/>
      <c r="D106" t="s">
        <v>283</v>
      </c>
      <c r="E106" t="s">
        <v>270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32</v>
      </c>
      <c r="Y106">
        <f>Table1[[#This Row],[qPer board]]*Table1[[#This Row],[boards]]</f>
        <v>510</v>
      </c>
      <c r="Z106" t="s">
        <v>1820</v>
      </c>
      <c r="AA106">
        <v>30</v>
      </c>
      <c r="AB106">
        <v>17</v>
      </c>
    </row>
    <row r="107" spans="1:28" x14ac:dyDescent="0.3">
      <c r="A107" t="s">
        <v>173</v>
      </c>
      <c r="B107" s="1">
        <v>7047273930</v>
      </c>
      <c r="C107" s="1"/>
      <c r="D107" t="s">
        <v>283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Y107" t="e">
        <f>Table1[[#This Row],[qPer board]]*Table1[[#This Row],[boards]]</f>
        <v>#N/A</v>
      </c>
      <c r="AA107" t="e">
        <f>VLOOKUP(Table1[[#This Row],[MA_Number]], 'rhd batch30'!$A$1:$B$64,2,FALSE)</f>
        <v>#N/A</v>
      </c>
      <c r="AB107">
        <v>17</v>
      </c>
    </row>
    <row r="108" spans="1:28" x14ac:dyDescent="0.3">
      <c r="A108" t="s">
        <v>174</v>
      </c>
      <c r="B108" s="1">
        <v>7047305630</v>
      </c>
      <c r="C108" s="1"/>
      <c r="D108" t="s">
        <v>283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Y108" t="e">
        <f>Table1[[#This Row],[qPer board]]*Table1[[#This Row],[boards]]</f>
        <v>#N/A</v>
      </c>
      <c r="AA108" t="e">
        <f>VLOOKUP(Table1[[#This Row],[MA_Number]], 'rhd batch30'!$A$1:$B$64,2,FALSE)</f>
        <v>#N/A</v>
      </c>
      <c r="AB108">
        <v>17</v>
      </c>
    </row>
    <row r="109" spans="1:28" x14ac:dyDescent="0.3">
      <c r="A109" t="s">
        <v>175</v>
      </c>
      <c r="B109" s="1">
        <v>7052161430</v>
      </c>
      <c r="C109" s="1"/>
      <c r="D109" t="s">
        <v>283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Y109" t="e">
        <f>Table1[[#This Row],[qPer board]]*Table1[[#This Row],[boards]]</f>
        <v>#N/A</v>
      </c>
      <c r="AA109" t="e">
        <f>VLOOKUP(Table1[[#This Row],[MA_Number]], 'rhd batch30'!$A$1:$B$64,2,FALSE)</f>
        <v>#N/A</v>
      </c>
      <c r="AB109">
        <v>17</v>
      </c>
    </row>
    <row r="110" spans="1:28" x14ac:dyDescent="0.3">
      <c r="A110" t="s">
        <v>176</v>
      </c>
      <c r="B110" s="1">
        <v>7047178330</v>
      </c>
      <c r="C110" s="1"/>
      <c r="D110" t="s">
        <v>283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Y110" t="e">
        <f>Table1[[#This Row],[qPer board]]*Table1[[#This Row],[boards]]</f>
        <v>#N/A</v>
      </c>
      <c r="AA110" t="e">
        <f>VLOOKUP(Table1[[#This Row],[MA_Number]], 'rhd batch30'!$A$1:$B$64,2,FALSE)</f>
        <v>#N/A</v>
      </c>
      <c r="AB110">
        <v>17</v>
      </c>
    </row>
    <row r="111" spans="1:28" x14ac:dyDescent="0.3">
      <c r="A111" t="s">
        <v>177</v>
      </c>
      <c r="B111" s="1">
        <v>7147882430</v>
      </c>
      <c r="C111" s="1"/>
      <c r="D111" t="s">
        <v>283</v>
      </c>
      <c r="E111" t="s">
        <v>271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32</v>
      </c>
      <c r="Y111">
        <f>Table1[[#This Row],[qPer board]]*Table1[[#This Row],[boards]]</f>
        <v>85</v>
      </c>
      <c r="Z111" t="s">
        <v>1820</v>
      </c>
      <c r="AA111">
        <v>5</v>
      </c>
      <c r="AB111">
        <v>17</v>
      </c>
    </row>
    <row r="112" spans="1:28" x14ac:dyDescent="0.3">
      <c r="A112" t="s">
        <v>178</v>
      </c>
      <c r="B112" s="1">
        <v>7247075530</v>
      </c>
      <c r="C112" s="1"/>
      <c r="D112" t="s">
        <v>283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Y112" t="e">
        <f>Table1[[#This Row],[qPer board]]*Table1[[#This Row],[boards]]</f>
        <v>#N/A</v>
      </c>
      <c r="AA112" t="e">
        <f>VLOOKUP(Table1[[#This Row],[MA_Number]], 'rhd batch30'!$A$1:$B$64,2,FALSE)</f>
        <v>#N/A</v>
      </c>
      <c r="AB112">
        <v>17</v>
      </c>
    </row>
    <row r="113" spans="1:28" x14ac:dyDescent="0.3">
      <c r="A113" t="s">
        <v>179</v>
      </c>
      <c r="B113" s="1">
        <v>7247374530</v>
      </c>
      <c r="C113" s="1"/>
      <c r="D113" t="s">
        <v>283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Y113" t="e">
        <f>Table1[[#This Row],[qPer board]]*Table1[[#This Row],[boards]]</f>
        <v>#N/A</v>
      </c>
      <c r="AA113" t="e">
        <f>VLOOKUP(Table1[[#This Row],[MA_Number]], 'rhd batch30'!$A$1:$B$64,2,FALSE)</f>
        <v>#N/A</v>
      </c>
      <c r="AB113">
        <v>17</v>
      </c>
    </row>
    <row r="114" spans="1:28" x14ac:dyDescent="0.3">
      <c r="A114" t="s">
        <v>180</v>
      </c>
      <c r="B114" s="1">
        <v>7247374930</v>
      </c>
      <c r="C114" s="1"/>
      <c r="D114" t="s">
        <v>283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Y114" t="e">
        <f>Table1[[#This Row],[qPer board]]*Table1[[#This Row],[boards]]</f>
        <v>#N/A</v>
      </c>
      <c r="AA114" t="e">
        <f>VLOOKUP(Table1[[#This Row],[MA_Number]], 'rhd batch30'!$A$1:$B$64,2,FALSE)</f>
        <v>#N/A</v>
      </c>
      <c r="AB114">
        <v>17</v>
      </c>
    </row>
    <row r="115" spans="1:28" x14ac:dyDescent="0.3">
      <c r="A115" t="s">
        <v>181</v>
      </c>
      <c r="B115" s="1">
        <v>7247760830</v>
      </c>
      <c r="C115" s="1"/>
      <c r="D115" t="s">
        <v>283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Y115" t="e">
        <f>Table1[[#This Row],[qPer board]]*Table1[[#This Row],[boards]]</f>
        <v>#N/A</v>
      </c>
      <c r="AA115" t="e">
        <f>VLOOKUP(Table1[[#This Row],[MA_Number]], 'rhd batch30'!$A$1:$B$64,2,FALSE)</f>
        <v>#N/A</v>
      </c>
      <c r="AB115">
        <v>17</v>
      </c>
    </row>
    <row r="116" spans="1:28" x14ac:dyDescent="0.3">
      <c r="A116" t="s">
        <v>182</v>
      </c>
      <c r="B116" s="1">
        <v>7247760930</v>
      </c>
      <c r="C116" s="1"/>
      <c r="D116" t="s">
        <v>283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Y116" t="e">
        <f>Table1[[#This Row],[qPer board]]*Table1[[#This Row],[boards]]</f>
        <v>#N/A</v>
      </c>
      <c r="AA116" t="e">
        <f>VLOOKUP(Table1[[#This Row],[MA_Number]], 'rhd batch30'!$A$1:$B$64,2,FALSE)</f>
        <v>#N/A</v>
      </c>
      <c r="AB116">
        <v>17</v>
      </c>
    </row>
    <row r="117" spans="1:28" x14ac:dyDescent="0.3">
      <c r="A117" t="s">
        <v>183</v>
      </c>
      <c r="B117" s="1">
        <v>7247761330</v>
      </c>
      <c r="C117" s="1"/>
      <c r="D117" t="s">
        <v>283</v>
      </c>
      <c r="E117" t="s">
        <v>950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Y117" t="e">
        <f>Table1[[#This Row],[qPer board]]*Table1[[#This Row],[boards]]</f>
        <v>#N/A</v>
      </c>
      <c r="AA117" t="e">
        <f>VLOOKUP(Table1[[#This Row],[MA_Number]], 'rhd batch30'!$A$1:$B$64,2,FALSE)</f>
        <v>#N/A</v>
      </c>
      <c r="AB117">
        <v>17</v>
      </c>
    </row>
    <row r="118" spans="1:28" x14ac:dyDescent="0.3">
      <c r="A118" t="s">
        <v>184</v>
      </c>
      <c r="B118" s="1">
        <v>7247764130</v>
      </c>
      <c r="C118" s="1"/>
      <c r="D118" t="s">
        <v>283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Y118" t="e">
        <f>Table1[[#This Row],[qPer board]]*Table1[[#This Row],[boards]]</f>
        <v>#N/A</v>
      </c>
      <c r="AA118" t="e">
        <f>VLOOKUP(Table1[[#This Row],[MA_Number]], 'rhd batch30'!$A$1:$B$64,2,FALSE)</f>
        <v>#N/A</v>
      </c>
      <c r="AB118">
        <v>17</v>
      </c>
    </row>
    <row r="119" spans="1:28" x14ac:dyDescent="0.3">
      <c r="A119" t="s">
        <v>185</v>
      </c>
      <c r="B119" s="1">
        <v>7247776330</v>
      </c>
      <c r="C119" s="1"/>
      <c r="D119" t="s">
        <v>283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Y119" t="e">
        <f>Table1[[#This Row],[qPer board]]*Table1[[#This Row],[boards]]</f>
        <v>#N/A</v>
      </c>
      <c r="AA119" t="e">
        <f>VLOOKUP(Table1[[#This Row],[MA_Number]], 'rhd batch30'!$A$1:$B$64,2,FALSE)</f>
        <v>#N/A</v>
      </c>
      <c r="AB119">
        <v>17</v>
      </c>
    </row>
    <row r="120" spans="1:28" x14ac:dyDescent="0.3">
      <c r="A120" t="s">
        <v>186</v>
      </c>
      <c r="B120" s="1">
        <v>7247781230</v>
      </c>
      <c r="C120" s="1"/>
      <c r="D120" t="s">
        <v>283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Y120" t="e">
        <f>Table1[[#This Row],[qPer board]]*Table1[[#This Row],[boards]]</f>
        <v>#N/A</v>
      </c>
      <c r="AA120" t="e">
        <f>VLOOKUP(Table1[[#This Row],[MA_Number]], 'rhd batch30'!$A$1:$B$64,2,FALSE)</f>
        <v>#N/A</v>
      </c>
      <c r="AB120">
        <v>17</v>
      </c>
    </row>
    <row r="121" spans="1:28" x14ac:dyDescent="0.3">
      <c r="A121" t="s">
        <v>187</v>
      </c>
      <c r="B121" s="1">
        <v>7247781730</v>
      </c>
      <c r="C121" s="1"/>
      <c r="D121" t="s">
        <v>283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32</v>
      </c>
      <c r="Y121">
        <f>Table1[[#This Row],[qPer board]]*Table1[[#This Row],[boards]]</f>
        <v>34</v>
      </c>
      <c r="Z121" t="s">
        <v>1820</v>
      </c>
      <c r="AA121">
        <v>2</v>
      </c>
      <c r="AB121">
        <v>17</v>
      </c>
    </row>
    <row r="122" spans="1:28" x14ac:dyDescent="0.3">
      <c r="A122" t="s">
        <v>188</v>
      </c>
      <c r="B122" s="1">
        <v>7247787730</v>
      </c>
      <c r="C122" s="1"/>
      <c r="D122" t="s">
        <v>283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Y122" t="e">
        <f>Table1[[#This Row],[qPer board]]*Table1[[#This Row],[boards]]</f>
        <v>#N/A</v>
      </c>
      <c r="AA122" t="e">
        <f>VLOOKUP(Table1[[#This Row],[MA_Number]], 'rhd batch30'!$A$1:$B$64,2,FALSE)</f>
        <v>#N/A</v>
      </c>
      <c r="AB122">
        <v>17</v>
      </c>
    </row>
    <row r="123" spans="1:28" x14ac:dyDescent="0.3">
      <c r="A123" t="s">
        <v>189</v>
      </c>
      <c r="B123" s="1">
        <v>72478572</v>
      </c>
      <c r="C123" s="1"/>
      <c r="D123" t="s">
        <v>283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Y123" t="e">
        <f>Table1[[#This Row],[qPer board]]*Table1[[#This Row],[boards]]</f>
        <v>#N/A</v>
      </c>
      <c r="AA123" t="e">
        <f>VLOOKUP(Table1[[#This Row],[MA_Number]], 'rhd batch30'!$A$1:$B$64,2,FALSE)</f>
        <v>#N/A</v>
      </c>
      <c r="AB123">
        <v>17</v>
      </c>
    </row>
    <row r="124" spans="1:28" x14ac:dyDescent="0.3">
      <c r="A124" t="s">
        <v>190</v>
      </c>
      <c r="B124" s="1">
        <v>7252726530</v>
      </c>
      <c r="C124" s="1"/>
      <c r="D124" t="s">
        <v>283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32</v>
      </c>
      <c r="Y124">
        <f>Table1[[#This Row],[qPer board]]*Table1[[#This Row],[boards]]</f>
        <v>34</v>
      </c>
      <c r="Z124" t="s">
        <v>1820</v>
      </c>
      <c r="AA124">
        <v>2</v>
      </c>
      <c r="AB124">
        <v>17</v>
      </c>
    </row>
    <row r="125" spans="1:28" x14ac:dyDescent="0.3">
      <c r="A125" t="s">
        <v>301</v>
      </c>
      <c r="B125" s="1">
        <v>7252735930</v>
      </c>
      <c r="C125" s="1"/>
      <c r="D125" t="s">
        <v>283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Y125" t="e">
        <f>Table1[[#This Row],[qPer board]]*Table1[[#This Row],[boards]]</f>
        <v>#N/A</v>
      </c>
      <c r="AA125" t="e">
        <f>VLOOKUP(Table1[[#This Row],[MA_Number]], 'rhd batch30'!$A$1:$B$64,2,FALSE)</f>
        <v>#N/A</v>
      </c>
      <c r="AB125">
        <v>17</v>
      </c>
    </row>
    <row r="126" spans="1:28" x14ac:dyDescent="0.3">
      <c r="A126" t="s">
        <v>1410</v>
      </c>
      <c r="B126" s="1">
        <v>7252779130</v>
      </c>
      <c r="C126" s="1"/>
      <c r="D126" t="s">
        <v>283</v>
      </c>
      <c r="E126" t="s">
        <v>272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32</v>
      </c>
      <c r="Y126">
        <f>Table1[[#This Row],[qPer board]]*Table1[[#This Row],[boards]]</f>
        <v>34</v>
      </c>
      <c r="Z126" t="s">
        <v>1820</v>
      </c>
      <c r="AA126">
        <v>2</v>
      </c>
      <c r="AB126">
        <v>17</v>
      </c>
    </row>
    <row r="127" spans="1:28" x14ac:dyDescent="0.3">
      <c r="A127" t="s">
        <v>1391</v>
      </c>
      <c r="B127" s="1">
        <v>7252785330</v>
      </c>
      <c r="C127" s="1">
        <v>7247075530</v>
      </c>
      <c r="D127" t="s">
        <v>283</v>
      </c>
      <c r="E127" t="s">
        <v>273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32</v>
      </c>
      <c r="Y127">
        <f>Table1[[#This Row],[qPer board]]*Table1[[#This Row],[boards]]</f>
        <v>221</v>
      </c>
      <c r="Z127" t="s">
        <v>1820</v>
      </c>
      <c r="AA127">
        <v>13</v>
      </c>
      <c r="AB127">
        <v>17</v>
      </c>
    </row>
    <row r="128" spans="1:28" x14ac:dyDescent="0.3">
      <c r="A128" t="s">
        <v>191</v>
      </c>
      <c r="B128" s="1">
        <v>7252815130</v>
      </c>
      <c r="C128" s="1"/>
      <c r="D128" t="s">
        <v>283</v>
      </c>
      <c r="E128" t="s">
        <v>1364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32</v>
      </c>
      <c r="Y128">
        <f>Table1[[#This Row],[qPer board]]*Table1[[#This Row],[boards]]</f>
        <v>204</v>
      </c>
      <c r="Z128" t="s">
        <v>1820</v>
      </c>
      <c r="AA128">
        <v>12</v>
      </c>
      <c r="AB128">
        <v>17</v>
      </c>
    </row>
    <row r="129" spans="1:28" x14ac:dyDescent="0.3">
      <c r="A129" t="s">
        <v>193</v>
      </c>
      <c r="B129" s="1">
        <v>7252832130</v>
      </c>
      <c r="C129" s="1"/>
      <c r="D129" t="s">
        <v>283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Y129" t="e">
        <f>Table1[[#This Row],[qPer board]]*Table1[[#This Row],[boards]]</f>
        <v>#N/A</v>
      </c>
      <c r="AA129" t="e">
        <f>VLOOKUP(Table1[[#This Row],[MA_Number]], 'rhd batch30'!$A$1:$B$64,2,FALSE)</f>
        <v>#N/A</v>
      </c>
      <c r="AB129">
        <v>17</v>
      </c>
    </row>
    <row r="130" spans="1:28" x14ac:dyDescent="0.3">
      <c r="A130" t="s">
        <v>194</v>
      </c>
      <c r="B130" s="1">
        <v>7298331130</v>
      </c>
      <c r="C130" s="1"/>
      <c r="D130" t="s">
        <v>280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Y130" t="e">
        <f>Table1[[#This Row],[qPer board]]*Table1[[#This Row],[boards]]</f>
        <v>#N/A</v>
      </c>
      <c r="AA130" t="e">
        <f>VLOOKUP(Table1[[#This Row],[MA_Number]], 'rhd batch30'!$A$1:$B$64,2,FALSE)</f>
        <v>#N/A</v>
      </c>
      <c r="AB130">
        <v>17</v>
      </c>
    </row>
    <row r="131" spans="1:28" x14ac:dyDescent="0.3">
      <c r="A131" t="s">
        <v>195</v>
      </c>
      <c r="B131" s="1" t="s">
        <v>262</v>
      </c>
      <c r="C131" s="1"/>
      <c r="D131" t="s">
        <v>280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Y131" t="e">
        <f>Table1[[#This Row],[qPer board]]*Table1[[#This Row],[boards]]</f>
        <v>#N/A</v>
      </c>
      <c r="AA131" t="e">
        <f>VLOOKUP(Table1[[#This Row],[MA_Number]], 'rhd batch30'!$A$1:$B$64,2,FALSE)</f>
        <v>#N/A</v>
      </c>
      <c r="AB131">
        <v>17</v>
      </c>
    </row>
    <row r="132" spans="1:28" x14ac:dyDescent="0.3">
      <c r="A132" t="s">
        <v>196</v>
      </c>
      <c r="B132" s="1">
        <v>71196350</v>
      </c>
      <c r="C132" s="1"/>
      <c r="D132" t="s">
        <v>280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Y132" t="e">
        <f>Table1[[#This Row],[qPer board]]*Table1[[#This Row],[boards]]</f>
        <v>#N/A</v>
      </c>
      <c r="AA132" t="e">
        <f>VLOOKUP(Table1[[#This Row],[MA_Number]], 'rhd batch30'!$A$1:$B$64,2,FALSE)</f>
        <v>#N/A</v>
      </c>
      <c r="AB132">
        <v>17</v>
      </c>
    </row>
    <row r="133" spans="1:28" x14ac:dyDescent="0.3">
      <c r="A133" t="s">
        <v>1411</v>
      </c>
      <c r="B133" s="1" t="s">
        <v>264</v>
      </c>
      <c r="C133" s="1"/>
      <c r="D133" t="s">
        <v>280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Y133" t="e">
        <f>Table1[[#This Row],[qPer board]]*Table1[[#This Row],[boards]]</f>
        <v>#N/A</v>
      </c>
      <c r="AA133" t="e">
        <f>VLOOKUP(Table1[[#This Row],[MA_Number]], 'rhd batch30'!$A$1:$B$64,2,FALSE)</f>
        <v>#N/A</v>
      </c>
      <c r="AB133">
        <v>17</v>
      </c>
    </row>
    <row r="134" spans="1:28" x14ac:dyDescent="0.3">
      <c r="A134" t="s">
        <v>199</v>
      </c>
      <c r="B134" s="1">
        <v>72191763</v>
      </c>
      <c r="C134" s="1"/>
      <c r="D134" t="s">
        <v>280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Y134" t="e">
        <f>Table1[[#This Row],[qPer board]]*Table1[[#This Row],[boards]]</f>
        <v>#N/A</v>
      </c>
      <c r="AA134" t="e">
        <f>VLOOKUP(Table1[[#This Row],[MA_Number]], 'rhd batch30'!$A$1:$B$64,2,FALSE)</f>
        <v>#N/A</v>
      </c>
      <c r="AB134">
        <v>17</v>
      </c>
    </row>
    <row r="135" spans="1:28" x14ac:dyDescent="0.3">
      <c r="A135" t="s">
        <v>200</v>
      </c>
      <c r="B135" s="1" t="s">
        <v>265</v>
      </c>
      <c r="C135" s="1"/>
      <c r="D135" t="s">
        <v>280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Y135" t="e">
        <f>Table1[[#This Row],[qPer board]]*Table1[[#This Row],[boards]]</f>
        <v>#N/A</v>
      </c>
      <c r="AA135" t="e">
        <f>VLOOKUP(Table1[[#This Row],[MA_Number]], 'rhd batch30'!$A$1:$B$64,2,FALSE)</f>
        <v>#N/A</v>
      </c>
      <c r="AB135">
        <v>17</v>
      </c>
    </row>
    <row r="136" spans="1:28" x14ac:dyDescent="0.3">
      <c r="A136" t="s">
        <v>197</v>
      </c>
      <c r="B136" s="1" t="s">
        <v>263</v>
      </c>
      <c r="C136" s="1"/>
      <c r="D136" t="s">
        <v>280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Y136" t="e">
        <f>Table1[[#This Row],[qPer board]]*Table1[[#This Row],[boards]]</f>
        <v>#N/A</v>
      </c>
      <c r="AA136" t="e">
        <f>VLOOKUP(Table1[[#This Row],[MA_Number]], 'rhd batch30'!$A$1:$B$64,2,FALSE)</f>
        <v>#N/A</v>
      </c>
      <c r="AB136">
        <v>17</v>
      </c>
    </row>
    <row r="137" spans="1:28" x14ac:dyDescent="0.3">
      <c r="A137" t="s">
        <v>1412</v>
      </c>
      <c r="B137" s="1" t="s">
        <v>266</v>
      </c>
      <c r="C137" s="1"/>
      <c r="D137" t="s">
        <v>280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Y137" t="e">
        <f>Table1[[#This Row],[qPer board]]*Table1[[#This Row],[boards]]</f>
        <v>#N/A</v>
      </c>
      <c r="AA137" t="e">
        <f>VLOOKUP(Table1[[#This Row],[MA_Number]], 'rhd batch30'!$A$1:$B$64,2,FALSE)</f>
        <v>#N/A</v>
      </c>
      <c r="AB137">
        <v>17</v>
      </c>
    </row>
    <row r="138" spans="1:28" x14ac:dyDescent="0.3">
      <c r="A138" t="s">
        <v>201</v>
      </c>
      <c r="B138" s="1">
        <v>71781227</v>
      </c>
      <c r="C138" s="1"/>
      <c r="D138" t="s">
        <v>280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X138">
        <v>30</v>
      </c>
      <c r="Y138">
        <f>Table1[[#This Row],[qPer board]]*Table1[[#This Row],[boards]]</f>
        <v>17</v>
      </c>
      <c r="Z138" t="s">
        <v>1820</v>
      </c>
      <c r="AA138">
        <f>VLOOKUP(Table1[[#This Row],[MA_Number]], 'rhd batch30'!$A$1:$B$64,2,FALSE)</f>
        <v>1</v>
      </c>
      <c r="AB138">
        <v>17</v>
      </c>
    </row>
    <row r="139" spans="1:28" x14ac:dyDescent="0.3">
      <c r="A139" t="s">
        <v>202</v>
      </c>
      <c r="B139" s="1">
        <v>71979512</v>
      </c>
      <c r="C139" s="1"/>
      <c r="D139" t="s">
        <v>280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Y139" t="e">
        <f>Table1[[#This Row],[qPer board]]*Table1[[#This Row],[boards]]</f>
        <v>#N/A</v>
      </c>
      <c r="AA139" t="e">
        <f>VLOOKUP(Table1[[#This Row],[MA_Number]], 'rhd batch30'!$A$1:$B$64,2,FALSE)</f>
        <v>#N/A</v>
      </c>
      <c r="AB139">
        <v>17</v>
      </c>
    </row>
    <row r="140" spans="1:28" x14ac:dyDescent="0.3">
      <c r="A140" t="s">
        <v>203</v>
      </c>
      <c r="B140" s="1">
        <v>7183753630</v>
      </c>
      <c r="C140" s="1"/>
      <c r="D140" t="s">
        <v>280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X140">
        <v>30</v>
      </c>
      <c r="Y140">
        <f>Table1[[#This Row],[qPer board]]*Table1[[#This Row],[boards]]</f>
        <v>17</v>
      </c>
      <c r="Z140" t="s">
        <v>1820</v>
      </c>
      <c r="AA140">
        <f>VLOOKUP(Table1[[#This Row],[MA_Number]], 'rhd batch30'!$A$1:$B$64,2,FALSE)</f>
        <v>1</v>
      </c>
      <c r="AB140">
        <v>17</v>
      </c>
    </row>
    <row r="141" spans="1:28" x14ac:dyDescent="0.3">
      <c r="A141" t="s">
        <v>204</v>
      </c>
      <c r="B141" s="1">
        <v>72186417</v>
      </c>
      <c r="C141" s="1"/>
      <c r="D141" t="s">
        <v>280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Y141" t="e">
        <f>Table1[[#This Row],[qPer board]]*Table1[[#This Row],[boards]]</f>
        <v>#N/A</v>
      </c>
      <c r="AA141" t="e">
        <f>VLOOKUP(Table1[[#This Row],[MA_Number]], 'rhd batch30'!$A$1:$B$64,2,FALSE)</f>
        <v>#N/A</v>
      </c>
      <c r="AB141">
        <v>17</v>
      </c>
    </row>
    <row r="142" spans="1:28" x14ac:dyDescent="0.3">
      <c r="A142" t="s">
        <v>205</v>
      </c>
      <c r="B142" s="1" t="s">
        <v>1273</v>
      </c>
      <c r="C142" s="1"/>
      <c r="D142" t="s">
        <v>280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Y142" t="e">
        <f>Table1[[#This Row],[qPer board]]*Table1[[#This Row],[boards]]</f>
        <v>#N/A</v>
      </c>
      <c r="AA142" t="e">
        <f>VLOOKUP(Table1[[#This Row],[MA_Number]], 'rhd batch30'!$A$1:$B$64,2,FALSE)</f>
        <v>#N/A</v>
      </c>
      <c r="AB142">
        <v>17</v>
      </c>
    </row>
    <row r="143" spans="1:28" x14ac:dyDescent="0.3">
      <c r="A143" t="s">
        <v>206</v>
      </c>
      <c r="B143" s="1">
        <v>7271262590</v>
      </c>
      <c r="C143" s="1"/>
      <c r="D143" t="s">
        <v>280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Y143" t="e">
        <f>Table1[[#This Row],[qPer board]]*Table1[[#This Row],[boards]]</f>
        <v>#N/A</v>
      </c>
      <c r="AA143" t="e">
        <f>VLOOKUP(Table1[[#This Row],[MA_Number]], 'rhd batch30'!$A$1:$B$64,2,FALSE)</f>
        <v>#N/A</v>
      </c>
      <c r="AB143">
        <v>17</v>
      </c>
    </row>
    <row r="144" spans="1:28" x14ac:dyDescent="0.3">
      <c r="A144" t="s">
        <v>294</v>
      </c>
      <c r="B144" s="1" t="s">
        <v>604</v>
      </c>
      <c r="C144" s="1"/>
      <c r="D144" t="s">
        <v>280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30</v>
      </c>
      <c r="Y144">
        <f>Table1[[#This Row],[qPer board]]*Table1[[#This Row],[boards]]</f>
        <v>17</v>
      </c>
      <c r="Z144" t="s">
        <v>1820</v>
      </c>
      <c r="AA144">
        <f>VLOOKUP(Table1[[#This Row],[MA_Number]], 'rhd batch30'!$A$1:$B$64,2,FALSE)</f>
        <v>1</v>
      </c>
      <c r="AB144">
        <v>17</v>
      </c>
    </row>
    <row r="145" spans="1:28" x14ac:dyDescent="0.3">
      <c r="A145" t="s">
        <v>207</v>
      </c>
      <c r="B145" s="1" t="s">
        <v>267</v>
      </c>
      <c r="C145" s="1"/>
      <c r="D145" t="s">
        <v>280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X145">
        <v>30</v>
      </c>
      <c r="Y145">
        <f>Table1[[#This Row],[qPer board]]*Table1[[#This Row],[boards]]</f>
        <v>17</v>
      </c>
      <c r="Z145" t="s">
        <v>1820</v>
      </c>
      <c r="AA145">
        <f>VLOOKUP(Table1[[#This Row],[MA_Number]], 'rhd batch30'!$A$1:$B$64,2,FALSE)</f>
        <v>1</v>
      </c>
      <c r="AB145">
        <v>17</v>
      </c>
    </row>
    <row r="146" spans="1:28" x14ac:dyDescent="0.3">
      <c r="A146" t="s">
        <v>208</v>
      </c>
      <c r="B146" s="1">
        <v>7119141030</v>
      </c>
      <c r="C146" s="1"/>
      <c r="D146" t="s">
        <v>280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Y146" t="e">
        <f>Table1[[#This Row],[qPer board]]*Table1[[#This Row],[boards]]</f>
        <v>#N/A</v>
      </c>
      <c r="AA146" t="e">
        <f>VLOOKUP(Table1[[#This Row],[MA_Number]], 'rhd batch30'!$A$1:$B$64,2,FALSE)</f>
        <v>#N/A</v>
      </c>
      <c r="AB146">
        <v>17</v>
      </c>
    </row>
    <row r="147" spans="1:28" x14ac:dyDescent="0.3">
      <c r="A147" t="s">
        <v>209</v>
      </c>
      <c r="B147" s="1" t="s">
        <v>268</v>
      </c>
      <c r="C147" s="1"/>
      <c r="D147" t="s">
        <v>280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Y147" t="e">
        <f>Table1[[#This Row],[qPer board]]*Table1[[#This Row],[boards]]</f>
        <v>#N/A</v>
      </c>
      <c r="AA147" t="e">
        <f>VLOOKUP(Table1[[#This Row],[MA_Number]], 'rhd batch30'!$A$1:$B$64,2,FALSE)</f>
        <v>#N/A</v>
      </c>
      <c r="AB147">
        <v>17</v>
      </c>
    </row>
    <row r="148" spans="1:28" x14ac:dyDescent="0.3">
      <c r="A148" t="s">
        <v>210</v>
      </c>
      <c r="B148" s="1" t="s">
        <v>838</v>
      </c>
      <c r="C148" s="1"/>
      <c r="D148" t="s">
        <v>280</v>
      </c>
      <c r="E148" t="s">
        <v>1812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>
        <v>24</v>
      </c>
      <c r="Y148">
        <f>Table1[[#This Row],[qPer board]]*Table1[[#This Row],[boards]]</f>
        <v>56</v>
      </c>
      <c r="Z148" t="s">
        <v>1348</v>
      </c>
      <c r="AA148">
        <v>2</v>
      </c>
      <c r="AB148">
        <v>28</v>
      </c>
    </row>
    <row r="149" spans="1:28" x14ac:dyDescent="0.3">
      <c r="A149" t="s">
        <v>277</v>
      </c>
      <c r="B149" s="2">
        <v>7075226830</v>
      </c>
      <c r="C149" s="2" t="s">
        <v>805</v>
      </c>
      <c r="D149" t="s">
        <v>280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Y149" t="e">
        <f>Table1[[#This Row],[qPer board]]*Table1[[#This Row],[boards]]</f>
        <v>#N/A</v>
      </c>
      <c r="AA149" t="e">
        <f>VLOOKUP(Table1[[#This Row],[MA_Number]], 'rhd batch30'!$A$1:$B$64,2,FALSE)</f>
        <v>#N/A</v>
      </c>
      <c r="AB149">
        <v>17</v>
      </c>
    </row>
    <row r="150" spans="1:28" x14ac:dyDescent="0.3">
      <c r="A150" t="s">
        <v>198</v>
      </c>
      <c r="B150" s="2" t="s">
        <v>285</v>
      </c>
      <c r="C150" s="2"/>
      <c r="D150" t="s">
        <v>280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Y150" t="e">
        <f>Table1[[#This Row],[qPer board]]*Table1[[#This Row],[boards]]</f>
        <v>#N/A</v>
      </c>
      <c r="AA150" t="e">
        <f>VLOOKUP(Table1[[#This Row],[MA_Number]], 'rhd batch30'!$A$1:$B$64,2,FALSE)</f>
        <v>#N/A</v>
      </c>
      <c r="AB150">
        <v>17</v>
      </c>
    </row>
    <row r="151" spans="1:28" x14ac:dyDescent="0.3">
      <c r="A151" t="s">
        <v>302</v>
      </c>
      <c r="B151" s="1" t="s">
        <v>297</v>
      </c>
      <c r="C151" s="1"/>
      <c r="D151" t="s">
        <v>280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Y151" t="e">
        <f>Table1[[#This Row],[qPer board]]*Table1[[#This Row],[boards]]</f>
        <v>#N/A</v>
      </c>
      <c r="AA151" t="e">
        <f>VLOOKUP(Table1[[#This Row],[MA_Number]], 'rhd batch30'!$A$1:$B$64,2,FALSE)</f>
        <v>#N/A</v>
      </c>
      <c r="AB151">
        <v>17</v>
      </c>
    </row>
    <row r="152" spans="1:28" x14ac:dyDescent="0.3">
      <c r="A152" t="s">
        <v>305</v>
      </c>
      <c r="B152" s="1" t="s">
        <v>304</v>
      </c>
      <c r="C152" s="1" t="s">
        <v>891</v>
      </c>
      <c r="D152" t="s">
        <v>280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Y152" t="e">
        <f>Table1[[#This Row],[qPer board]]*Table1[[#This Row],[boards]]</f>
        <v>#N/A</v>
      </c>
      <c r="AA152" t="e">
        <f>VLOOKUP(Table1[[#This Row],[MA_Number]], 'rhd batch30'!$A$1:$B$64,2,FALSE)</f>
        <v>#N/A</v>
      </c>
      <c r="AB152">
        <v>17</v>
      </c>
    </row>
    <row r="153" spans="1:28" x14ac:dyDescent="0.3">
      <c r="A153" t="s">
        <v>278</v>
      </c>
      <c r="B153" s="2" t="s">
        <v>286</v>
      </c>
      <c r="C153" s="2"/>
      <c r="D153" t="s">
        <v>280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Y153" t="e">
        <f>Table1[[#This Row],[qPer board]]*Table1[[#This Row],[boards]]</f>
        <v>#N/A</v>
      </c>
      <c r="AA153" t="e">
        <f>VLOOKUP(Table1[[#This Row],[MA_Number]], 'rhd batch30'!$A$1:$B$64,2,FALSE)</f>
        <v>#N/A</v>
      </c>
      <c r="AB153">
        <v>17</v>
      </c>
    </row>
    <row r="154" spans="1:28" x14ac:dyDescent="0.3">
      <c r="A154" t="s">
        <v>298</v>
      </c>
      <c r="B154" s="1" t="s">
        <v>287</v>
      </c>
      <c r="C154" s="1"/>
      <c r="D154" t="s">
        <v>280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Y154" t="e">
        <f>Table1[[#This Row],[qPer board]]*Table1[[#This Row],[boards]]</f>
        <v>#N/A</v>
      </c>
      <c r="AA154" t="e">
        <f>VLOOKUP(Table1[[#This Row],[MA_Number]], 'rhd batch30'!$A$1:$B$64,2,FALSE)</f>
        <v>#N/A</v>
      </c>
      <c r="AB154">
        <v>17</v>
      </c>
    </row>
    <row r="155" spans="1:28" x14ac:dyDescent="0.3">
      <c r="A155" t="s">
        <v>303</v>
      </c>
      <c r="B155" s="1">
        <v>7047275330</v>
      </c>
      <c r="C155" s="1"/>
      <c r="D155" t="s">
        <v>283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Y155" t="e">
        <f>Table1[[#This Row],[qPer board]]*Table1[[#This Row],[boards]]</f>
        <v>#N/A</v>
      </c>
      <c r="AA155" t="e">
        <f>VLOOKUP(Table1[[#This Row],[MA_Number]], 'rhd batch30'!$A$1:$B$64,2,FALSE)</f>
        <v>#N/A</v>
      </c>
      <c r="AB155">
        <v>17</v>
      </c>
    </row>
    <row r="156" spans="1:28" x14ac:dyDescent="0.3">
      <c r="A156" t="s">
        <v>279</v>
      </c>
      <c r="B156" s="1" t="s">
        <v>288</v>
      </c>
      <c r="C156" s="1"/>
      <c r="D156" t="s">
        <v>280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Y156" t="e">
        <f>Table1[[#This Row],[qPer board]]*Table1[[#This Row],[boards]]</f>
        <v>#N/A</v>
      </c>
      <c r="AA156" t="e">
        <f>VLOOKUP(Table1[[#This Row],[MA_Number]], 'rhd batch30'!$A$1:$B$64,2,FALSE)</f>
        <v>#N/A</v>
      </c>
      <c r="AB156">
        <v>17</v>
      </c>
    </row>
    <row r="157" spans="1:28" x14ac:dyDescent="0.3">
      <c r="A157" t="s">
        <v>126</v>
      </c>
      <c r="B157" s="1">
        <v>7271007230</v>
      </c>
      <c r="C157" s="1" t="s">
        <v>642</v>
      </c>
      <c r="D157" t="s">
        <v>280</v>
      </c>
      <c r="F157" t="b">
        <v>1</v>
      </c>
      <c r="I157">
        <v>1</v>
      </c>
      <c r="X157">
        <v>30</v>
      </c>
      <c r="Y157">
        <f>Table1[[#This Row],[qPer board]]*Table1[[#This Row],[boards]]</f>
        <v>17</v>
      </c>
      <c r="Z157" t="s">
        <v>1820</v>
      </c>
      <c r="AA157">
        <f>VLOOKUP(Table1[[#This Row],[MA_Number]], 'rhd batch30'!$A$1:$B$64,2,FALSE)</f>
        <v>1</v>
      </c>
      <c r="AB157">
        <v>17</v>
      </c>
    </row>
    <row r="158" spans="1:28" x14ac:dyDescent="0.3">
      <c r="B158" s="1">
        <v>7271007230</v>
      </c>
      <c r="C158" s="1"/>
      <c r="G158" t="s">
        <v>126</v>
      </c>
      <c r="H158" t="s">
        <v>422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Y158" t="e">
        <f>Table1[[#This Row],[qPer board]]*Table1[[#This Row],[boards]]</f>
        <v>#N/A</v>
      </c>
      <c r="AA158" t="e">
        <f>VLOOKUP(Table1[[#This Row],[MA_Number]], 'rhd batch30'!$A$1:$B$64,2,FALSE)</f>
        <v>#N/A</v>
      </c>
      <c r="AB158">
        <v>17</v>
      </c>
    </row>
    <row r="159" spans="1:28" x14ac:dyDescent="0.3">
      <c r="B159" s="1">
        <v>7271007230</v>
      </c>
      <c r="C159" s="1"/>
      <c r="G159" t="s">
        <v>126</v>
      </c>
      <c r="H159" t="s">
        <v>423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Y159" t="e">
        <f>Table1[[#This Row],[qPer board]]*Table1[[#This Row],[boards]]</f>
        <v>#N/A</v>
      </c>
      <c r="AA159" t="e">
        <f>VLOOKUP(Table1[[#This Row],[MA_Number]], 'rhd batch30'!$A$1:$B$64,2,FALSE)</f>
        <v>#N/A</v>
      </c>
      <c r="AB159">
        <v>17</v>
      </c>
    </row>
    <row r="160" spans="1:28" x14ac:dyDescent="0.3">
      <c r="B160" s="1">
        <v>7271007230</v>
      </c>
      <c r="C160" s="1"/>
      <c r="G160" t="s">
        <v>126</v>
      </c>
      <c r="H160" t="s">
        <v>424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Y160" t="e">
        <f>Table1[[#This Row],[qPer board]]*Table1[[#This Row],[boards]]</f>
        <v>#N/A</v>
      </c>
      <c r="AA160" t="e">
        <f>VLOOKUP(Table1[[#This Row],[MA_Number]], 'rhd batch30'!$A$1:$B$64,2,FALSE)</f>
        <v>#N/A</v>
      </c>
      <c r="AB160">
        <v>17</v>
      </c>
    </row>
    <row r="161" spans="1:28" x14ac:dyDescent="0.3">
      <c r="B161" s="1">
        <v>7271007230</v>
      </c>
      <c r="C161" s="1"/>
      <c r="G161" t="s">
        <v>126</v>
      </c>
      <c r="H161" t="s">
        <v>425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Y161" t="e">
        <f>Table1[[#This Row],[qPer board]]*Table1[[#This Row],[boards]]</f>
        <v>#N/A</v>
      </c>
      <c r="AA161" t="e">
        <f>VLOOKUP(Table1[[#This Row],[MA_Number]], 'rhd batch30'!$A$1:$B$64,2,FALSE)</f>
        <v>#N/A</v>
      </c>
      <c r="AB161">
        <v>17</v>
      </c>
    </row>
    <row r="162" spans="1:28" x14ac:dyDescent="0.3">
      <c r="B162" s="1">
        <v>7271007230</v>
      </c>
      <c r="C162" s="1"/>
      <c r="G162" t="s">
        <v>126</v>
      </c>
      <c r="H162" t="s">
        <v>426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Y162" t="e">
        <f>Table1[[#This Row],[qPer board]]*Table1[[#This Row],[boards]]</f>
        <v>#N/A</v>
      </c>
      <c r="AA162" t="e">
        <f>VLOOKUP(Table1[[#This Row],[MA_Number]], 'rhd batch30'!$A$1:$B$64,2,FALSE)</f>
        <v>#N/A</v>
      </c>
      <c r="AB162">
        <v>17</v>
      </c>
    </row>
    <row r="163" spans="1:28" x14ac:dyDescent="0.3">
      <c r="A163" t="s">
        <v>300</v>
      </c>
      <c r="B163" s="1" t="s">
        <v>563</v>
      </c>
      <c r="C163" s="1"/>
      <c r="D163" t="s">
        <v>280</v>
      </c>
      <c r="F163" t="b">
        <v>1</v>
      </c>
      <c r="I163">
        <v>1</v>
      </c>
      <c r="Y163" t="e">
        <f>Table1[[#This Row],[qPer board]]*Table1[[#This Row],[boards]]</f>
        <v>#N/A</v>
      </c>
      <c r="AA163" t="e">
        <f>VLOOKUP(Table1[[#This Row],[MA_Number]], 'rhd batch30'!$A$1:$B$64,2,FALSE)</f>
        <v>#N/A</v>
      </c>
      <c r="AB163">
        <v>17</v>
      </c>
    </row>
    <row r="164" spans="1:28" x14ac:dyDescent="0.3">
      <c r="B164" s="1" t="s">
        <v>563</v>
      </c>
      <c r="C164" s="1"/>
      <c r="G164" t="s">
        <v>300</v>
      </c>
      <c r="H164" t="s">
        <v>747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Y164" t="e">
        <f>Table1[[#This Row],[qPer board]]*Table1[[#This Row],[boards]]</f>
        <v>#N/A</v>
      </c>
      <c r="AA164" t="e">
        <f>VLOOKUP(Table1[[#This Row],[MA_Number]], 'rhd batch30'!$A$1:$B$64,2,FALSE)</f>
        <v>#N/A</v>
      </c>
      <c r="AB164">
        <v>17</v>
      </c>
    </row>
    <row r="165" spans="1:28" x14ac:dyDescent="0.3">
      <c r="B165" s="1" t="s">
        <v>563</v>
      </c>
      <c r="C165" s="1"/>
      <c r="G165" t="s">
        <v>300</v>
      </c>
      <c r="H165" t="s">
        <v>748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Y165" t="e">
        <f>Table1[[#This Row],[qPer board]]*Table1[[#This Row],[boards]]</f>
        <v>#N/A</v>
      </c>
      <c r="AA165" t="e">
        <f>VLOOKUP(Table1[[#This Row],[MA_Number]], 'rhd batch30'!$A$1:$B$64,2,FALSE)</f>
        <v>#N/A</v>
      </c>
      <c r="AB165">
        <v>17</v>
      </c>
    </row>
    <row r="166" spans="1:28" x14ac:dyDescent="0.3">
      <c r="B166" s="1" t="s">
        <v>563</v>
      </c>
      <c r="C166" s="1"/>
      <c r="G166" t="s">
        <v>300</v>
      </c>
      <c r="H166" t="s">
        <v>749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Y166" t="e">
        <f>Table1[[#This Row],[qPer board]]*Table1[[#This Row],[boards]]</f>
        <v>#N/A</v>
      </c>
      <c r="AA166" t="e">
        <f>VLOOKUP(Table1[[#This Row],[MA_Number]], 'rhd batch30'!$A$1:$B$64,2,FALSE)</f>
        <v>#N/A</v>
      </c>
      <c r="AB166">
        <v>17</v>
      </c>
    </row>
    <row r="167" spans="1:28" x14ac:dyDescent="0.3">
      <c r="A167" t="s">
        <v>765</v>
      </c>
      <c r="B167" s="1">
        <v>7003293002</v>
      </c>
      <c r="C167" s="1"/>
      <c r="D167" t="s">
        <v>280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Y167" t="e">
        <f>Table1[[#This Row],[qPer board]]*Table1[[#This Row],[boards]]</f>
        <v>#N/A</v>
      </c>
      <c r="AA167" t="e">
        <f>VLOOKUP(Table1[[#This Row],[MA_Number]], 'rhd batch30'!$A$1:$B$64,2,FALSE)</f>
        <v>#N/A</v>
      </c>
      <c r="AB167">
        <v>17</v>
      </c>
    </row>
    <row r="168" spans="1:28" x14ac:dyDescent="0.3">
      <c r="A168" t="s">
        <v>766</v>
      </c>
      <c r="B168" s="1">
        <v>7003789102</v>
      </c>
      <c r="C168" s="1"/>
      <c r="D168" t="s">
        <v>280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Y168" t="e">
        <f>Table1[[#This Row],[qPer board]]*Table1[[#This Row],[boards]]</f>
        <v>#N/A</v>
      </c>
      <c r="AA168" t="e">
        <f>VLOOKUP(Table1[[#This Row],[MA_Number]], 'rhd batch30'!$A$1:$B$64,2,FALSE)</f>
        <v>#N/A</v>
      </c>
      <c r="AB168">
        <v>17</v>
      </c>
    </row>
    <row r="169" spans="1:28" x14ac:dyDescent="0.3">
      <c r="A169" t="s">
        <v>767</v>
      </c>
      <c r="B169" s="1">
        <v>7003803702</v>
      </c>
      <c r="C169" s="1"/>
      <c r="D169" t="s">
        <v>280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Y169" t="e">
        <f>Table1[[#This Row],[qPer board]]*Table1[[#This Row],[boards]]</f>
        <v>#N/A</v>
      </c>
      <c r="AA169" t="e">
        <f>VLOOKUP(Table1[[#This Row],[MA_Number]], 'rhd batch30'!$A$1:$B$64,2,FALSE)</f>
        <v>#N/A</v>
      </c>
      <c r="AB169">
        <v>17</v>
      </c>
    </row>
    <row r="170" spans="1:28" x14ac:dyDescent="0.3">
      <c r="A170" t="s">
        <v>768</v>
      </c>
      <c r="B170" s="1">
        <v>7003827402</v>
      </c>
      <c r="C170" s="1"/>
      <c r="D170" t="s">
        <v>280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Y170" t="e">
        <f>Table1[[#This Row],[qPer board]]*Table1[[#This Row],[boards]]</f>
        <v>#N/A</v>
      </c>
      <c r="AA170" t="e">
        <f>VLOOKUP(Table1[[#This Row],[MA_Number]], 'rhd batch30'!$A$1:$B$64,2,FALSE)</f>
        <v>#N/A</v>
      </c>
      <c r="AB170">
        <v>17</v>
      </c>
    </row>
    <row r="171" spans="1:28" x14ac:dyDescent="0.3">
      <c r="A171" t="s">
        <v>769</v>
      </c>
      <c r="B171" s="1">
        <v>7009630402</v>
      </c>
      <c r="C171" s="1"/>
      <c r="D171" t="s">
        <v>280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Y171" t="e">
        <f>Table1[[#This Row],[qPer board]]*Table1[[#This Row],[boards]]</f>
        <v>#N/A</v>
      </c>
      <c r="AA171" t="e">
        <f>VLOOKUP(Table1[[#This Row],[MA_Number]], 'rhd batch30'!$A$1:$B$64,2,FALSE)</f>
        <v>#N/A</v>
      </c>
      <c r="AB171">
        <v>17</v>
      </c>
    </row>
    <row r="172" spans="1:28" x14ac:dyDescent="0.3">
      <c r="A172" t="s">
        <v>770</v>
      </c>
      <c r="B172" s="1">
        <v>7009639402</v>
      </c>
      <c r="C172" s="1"/>
      <c r="D172" t="s">
        <v>280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Y172" t="e">
        <f>Table1[[#This Row],[qPer board]]*Table1[[#This Row],[boards]]</f>
        <v>#N/A</v>
      </c>
      <c r="AA172" t="e">
        <f>VLOOKUP(Table1[[#This Row],[MA_Number]], 'rhd batch30'!$A$1:$B$64,2,FALSE)</f>
        <v>#N/A</v>
      </c>
      <c r="AB172">
        <v>17</v>
      </c>
    </row>
    <row r="173" spans="1:28" x14ac:dyDescent="0.3">
      <c r="A173" t="s">
        <v>771</v>
      </c>
      <c r="B173" s="1">
        <v>7009741202</v>
      </c>
      <c r="C173" s="1"/>
      <c r="D173" t="s">
        <v>280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Y173" t="e">
        <f>Table1[[#This Row],[qPer board]]*Table1[[#This Row],[boards]]</f>
        <v>#N/A</v>
      </c>
      <c r="AA173" t="e">
        <f>VLOOKUP(Table1[[#This Row],[MA_Number]], 'rhd batch30'!$A$1:$B$64,2,FALSE)</f>
        <v>#N/A</v>
      </c>
      <c r="AB173">
        <v>17</v>
      </c>
    </row>
    <row r="174" spans="1:28" x14ac:dyDescent="0.3">
      <c r="A174" t="s">
        <v>772</v>
      </c>
      <c r="B174" s="1">
        <v>7009741502</v>
      </c>
      <c r="C174" s="1"/>
      <c r="D174" t="s">
        <v>280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Y174" t="e">
        <f>Table1[[#This Row],[qPer board]]*Table1[[#This Row],[boards]]</f>
        <v>#N/A</v>
      </c>
      <c r="AA174" t="e">
        <f>VLOOKUP(Table1[[#This Row],[MA_Number]], 'rhd batch30'!$A$1:$B$64,2,FALSE)</f>
        <v>#N/A</v>
      </c>
      <c r="AB174">
        <v>17</v>
      </c>
    </row>
    <row r="175" spans="1:28" x14ac:dyDescent="0.3">
      <c r="A175" t="s">
        <v>773</v>
      </c>
      <c r="B175" s="1">
        <v>7009741602</v>
      </c>
      <c r="C175" s="1"/>
      <c r="D175" t="s">
        <v>280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Y175" t="e">
        <f>Table1[[#This Row],[qPer board]]*Table1[[#This Row],[boards]]</f>
        <v>#N/A</v>
      </c>
      <c r="AA175" t="e">
        <f>VLOOKUP(Table1[[#This Row],[MA_Number]], 'rhd batch30'!$A$1:$B$64,2,FALSE)</f>
        <v>#N/A</v>
      </c>
      <c r="AB175">
        <v>17</v>
      </c>
    </row>
    <row r="176" spans="1:28" x14ac:dyDescent="0.3">
      <c r="A176" t="s">
        <v>774</v>
      </c>
      <c r="B176" s="1">
        <v>7003803502</v>
      </c>
      <c r="C176" s="1"/>
      <c r="D176" t="s">
        <v>280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Y176" t="e">
        <f>Table1[[#This Row],[qPer board]]*Table1[[#This Row],[boards]]</f>
        <v>#N/A</v>
      </c>
      <c r="AA176" t="e">
        <f>VLOOKUP(Table1[[#This Row],[MA_Number]], 'rhd batch30'!$A$1:$B$64,2,FALSE)</f>
        <v>#N/A</v>
      </c>
      <c r="AB176">
        <v>17</v>
      </c>
    </row>
    <row r="177" spans="1:28" x14ac:dyDescent="0.3">
      <c r="A177" t="s">
        <v>775</v>
      </c>
      <c r="B177" s="1">
        <v>7219182630</v>
      </c>
      <c r="C177" s="1"/>
      <c r="D177" t="s">
        <v>280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Y177" t="e">
        <f>Table1[[#This Row],[qPer board]]*Table1[[#This Row],[boards]]</f>
        <v>#N/A</v>
      </c>
      <c r="AA177" t="e">
        <f>VLOOKUP(Table1[[#This Row],[MA_Number]], 'rhd batch30'!$A$1:$B$64,2,FALSE)</f>
        <v>#N/A</v>
      </c>
      <c r="AB177">
        <v>17</v>
      </c>
    </row>
    <row r="178" spans="1:28" x14ac:dyDescent="0.3">
      <c r="A178" t="s">
        <v>776</v>
      </c>
      <c r="B178" s="1">
        <v>7219622130</v>
      </c>
      <c r="C178" s="1"/>
      <c r="D178" t="s">
        <v>280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Y178" t="e">
        <f>Table1[[#This Row],[qPer board]]*Table1[[#This Row],[boards]]</f>
        <v>#N/A</v>
      </c>
      <c r="AA178" t="e">
        <f>VLOOKUP(Table1[[#This Row],[MA_Number]], 'rhd batch30'!$A$1:$B$64,2,FALSE)</f>
        <v>#N/A</v>
      </c>
      <c r="AB178">
        <v>17</v>
      </c>
    </row>
    <row r="179" spans="1:28" x14ac:dyDescent="0.3">
      <c r="A179" t="s">
        <v>777</v>
      </c>
      <c r="B179" s="1">
        <v>7219632030</v>
      </c>
      <c r="C179" s="1"/>
      <c r="D179" t="s">
        <v>280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Y179" t="e">
        <f>Table1[[#This Row],[qPer board]]*Table1[[#This Row],[boards]]</f>
        <v>#N/A</v>
      </c>
      <c r="AA179" t="e">
        <f>VLOOKUP(Table1[[#This Row],[MA_Number]], 'rhd batch30'!$A$1:$B$64,2,FALSE)</f>
        <v>#N/A</v>
      </c>
      <c r="AB179">
        <v>17</v>
      </c>
    </row>
    <row r="180" spans="1:28" x14ac:dyDescent="0.3">
      <c r="A180" t="s">
        <v>802</v>
      </c>
      <c r="B180" s="1">
        <v>7219632230</v>
      </c>
      <c r="C180" s="1"/>
      <c r="D180" t="s">
        <v>280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Y180" t="e">
        <f>Table1[[#This Row],[qPer board]]*Table1[[#This Row],[boards]]</f>
        <v>#N/A</v>
      </c>
      <c r="AA180" t="e">
        <f>VLOOKUP(Table1[[#This Row],[MA_Number]], 'rhd batch30'!$A$1:$B$64,2,FALSE)</f>
        <v>#N/A</v>
      </c>
      <c r="AB180">
        <v>17</v>
      </c>
    </row>
    <row r="181" spans="1:28" x14ac:dyDescent="0.3">
      <c r="A181" t="s">
        <v>778</v>
      </c>
      <c r="B181" s="1">
        <v>7219648530</v>
      </c>
      <c r="C181" s="1"/>
      <c r="D181" t="s">
        <v>280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Y181" t="e">
        <f>Table1[[#This Row],[qPer board]]*Table1[[#This Row],[boards]]</f>
        <v>#N/A</v>
      </c>
      <c r="AA181" t="e">
        <f>VLOOKUP(Table1[[#This Row],[MA_Number]], 'rhd batch30'!$A$1:$B$64,2,FALSE)</f>
        <v>#N/A</v>
      </c>
      <c r="AB181">
        <v>17</v>
      </c>
    </row>
    <row r="182" spans="1:28" x14ac:dyDescent="0.3">
      <c r="A182" t="s">
        <v>779</v>
      </c>
      <c r="B182" s="1">
        <v>7219652330</v>
      </c>
      <c r="C182" s="1"/>
      <c r="D182" t="s">
        <v>280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Y182" t="e">
        <f>Table1[[#This Row],[qPer board]]*Table1[[#This Row],[boards]]</f>
        <v>#N/A</v>
      </c>
      <c r="AA182" t="e">
        <f>VLOOKUP(Table1[[#This Row],[MA_Number]], 'rhd batch30'!$A$1:$B$64,2,FALSE)</f>
        <v>#N/A</v>
      </c>
      <c r="AB182">
        <v>17</v>
      </c>
    </row>
    <row r="183" spans="1:28" x14ac:dyDescent="0.3">
      <c r="A183" t="s">
        <v>803</v>
      </c>
      <c r="B183" s="1" t="s">
        <v>800</v>
      </c>
      <c r="C183" s="1"/>
      <c r="D183" t="s">
        <v>280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Y183" t="e">
        <f>Table1[[#This Row],[qPer board]]*Table1[[#This Row],[boards]]</f>
        <v>#N/A</v>
      </c>
      <c r="AA183" t="e">
        <f>VLOOKUP(Table1[[#This Row],[MA_Number]], 'rhd batch30'!$A$1:$B$64,2,FALSE)</f>
        <v>#N/A</v>
      </c>
      <c r="AB183">
        <v>17</v>
      </c>
    </row>
    <row r="184" spans="1:28" x14ac:dyDescent="0.3">
      <c r="A184" t="s">
        <v>812</v>
      </c>
      <c r="B184" s="1">
        <v>7278099530</v>
      </c>
      <c r="C184" s="1"/>
      <c r="D184" t="s">
        <v>280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Y184" t="e">
        <f>Table1[[#This Row],[qPer board]]*Table1[[#This Row],[boards]]</f>
        <v>#N/A</v>
      </c>
      <c r="AA184" t="e">
        <f>VLOOKUP(Table1[[#This Row],[MA_Number]], 'rhd batch30'!$A$1:$B$64,2,FALSE)</f>
        <v>#N/A</v>
      </c>
      <c r="AB184">
        <v>17</v>
      </c>
    </row>
    <row r="185" spans="1:28" x14ac:dyDescent="0.3">
      <c r="A185" t="s">
        <v>781</v>
      </c>
      <c r="B185" s="1">
        <v>7278258330</v>
      </c>
      <c r="C185" s="1"/>
      <c r="D185" t="s">
        <v>280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Y185" t="e">
        <f>Table1[[#This Row],[qPer board]]*Table1[[#This Row],[boards]]</f>
        <v>#N/A</v>
      </c>
      <c r="AA185" t="e">
        <f>VLOOKUP(Table1[[#This Row],[MA_Number]], 'rhd batch30'!$A$1:$B$64,2,FALSE)</f>
        <v>#N/A</v>
      </c>
      <c r="AB185">
        <v>17</v>
      </c>
    </row>
    <row r="186" spans="1:28" x14ac:dyDescent="0.3">
      <c r="A186" t="s">
        <v>809</v>
      </c>
      <c r="B186" s="1">
        <v>7289059730</v>
      </c>
      <c r="C186" s="1"/>
      <c r="D186" t="s">
        <v>280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Y186" t="e">
        <f>Table1[[#This Row],[qPer board]]*Table1[[#This Row],[boards]]</f>
        <v>#N/A</v>
      </c>
      <c r="AA186" t="e">
        <f>VLOOKUP(Table1[[#This Row],[MA_Number]], 'rhd batch30'!$A$1:$B$64,2,FALSE)</f>
        <v>#N/A</v>
      </c>
      <c r="AB186">
        <v>17</v>
      </c>
    </row>
    <row r="187" spans="1:28" x14ac:dyDescent="0.3">
      <c r="A187" t="s">
        <v>782</v>
      </c>
      <c r="B187" s="1">
        <v>7289063730</v>
      </c>
      <c r="C187" s="1"/>
      <c r="D187" t="s">
        <v>280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Y187" t="e">
        <f>Table1[[#This Row],[qPer board]]*Table1[[#This Row],[boards]]</f>
        <v>#N/A</v>
      </c>
      <c r="AA187" t="e">
        <f>VLOOKUP(Table1[[#This Row],[MA_Number]], 'rhd batch30'!$A$1:$B$64,2,FALSE)</f>
        <v>#N/A</v>
      </c>
      <c r="AB187">
        <v>17</v>
      </c>
    </row>
    <row r="188" spans="1:28" x14ac:dyDescent="0.3">
      <c r="A188" t="s">
        <v>783</v>
      </c>
      <c r="B188" s="1">
        <v>72893837</v>
      </c>
      <c r="C188" s="1"/>
      <c r="D188" t="s">
        <v>280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Y188" t="e">
        <f>Table1[[#This Row],[qPer board]]*Table1[[#This Row],[boards]]</f>
        <v>#N/A</v>
      </c>
      <c r="AA188" t="e">
        <f>VLOOKUP(Table1[[#This Row],[MA_Number]], 'rhd batch30'!$A$1:$B$64,2,FALSE)</f>
        <v>#N/A</v>
      </c>
      <c r="AB188">
        <v>17</v>
      </c>
    </row>
    <row r="189" spans="1:28" x14ac:dyDescent="0.3">
      <c r="A189" t="s">
        <v>784</v>
      </c>
      <c r="B189" s="1">
        <v>7289405130</v>
      </c>
      <c r="C189" s="1"/>
      <c r="D189" t="s">
        <v>280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Y189" t="e">
        <f>Table1[[#This Row],[qPer board]]*Table1[[#This Row],[boards]]</f>
        <v>#N/A</v>
      </c>
      <c r="AA189" t="e">
        <f>VLOOKUP(Table1[[#This Row],[MA_Number]], 'rhd batch30'!$A$1:$B$64,2,FALSE)</f>
        <v>#N/A</v>
      </c>
      <c r="AB189">
        <v>17</v>
      </c>
    </row>
    <row r="190" spans="1:28" x14ac:dyDescent="0.3">
      <c r="A190" t="s">
        <v>785</v>
      </c>
      <c r="B190" s="1">
        <v>7289405830</v>
      </c>
      <c r="C190" s="1"/>
      <c r="D190" t="s">
        <v>280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X190">
        <v>30</v>
      </c>
      <c r="Y190">
        <f>Table1[[#This Row],[qPer board]]*Table1[[#This Row],[boards]]</f>
        <v>17</v>
      </c>
      <c r="Z190" t="s">
        <v>1820</v>
      </c>
      <c r="AA190">
        <f>VLOOKUP(Table1[[#This Row],[MA_Number]], 'rhd batch30'!$A$1:$B$64,2,FALSE)</f>
        <v>1</v>
      </c>
      <c r="AB190">
        <v>17</v>
      </c>
    </row>
    <row r="191" spans="1:28" x14ac:dyDescent="0.3">
      <c r="A191" t="s">
        <v>786</v>
      </c>
      <c r="B191" s="1">
        <v>7289464330</v>
      </c>
      <c r="C191" s="1"/>
      <c r="D191" t="s">
        <v>280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Y191" t="e">
        <f>Table1[[#This Row],[qPer board]]*Table1[[#This Row],[boards]]</f>
        <v>#N/A</v>
      </c>
      <c r="AA191" t="e">
        <f>VLOOKUP(Table1[[#This Row],[MA_Number]], 'rhd batch30'!$A$1:$B$64,2,FALSE)</f>
        <v>#N/A</v>
      </c>
      <c r="AB191">
        <v>17</v>
      </c>
    </row>
    <row r="192" spans="1:28" x14ac:dyDescent="0.3">
      <c r="A192" t="s">
        <v>787</v>
      </c>
      <c r="B192" s="1">
        <v>72895381</v>
      </c>
      <c r="C192" s="1"/>
      <c r="D192" t="s">
        <v>280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Y192" t="e">
        <f>Table1[[#This Row],[qPer board]]*Table1[[#This Row],[boards]]</f>
        <v>#N/A</v>
      </c>
      <c r="AA192" t="e">
        <f>VLOOKUP(Table1[[#This Row],[MA_Number]], 'rhd batch30'!$A$1:$B$64,2,FALSE)</f>
        <v>#N/A</v>
      </c>
      <c r="AB192">
        <v>17</v>
      </c>
    </row>
    <row r="193" spans="1:28" x14ac:dyDescent="0.3">
      <c r="A193" t="s">
        <v>788</v>
      </c>
      <c r="B193" s="1">
        <v>7289734390</v>
      </c>
      <c r="C193" s="1"/>
      <c r="D193" t="s">
        <v>280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Y193" t="e">
        <f>Table1[[#This Row],[qPer board]]*Table1[[#This Row],[boards]]</f>
        <v>#N/A</v>
      </c>
      <c r="AA193" t="e">
        <f>VLOOKUP(Table1[[#This Row],[MA_Number]], 'rhd batch30'!$A$1:$B$64,2,FALSE)</f>
        <v>#N/A</v>
      </c>
      <c r="AB193">
        <v>17</v>
      </c>
    </row>
    <row r="194" spans="1:28" x14ac:dyDescent="0.3">
      <c r="A194" t="s">
        <v>789</v>
      </c>
      <c r="B194" s="1">
        <v>7289921730</v>
      </c>
      <c r="C194" s="1"/>
      <c r="D194" t="s">
        <v>280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Y194" t="e">
        <f>Table1[[#This Row],[qPer board]]*Table1[[#This Row],[boards]]</f>
        <v>#N/A</v>
      </c>
      <c r="AA194" t="e">
        <f>VLOOKUP(Table1[[#This Row],[MA_Number]], 'rhd batch30'!$A$1:$B$64,2,FALSE)</f>
        <v>#N/A</v>
      </c>
      <c r="AB194">
        <v>17</v>
      </c>
    </row>
    <row r="195" spans="1:28" x14ac:dyDescent="0.3">
      <c r="A195" t="s">
        <v>790</v>
      </c>
      <c r="B195" s="1">
        <v>72980475</v>
      </c>
      <c r="C195" s="1"/>
      <c r="D195" t="s">
        <v>280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Y195" t="e">
        <f>Table1[[#This Row],[qPer board]]*Table1[[#This Row],[boards]]</f>
        <v>#N/A</v>
      </c>
      <c r="AA195" t="e">
        <f>VLOOKUP(Table1[[#This Row],[MA_Number]], 'rhd batch30'!$A$1:$B$64,2,FALSE)</f>
        <v>#N/A</v>
      </c>
      <c r="AB195">
        <v>17</v>
      </c>
    </row>
    <row r="196" spans="1:28" x14ac:dyDescent="0.3">
      <c r="A196" t="s">
        <v>791</v>
      </c>
      <c r="B196" s="1" t="s">
        <v>656</v>
      </c>
      <c r="C196" s="1"/>
      <c r="D196" t="s">
        <v>280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Y196" t="e">
        <f>Table1[[#This Row],[qPer board]]*Table1[[#This Row],[boards]]</f>
        <v>#N/A</v>
      </c>
      <c r="AA196" t="e">
        <f>VLOOKUP(Table1[[#This Row],[MA_Number]], 'rhd batch30'!$A$1:$B$64,2,FALSE)</f>
        <v>#N/A</v>
      </c>
      <c r="AB196">
        <v>17</v>
      </c>
    </row>
    <row r="197" spans="1:28" x14ac:dyDescent="0.3">
      <c r="A197" t="s">
        <v>792</v>
      </c>
      <c r="B197" s="1">
        <v>7298677930</v>
      </c>
      <c r="C197" s="1"/>
      <c r="D197" t="s">
        <v>280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Y197" t="e">
        <f>Table1[[#This Row],[qPer board]]*Table1[[#This Row],[boards]]</f>
        <v>#N/A</v>
      </c>
      <c r="AA197" t="e">
        <f>VLOOKUP(Table1[[#This Row],[MA_Number]], 'rhd batch30'!$A$1:$B$64,2,FALSE)</f>
        <v>#N/A</v>
      </c>
      <c r="AB197">
        <v>17</v>
      </c>
    </row>
    <row r="198" spans="1:28" x14ac:dyDescent="0.3">
      <c r="A198" t="s">
        <v>793</v>
      </c>
      <c r="B198" s="1">
        <v>7298761730</v>
      </c>
      <c r="C198" s="1"/>
      <c r="D198" t="s">
        <v>280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Y198" t="e">
        <f>Table1[[#This Row],[qPer board]]*Table1[[#This Row],[boards]]</f>
        <v>#N/A</v>
      </c>
      <c r="AA198" t="e">
        <f>VLOOKUP(Table1[[#This Row],[MA_Number]], 'rhd batch30'!$A$1:$B$64,2,FALSE)</f>
        <v>#N/A</v>
      </c>
      <c r="AB198">
        <v>17</v>
      </c>
    </row>
    <row r="199" spans="1:28" x14ac:dyDescent="0.3">
      <c r="A199" t="s">
        <v>794</v>
      </c>
      <c r="B199" s="1">
        <v>7298912930</v>
      </c>
      <c r="C199" s="1"/>
      <c r="D199" t="s">
        <v>280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Y199" t="e">
        <f>Table1[[#This Row],[qPer board]]*Table1[[#This Row],[boards]]</f>
        <v>#N/A</v>
      </c>
      <c r="AA199" t="e">
        <f>VLOOKUP(Table1[[#This Row],[MA_Number]], 'rhd batch30'!$A$1:$B$64,2,FALSE)</f>
        <v>#N/A</v>
      </c>
      <c r="AB199">
        <v>17</v>
      </c>
    </row>
    <row r="200" spans="1:28" x14ac:dyDescent="0.3">
      <c r="A200" t="s">
        <v>837</v>
      </c>
      <c r="B200" s="1">
        <v>7298913330</v>
      </c>
      <c r="C200" s="1"/>
      <c r="D200" t="s">
        <v>280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Y200" t="e">
        <f>Table1[[#This Row],[qPer board]]*Table1[[#This Row],[boards]]</f>
        <v>#N/A</v>
      </c>
      <c r="AA200" t="e">
        <f>VLOOKUP(Table1[[#This Row],[MA_Number]], 'rhd batch30'!$A$1:$B$64,2,FALSE)</f>
        <v>#N/A</v>
      </c>
      <c r="AB200">
        <v>17</v>
      </c>
    </row>
    <row r="201" spans="1:28" x14ac:dyDescent="0.3">
      <c r="A201" t="s">
        <v>796</v>
      </c>
      <c r="B201" s="1">
        <v>7298948930</v>
      </c>
      <c r="C201" s="1" t="s">
        <v>814</v>
      </c>
      <c r="D201" t="s">
        <v>280</v>
      </c>
      <c r="F201" t="b">
        <v>0</v>
      </c>
      <c r="I201">
        <v>1</v>
      </c>
      <c r="J201">
        <v>44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Y201" t="e">
        <f>Table1[[#This Row],[qPer board]]*Table1[[#This Row],[boards]]</f>
        <v>#N/A</v>
      </c>
      <c r="AA201" t="e">
        <f>VLOOKUP(Table1[[#This Row],[MA_Number]], 'rhd batch30'!$A$1:$B$64,2,FALSE)</f>
        <v>#N/A</v>
      </c>
      <c r="AB201">
        <v>17</v>
      </c>
    </row>
    <row r="202" spans="1:28" x14ac:dyDescent="0.3">
      <c r="A202" t="s">
        <v>815</v>
      </c>
      <c r="B202" s="1">
        <v>7298949030</v>
      </c>
      <c r="C202" s="1"/>
      <c r="D202" t="s">
        <v>280</v>
      </c>
      <c r="F202" t="b">
        <v>0</v>
      </c>
      <c r="I202">
        <v>1</v>
      </c>
      <c r="J202">
        <v>44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Y202" t="e">
        <f>Table1[[#This Row],[qPer board]]*Table1[[#This Row],[boards]]</f>
        <v>#N/A</v>
      </c>
      <c r="AA202" t="e">
        <f>VLOOKUP(Table1[[#This Row],[MA_Number]], 'rhd batch30'!$A$1:$B$64,2,FALSE)</f>
        <v>#N/A</v>
      </c>
      <c r="AB202">
        <v>17</v>
      </c>
    </row>
    <row r="203" spans="1:28" x14ac:dyDescent="0.3">
      <c r="A203" t="s">
        <v>798</v>
      </c>
      <c r="B203" s="1" t="s">
        <v>594</v>
      </c>
      <c r="C203" s="1"/>
      <c r="D203" t="s">
        <v>280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Y203" t="e">
        <f>Table1[[#This Row],[qPer board]]*Table1[[#This Row],[boards]]</f>
        <v>#N/A</v>
      </c>
      <c r="AA203" t="e">
        <f>VLOOKUP(Table1[[#This Row],[MA_Number]], 'rhd batch30'!$A$1:$B$64,2,FALSE)</f>
        <v>#N/A</v>
      </c>
      <c r="AB203">
        <v>17</v>
      </c>
    </row>
    <row r="204" spans="1:28" x14ac:dyDescent="0.3">
      <c r="A204" t="s">
        <v>799</v>
      </c>
      <c r="B204" s="1" t="s">
        <v>661</v>
      </c>
      <c r="C204" s="1"/>
      <c r="D204" t="s">
        <v>280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Y204" t="e">
        <f>Table1[[#This Row],[qPer board]]*Table1[[#This Row],[boards]]</f>
        <v>#N/A</v>
      </c>
      <c r="AA204" t="e">
        <f>VLOOKUP(Table1[[#This Row],[MA_Number]], 'rhd batch30'!$A$1:$B$64,2,FALSE)</f>
        <v>#N/A</v>
      </c>
      <c r="AB204">
        <v>17</v>
      </c>
    </row>
    <row r="205" spans="1:28" x14ac:dyDescent="0.3">
      <c r="A205" t="s">
        <v>801</v>
      </c>
      <c r="B205" s="1">
        <v>7003292202</v>
      </c>
      <c r="C205" s="1"/>
      <c r="D205" t="s">
        <v>280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Y205" t="e">
        <f>Table1[[#This Row],[qPer board]]*Table1[[#This Row],[boards]]</f>
        <v>#N/A</v>
      </c>
      <c r="AA205" t="e">
        <f>VLOOKUP(Table1[[#This Row],[MA_Number]], 'rhd batch30'!$A$1:$B$64,2,FALSE)</f>
        <v>#N/A</v>
      </c>
      <c r="AB205">
        <v>17</v>
      </c>
    </row>
    <row r="206" spans="1:28" x14ac:dyDescent="0.3">
      <c r="A206" t="s">
        <v>810</v>
      </c>
      <c r="B206" s="1">
        <v>7118605030</v>
      </c>
      <c r="C206" s="1"/>
      <c r="D206" t="s">
        <v>280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Y206" t="e">
        <f>Table1[[#This Row],[qPer board]]*Table1[[#This Row],[boards]]</f>
        <v>#N/A</v>
      </c>
      <c r="AA206" t="e">
        <f>VLOOKUP(Table1[[#This Row],[MA_Number]], 'rhd batch30'!$A$1:$B$64,2,FALSE)</f>
        <v>#N/A</v>
      </c>
      <c r="AB206">
        <v>17</v>
      </c>
    </row>
    <row r="207" spans="1:28" x14ac:dyDescent="0.3">
      <c r="A207" t="s">
        <v>813</v>
      </c>
      <c r="B207" s="1">
        <v>7289042870</v>
      </c>
      <c r="C207" s="1"/>
      <c r="D207" t="s">
        <v>280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Y207" t="e">
        <f>Table1[[#This Row],[qPer board]]*Table1[[#This Row],[boards]]</f>
        <v>#N/A</v>
      </c>
      <c r="AA207" t="e">
        <f>VLOOKUP(Table1[[#This Row],[MA_Number]], 'rhd batch30'!$A$1:$B$64,2,FALSE)</f>
        <v>#N/A</v>
      </c>
      <c r="AB207">
        <v>17</v>
      </c>
    </row>
    <row r="208" spans="1:28" x14ac:dyDescent="0.3">
      <c r="A208" t="s">
        <v>816</v>
      </c>
      <c r="B208" s="1" t="s">
        <v>576</v>
      </c>
      <c r="C208" s="1"/>
      <c r="D208" t="s">
        <v>280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Y208" t="e">
        <f>Table1[[#This Row],[qPer board]]*Table1[[#This Row],[boards]]</f>
        <v>#N/A</v>
      </c>
      <c r="AA208" t="e">
        <f>VLOOKUP(Table1[[#This Row],[MA_Number]], 'rhd batch30'!$A$1:$B$64,2,FALSE)</f>
        <v>#N/A</v>
      </c>
      <c r="AB208">
        <v>17</v>
      </c>
    </row>
    <row r="209" spans="1:28" x14ac:dyDescent="0.3">
      <c r="A209" t="s">
        <v>817</v>
      </c>
      <c r="B209" s="1" t="s">
        <v>659</v>
      </c>
      <c r="C209" s="1"/>
      <c r="D209" t="s">
        <v>280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Y209" t="e">
        <f>Table1[[#This Row],[qPer board]]*Table1[[#This Row],[boards]]</f>
        <v>#N/A</v>
      </c>
      <c r="AA209" t="e">
        <f>VLOOKUP(Table1[[#This Row],[MA_Number]], 'rhd batch30'!$A$1:$B$64,2,FALSE)</f>
        <v>#N/A</v>
      </c>
      <c r="AB209">
        <v>17</v>
      </c>
    </row>
    <row r="210" spans="1:28" x14ac:dyDescent="0.3">
      <c r="A210" t="s">
        <v>818</v>
      </c>
      <c r="B210" s="1">
        <v>7289689230</v>
      </c>
      <c r="C210" s="1"/>
      <c r="D210" t="s">
        <v>280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Y210" t="e">
        <f>Table1[[#This Row],[qPer board]]*Table1[[#This Row],[boards]]</f>
        <v>#N/A</v>
      </c>
      <c r="AA210" t="e">
        <f>VLOOKUP(Table1[[#This Row],[MA_Number]], 'rhd batch30'!$A$1:$B$64,2,FALSE)</f>
        <v>#N/A</v>
      </c>
      <c r="AB210">
        <v>17</v>
      </c>
    </row>
    <row r="211" spans="1:28" x14ac:dyDescent="0.3">
      <c r="A211" t="s">
        <v>819</v>
      </c>
      <c r="B211" s="1">
        <v>7009748202</v>
      </c>
      <c r="C211" s="1"/>
      <c r="D211" t="s">
        <v>280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Y211" t="e">
        <f>Table1[[#This Row],[qPer board]]*Table1[[#This Row],[boards]]</f>
        <v>#N/A</v>
      </c>
      <c r="AA211" t="e">
        <f>VLOOKUP(Table1[[#This Row],[MA_Number]], 'rhd batch30'!$A$1:$B$64,2,FALSE)</f>
        <v>#N/A</v>
      </c>
      <c r="AB211">
        <v>17</v>
      </c>
    </row>
    <row r="212" spans="1:28" x14ac:dyDescent="0.3">
      <c r="A212" t="s">
        <v>820</v>
      </c>
      <c r="B212" s="1">
        <v>7298913530</v>
      </c>
      <c r="C212" s="1"/>
      <c r="D212" t="s">
        <v>280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Y212" t="e">
        <f>Table1[[#This Row],[qPer board]]*Table1[[#This Row],[boards]]</f>
        <v>#N/A</v>
      </c>
      <c r="AA212" t="e">
        <f>VLOOKUP(Table1[[#This Row],[MA_Number]], 'rhd batch30'!$A$1:$B$64,2,FALSE)</f>
        <v>#N/A</v>
      </c>
      <c r="AB212">
        <v>17</v>
      </c>
    </row>
    <row r="213" spans="1:28" x14ac:dyDescent="0.3">
      <c r="A213" t="s">
        <v>821</v>
      </c>
      <c r="B213" s="1">
        <v>7119665630</v>
      </c>
      <c r="C213" s="1"/>
      <c r="D213" t="s">
        <v>280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Y213" t="e">
        <f>Table1[[#This Row],[qPer board]]*Table1[[#This Row],[boards]]</f>
        <v>#N/A</v>
      </c>
      <c r="AA213" t="e">
        <f>VLOOKUP(Table1[[#This Row],[MA_Number]], 'rhd batch30'!$A$1:$B$64,2,FALSE)</f>
        <v>#N/A</v>
      </c>
      <c r="AB213">
        <v>17</v>
      </c>
    </row>
    <row r="214" spans="1:28" x14ac:dyDescent="0.3">
      <c r="A214" t="s">
        <v>822</v>
      </c>
      <c r="B214" s="1">
        <v>7119637880</v>
      </c>
      <c r="C214" s="1"/>
      <c r="D214" t="s">
        <v>280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Y214" t="e">
        <f>Table1[[#This Row],[qPer board]]*Table1[[#This Row],[boards]]</f>
        <v>#N/A</v>
      </c>
      <c r="AA214" t="e">
        <f>VLOOKUP(Table1[[#This Row],[MA_Number]], 'rhd batch30'!$A$1:$B$64,2,FALSE)</f>
        <v>#N/A</v>
      </c>
      <c r="AB214">
        <v>17</v>
      </c>
    </row>
    <row r="215" spans="1:28" x14ac:dyDescent="0.3">
      <c r="A215" t="s">
        <v>823</v>
      </c>
      <c r="B215" s="1">
        <v>7198600430</v>
      </c>
      <c r="C215" s="1"/>
      <c r="D215" t="s">
        <v>280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Y215" t="e">
        <f>Table1[[#This Row],[qPer board]]*Table1[[#This Row],[boards]]</f>
        <v>#N/A</v>
      </c>
      <c r="AA215" t="e">
        <f>VLOOKUP(Table1[[#This Row],[MA_Number]], 'rhd batch30'!$A$1:$B$64,2,FALSE)</f>
        <v>#N/A</v>
      </c>
      <c r="AB215">
        <v>17</v>
      </c>
    </row>
    <row r="216" spans="1:28" x14ac:dyDescent="0.3">
      <c r="A216" t="s">
        <v>824</v>
      </c>
      <c r="B216" s="1">
        <v>7287065830</v>
      </c>
      <c r="C216" s="1"/>
      <c r="D216" t="s">
        <v>280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Y216" t="e">
        <f>Table1[[#This Row],[qPer board]]*Table1[[#This Row],[boards]]</f>
        <v>#N/A</v>
      </c>
      <c r="AA216" t="e">
        <f>VLOOKUP(Table1[[#This Row],[MA_Number]], 'rhd batch30'!$A$1:$B$64,2,FALSE)</f>
        <v>#N/A</v>
      </c>
      <c r="AB216">
        <v>17</v>
      </c>
    </row>
    <row r="217" spans="1:28" x14ac:dyDescent="0.3">
      <c r="A217" t="s">
        <v>825</v>
      </c>
      <c r="B217" s="1" t="s">
        <v>826</v>
      </c>
      <c r="C217" s="1"/>
      <c r="D217" t="s">
        <v>280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Y217" t="e">
        <f>Table1[[#This Row],[qPer board]]*Table1[[#This Row],[boards]]</f>
        <v>#N/A</v>
      </c>
      <c r="AA217" t="e">
        <f>VLOOKUP(Table1[[#This Row],[MA_Number]], 'rhd batch30'!$A$1:$B$64,2,FALSE)</f>
        <v>#N/A</v>
      </c>
      <c r="AB217">
        <v>17</v>
      </c>
    </row>
    <row r="218" spans="1:28" x14ac:dyDescent="0.3">
      <c r="A218" t="s">
        <v>840</v>
      </c>
      <c r="B218" s="1">
        <v>7035990830</v>
      </c>
      <c r="C218" s="1"/>
      <c r="D218" t="s">
        <v>280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Y218" t="e">
        <f>Table1[[#This Row],[qPer board]]*Table1[[#This Row],[boards]]</f>
        <v>#N/A</v>
      </c>
      <c r="AA218" t="e">
        <f>VLOOKUP(Table1[[#This Row],[MA_Number]], 'rhd batch30'!$A$1:$B$64,2,FALSE)</f>
        <v>#N/A</v>
      </c>
      <c r="AB218">
        <v>17</v>
      </c>
    </row>
    <row r="219" spans="1:28" x14ac:dyDescent="0.3">
      <c r="A219" t="s">
        <v>841</v>
      </c>
      <c r="B219" s="1" t="s">
        <v>655</v>
      </c>
      <c r="C219" s="1"/>
      <c r="D219" t="s">
        <v>280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Y219" t="e">
        <f>Table1[[#This Row],[qPer board]]*Table1[[#This Row],[boards]]</f>
        <v>#N/A</v>
      </c>
      <c r="AA219" t="e">
        <f>VLOOKUP(Table1[[#This Row],[MA_Number]], 'rhd batch30'!$A$1:$B$64,2,FALSE)</f>
        <v>#N/A</v>
      </c>
      <c r="AB219">
        <v>17</v>
      </c>
    </row>
    <row r="220" spans="1:28" x14ac:dyDescent="0.3">
      <c r="A220" t="s">
        <v>842</v>
      </c>
      <c r="B220" s="1">
        <v>7247781630</v>
      </c>
      <c r="C220" s="1"/>
      <c r="D220" t="s">
        <v>283</v>
      </c>
      <c r="E220" t="s">
        <v>843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Y220" t="e">
        <f>Table1[[#This Row],[qPer board]]*Table1[[#This Row],[boards]]</f>
        <v>#N/A</v>
      </c>
      <c r="AA220" t="e">
        <f>VLOOKUP(Table1[[#This Row],[MA_Number]], 'rhd batch30'!$A$1:$B$64,2,FALSE)</f>
        <v>#N/A</v>
      </c>
      <c r="AB220">
        <v>17</v>
      </c>
    </row>
    <row r="221" spans="1:28" x14ac:dyDescent="0.3">
      <c r="A221" t="s">
        <v>969</v>
      </c>
      <c r="B221" s="1">
        <v>7035964930</v>
      </c>
      <c r="C221" s="1"/>
      <c r="D221" t="s">
        <v>280</v>
      </c>
      <c r="E221" t="s">
        <v>1812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30</v>
      </c>
      <c r="Y221">
        <f>Table1[[#This Row],[qPer board]]*Table1[[#This Row],[boards]]</f>
        <v>17</v>
      </c>
      <c r="Z221" t="s">
        <v>1820</v>
      </c>
      <c r="AA221">
        <f>VLOOKUP(Table1[[#This Row],[MA_Number]], 'rhd batch30'!$A$1:$B$64,2,FALSE)</f>
        <v>1</v>
      </c>
      <c r="AB221">
        <v>17</v>
      </c>
    </row>
    <row r="222" spans="1:28" x14ac:dyDescent="0.3">
      <c r="A222" t="s">
        <v>845</v>
      </c>
      <c r="B222" s="1">
        <v>7035990430</v>
      </c>
      <c r="C222" s="1" t="s">
        <v>844</v>
      </c>
      <c r="D222" t="s">
        <v>280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X222">
        <v>30</v>
      </c>
      <c r="Y222">
        <f>Table1[[#This Row],[qPer board]]*Table1[[#This Row],[boards]]</f>
        <v>34</v>
      </c>
      <c r="Z222" t="s">
        <v>1820</v>
      </c>
      <c r="AA222">
        <f>VLOOKUP(Table1[[#This Row],[MA_Number]], 'rhd batch30'!$A$1:$B$64,2,FALSE)</f>
        <v>2</v>
      </c>
      <c r="AB222">
        <v>17</v>
      </c>
    </row>
    <row r="223" spans="1:28" x14ac:dyDescent="0.3">
      <c r="A223" t="s">
        <v>846</v>
      </c>
      <c r="B223" s="1" t="s">
        <v>839</v>
      </c>
      <c r="C223" s="1"/>
      <c r="D223" t="s">
        <v>280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Y223" t="e">
        <f>Table1[[#This Row],[qPer board]]*Table1[[#This Row],[boards]]</f>
        <v>#N/A</v>
      </c>
      <c r="AA223" t="e">
        <f>VLOOKUP(Table1[[#This Row],[MA_Number]], 'rhd batch30'!$A$1:$B$64,2,FALSE)</f>
        <v>#N/A</v>
      </c>
      <c r="AB223">
        <v>17</v>
      </c>
    </row>
    <row r="224" spans="1:28" x14ac:dyDescent="0.3">
      <c r="A224" t="s">
        <v>889</v>
      </c>
      <c r="B224" s="1">
        <v>6666666630</v>
      </c>
      <c r="C224" s="1"/>
      <c r="D224" t="s">
        <v>280</v>
      </c>
      <c r="E224" t="s">
        <v>888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Y224" t="e">
        <f>Table1[[#This Row],[qPer board]]*Table1[[#This Row],[boards]]</f>
        <v>#N/A</v>
      </c>
      <c r="AA224" t="e">
        <f>VLOOKUP(Table1[[#This Row],[MA_Number]], 'rhd batch30'!$A$1:$B$64,2,FALSE)</f>
        <v>#N/A</v>
      </c>
      <c r="AB224">
        <v>17</v>
      </c>
    </row>
    <row r="225" spans="1:28" x14ac:dyDescent="0.3">
      <c r="A225" t="s">
        <v>1415</v>
      </c>
      <c r="B225" s="1" t="s">
        <v>614</v>
      </c>
      <c r="C225" s="1"/>
      <c r="D225" t="s">
        <v>280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X225">
        <v>30</v>
      </c>
      <c r="Y225">
        <f>Table1[[#This Row],[qPer board]]*Table1[[#This Row],[boards]]</f>
        <v>17</v>
      </c>
      <c r="Z225" t="s">
        <v>1820</v>
      </c>
      <c r="AA225">
        <f>VLOOKUP(Table1[[#This Row],[MA_Number]], 'rhd batch30'!$A$1:$B$64,2,FALSE)</f>
        <v>1</v>
      </c>
      <c r="AB225">
        <v>17</v>
      </c>
    </row>
    <row r="226" spans="1:28" x14ac:dyDescent="0.3">
      <c r="A226" t="s">
        <v>865</v>
      </c>
      <c r="B226" s="1">
        <v>7235053630</v>
      </c>
      <c r="C226" s="1"/>
      <c r="D226" t="s">
        <v>280</v>
      </c>
      <c r="E226" t="s">
        <v>979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X226">
        <v>30</v>
      </c>
      <c r="Y226">
        <f>Table1[[#This Row],[qPer board]]*Table1[[#This Row],[boards]]</f>
        <v>17</v>
      </c>
      <c r="Z226" t="s">
        <v>1820</v>
      </c>
      <c r="AA226">
        <f>VLOOKUP(Table1[[#This Row],[MA_Number]], 'rhd batch30'!$A$1:$B$64,2,FALSE)</f>
        <v>1</v>
      </c>
      <c r="AB226">
        <v>17</v>
      </c>
    </row>
    <row r="227" spans="1:28" x14ac:dyDescent="0.3">
      <c r="A227" t="s">
        <v>866</v>
      </c>
      <c r="B227" s="1">
        <v>7235053630</v>
      </c>
      <c r="C227" s="1"/>
      <c r="D227" t="s">
        <v>280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Y227" t="e">
        <f>Table1[[#This Row],[qPer board]]*Table1[[#This Row],[boards]]</f>
        <v>#N/A</v>
      </c>
      <c r="AA227" t="e">
        <f>VLOOKUP(Table1[[#This Row],[MA_Number]], 'rhd batch30'!$A$1:$B$64,2,FALSE)</f>
        <v>#N/A</v>
      </c>
      <c r="AB227">
        <v>17</v>
      </c>
    </row>
    <row r="228" spans="1:28" x14ac:dyDescent="0.3">
      <c r="A228" t="s">
        <v>867</v>
      </c>
      <c r="B228" s="1">
        <v>7235053630</v>
      </c>
      <c r="C228" s="1"/>
      <c r="D228" t="s">
        <v>280</v>
      </c>
      <c r="E228" t="s">
        <v>979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Y228" t="e">
        <f>Table1[[#This Row],[qPer board]]*Table1[[#This Row],[boards]]</f>
        <v>#N/A</v>
      </c>
      <c r="AA228" t="e">
        <f>VLOOKUP(Table1[[#This Row],[MA_Number]], 'rhd batch30'!$A$1:$B$64,2,FALSE)</f>
        <v>#N/A</v>
      </c>
      <c r="AB228">
        <v>17</v>
      </c>
    </row>
    <row r="229" spans="1:28" x14ac:dyDescent="0.3">
      <c r="A229" t="s">
        <v>868</v>
      </c>
      <c r="B229" s="1">
        <v>7235053630</v>
      </c>
      <c r="C229" s="1"/>
      <c r="D229" t="s">
        <v>280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Y229" t="e">
        <f>Table1[[#This Row],[qPer board]]*Table1[[#This Row],[boards]]</f>
        <v>#N/A</v>
      </c>
      <c r="AA229" t="e">
        <f>VLOOKUP(Table1[[#This Row],[MA_Number]], 'rhd batch30'!$A$1:$B$64,2,FALSE)</f>
        <v>#N/A</v>
      </c>
      <c r="AB229">
        <v>17</v>
      </c>
    </row>
    <row r="230" spans="1:28" x14ac:dyDescent="0.3">
      <c r="A230" t="s">
        <v>873</v>
      </c>
      <c r="B230" s="1" t="s">
        <v>608</v>
      </c>
      <c r="C230" s="1"/>
      <c r="D230" t="s">
        <v>280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30</v>
      </c>
      <c r="Y230">
        <f>Table1[[#This Row],[qPer board]]*Table1[[#This Row],[boards]]</f>
        <v>17</v>
      </c>
      <c r="Z230" t="s">
        <v>1820</v>
      </c>
      <c r="AA230">
        <f>VLOOKUP(Table1[[#This Row],[MA_Number]], 'rhd batch30'!$A$1:$B$64,2,FALSE)</f>
        <v>1</v>
      </c>
      <c r="AB230">
        <v>17</v>
      </c>
    </row>
    <row r="231" spans="1:28" x14ac:dyDescent="0.3">
      <c r="A231" t="s">
        <v>1929</v>
      </c>
      <c r="B231" s="1" t="s">
        <v>1234</v>
      </c>
      <c r="C231" s="1"/>
      <c r="D231" t="s">
        <v>280</v>
      </c>
      <c r="E231" t="s">
        <v>1930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Y231" t="e">
        <f>Table1[[#This Row],[qPer board]]*Table1[[#This Row],[boards]]</f>
        <v>#N/A</v>
      </c>
      <c r="AA231" t="e">
        <f>VLOOKUP(Table1[[#This Row],[MA_Number]], 'rhd batch30'!$A$1:$B$64,2,FALSE)</f>
        <v>#N/A</v>
      </c>
      <c r="AB231">
        <v>17</v>
      </c>
    </row>
    <row r="232" spans="1:28" x14ac:dyDescent="0.3">
      <c r="A232" t="s">
        <v>874</v>
      </c>
      <c r="B232" s="1">
        <v>7003756102</v>
      </c>
      <c r="C232" s="1"/>
      <c r="D232" t="s">
        <v>280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30</v>
      </c>
      <c r="Y232">
        <f>Table1[[#This Row],[qPer board]]*Table1[[#This Row],[boards]]</f>
        <v>17</v>
      </c>
      <c r="Z232" t="s">
        <v>1820</v>
      </c>
      <c r="AA232">
        <f>VLOOKUP(Table1[[#This Row],[MA_Number]], 'rhd batch30'!$A$1:$B$64,2,FALSE)</f>
        <v>1</v>
      </c>
      <c r="AB232">
        <v>17</v>
      </c>
    </row>
    <row r="233" spans="1:28" x14ac:dyDescent="0.3">
      <c r="A233" t="s">
        <v>875</v>
      </c>
      <c r="B233" s="1">
        <v>7119163630</v>
      </c>
      <c r="C233" s="1"/>
      <c r="D233" t="s">
        <v>280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Y233" t="e">
        <f>Table1[[#This Row],[qPer board]]*Table1[[#This Row],[boards]]</f>
        <v>#N/A</v>
      </c>
      <c r="AA233" t="e">
        <f>VLOOKUP(Table1[[#This Row],[MA_Number]], 'rhd batch30'!$A$1:$B$64,2,FALSE)</f>
        <v>#N/A</v>
      </c>
      <c r="AB233">
        <v>17</v>
      </c>
    </row>
    <row r="234" spans="1:28" x14ac:dyDescent="0.3">
      <c r="A234" t="s">
        <v>878</v>
      </c>
      <c r="B234" s="1">
        <v>7047135830</v>
      </c>
      <c r="C234" s="1" t="s">
        <v>876</v>
      </c>
      <c r="D234" t="s">
        <v>283</v>
      </c>
      <c r="E234" t="s">
        <v>877</v>
      </c>
      <c r="F234" t="b">
        <v>1</v>
      </c>
      <c r="I234">
        <v>1</v>
      </c>
      <c r="X234">
        <v>31</v>
      </c>
      <c r="Y234">
        <f>Table1[[#This Row],[qPer board]]*Table1[[#This Row],[boards]]</f>
        <v>17</v>
      </c>
      <c r="Z234" t="s">
        <v>1820</v>
      </c>
      <c r="AA234">
        <v>1</v>
      </c>
      <c r="AB234">
        <v>17</v>
      </c>
    </row>
    <row r="235" spans="1:28" x14ac:dyDescent="0.3">
      <c r="B235" s="1">
        <v>7047135830</v>
      </c>
      <c r="C235" s="1"/>
      <c r="G235" t="s">
        <v>878</v>
      </c>
      <c r="H235" t="s">
        <v>879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X235">
        <v>31</v>
      </c>
      <c r="Y235">
        <f>Table1[[#This Row],[qPer board]]*Table1[[#This Row],[boards]]</f>
        <v>17</v>
      </c>
      <c r="Z235" t="s">
        <v>1820</v>
      </c>
      <c r="AA235">
        <v>1</v>
      </c>
      <c r="AB235">
        <v>17</v>
      </c>
    </row>
    <row r="236" spans="1:28" x14ac:dyDescent="0.3">
      <c r="B236" s="1">
        <v>7047135830</v>
      </c>
      <c r="C236" s="1"/>
      <c r="G236" t="s">
        <v>878</v>
      </c>
      <c r="H236" t="s">
        <v>880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X236">
        <v>31</v>
      </c>
      <c r="Y236">
        <f>Table1[[#This Row],[qPer board]]*Table1[[#This Row],[boards]]</f>
        <v>17</v>
      </c>
      <c r="Z236" t="s">
        <v>1820</v>
      </c>
      <c r="AA236">
        <v>1</v>
      </c>
      <c r="AB236">
        <v>17</v>
      </c>
    </row>
    <row r="237" spans="1:28" x14ac:dyDescent="0.3">
      <c r="A237" t="s">
        <v>882</v>
      </c>
      <c r="B237" s="1">
        <v>7047186030</v>
      </c>
      <c r="C237" s="1" t="s">
        <v>881</v>
      </c>
      <c r="D237" t="s">
        <v>283</v>
      </c>
      <c r="E237" t="s">
        <v>877</v>
      </c>
      <c r="F237" t="b">
        <v>1</v>
      </c>
      <c r="I237">
        <v>1</v>
      </c>
      <c r="X237">
        <v>31</v>
      </c>
      <c r="Y237">
        <f>Table1[[#This Row],[qPer board]]*Table1[[#This Row],[boards]]</f>
        <v>102</v>
      </c>
      <c r="Z237" t="s">
        <v>1820</v>
      </c>
      <c r="AA237">
        <v>6</v>
      </c>
      <c r="AB237">
        <v>17</v>
      </c>
    </row>
    <row r="238" spans="1:28" x14ac:dyDescent="0.3">
      <c r="B238" s="1">
        <v>7047186030</v>
      </c>
      <c r="C238" s="1"/>
      <c r="G238" t="s">
        <v>882</v>
      </c>
      <c r="H238" t="s">
        <v>883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X238">
        <v>31</v>
      </c>
      <c r="Y238">
        <f>Table1[[#This Row],[qPer board]]*Table1[[#This Row],[boards]]</f>
        <v>102</v>
      </c>
      <c r="Z238" t="s">
        <v>1820</v>
      </c>
      <c r="AA238">
        <v>6</v>
      </c>
      <c r="AB238">
        <v>17</v>
      </c>
    </row>
    <row r="239" spans="1:28" x14ac:dyDescent="0.3">
      <c r="B239" s="1">
        <v>7047186030</v>
      </c>
      <c r="C239" s="1"/>
      <c r="G239" t="s">
        <v>882</v>
      </c>
      <c r="H239" t="s">
        <v>884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X239">
        <v>31</v>
      </c>
      <c r="Y239">
        <f>Table1[[#This Row],[qPer board]]*Table1[[#This Row],[boards]]</f>
        <v>102</v>
      </c>
      <c r="Z239" t="s">
        <v>1820</v>
      </c>
      <c r="AA239">
        <v>6</v>
      </c>
      <c r="AB239">
        <v>17</v>
      </c>
    </row>
    <row r="240" spans="1:28" x14ac:dyDescent="0.3">
      <c r="A240" t="s">
        <v>982</v>
      </c>
      <c r="B240" s="1">
        <v>7119172930</v>
      </c>
      <c r="C240" s="1"/>
      <c r="D240" t="s">
        <v>280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Y240" t="e">
        <f>Table1[[#This Row],[qPer board]]*Table1[[#This Row],[boards]]</f>
        <v>#N/A</v>
      </c>
      <c r="AA240" t="e">
        <f>VLOOKUP(Table1[[#This Row],[MA_Number]], 'rhd batch30'!$A$1:$B$64,2,FALSE)</f>
        <v>#N/A</v>
      </c>
      <c r="AB240">
        <v>17</v>
      </c>
    </row>
    <row r="241" spans="1:28" x14ac:dyDescent="0.3">
      <c r="A241" t="s">
        <v>1006</v>
      </c>
      <c r="B241" s="1">
        <v>71782472</v>
      </c>
      <c r="C241" s="1"/>
      <c r="D241" t="s">
        <v>280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X241">
        <v>30</v>
      </c>
      <c r="Y241">
        <f>Table1[[#This Row],[qPer board]]*Table1[[#This Row],[boards]]</f>
        <v>17</v>
      </c>
      <c r="Z241" t="s">
        <v>1820</v>
      </c>
      <c r="AA241">
        <f>VLOOKUP(Table1[[#This Row],[MA_Number]], 'rhd batch30'!$A$1:$B$64,2,FALSE)</f>
        <v>1</v>
      </c>
      <c r="AB241">
        <v>17</v>
      </c>
    </row>
    <row r="242" spans="1:28" x14ac:dyDescent="0.3">
      <c r="A242" t="s">
        <v>984</v>
      </c>
      <c r="B242" s="1">
        <v>71897277</v>
      </c>
      <c r="C242" s="1"/>
      <c r="D242" t="s">
        <v>280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X242">
        <v>30</v>
      </c>
      <c r="Y242">
        <f>Table1[[#This Row],[qPer board]]*Table1[[#This Row],[boards]]</f>
        <v>17</v>
      </c>
      <c r="Z242" t="s">
        <v>1820</v>
      </c>
      <c r="AA242">
        <f>VLOOKUP(Table1[[#This Row],[MA_Number]], 'rhd batch30'!$A$1:$B$64,2,FALSE)</f>
        <v>1</v>
      </c>
      <c r="AB242">
        <v>17</v>
      </c>
    </row>
    <row r="243" spans="1:28" x14ac:dyDescent="0.3">
      <c r="A243" t="s">
        <v>989</v>
      </c>
      <c r="B243" s="1">
        <v>7289982670</v>
      </c>
      <c r="C243" s="1"/>
      <c r="D243" t="s">
        <v>280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X243">
        <v>30</v>
      </c>
      <c r="Y243">
        <f>Table1[[#This Row],[qPer board]]*Table1[[#This Row],[boards]]</f>
        <v>17</v>
      </c>
      <c r="Z243" t="s">
        <v>1820</v>
      </c>
      <c r="AA243">
        <f>VLOOKUP(Table1[[#This Row],[MA_Number]], 'rhd batch30'!$A$1:$B$64,2,FALSE)</f>
        <v>1</v>
      </c>
      <c r="AB243">
        <v>17</v>
      </c>
    </row>
    <row r="244" spans="1:28" x14ac:dyDescent="0.3">
      <c r="A244" t="s">
        <v>988</v>
      </c>
      <c r="B244" s="1">
        <v>7035990930</v>
      </c>
      <c r="C244" s="1"/>
      <c r="D244" t="s">
        <v>280</v>
      </c>
      <c r="E244" t="s">
        <v>986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Y244" t="e">
        <f>Table1[[#This Row],[qPer board]]*Table1[[#This Row],[boards]]</f>
        <v>#N/A</v>
      </c>
      <c r="AA244" t="e">
        <f>VLOOKUP(Table1[[#This Row],[MA_Number]], 'rhd batch30'!$A$1:$B$64,2,FALSE)</f>
        <v>#N/A</v>
      </c>
      <c r="AB244">
        <v>17</v>
      </c>
    </row>
    <row r="245" spans="1:28" x14ac:dyDescent="0.3">
      <c r="A245" t="s">
        <v>987</v>
      </c>
      <c r="B245" s="1">
        <v>7035990930</v>
      </c>
      <c r="C245" s="1"/>
      <c r="D245" t="s">
        <v>280</v>
      </c>
      <c r="E245" t="s">
        <v>985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X245">
        <v>30</v>
      </c>
      <c r="Y245">
        <f>Table1[[#This Row],[qPer board]]*Table1[[#This Row],[boards]]</f>
        <v>17</v>
      </c>
      <c r="Z245" t="s">
        <v>1820</v>
      </c>
      <c r="AA245">
        <f>VLOOKUP(Table1[[#This Row],[MA_Number]], 'rhd batch30'!$A$1:$B$64,2,FALSE)</f>
        <v>1</v>
      </c>
      <c r="AB245">
        <v>17</v>
      </c>
    </row>
    <row r="246" spans="1:28" x14ac:dyDescent="0.3">
      <c r="A246" t="s">
        <v>983</v>
      </c>
      <c r="B246" s="1">
        <v>7075181330</v>
      </c>
      <c r="C246" s="1"/>
      <c r="D246" t="s">
        <v>280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X246">
        <v>30</v>
      </c>
      <c r="Y246">
        <f>Table1[[#This Row],[qPer board]]*Table1[[#This Row],[boards]]</f>
        <v>17</v>
      </c>
      <c r="Z246" t="s">
        <v>1820</v>
      </c>
      <c r="AA246">
        <f>VLOOKUP(Table1[[#This Row],[MA_Number]], 'rhd batch30'!$A$1:$B$64,2,FALSE)</f>
        <v>1</v>
      </c>
      <c r="AB246">
        <v>17</v>
      </c>
    </row>
    <row r="247" spans="1:28" x14ac:dyDescent="0.3">
      <c r="A247" t="s">
        <v>1217</v>
      </c>
      <c r="B247" s="1">
        <v>7198599230</v>
      </c>
      <c r="C247" s="1"/>
      <c r="D247" t="s">
        <v>280</v>
      </c>
      <c r="E247" t="s">
        <v>1218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Y247" t="e">
        <f>Table1[[#This Row],[qPer board]]*Table1[[#This Row],[boards]]</f>
        <v>#N/A</v>
      </c>
      <c r="AA247" t="e">
        <f>VLOOKUP(Table1[[#This Row],[MA_Number]], 'rhd batch30'!$A$1:$B$64,2,FALSE)</f>
        <v>#N/A</v>
      </c>
      <c r="AB247">
        <v>17</v>
      </c>
    </row>
    <row r="248" spans="1:28" x14ac:dyDescent="0.3">
      <c r="A248" t="s">
        <v>1816</v>
      </c>
      <c r="B248" s="1">
        <v>7235952330</v>
      </c>
      <c r="C248" s="1"/>
      <c r="D248" t="s">
        <v>280</v>
      </c>
      <c r="E248" t="s">
        <v>1812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X248">
        <v>30</v>
      </c>
      <c r="Y248">
        <f>Table1[[#This Row],[qPer board]]*Table1[[#This Row],[boards]]</f>
        <v>17</v>
      </c>
      <c r="Z248" t="s">
        <v>1820</v>
      </c>
      <c r="AA248">
        <f>VLOOKUP(Table1[[#This Row],[MA_Number]], 'rhd batch30'!$A$1:$B$64,2,FALSE)</f>
        <v>1</v>
      </c>
      <c r="AB248">
        <v>17</v>
      </c>
    </row>
    <row r="249" spans="1:28" x14ac:dyDescent="0.3">
      <c r="A249" t="s">
        <v>1005</v>
      </c>
      <c r="B249" s="1">
        <v>7287547130</v>
      </c>
      <c r="C249" s="1"/>
      <c r="D249" t="s">
        <v>280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X249">
        <v>30</v>
      </c>
      <c r="Y249">
        <f>Table1[[#This Row],[qPer board]]*Table1[[#This Row],[boards]]</f>
        <v>17</v>
      </c>
      <c r="Z249" t="s">
        <v>1820</v>
      </c>
      <c r="AA249">
        <f>VLOOKUP(Table1[[#This Row],[MA_Number]], 'rhd batch30'!$A$1:$B$64,2,FALSE)</f>
        <v>1</v>
      </c>
      <c r="AB249">
        <v>17</v>
      </c>
    </row>
    <row r="250" spans="1:28" x14ac:dyDescent="0.3">
      <c r="A250" t="s">
        <v>998</v>
      </c>
      <c r="B250" s="1">
        <v>7252809330</v>
      </c>
      <c r="C250" s="1"/>
      <c r="D250" t="s">
        <v>283</v>
      </c>
      <c r="E250" t="s">
        <v>877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X250">
        <v>31</v>
      </c>
      <c r="Y250">
        <f>Table1[[#This Row],[qPer board]]*Table1[[#This Row],[boards]]</f>
        <v>17</v>
      </c>
      <c r="Z250" t="s">
        <v>1820</v>
      </c>
      <c r="AA250">
        <v>1</v>
      </c>
      <c r="AB250">
        <v>17</v>
      </c>
    </row>
    <row r="251" spans="1:28" x14ac:dyDescent="0.3">
      <c r="B251" s="1">
        <v>7252809330</v>
      </c>
      <c r="C251" s="1"/>
      <c r="G251" t="s">
        <v>998</v>
      </c>
      <c r="H251" t="s">
        <v>999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X251">
        <v>31</v>
      </c>
      <c r="Y251">
        <f>Table1[[#This Row],[qPer board]]*Table1[[#This Row],[boards]]</f>
        <v>17</v>
      </c>
      <c r="Z251" t="s">
        <v>1820</v>
      </c>
      <c r="AA251">
        <v>1</v>
      </c>
      <c r="AB251">
        <v>17</v>
      </c>
    </row>
    <row r="252" spans="1:28" x14ac:dyDescent="0.3">
      <c r="B252" s="1">
        <v>7252809330</v>
      </c>
      <c r="C252" s="1"/>
      <c r="G252" t="s">
        <v>998</v>
      </c>
      <c r="H252" t="s">
        <v>1000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X252">
        <v>31</v>
      </c>
      <c r="Y252">
        <f>Table1[[#This Row],[qPer board]]*Table1[[#This Row],[boards]]</f>
        <v>17</v>
      </c>
      <c r="Z252" t="s">
        <v>1820</v>
      </c>
      <c r="AA252">
        <v>1</v>
      </c>
      <c r="AB252">
        <v>17</v>
      </c>
    </row>
    <row r="253" spans="1:28" x14ac:dyDescent="0.3">
      <c r="A253" t="s">
        <v>1001</v>
      </c>
      <c r="B253" s="1">
        <v>7047052330</v>
      </c>
      <c r="C253" s="1"/>
      <c r="D253" t="s">
        <v>283</v>
      </c>
      <c r="E253" t="s">
        <v>877</v>
      </c>
      <c r="F253" t="b">
        <v>1</v>
      </c>
      <c r="I253">
        <v>1</v>
      </c>
      <c r="X253">
        <v>31</v>
      </c>
      <c r="Y253">
        <f>Table1[[#This Row],[qPer board]]*Table1[[#This Row],[boards]]</f>
        <v>34</v>
      </c>
      <c r="Z253" t="s">
        <v>1820</v>
      </c>
      <c r="AA253">
        <v>2</v>
      </c>
      <c r="AB253">
        <v>17</v>
      </c>
    </row>
    <row r="254" spans="1:28" x14ac:dyDescent="0.3">
      <c r="B254" s="1">
        <v>7047052330</v>
      </c>
      <c r="C254" s="1"/>
      <c r="G254" t="s">
        <v>1001</v>
      </c>
      <c r="H254" t="s">
        <v>1002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X254">
        <v>31</v>
      </c>
      <c r="Y254">
        <f>Table1[[#This Row],[qPer board]]*Table1[[#This Row],[boards]]</f>
        <v>34</v>
      </c>
      <c r="Z254" t="s">
        <v>1820</v>
      </c>
      <c r="AA254">
        <v>2</v>
      </c>
      <c r="AB254">
        <v>17</v>
      </c>
    </row>
    <row r="255" spans="1:28" x14ac:dyDescent="0.3">
      <c r="B255" s="1">
        <v>7047052330</v>
      </c>
      <c r="C255" s="1"/>
      <c r="G255" t="s">
        <v>1001</v>
      </c>
      <c r="H255" t="s">
        <v>1003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X255">
        <v>31</v>
      </c>
      <c r="Y255">
        <f>Table1[[#This Row],[qPer board]]*Table1[[#This Row],[boards]]</f>
        <v>34</v>
      </c>
      <c r="Z255" t="s">
        <v>1820</v>
      </c>
      <c r="AA255">
        <v>2</v>
      </c>
      <c r="AB255">
        <v>17</v>
      </c>
    </row>
    <row r="256" spans="1:28" x14ac:dyDescent="0.3">
      <c r="A256" t="s">
        <v>992</v>
      </c>
      <c r="B256" s="1">
        <v>7052161430</v>
      </c>
      <c r="C256" s="1"/>
      <c r="D256" t="s">
        <v>283</v>
      </c>
      <c r="E256" t="s">
        <v>993</v>
      </c>
      <c r="F256" t="b">
        <v>1</v>
      </c>
      <c r="I256">
        <v>1</v>
      </c>
      <c r="Y256" t="e">
        <f>Table1[[#This Row],[qPer board]]*Table1[[#This Row],[boards]]</f>
        <v>#N/A</v>
      </c>
      <c r="AA256" t="e">
        <f>VLOOKUP(Table1[[#This Row],[MA_Number]], 'rhd batch30'!$A$1:$B$64,2,FALSE)</f>
        <v>#N/A</v>
      </c>
      <c r="AB256">
        <v>17</v>
      </c>
    </row>
    <row r="257" spans="1:28" x14ac:dyDescent="0.3">
      <c r="B257" s="1">
        <v>7052161430</v>
      </c>
      <c r="C257" s="1"/>
      <c r="G257" t="s">
        <v>992</v>
      </c>
      <c r="H257" t="s">
        <v>994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Y257" t="e">
        <f>Table1[[#This Row],[qPer board]]*Table1[[#This Row],[boards]]</f>
        <v>#N/A</v>
      </c>
      <c r="AA257" t="e">
        <f>VLOOKUP(Table1[[#This Row],[MA_Number]], 'rhd batch30'!$A$1:$B$64,2,FALSE)</f>
        <v>#N/A</v>
      </c>
      <c r="AB257">
        <v>17</v>
      </c>
    </row>
    <row r="258" spans="1:28" x14ac:dyDescent="0.3">
      <c r="B258" s="1">
        <v>7052161430</v>
      </c>
      <c r="C258" s="1"/>
      <c r="G258" t="s">
        <v>992</v>
      </c>
      <c r="H258" t="s">
        <v>995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Y258" t="e">
        <f>Table1[[#This Row],[qPer board]]*Table1[[#This Row],[boards]]</f>
        <v>#N/A</v>
      </c>
      <c r="AA258" t="e">
        <f>VLOOKUP(Table1[[#This Row],[MA_Number]], 'rhd batch30'!$A$1:$B$64,2,FALSE)</f>
        <v>#N/A</v>
      </c>
      <c r="AB258">
        <v>17</v>
      </c>
    </row>
    <row r="259" spans="1:28" x14ac:dyDescent="0.3">
      <c r="B259" s="1">
        <v>7052161430</v>
      </c>
      <c r="C259" s="1"/>
      <c r="G259" t="s">
        <v>992</v>
      </c>
      <c r="H259" t="s">
        <v>996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Y259" t="e">
        <f>Table1[[#This Row],[qPer board]]*Table1[[#This Row],[boards]]</f>
        <v>#N/A</v>
      </c>
      <c r="AA259" t="e">
        <f>VLOOKUP(Table1[[#This Row],[MA_Number]], 'rhd batch30'!$A$1:$B$64,2,FALSE)</f>
        <v>#N/A</v>
      </c>
      <c r="AB259">
        <v>17</v>
      </c>
    </row>
    <row r="260" spans="1:28" x14ac:dyDescent="0.3">
      <c r="A260" t="s">
        <v>892</v>
      </c>
      <c r="B260" s="1">
        <v>7147882430</v>
      </c>
      <c r="C260" s="1"/>
      <c r="D260" t="s">
        <v>283</v>
      </c>
      <c r="E260" t="s">
        <v>877</v>
      </c>
      <c r="F260" t="b">
        <v>1</v>
      </c>
      <c r="I260">
        <v>1</v>
      </c>
      <c r="X260">
        <v>31</v>
      </c>
      <c r="Y260">
        <f>Table1[[#This Row],[qPer board]]*Table1[[#This Row],[boards]]</f>
        <v>17</v>
      </c>
      <c r="Z260" t="s">
        <v>1820</v>
      </c>
      <c r="AA260">
        <v>1</v>
      </c>
      <c r="AB260">
        <v>17</v>
      </c>
    </row>
    <row r="261" spans="1:28" x14ac:dyDescent="0.3">
      <c r="B261" s="1">
        <v>7147882430</v>
      </c>
      <c r="C261" s="1"/>
      <c r="G261" t="s">
        <v>892</v>
      </c>
      <c r="H261" t="s">
        <v>893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X261">
        <v>31</v>
      </c>
      <c r="Y261">
        <f>Table1[[#This Row],[qPer board]]*Table1[[#This Row],[boards]]</f>
        <v>17</v>
      </c>
      <c r="Z261" t="s">
        <v>1820</v>
      </c>
      <c r="AA261">
        <v>1</v>
      </c>
      <c r="AB261">
        <v>17</v>
      </c>
    </row>
    <row r="262" spans="1:28" x14ac:dyDescent="0.3">
      <c r="B262" s="1">
        <v>7147882430</v>
      </c>
      <c r="C262" s="1"/>
      <c r="G262" t="s">
        <v>892</v>
      </c>
      <c r="H262" t="s">
        <v>894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X262">
        <v>31</v>
      </c>
      <c r="Y262">
        <f>Table1[[#This Row],[qPer board]]*Table1[[#This Row],[boards]]</f>
        <v>17</v>
      </c>
      <c r="Z262" t="s">
        <v>1820</v>
      </c>
      <c r="AA262">
        <v>1</v>
      </c>
      <c r="AB262">
        <v>17</v>
      </c>
    </row>
    <row r="263" spans="1:28" x14ac:dyDescent="0.3">
      <c r="A263" t="s">
        <v>956</v>
      </c>
      <c r="B263" s="1">
        <v>7247760930</v>
      </c>
      <c r="C263" s="1"/>
      <c r="D263" t="s">
        <v>283</v>
      </c>
      <c r="E263" t="s">
        <v>877</v>
      </c>
      <c r="F263" t="b">
        <v>1</v>
      </c>
      <c r="I263">
        <v>1</v>
      </c>
      <c r="X263">
        <v>31</v>
      </c>
      <c r="Y263">
        <f>Table1[[#This Row],[qPer board]]*Table1[[#This Row],[boards]]</f>
        <v>17</v>
      </c>
      <c r="Z263" t="s">
        <v>1820</v>
      </c>
      <c r="AA263">
        <v>1</v>
      </c>
      <c r="AB263">
        <v>17</v>
      </c>
    </row>
    <row r="264" spans="1:28" ht="15" customHeight="1" x14ac:dyDescent="0.3">
      <c r="B264" s="1">
        <v>7247760930</v>
      </c>
      <c r="C264" s="1"/>
      <c r="G264" t="s">
        <v>956</v>
      </c>
      <c r="H264" t="s">
        <v>957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X264">
        <v>31</v>
      </c>
      <c r="Y264">
        <f>Table1[[#This Row],[qPer board]]*Table1[[#This Row],[boards]]</f>
        <v>17</v>
      </c>
      <c r="Z264" t="s">
        <v>1820</v>
      </c>
      <c r="AA264">
        <v>1</v>
      </c>
      <c r="AB264">
        <v>17</v>
      </c>
    </row>
    <row r="265" spans="1:28" x14ac:dyDescent="0.3">
      <c r="B265" s="1">
        <v>7247760930</v>
      </c>
      <c r="C265" s="1"/>
      <c r="G265" t="s">
        <v>956</v>
      </c>
      <c r="H265" t="s">
        <v>958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X265">
        <v>31</v>
      </c>
      <c r="Y265">
        <f>Table1[[#This Row],[qPer board]]*Table1[[#This Row],[boards]]</f>
        <v>17</v>
      </c>
      <c r="Z265" t="s">
        <v>1820</v>
      </c>
      <c r="AA265">
        <v>1</v>
      </c>
      <c r="AB265">
        <v>17</v>
      </c>
    </row>
    <row r="266" spans="1:28" x14ac:dyDescent="0.3">
      <c r="A266" t="s">
        <v>959</v>
      </c>
      <c r="B266" s="1">
        <v>7247761330</v>
      </c>
      <c r="C266" s="1"/>
      <c r="D266" t="s">
        <v>283</v>
      </c>
      <c r="E266" t="s">
        <v>877</v>
      </c>
      <c r="F266" t="b">
        <v>1</v>
      </c>
      <c r="I266">
        <v>1</v>
      </c>
      <c r="X266">
        <v>31</v>
      </c>
      <c r="Y266">
        <f>Table1[[#This Row],[qPer board]]*Table1[[#This Row],[boards]]</f>
        <v>17</v>
      </c>
      <c r="Z266" t="s">
        <v>1820</v>
      </c>
      <c r="AA266">
        <v>1</v>
      </c>
      <c r="AB266">
        <v>17</v>
      </c>
    </row>
    <row r="267" spans="1:28" x14ac:dyDescent="0.3">
      <c r="B267" s="1">
        <v>7247761330</v>
      </c>
      <c r="C267" s="1"/>
      <c r="G267" t="s">
        <v>959</v>
      </c>
      <c r="H267" t="s">
        <v>960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X267">
        <v>31</v>
      </c>
      <c r="Y267">
        <f>Table1[[#This Row],[qPer board]]*Table1[[#This Row],[boards]]</f>
        <v>17</v>
      </c>
      <c r="Z267" t="s">
        <v>1820</v>
      </c>
      <c r="AA267">
        <v>1</v>
      </c>
      <c r="AB267">
        <v>17</v>
      </c>
    </row>
    <row r="268" spans="1:28" x14ac:dyDescent="0.3">
      <c r="B268" s="1">
        <v>7247761330</v>
      </c>
      <c r="C268" s="1"/>
      <c r="G268" t="s">
        <v>959</v>
      </c>
      <c r="H268" t="s">
        <v>961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X268">
        <v>31</v>
      </c>
      <c r="Y268">
        <f>Table1[[#This Row],[qPer board]]*Table1[[#This Row],[boards]]</f>
        <v>17</v>
      </c>
      <c r="Z268" t="s">
        <v>1820</v>
      </c>
      <c r="AA268">
        <v>1</v>
      </c>
      <c r="AB268">
        <v>17</v>
      </c>
    </row>
    <row r="269" spans="1:28" x14ac:dyDescent="0.3">
      <c r="A269" t="s">
        <v>965</v>
      </c>
      <c r="B269" s="1">
        <v>7247781230</v>
      </c>
      <c r="C269" s="1"/>
      <c r="D269" t="s">
        <v>283</v>
      </c>
      <c r="E269" t="s">
        <v>877</v>
      </c>
      <c r="F269" t="b">
        <v>1</v>
      </c>
      <c r="I269">
        <v>1</v>
      </c>
      <c r="X269">
        <v>31</v>
      </c>
      <c r="Y269">
        <f>Table1[[#This Row],[qPer board]]*Table1[[#This Row],[boards]]</f>
        <v>17</v>
      </c>
      <c r="Z269" t="s">
        <v>1820</v>
      </c>
      <c r="AA269">
        <v>1</v>
      </c>
      <c r="AB269">
        <v>17</v>
      </c>
    </row>
    <row r="270" spans="1:28" x14ac:dyDescent="0.3">
      <c r="B270" s="1">
        <v>7247781230</v>
      </c>
      <c r="C270" s="1"/>
      <c r="G270" t="s">
        <v>965</v>
      </c>
      <c r="H270" t="s">
        <v>966</v>
      </c>
      <c r="I270">
        <v>1</v>
      </c>
      <c r="J270">
        <v>40</v>
      </c>
      <c r="K270">
        <v>35</v>
      </c>
      <c r="L270">
        <v>60</v>
      </c>
      <c r="M270" t="s">
        <v>52</v>
      </c>
      <c r="N270" t="s">
        <v>24</v>
      </c>
      <c r="O270" t="b">
        <v>1</v>
      </c>
      <c r="X270">
        <v>31</v>
      </c>
      <c r="Y270">
        <f>Table1[[#This Row],[qPer board]]*Table1[[#This Row],[boards]]</f>
        <v>17</v>
      </c>
      <c r="Z270" t="s">
        <v>1820</v>
      </c>
      <c r="AA270">
        <v>1</v>
      </c>
      <c r="AB270">
        <v>17</v>
      </c>
    </row>
    <row r="271" spans="1:28" x14ac:dyDescent="0.3">
      <c r="B271" s="1">
        <v>7247781230</v>
      </c>
      <c r="C271" s="1"/>
      <c r="G271" t="s">
        <v>965</v>
      </c>
      <c r="H271" t="s">
        <v>967</v>
      </c>
      <c r="I271">
        <v>1</v>
      </c>
      <c r="J271">
        <v>47</v>
      </c>
      <c r="K271">
        <v>22</v>
      </c>
      <c r="L271">
        <v>35</v>
      </c>
      <c r="M271" t="s">
        <v>54</v>
      </c>
      <c r="N271" t="s">
        <v>24</v>
      </c>
      <c r="O271" t="b">
        <v>1</v>
      </c>
      <c r="X271">
        <v>31</v>
      </c>
      <c r="Y271">
        <f>Table1[[#This Row],[qPer board]]*Table1[[#This Row],[boards]]</f>
        <v>17</v>
      </c>
      <c r="Z271" t="s">
        <v>1820</v>
      </c>
      <c r="AA271">
        <v>1</v>
      </c>
      <c r="AB271">
        <v>17</v>
      </c>
    </row>
    <row r="272" spans="1:28" x14ac:dyDescent="0.3">
      <c r="A272" t="s">
        <v>1023</v>
      </c>
      <c r="B272" s="1">
        <v>72478572</v>
      </c>
      <c r="C272" s="1"/>
      <c r="D272" t="s">
        <v>283</v>
      </c>
      <c r="E272" t="s">
        <v>877</v>
      </c>
      <c r="F272" t="b">
        <v>1</v>
      </c>
      <c r="I272">
        <v>1</v>
      </c>
      <c r="X272">
        <v>31</v>
      </c>
      <c r="Y272">
        <f>Table1[[#This Row],[qPer board]]*Table1[[#This Row],[boards]]</f>
        <v>17</v>
      </c>
      <c r="Z272" t="s">
        <v>1820</v>
      </c>
      <c r="AA272">
        <v>1</v>
      </c>
      <c r="AB272">
        <v>17</v>
      </c>
    </row>
    <row r="273" spans="1:28" x14ac:dyDescent="0.3">
      <c r="B273" s="1">
        <v>72478572</v>
      </c>
      <c r="C273" s="1"/>
      <c r="G273" t="s">
        <v>1023</v>
      </c>
      <c r="H273" t="s">
        <v>1024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X273">
        <v>31</v>
      </c>
      <c r="Y273">
        <f>Table1[[#This Row],[qPer board]]*Table1[[#This Row],[boards]]</f>
        <v>17</v>
      </c>
      <c r="Z273" t="s">
        <v>1820</v>
      </c>
      <c r="AA273">
        <v>1</v>
      </c>
      <c r="AB273">
        <v>17</v>
      </c>
    </row>
    <row r="274" spans="1:28" x14ac:dyDescent="0.3">
      <c r="B274" s="1">
        <v>72478572</v>
      </c>
      <c r="C274" s="1"/>
      <c r="G274" t="s">
        <v>1023</v>
      </c>
      <c r="H274" t="s">
        <v>1025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X274">
        <v>31</v>
      </c>
      <c r="Y274">
        <f>Table1[[#This Row],[qPer board]]*Table1[[#This Row],[boards]]</f>
        <v>17</v>
      </c>
      <c r="Z274" t="s">
        <v>1820</v>
      </c>
      <c r="AA274">
        <v>1</v>
      </c>
      <c r="AB274">
        <v>17</v>
      </c>
    </row>
    <row r="275" spans="1:28" x14ac:dyDescent="0.3">
      <c r="A275" t="s">
        <v>962</v>
      </c>
      <c r="B275" s="1">
        <v>7252779130</v>
      </c>
      <c r="C275" s="1"/>
      <c r="D275" t="s">
        <v>283</v>
      </c>
      <c r="E275" t="s">
        <v>877</v>
      </c>
      <c r="F275" t="b">
        <v>1</v>
      </c>
      <c r="I275">
        <v>1</v>
      </c>
      <c r="X275">
        <v>31</v>
      </c>
      <c r="Y275">
        <f>Table1[[#This Row],[qPer board]]*Table1[[#This Row],[boards]]</f>
        <v>34</v>
      </c>
      <c r="Z275" t="s">
        <v>1820</v>
      </c>
      <c r="AA275">
        <v>2</v>
      </c>
      <c r="AB275">
        <v>17</v>
      </c>
    </row>
    <row r="276" spans="1:28" x14ac:dyDescent="0.3">
      <c r="B276" s="1">
        <v>7252779130</v>
      </c>
      <c r="C276" s="1"/>
      <c r="G276" t="s">
        <v>962</v>
      </c>
      <c r="H276" t="s">
        <v>963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X276">
        <v>31</v>
      </c>
      <c r="Y276">
        <f>Table1[[#This Row],[qPer board]]*Table1[[#This Row],[boards]]</f>
        <v>34</v>
      </c>
      <c r="Z276" t="s">
        <v>1820</v>
      </c>
      <c r="AA276">
        <v>2</v>
      </c>
      <c r="AB276">
        <v>17</v>
      </c>
    </row>
    <row r="277" spans="1:28" x14ac:dyDescent="0.3">
      <c r="B277" s="1">
        <v>7252779130</v>
      </c>
      <c r="C277" s="1"/>
      <c r="G277" t="s">
        <v>962</v>
      </c>
      <c r="H277" t="s">
        <v>964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X277">
        <v>31</v>
      </c>
      <c r="Y277">
        <f>Table1[[#This Row],[qPer board]]*Table1[[#This Row],[boards]]</f>
        <v>34</v>
      </c>
      <c r="Z277" t="s">
        <v>1820</v>
      </c>
      <c r="AA277">
        <v>2</v>
      </c>
      <c r="AB277">
        <v>17</v>
      </c>
    </row>
    <row r="278" spans="1:28" x14ac:dyDescent="0.3">
      <c r="A278" t="s">
        <v>973</v>
      </c>
      <c r="B278" s="1">
        <v>7252785330</v>
      </c>
      <c r="C278" s="1">
        <v>7247075530</v>
      </c>
      <c r="D278" t="s">
        <v>283</v>
      </c>
      <c r="E278" t="s">
        <v>877</v>
      </c>
      <c r="F278" t="b">
        <v>1</v>
      </c>
      <c r="I278">
        <v>1</v>
      </c>
      <c r="X278">
        <v>31</v>
      </c>
      <c r="Y278">
        <f>Table1[[#This Row],[qPer board]]*Table1[[#This Row],[boards]]</f>
        <v>51</v>
      </c>
      <c r="Z278" t="s">
        <v>1820</v>
      </c>
      <c r="AA278">
        <v>3</v>
      </c>
      <c r="AB278">
        <v>17</v>
      </c>
    </row>
    <row r="279" spans="1:28" ht="13.8" customHeight="1" x14ac:dyDescent="0.3">
      <c r="B279" s="1">
        <v>7252785330</v>
      </c>
      <c r="C279" s="1"/>
      <c r="G279" t="s">
        <v>973</v>
      </c>
      <c r="H279" t="s">
        <v>974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X279">
        <v>31</v>
      </c>
      <c r="Y279">
        <f>Table1[[#This Row],[qPer board]]*Table1[[#This Row],[boards]]</f>
        <v>51</v>
      </c>
      <c r="Z279" t="s">
        <v>1820</v>
      </c>
      <c r="AA279">
        <v>3</v>
      </c>
      <c r="AB279">
        <v>17</v>
      </c>
    </row>
    <row r="280" spans="1:28" x14ac:dyDescent="0.3">
      <c r="B280" s="1">
        <v>7252785330</v>
      </c>
      <c r="C280" s="1"/>
      <c r="G280" t="s">
        <v>973</v>
      </c>
      <c r="H280" t="s">
        <v>975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X280">
        <v>31</v>
      </c>
      <c r="Y280">
        <f>Table1[[#This Row],[qPer board]]*Table1[[#This Row],[boards]]</f>
        <v>51</v>
      </c>
      <c r="Z280" t="s">
        <v>1820</v>
      </c>
      <c r="AA280">
        <v>3</v>
      </c>
      <c r="AB280">
        <v>17</v>
      </c>
    </row>
    <row r="281" spans="1:28" x14ac:dyDescent="0.3">
      <c r="A281" t="s">
        <v>895</v>
      </c>
      <c r="B281" s="1">
        <v>7047052330</v>
      </c>
      <c r="C281" s="1"/>
      <c r="D281" t="s">
        <v>283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Y281" t="e">
        <f>Table1[[#This Row],[qPer board]]*Table1[[#This Row],[boards]]</f>
        <v>#N/A</v>
      </c>
      <c r="AA281" t="e">
        <f>VLOOKUP(Table1[[#This Row],[MA_Number]], 'rhd batch30'!$A$1:$B$64,2,FALSE)</f>
        <v>#N/A</v>
      </c>
      <c r="AB281">
        <v>17</v>
      </c>
    </row>
    <row r="282" spans="1:28" x14ac:dyDescent="0.3">
      <c r="A282" t="s">
        <v>952</v>
      </c>
      <c r="B282" s="1" t="s">
        <v>304</v>
      </c>
      <c r="C282" s="1" t="s">
        <v>891</v>
      </c>
      <c r="D282" t="s">
        <v>280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Y282" t="e">
        <f>Table1[[#This Row],[qPer board]]*Table1[[#This Row],[boards]]</f>
        <v>#N/A</v>
      </c>
      <c r="AA282" t="e">
        <f>VLOOKUP(Table1[[#This Row],[MA_Number]], 'rhd batch30'!$A$1:$B$64,2,FALSE)</f>
        <v>#N/A</v>
      </c>
      <c r="AB282">
        <v>17</v>
      </c>
    </row>
    <row r="283" spans="1:28" x14ac:dyDescent="0.3">
      <c r="A283" t="s">
        <v>954</v>
      </c>
      <c r="B283" s="1" t="s">
        <v>953</v>
      </c>
      <c r="C283" s="1"/>
      <c r="D283" t="s">
        <v>280</v>
      </c>
      <c r="E283" t="s">
        <v>955</v>
      </c>
      <c r="F283" t="b">
        <v>0</v>
      </c>
      <c r="I283">
        <v>1</v>
      </c>
      <c r="J283">
        <v>0</v>
      </c>
      <c r="K283">
        <v>0</v>
      </c>
      <c r="L283">
        <v>0</v>
      </c>
      <c r="M283" t="s">
        <v>49</v>
      </c>
      <c r="N283" t="s">
        <v>24</v>
      </c>
      <c r="O283" t="b">
        <v>1</v>
      </c>
      <c r="Y283" t="e">
        <f>Table1[[#This Row],[qPer board]]*Table1[[#This Row],[boards]]</f>
        <v>#N/A</v>
      </c>
      <c r="AA283" t="e">
        <f>VLOOKUP(Table1[[#This Row],[MA_Number]], 'rhd batch30'!$A$1:$B$64,2,FALSE)</f>
        <v>#N/A</v>
      </c>
      <c r="AB283">
        <v>17</v>
      </c>
    </row>
    <row r="284" spans="1:28" x14ac:dyDescent="0.3">
      <c r="A284" t="s">
        <v>1299</v>
      </c>
      <c r="B284" s="1" t="s">
        <v>1290</v>
      </c>
      <c r="C284" s="1"/>
      <c r="D284" t="s">
        <v>280</v>
      </c>
      <c r="E284" t="s">
        <v>955</v>
      </c>
      <c r="F284" t="b">
        <v>0</v>
      </c>
      <c r="I284">
        <v>1</v>
      </c>
      <c r="J284">
        <v>0</v>
      </c>
      <c r="K284">
        <v>0</v>
      </c>
      <c r="L284">
        <v>0</v>
      </c>
      <c r="M284" t="s">
        <v>49</v>
      </c>
      <c r="N284" t="s">
        <v>24</v>
      </c>
      <c r="O284" t="b">
        <v>1</v>
      </c>
      <c r="Y284" t="e">
        <f>Table1[[#This Row],[qPer board]]*Table1[[#This Row],[boards]]</f>
        <v>#N/A</v>
      </c>
      <c r="AA284" t="e">
        <f>VLOOKUP(Table1[[#This Row],[MA_Number]], 'rhd batch30'!$A$1:$B$64,2,FALSE)</f>
        <v>#N/A</v>
      </c>
      <c r="AB284">
        <v>17</v>
      </c>
    </row>
    <row r="285" spans="1:28" x14ac:dyDescent="0.3">
      <c r="A285" t="s">
        <v>1413</v>
      </c>
      <c r="B285" s="1">
        <v>7298808730</v>
      </c>
      <c r="C285" s="1"/>
      <c r="D285" t="s">
        <v>280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Y285" t="e">
        <f>Table1[[#This Row],[qPer board]]*Table1[[#This Row],[boards]]</f>
        <v>#N/A</v>
      </c>
      <c r="AA285" t="e">
        <f>VLOOKUP(Table1[[#This Row],[MA_Number]], 'rhd batch30'!$A$1:$B$64,2,FALSE)</f>
        <v>#N/A</v>
      </c>
      <c r="AB285">
        <v>17</v>
      </c>
    </row>
    <row r="286" spans="1:28" x14ac:dyDescent="0.3">
      <c r="A286" t="s">
        <v>976</v>
      </c>
      <c r="B286" s="1" t="s">
        <v>563</v>
      </c>
      <c r="C286" s="1"/>
      <c r="D286" t="s">
        <v>280</v>
      </c>
      <c r="E286" t="s">
        <v>978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Y286" t="e">
        <f>Table1[[#This Row],[qPer board]]*Table1[[#This Row],[boards]]</f>
        <v>#N/A</v>
      </c>
      <c r="AA286" t="e">
        <f>VLOOKUP(Table1[[#This Row],[MA_Number]], 'rhd batch30'!$A$1:$B$64,2,FALSE)</f>
        <v>#N/A</v>
      </c>
      <c r="AB286">
        <v>17</v>
      </c>
    </row>
    <row r="287" spans="1:28" x14ac:dyDescent="0.3">
      <c r="A287" t="s">
        <v>980</v>
      </c>
      <c r="B287" s="1">
        <v>7223686530</v>
      </c>
      <c r="C287" s="1"/>
      <c r="D287" t="s">
        <v>280</v>
      </c>
      <c r="E287" t="s">
        <v>981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Y287" t="e">
        <f>Table1[[#This Row],[qPer board]]*Table1[[#This Row],[boards]]</f>
        <v>#N/A</v>
      </c>
      <c r="AA287" t="e">
        <f>VLOOKUP(Table1[[#This Row],[MA_Number]], 'rhd batch30'!$A$1:$B$64,2,FALSE)</f>
        <v>#N/A</v>
      </c>
      <c r="AB287">
        <v>17</v>
      </c>
    </row>
    <row r="288" spans="1:28" x14ac:dyDescent="0.3">
      <c r="A288" t="s">
        <v>1414</v>
      </c>
      <c r="B288" s="1" t="s">
        <v>259</v>
      </c>
      <c r="C288" s="1"/>
      <c r="D288" t="s">
        <v>280</v>
      </c>
      <c r="E288" t="s">
        <v>1220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Y288" t="e">
        <f>Table1[[#This Row],[qPer board]]*Table1[[#This Row],[boards]]</f>
        <v>#N/A</v>
      </c>
      <c r="AA288" t="e">
        <f>VLOOKUP(Table1[[#This Row],[MA_Number]], 'rhd batch30'!$A$1:$B$64,2,FALSE)</f>
        <v>#N/A</v>
      </c>
      <c r="AB288">
        <v>17</v>
      </c>
    </row>
    <row r="289" spans="1:28" x14ac:dyDescent="0.3">
      <c r="A289" t="s">
        <v>990</v>
      </c>
      <c r="B289" s="1">
        <v>7035990430</v>
      </c>
      <c r="C289" s="1"/>
      <c r="D289" t="s">
        <v>280</v>
      </c>
      <c r="E289" t="s">
        <v>991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Y289" t="e">
        <f>Table1[[#This Row],[qPer board]]*Table1[[#This Row],[boards]]</f>
        <v>#N/A</v>
      </c>
      <c r="AA289" t="e">
        <f>VLOOKUP(Table1[[#This Row],[MA_Number]], 'rhd batch30'!$A$1:$B$64,2,FALSE)</f>
        <v>#N/A</v>
      </c>
      <c r="AB289">
        <v>17</v>
      </c>
    </row>
    <row r="290" spans="1:28" x14ac:dyDescent="0.3">
      <c r="A290" t="s">
        <v>1231</v>
      </c>
      <c r="B290" s="1" t="s">
        <v>1229</v>
      </c>
      <c r="C290" s="1"/>
      <c r="D290" t="s">
        <v>282</v>
      </c>
      <c r="F290" t="b">
        <v>0</v>
      </c>
      <c r="I290">
        <v>1</v>
      </c>
      <c r="Y290" t="e">
        <f>Table1[[#This Row],[qPer board]]*Table1[[#This Row],[boards]]</f>
        <v>#N/A</v>
      </c>
      <c r="AA290" t="e">
        <f>VLOOKUP(Table1[[#This Row],[MA_Number]], 'rhd batch30'!$A$1:$B$64,2,FALSE)</f>
        <v>#N/A</v>
      </c>
      <c r="AB290">
        <v>17</v>
      </c>
    </row>
    <row r="291" spans="1:28" x14ac:dyDescent="0.3">
      <c r="A291" t="s">
        <v>1261</v>
      </c>
      <c r="B291" s="1">
        <v>7297914930</v>
      </c>
      <c r="C291" s="1"/>
      <c r="D291" t="s">
        <v>280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Y291" t="e">
        <f>Table1[[#This Row],[qPer board]]*Table1[[#This Row],[boards]]</f>
        <v>#N/A</v>
      </c>
      <c r="AA291" t="e">
        <f>VLOOKUP(Table1[[#This Row],[MA_Number]], 'rhd batch30'!$A$1:$B$64,2,FALSE)</f>
        <v>#N/A</v>
      </c>
      <c r="AB291">
        <v>17</v>
      </c>
    </row>
    <row r="292" spans="1:28" x14ac:dyDescent="0.3">
      <c r="A292" t="s">
        <v>1262</v>
      </c>
      <c r="B292" s="1">
        <v>7297913630</v>
      </c>
      <c r="C292" s="1"/>
      <c r="D292" t="s">
        <v>280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Y292" t="e">
        <f>Table1[[#This Row],[qPer board]]*Table1[[#This Row],[boards]]</f>
        <v>#N/A</v>
      </c>
      <c r="AA292" t="e">
        <f>VLOOKUP(Table1[[#This Row],[MA_Number]], 'rhd batch30'!$A$1:$B$64,2,FALSE)</f>
        <v>#N/A</v>
      </c>
      <c r="AB292">
        <v>17</v>
      </c>
    </row>
    <row r="293" spans="1:28" x14ac:dyDescent="0.3">
      <c r="A293" t="s">
        <v>1813</v>
      </c>
      <c r="B293" s="1" t="s">
        <v>811</v>
      </c>
      <c r="C293" s="1"/>
      <c r="D293" t="s">
        <v>280</v>
      </c>
      <c r="E293" t="s">
        <v>1812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X293">
        <v>30</v>
      </c>
      <c r="Y293">
        <f>Table1[[#This Row],[qPer board]]*Table1[[#This Row],[boards]]</f>
        <v>34</v>
      </c>
      <c r="Z293" t="s">
        <v>1820</v>
      </c>
      <c r="AA293">
        <f>VLOOKUP(Table1[[#This Row],[MA_Number]], 'rhd batch30'!$A$1:$B$64,2,FALSE)</f>
        <v>2</v>
      </c>
      <c r="AB293">
        <v>17</v>
      </c>
    </row>
    <row r="294" spans="1:28" x14ac:dyDescent="0.3">
      <c r="A294" t="s">
        <v>1300</v>
      </c>
      <c r="B294" s="1">
        <v>7198808890</v>
      </c>
      <c r="C294" s="1"/>
      <c r="D294" t="s">
        <v>280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Y294" t="e">
        <f>Table1[[#This Row],[qPer board]]*Table1[[#This Row],[boards]]</f>
        <v>#N/A</v>
      </c>
      <c r="AA294" t="e">
        <f>VLOOKUP(Table1[[#This Row],[MA_Number]], 'rhd batch30'!$A$1:$B$64,2,FALSE)</f>
        <v>#N/A</v>
      </c>
      <c r="AB294">
        <v>17</v>
      </c>
    </row>
    <row r="295" spans="1:28" x14ac:dyDescent="0.3">
      <c r="A295" t="s">
        <v>1301</v>
      </c>
      <c r="B295" s="1">
        <v>71989158</v>
      </c>
      <c r="C295" s="1"/>
      <c r="D295" t="s">
        <v>280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Y295" t="e">
        <f>Table1[[#This Row],[qPer board]]*Table1[[#This Row],[boards]]</f>
        <v>#N/A</v>
      </c>
      <c r="AA295" t="e">
        <f>VLOOKUP(Table1[[#This Row],[MA_Number]], 'rhd batch30'!$A$1:$B$64,2,FALSE)</f>
        <v>#N/A</v>
      </c>
      <c r="AB295">
        <v>17</v>
      </c>
    </row>
    <row r="296" spans="1:28" x14ac:dyDescent="0.3">
      <c r="A296" t="s">
        <v>1418</v>
      </c>
      <c r="B296" s="1">
        <v>7035964930</v>
      </c>
      <c r="C296" s="1"/>
      <c r="D296" t="s">
        <v>281</v>
      </c>
      <c r="F296" t="b">
        <v>1</v>
      </c>
      <c r="I296">
        <v>1</v>
      </c>
      <c r="J296" t="s">
        <v>676</v>
      </c>
      <c r="K296" t="s">
        <v>676</v>
      </c>
      <c r="L296" t="s">
        <v>676</v>
      </c>
      <c r="O296" t="b">
        <v>1</v>
      </c>
      <c r="Y296" t="e">
        <f>Table1[[#This Row],[qPer board]]*Table1[[#This Row],[boards]]</f>
        <v>#N/A</v>
      </c>
      <c r="AA296" t="e">
        <f>VLOOKUP(Table1[[#This Row],[MA_Number]], 'rhd batch30'!$A$1:$B$64,2,FALSE)</f>
        <v>#N/A</v>
      </c>
      <c r="AB296">
        <v>17</v>
      </c>
    </row>
    <row r="297" spans="1:28" x14ac:dyDescent="0.3">
      <c r="B297" s="1">
        <v>7035964930</v>
      </c>
      <c r="C297" s="1"/>
      <c r="E297" t="s">
        <v>1419</v>
      </c>
      <c r="G297" t="s">
        <v>1418</v>
      </c>
      <c r="H297" t="s">
        <v>1420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Y297" t="e">
        <f>Table1[[#This Row],[qPer board]]*Table1[[#This Row],[boards]]</f>
        <v>#N/A</v>
      </c>
      <c r="AA297" t="e">
        <f>VLOOKUP(Table1[[#This Row],[MA_Number]], 'rhd batch30'!$A$1:$B$64,2,FALSE)</f>
        <v>#N/A</v>
      </c>
      <c r="AB297">
        <v>17</v>
      </c>
    </row>
    <row r="298" spans="1:28" x14ac:dyDescent="0.3">
      <c r="A298" t="s">
        <v>1421</v>
      </c>
      <c r="B298" s="1">
        <v>7047009730</v>
      </c>
      <c r="C298" s="1"/>
      <c r="D298" t="s">
        <v>1206</v>
      </c>
      <c r="E298" t="s">
        <v>1219</v>
      </c>
      <c r="F298" t="b">
        <v>1</v>
      </c>
      <c r="I298">
        <v>1</v>
      </c>
      <c r="J298" t="s">
        <v>676</v>
      </c>
      <c r="K298" t="s">
        <v>676</v>
      </c>
      <c r="L298" t="s">
        <v>676</v>
      </c>
      <c r="Y298" t="e">
        <f>Table1[[#This Row],[qPer board]]*Table1[[#This Row],[boards]]</f>
        <v>#N/A</v>
      </c>
      <c r="AA298" t="e">
        <f>VLOOKUP(Table1[[#This Row],[MA_Number]], 'rhd batch30'!$A$1:$B$64,2,FALSE)</f>
        <v>#N/A</v>
      </c>
      <c r="AB298">
        <v>17</v>
      </c>
    </row>
    <row r="299" spans="1:28" x14ac:dyDescent="0.3">
      <c r="B299" s="1">
        <v>7047009730</v>
      </c>
      <c r="C299" s="1"/>
      <c r="G299" t="s">
        <v>1421</v>
      </c>
      <c r="H299" t="s">
        <v>1422</v>
      </c>
      <c r="I299">
        <v>1</v>
      </c>
      <c r="Y299" t="e">
        <f>Table1[[#This Row],[qPer board]]*Table1[[#This Row],[boards]]</f>
        <v>#N/A</v>
      </c>
      <c r="AA299" t="e">
        <f>VLOOKUP(Table1[[#This Row],[MA_Number]], 'rhd batch30'!$A$1:$B$64,2,FALSE)</f>
        <v>#N/A</v>
      </c>
      <c r="AB299">
        <v>17</v>
      </c>
    </row>
    <row r="300" spans="1:28" x14ac:dyDescent="0.3">
      <c r="A300" t="s">
        <v>678</v>
      </c>
      <c r="B300" s="1">
        <v>7047052330</v>
      </c>
      <c r="C300" s="1"/>
      <c r="D300" t="s">
        <v>1206</v>
      </c>
      <c r="F300" t="b">
        <v>1</v>
      </c>
      <c r="I300">
        <v>1</v>
      </c>
      <c r="J300" t="s">
        <v>676</v>
      </c>
      <c r="K300" t="s">
        <v>676</v>
      </c>
      <c r="L300" t="s">
        <v>676</v>
      </c>
      <c r="O300" t="b">
        <v>1</v>
      </c>
      <c r="Y300" t="e">
        <f>Table1[[#This Row],[qPer board]]*Table1[[#This Row],[boards]]</f>
        <v>#N/A</v>
      </c>
      <c r="AA300" t="e">
        <f>VLOOKUP(Table1[[#This Row],[MA_Number]], 'rhd batch30'!$A$1:$B$64,2,FALSE)</f>
        <v>#N/A</v>
      </c>
      <c r="AB300">
        <v>17</v>
      </c>
    </row>
    <row r="301" spans="1:28" x14ac:dyDescent="0.3">
      <c r="B301" s="1">
        <v>7047052330</v>
      </c>
      <c r="C301" s="1"/>
      <c r="E301" t="s">
        <v>1423</v>
      </c>
      <c r="G301" t="s">
        <v>678</v>
      </c>
      <c r="H301" t="s">
        <v>1424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Y301" t="e">
        <f>Table1[[#This Row],[qPer board]]*Table1[[#This Row],[boards]]</f>
        <v>#N/A</v>
      </c>
      <c r="AA301" t="e">
        <f>VLOOKUP(Table1[[#This Row],[MA_Number]], 'rhd batch30'!$A$1:$B$64,2,FALSE)</f>
        <v>#N/A</v>
      </c>
      <c r="AB301">
        <v>17</v>
      </c>
    </row>
    <row r="302" spans="1:28" x14ac:dyDescent="0.3">
      <c r="B302" s="1">
        <v>7047052330</v>
      </c>
      <c r="C302" s="1"/>
      <c r="E302" t="s">
        <v>1425</v>
      </c>
      <c r="G302" t="s">
        <v>678</v>
      </c>
      <c r="H302" t="s">
        <v>1426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Y302" t="e">
        <f>Table1[[#This Row],[qPer board]]*Table1[[#This Row],[boards]]</f>
        <v>#N/A</v>
      </c>
      <c r="AA302" t="e">
        <f>VLOOKUP(Table1[[#This Row],[MA_Number]], 'rhd batch30'!$A$1:$B$64,2,FALSE)</f>
        <v>#N/A</v>
      </c>
      <c r="AB302">
        <v>17</v>
      </c>
    </row>
    <row r="303" spans="1:28" x14ac:dyDescent="0.3">
      <c r="B303" s="1">
        <v>7047052330</v>
      </c>
      <c r="C303" s="1"/>
      <c r="E303" t="s">
        <v>1427</v>
      </c>
      <c r="G303" t="s">
        <v>678</v>
      </c>
      <c r="H303" t="s">
        <v>1428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Y303" t="e">
        <f>Table1[[#This Row],[qPer board]]*Table1[[#This Row],[boards]]</f>
        <v>#N/A</v>
      </c>
      <c r="AA303" t="e">
        <f>VLOOKUP(Table1[[#This Row],[MA_Number]], 'rhd batch30'!$A$1:$B$64,2,FALSE)</f>
        <v>#N/A</v>
      </c>
      <c r="AB303">
        <v>17</v>
      </c>
    </row>
    <row r="304" spans="1:28" x14ac:dyDescent="0.3">
      <c r="A304" t="s">
        <v>1429</v>
      </c>
      <c r="B304" s="1">
        <v>7047135830</v>
      </c>
      <c r="C304" s="1"/>
      <c r="D304" t="s">
        <v>1206</v>
      </c>
      <c r="F304" t="b">
        <v>1</v>
      </c>
      <c r="I304">
        <v>1</v>
      </c>
      <c r="J304" t="s">
        <v>676</v>
      </c>
      <c r="K304" t="s">
        <v>676</v>
      </c>
      <c r="L304" t="s">
        <v>676</v>
      </c>
      <c r="O304" t="b">
        <v>1</v>
      </c>
      <c r="Y304" t="e">
        <f>Table1[[#This Row],[qPer board]]*Table1[[#This Row],[boards]]</f>
        <v>#N/A</v>
      </c>
      <c r="AA304" t="e">
        <f>VLOOKUP(Table1[[#This Row],[MA_Number]], 'rhd batch30'!$A$1:$B$64,2,FALSE)</f>
        <v>#N/A</v>
      </c>
      <c r="AB304">
        <v>17</v>
      </c>
    </row>
    <row r="305" spans="1:28" x14ac:dyDescent="0.3">
      <c r="B305" s="1">
        <v>7047135830</v>
      </c>
      <c r="C305" s="1"/>
      <c r="E305" t="s">
        <v>1430</v>
      </c>
      <c r="G305" t="s">
        <v>1429</v>
      </c>
      <c r="H305" t="s">
        <v>1431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Y305" t="e">
        <f>Table1[[#This Row],[qPer board]]*Table1[[#This Row],[boards]]</f>
        <v>#N/A</v>
      </c>
      <c r="AA305" t="e">
        <f>VLOOKUP(Table1[[#This Row],[MA_Number]], 'rhd batch30'!$A$1:$B$64,2,FALSE)</f>
        <v>#N/A</v>
      </c>
      <c r="AB305">
        <v>17</v>
      </c>
    </row>
    <row r="306" spans="1:28" x14ac:dyDescent="0.3">
      <c r="B306" s="1">
        <v>7047135830</v>
      </c>
      <c r="C306" s="1"/>
      <c r="E306" t="s">
        <v>1432</v>
      </c>
      <c r="G306" t="s">
        <v>1429</v>
      </c>
      <c r="H306" t="s">
        <v>1433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Y306" t="e">
        <f>Table1[[#This Row],[qPer board]]*Table1[[#This Row],[boards]]</f>
        <v>#N/A</v>
      </c>
      <c r="AA306" t="e">
        <f>VLOOKUP(Table1[[#This Row],[MA_Number]], 'rhd batch30'!$A$1:$B$64,2,FALSE)</f>
        <v>#N/A</v>
      </c>
      <c r="AB306">
        <v>17</v>
      </c>
    </row>
    <row r="307" spans="1:28" x14ac:dyDescent="0.3">
      <c r="A307" t="s">
        <v>1434</v>
      </c>
      <c r="B307" s="1">
        <v>7047186030</v>
      </c>
      <c r="C307" s="1"/>
      <c r="D307" t="s">
        <v>1206</v>
      </c>
      <c r="E307" t="s">
        <v>1219</v>
      </c>
      <c r="F307" t="b">
        <v>1</v>
      </c>
      <c r="I307">
        <v>1</v>
      </c>
      <c r="J307" t="s">
        <v>676</v>
      </c>
      <c r="K307" t="s">
        <v>676</v>
      </c>
      <c r="L307" t="s">
        <v>676</v>
      </c>
      <c r="Y307" t="e">
        <f>Table1[[#This Row],[qPer board]]*Table1[[#This Row],[boards]]</f>
        <v>#N/A</v>
      </c>
      <c r="AA307" t="e">
        <f>VLOOKUP(Table1[[#This Row],[MA_Number]], 'rhd batch30'!$A$1:$B$64,2,FALSE)</f>
        <v>#N/A</v>
      </c>
      <c r="AB307">
        <v>17</v>
      </c>
    </row>
    <row r="308" spans="1:28" x14ac:dyDescent="0.3">
      <c r="B308" s="1">
        <v>7047186030</v>
      </c>
      <c r="C308" s="1"/>
      <c r="G308" t="s">
        <v>1434</v>
      </c>
      <c r="H308" t="s">
        <v>1435</v>
      </c>
      <c r="I308">
        <v>1</v>
      </c>
      <c r="Y308" t="e">
        <f>Table1[[#This Row],[qPer board]]*Table1[[#This Row],[boards]]</f>
        <v>#N/A</v>
      </c>
      <c r="AA308" t="e">
        <f>VLOOKUP(Table1[[#This Row],[MA_Number]], 'rhd batch30'!$A$1:$B$64,2,FALSE)</f>
        <v>#N/A</v>
      </c>
      <c r="AB308">
        <v>17</v>
      </c>
    </row>
    <row r="309" spans="1:28" x14ac:dyDescent="0.3">
      <c r="A309" t="s">
        <v>1436</v>
      </c>
      <c r="B309" s="1">
        <v>7047273930</v>
      </c>
      <c r="C309" s="1"/>
      <c r="D309" t="s">
        <v>1206</v>
      </c>
      <c r="F309" t="b">
        <v>1</v>
      </c>
      <c r="I309">
        <v>1</v>
      </c>
      <c r="J309" t="s">
        <v>676</v>
      </c>
      <c r="K309" t="s">
        <v>676</v>
      </c>
      <c r="L309" t="s">
        <v>676</v>
      </c>
      <c r="O309" t="b">
        <v>1</v>
      </c>
      <c r="Y309" t="e">
        <f>Table1[[#This Row],[qPer board]]*Table1[[#This Row],[boards]]</f>
        <v>#N/A</v>
      </c>
      <c r="AA309" t="e">
        <f>VLOOKUP(Table1[[#This Row],[MA_Number]], 'rhd batch30'!$A$1:$B$64,2,FALSE)</f>
        <v>#N/A</v>
      </c>
      <c r="AB309">
        <v>17</v>
      </c>
    </row>
    <row r="310" spans="1:28" x14ac:dyDescent="0.3">
      <c r="B310" s="1">
        <v>7047273930</v>
      </c>
      <c r="C310" s="1"/>
      <c r="E310" t="s">
        <v>1437</v>
      </c>
      <c r="G310" t="s">
        <v>1436</v>
      </c>
      <c r="H310" t="s">
        <v>1438</v>
      </c>
      <c r="I310">
        <v>1</v>
      </c>
      <c r="J310">
        <v>27</v>
      </c>
      <c r="K310">
        <v>20</v>
      </c>
      <c r="L310">
        <v>40</v>
      </c>
      <c r="N310" t="s">
        <v>40</v>
      </c>
      <c r="O310" t="b">
        <v>1</v>
      </c>
      <c r="Y310" t="e">
        <f>Table1[[#This Row],[qPer board]]*Table1[[#This Row],[boards]]</f>
        <v>#N/A</v>
      </c>
      <c r="AA310" t="e">
        <f>VLOOKUP(Table1[[#This Row],[MA_Number]], 'rhd batch30'!$A$1:$B$64,2,FALSE)</f>
        <v>#N/A</v>
      </c>
      <c r="AB310">
        <v>17</v>
      </c>
    </row>
    <row r="311" spans="1:28" x14ac:dyDescent="0.3">
      <c r="A311" t="s">
        <v>1934</v>
      </c>
      <c r="B311" s="1">
        <v>7052109630</v>
      </c>
      <c r="C311" s="1"/>
      <c r="D311" t="s">
        <v>1206</v>
      </c>
      <c r="E311" t="s">
        <v>1935</v>
      </c>
      <c r="F311" t="b">
        <v>1</v>
      </c>
      <c r="I311">
        <v>1</v>
      </c>
      <c r="J311" t="s">
        <v>676</v>
      </c>
      <c r="K311" t="s">
        <v>676</v>
      </c>
      <c r="L311" t="s">
        <v>676</v>
      </c>
      <c r="O311" t="b">
        <v>1</v>
      </c>
      <c r="Y311" t="e">
        <f>Table1[[#This Row],[qPer board]]*Table1[[#This Row],[boards]]</f>
        <v>#N/A</v>
      </c>
      <c r="AA311" t="e">
        <f>VLOOKUP(Table1[[#This Row],[MA_Number]], 'rhd batch30'!$A$1:$B$64,2,FALSE)</f>
        <v>#N/A</v>
      </c>
      <c r="AB311">
        <v>17</v>
      </c>
    </row>
    <row r="312" spans="1:28" x14ac:dyDescent="0.3">
      <c r="B312" s="1">
        <v>7052109630</v>
      </c>
      <c r="C312" s="1"/>
      <c r="G312" t="s">
        <v>1934</v>
      </c>
      <c r="H312" t="s">
        <v>1936</v>
      </c>
      <c r="I312">
        <v>1</v>
      </c>
      <c r="J312">
        <v>45</v>
      </c>
      <c r="K312">
        <v>20</v>
      </c>
      <c r="L312">
        <v>42</v>
      </c>
      <c r="M312" t="s">
        <v>49</v>
      </c>
      <c r="N312" t="s">
        <v>24</v>
      </c>
      <c r="O312" t="b">
        <v>1</v>
      </c>
      <c r="Y312" t="e">
        <f>Table1[[#This Row],[qPer board]]*Table1[[#This Row],[boards]]</f>
        <v>#N/A</v>
      </c>
      <c r="AA312" t="e">
        <f>VLOOKUP(Table1[[#This Row],[MA_Number]], 'rhd batch30'!$A$1:$B$64,2,FALSE)</f>
        <v>#N/A</v>
      </c>
      <c r="AB312">
        <v>17</v>
      </c>
    </row>
    <row r="313" spans="1:28" x14ac:dyDescent="0.3">
      <c r="B313" s="1">
        <v>7052109630</v>
      </c>
      <c r="C313" s="1"/>
      <c r="G313" t="s">
        <v>1934</v>
      </c>
      <c r="H313" t="s">
        <v>1937</v>
      </c>
      <c r="I313">
        <v>1</v>
      </c>
      <c r="J313">
        <v>77</v>
      </c>
      <c r="K313">
        <v>30</v>
      </c>
      <c r="L313">
        <v>35</v>
      </c>
      <c r="M313" t="s">
        <v>49</v>
      </c>
      <c r="N313" t="s">
        <v>24</v>
      </c>
      <c r="O313" t="b">
        <v>1</v>
      </c>
      <c r="Y313" t="e">
        <f>Table1[[#This Row],[qPer board]]*Table1[[#This Row],[boards]]</f>
        <v>#N/A</v>
      </c>
      <c r="AA313" t="e">
        <f>VLOOKUP(Table1[[#This Row],[MA_Number]], 'rhd batch30'!$A$1:$B$64,2,FALSE)</f>
        <v>#N/A</v>
      </c>
      <c r="AB313">
        <v>17</v>
      </c>
    </row>
    <row r="314" spans="1:28" x14ac:dyDescent="0.3">
      <c r="A314" t="s">
        <v>1439</v>
      </c>
      <c r="B314" s="1">
        <v>70521459</v>
      </c>
      <c r="C314" s="1"/>
      <c r="D314" t="s">
        <v>1206</v>
      </c>
      <c r="F314" t="b">
        <v>1</v>
      </c>
      <c r="I314">
        <v>1</v>
      </c>
      <c r="J314" t="s">
        <v>676</v>
      </c>
      <c r="K314" t="s">
        <v>676</v>
      </c>
      <c r="L314" t="s">
        <v>676</v>
      </c>
      <c r="O314" t="b">
        <v>1</v>
      </c>
      <c r="Y314" t="e">
        <f>Table1[[#This Row],[qPer board]]*Table1[[#This Row],[boards]]</f>
        <v>#N/A</v>
      </c>
      <c r="AA314" t="e">
        <f>VLOOKUP(Table1[[#This Row],[MA_Number]], 'rhd batch30'!$A$1:$B$64,2,FALSE)</f>
        <v>#N/A</v>
      </c>
      <c r="AB314">
        <v>17</v>
      </c>
    </row>
    <row r="315" spans="1:28" x14ac:dyDescent="0.3">
      <c r="B315" s="1">
        <v>70521459</v>
      </c>
      <c r="C315" s="1"/>
      <c r="E315" t="s">
        <v>1440</v>
      </c>
      <c r="G315" t="s">
        <v>1439</v>
      </c>
      <c r="H315" t="s">
        <v>1441</v>
      </c>
      <c r="I315">
        <v>1</v>
      </c>
      <c r="J315">
        <v>28</v>
      </c>
      <c r="K315">
        <v>28</v>
      </c>
      <c r="L315">
        <v>36</v>
      </c>
      <c r="N315" t="s">
        <v>40</v>
      </c>
      <c r="O315" t="b">
        <v>1</v>
      </c>
      <c r="Y315" t="e">
        <f>Table1[[#This Row],[qPer board]]*Table1[[#This Row],[boards]]</f>
        <v>#N/A</v>
      </c>
      <c r="AA315" t="e">
        <f>VLOOKUP(Table1[[#This Row],[MA_Number]], 'rhd batch30'!$A$1:$B$64,2,FALSE)</f>
        <v>#N/A</v>
      </c>
      <c r="AB315">
        <v>17</v>
      </c>
    </row>
    <row r="316" spans="1:28" x14ac:dyDescent="0.3">
      <c r="A316" t="s">
        <v>738</v>
      </c>
      <c r="B316" s="1">
        <v>7052161430</v>
      </c>
      <c r="C316" s="1"/>
      <c r="D316" t="s">
        <v>1206</v>
      </c>
      <c r="E316" t="s">
        <v>1219</v>
      </c>
      <c r="F316" t="b">
        <v>1</v>
      </c>
      <c r="I316">
        <v>1</v>
      </c>
      <c r="J316" t="s">
        <v>676</v>
      </c>
      <c r="K316" t="s">
        <v>676</v>
      </c>
      <c r="L316" t="s">
        <v>676</v>
      </c>
      <c r="Y316" t="e">
        <f>Table1[[#This Row],[qPer board]]*Table1[[#This Row],[boards]]</f>
        <v>#N/A</v>
      </c>
      <c r="AA316" t="e">
        <f>VLOOKUP(Table1[[#This Row],[MA_Number]], 'rhd batch30'!$A$1:$B$64,2,FALSE)</f>
        <v>#N/A</v>
      </c>
      <c r="AB316">
        <v>17</v>
      </c>
    </row>
    <row r="317" spans="1:28" x14ac:dyDescent="0.3">
      <c r="B317" s="1">
        <v>7052161430</v>
      </c>
      <c r="C317" s="1"/>
      <c r="G317" t="s">
        <v>738</v>
      </c>
      <c r="H317" t="s">
        <v>1216</v>
      </c>
      <c r="I317">
        <v>1</v>
      </c>
      <c r="Y317" t="e">
        <f>Table1[[#This Row],[qPer board]]*Table1[[#This Row],[boards]]</f>
        <v>#N/A</v>
      </c>
      <c r="AA317" t="e">
        <f>VLOOKUP(Table1[[#This Row],[MA_Number]], 'rhd batch30'!$A$1:$B$64,2,FALSE)</f>
        <v>#N/A</v>
      </c>
      <c r="AB317">
        <v>17</v>
      </c>
    </row>
    <row r="318" spans="1:28" x14ac:dyDescent="0.3">
      <c r="A318" t="s">
        <v>1749</v>
      </c>
      <c r="B318" s="1">
        <v>7075181330</v>
      </c>
      <c r="C318" s="1"/>
      <c r="D318" t="s">
        <v>281</v>
      </c>
      <c r="E318" s="3" t="s">
        <v>1750</v>
      </c>
      <c r="F318" t="b">
        <v>0</v>
      </c>
      <c r="I318">
        <v>1</v>
      </c>
      <c r="J318">
        <v>55</v>
      </c>
      <c r="K318">
        <v>20</v>
      </c>
      <c r="L318">
        <v>50</v>
      </c>
      <c r="M318" t="s">
        <v>49</v>
      </c>
      <c r="N318" t="s">
        <v>24</v>
      </c>
      <c r="O318" t="b">
        <v>1</v>
      </c>
      <c r="Y318" t="e">
        <f>Table1[[#This Row],[qPer board]]*Table1[[#This Row],[boards]]</f>
        <v>#N/A</v>
      </c>
      <c r="AA318" t="e">
        <f>VLOOKUP(Table1[[#This Row],[MA_Number]], 'rhd batch30'!$A$1:$B$64,2,FALSE)</f>
        <v>#N/A</v>
      </c>
      <c r="AB318">
        <v>17</v>
      </c>
    </row>
    <row r="319" spans="1:28" x14ac:dyDescent="0.3">
      <c r="A319" t="s">
        <v>518</v>
      </c>
      <c r="B319" s="1" t="s">
        <v>1442</v>
      </c>
      <c r="C319" s="1"/>
      <c r="D319" t="s">
        <v>281</v>
      </c>
      <c r="F319" t="b">
        <v>1</v>
      </c>
      <c r="I319">
        <v>1</v>
      </c>
      <c r="O319" t="b">
        <v>1</v>
      </c>
      <c r="Y319" t="e">
        <f>Table1[[#This Row],[qPer board]]*Table1[[#This Row],[boards]]</f>
        <v>#N/A</v>
      </c>
      <c r="AA319" t="e">
        <f>VLOOKUP(Table1[[#This Row],[MA_Number]], 'rhd batch30'!$A$1:$B$64,2,FALSE)</f>
        <v>#N/A</v>
      </c>
      <c r="AB319">
        <v>17</v>
      </c>
    </row>
    <row r="320" spans="1:28" x14ac:dyDescent="0.3">
      <c r="B320" s="1" t="s">
        <v>1442</v>
      </c>
      <c r="C320" s="1"/>
      <c r="E320" t="s">
        <v>1443</v>
      </c>
      <c r="G320" t="s">
        <v>518</v>
      </c>
      <c r="H320" t="s">
        <v>1444</v>
      </c>
      <c r="I320">
        <v>1</v>
      </c>
      <c r="J320">
        <v>93</v>
      </c>
      <c r="K320">
        <v>52</v>
      </c>
      <c r="L320">
        <v>75</v>
      </c>
      <c r="O320" t="b">
        <v>1</v>
      </c>
      <c r="Y320" t="e">
        <f>Table1[[#This Row],[qPer board]]*Table1[[#This Row],[boards]]</f>
        <v>#N/A</v>
      </c>
      <c r="AA320" t="e">
        <f>VLOOKUP(Table1[[#This Row],[MA_Number]], 'rhd batch30'!$A$1:$B$64,2,FALSE)</f>
        <v>#N/A</v>
      </c>
      <c r="AB320">
        <v>17</v>
      </c>
    </row>
    <row r="321" spans="1:28" x14ac:dyDescent="0.3">
      <c r="A321" t="s">
        <v>451</v>
      </c>
      <c r="B321" s="1">
        <v>7075244730</v>
      </c>
      <c r="C321" s="1"/>
      <c r="D321" t="s">
        <v>281</v>
      </c>
      <c r="F321" t="b">
        <v>1</v>
      </c>
      <c r="I321">
        <v>1</v>
      </c>
      <c r="J321">
        <v>77</v>
      </c>
      <c r="K321">
        <v>42</v>
      </c>
      <c r="L321">
        <v>66</v>
      </c>
      <c r="M321" t="s">
        <v>49</v>
      </c>
      <c r="N321" t="s">
        <v>24</v>
      </c>
      <c r="O321" t="b">
        <v>1</v>
      </c>
      <c r="Y321" t="e">
        <f>Table1[[#This Row],[qPer board]]*Table1[[#This Row],[boards]]</f>
        <v>#N/A</v>
      </c>
      <c r="AA321" t="e">
        <f>VLOOKUP(Table1[[#This Row],[MA_Number]], 'rhd batch30'!$A$1:$B$64,2,FALSE)</f>
        <v>#N/A</v>
      </c>
      <c r="AB321">
        <v>17</v>
      </c>
    </row>
    <row r="322" spans="1:28" x14ac:dyDescent="0.3">
      <c r="A322" t="s">
        <v>453</v>
      </c>
      <c r="B322" s="1" t="s">
        <v>1445</v>
      </c>
      <c r="C322" s="1"/>
      <c r="D322" t="s">
        <v>281</v>
      </c>
      <c r="E322" t="s">
        <v>1446</v>
      </c>
      <c r="F322" t="b">
        <v>1</v>
      </c>
      <c r="I322">
        <v>1</v>
      </c>
      <c r="J322" t="s">
        <v>676</v>
      </c>
      <c r="K322" t="s">
        <v>676</v>
      </c>
      <c r="L322" t="s">
        <v>676</v>
      </c>
      <c r="O322" t="b">
        <v>1</v>
      </c>
      <c r="Y322" t="e">
        <f>Table1[[#This Row],[qPer board]]*Table1[[#This Row],[boards]]</f>
        <v>#N/A</v>
      </c>
      <c r="AA322" t="e">
        <f>VLOOKUP(Table1[[#This Row],[MA_Number]], 'rhd batch30'!$A$1:$B$64,2,FALSE)</f>
        <v>#N/A</v>
      </c>
      <c r="AB322">
        <v>17</v>
      </c>
    </row>
    <row r="323" spans="1:28" x14ac:dyDescent="0.3">
      <c r="B323" s="1" t="s">
        <v>1445</v>
      </c>
      <c r="C323" s="1"/>
      <c r="E323" t="s">
        <v>1447</v>
      </c>
      <c r="G323" t="s">
        <v>453</v>
      </c>
      <c r="H323" t="s">
        <v>1448</v>
      </c>
      <c r="I323">
        <v>1</v>
      </c>
      <c r="J323">
        <v>50</v>
      </c>
      <c r="K323">
        <v>39</v>
      </c>
      <c r="L323">
        <v>44</v>
      </c>
      <c r="M323" t="s">
        <v>52</v>
      </c>
      <c r="N323" t="s">
        <v>24</v>
      </c>
      <c r="O323" t="b">
        <v>1</v>
      </c>
      <c r="Y323" t="e">
        <f>Table1[[#This Row],[qPer board]]*Table1[[#This Row],[boards]]</f>
        <v>#N/A</v>
      </c>
      <c r="AA323" t="e">
        <f>VLOOKUP(Table1[[#This Row],[MA_Number]], 'rhd batch30'!$A$1:$B$64,2,FALSE)</f>
        <v>#N/A</v>
      </c>
      <c r="AB323">
        <v>17</v>
      </c>
    </row>
    <row r="324" spans="1:28" x14ac:dyDescent="0.3">
      <c r="B324" s="1" t="s">
        <v>1445</v>
      </c>
      <c r="C324" s="1"/>
      <c r="E324" t="s">
        <v>1449</v>
      </c>
      <c r="G324" t="s">
        <v>453</v>
      </c>
      <c r="H324" t="s">
        <v>1450</v>
      </c>
      <c r="I324">
        <v>1</v>
      </c>
      <c r="J324">
        <v>50</v>
      </c>
      <c r="K324">
        <v>39</v>
      </c>
      <c r="L324">
        <v>30</v>
      </c>
      <c r="M324" t="s">
        <v>52</v>
      </c>
      <c r="N324" t="s">
        <v>24</v>
      </c>
      <c r="O324" t="b">
        <v>1</v>
      </c>
      <c r="Y324" t="e">
        <f>Table1[[#This Row],[qPer board]]*Table1[[#This Row],[boards]]</f>
        <v>#N/A</v>
      </c>
      <c r="AA324" t="e">
        <f>VLOOKUP(Table1[[#This Row],[MA_Number]], 'rhd batch30'!$A$1:$B$64,2,FALSE)</f>
        <v>#N/A</v>
      </c>
      <c r="AB324">
        <v>17</v>
      </c>
    </row>
    <row r="325" spans="1:28" x14ac:dyDescent="0.3">
      <c r="B325" s="1" t="s">
        <v>1445</v>
      </c>
      <c r="C325" s="1"/>
      <c r="E325" t="s">
        <v>1451</v>
      </c>
      <c r="G325" t="s">
        <v>453</v>
      </c>
      <c r="H325" t="s">
        <v>1452</v>
      </c>
      <c r="I325">
        <v>1</v>
      </c>
      <c r="J325">
        <v>50</v>
      </c>
      <c r="K325">
        <v>39</v>
      </c>
      <c r="L325">
        <v>21</v>
      </c>
      <c r="M325" t="s">
        <v>52</v>
      </c>
      <c r="N325" t="s">
        <v>24</v>
      </c>
      <c r="O325" t="b">
        <v>1</v>
      </c>
      <c r="Y325" t="e">
        <f>Table1[[#This Row],[qPer board]]*Table1[[#This Row],[boards]]</f>
        <v>#N/A</v>
      </c>
      <c r="AA325" t="e">
        <f>VLOOKUP(Table1[[#This Row],[MA_Number]], 'rhd batch30'!$A$1:$B$64,2,FALSE)</f>
        <v>#N/A</v>
      </c>
      <c r="AB325">
        <v>17</v>
      </c>
    </row>
    <row r="326" spans="1:28" x14ac:dyDescent="0.3">
      <c r="A326" t="s">
        <v>454</v>
      </c>
      <c r="B326" s="1" t="s">
        <v>1048</v>
      </c>
      <c r="C326" s="1"/>
      <c r="D326" t="s">
        <v>281</v>
      </c>
      <c r="E326" t="s">
        <v>1453</v>
      </c>
      <c r="F326" t="b">
        <v>1</v>
      </c>
      <c r="I326">
        <v>1</v>
      </c>
      <c r="J326" t="s">
        <v>676</v>
      </c>
      <c r="K326" t="s">
        <v>676</v>
      </c>
      <c r="L326" t="s">
        <v>676</v>
      </c>
      <c r="O326" t="b">
        <v>1</v>
      </c>
      <c r="Y326" t="e">
        <f>Table1[[#This Row],[qPer board]]*Table1[[#This Row],[boards]]</f>
        <v>#N/A</v>
      </c>
      <c r="AA326" t="e">
        <f>VLOOKUP(Table1[[#This Row],[MA_Number]], 'rhd batch30'!$A$1:$B$64,2,FALSE)</f>
        <v>#N/A</v>
      </c>
      <c r="AB326">
        <v>17</v>
      </c>
    </row>
    <row r="327" spans="1:28" x14ac:dyDescent="0.3">
      <c r="B327" s="1" t="s">
        <v>1048</v>
      </c>
      <c r="C327" s="1"/>
      <c r="E327" t="s">
        <v>1454</v>
      </c>
      <c r="G327" t="s">
        <v>454</v>
      </c>
      <c r="H327" t="s">
        <v>1455</v>
      </c>
      <c r="I327">
        <v>1</v>
      </c>
      <c r="J327">
        <v>55</v>
      </c>
      <c r="K327">
        <v>39</v>
      </c>
      <c r="L327">
        <v>48</v>
      </c>
      <c r="M327" t="s">
        <v>49</v>
      </c>
      <c r="N327" t="s">
        <v>24</v>
      </c>
      <c r="O327" t="b">
        <v>1</v>
      </c>
      <c r="Y327" t="e">
        <f>Table1[[#This Row],[qPer board]]*Table1[[#This Row],[boards]]</f>
        <v>#N/A</v>
      </c>
      <c r="AA327" t="e">
        <f>VLOOKUP(Table1[[#This Row],[MA_Number]], 'rhd batch30'!$A$1:$B$64,2,FALSE)</f>
        <v>#N/A</v>
      </c>
      <c r="AB327">
        <v>17</v>
      </c>
    </row>
    <row r="328" spans="1:28" x14ac:dyDescent="0.3">
      <c r="B328" s="1" t="s">
        <v>1048</v>
      </c>
      <c r="C328" s="1"/>
      <c r="E328" t="s">
        <v>1456</v>
      </c>
      <c r="G328" t="s">
        <v>454</v>
      </c>
      <c r="H328" t="s">
        <v>1457</v>
      </c>
      <c r="I328">
        <v>1</v>
      </c>
      <c r="J328">
        <v>55</v>
      </c>
      <c r="K328">
        <v>39</v>
      </c>
      <c r="L328">
        <v>30</v>
      </c>
      <c r="M328" t="s">
        <v>49</v>
      </c>
      <c r="N328" t="s">
        <v>24</v>
      </c>
      <c r="O328" t="b">
        <v>1</v>
      </c>
      <c r="Y328" t="e">
        <f>Table1[[#This Row],[qPer board]]*Table1[[#This Row],[boards]]</f>
        <v>#N/A</v>
      </c>
      <c r="AA328" t="e">
        <f>VLOOKUP(Table1[[#This Row],[MA_Number]], 'rhd batch30'!$A$1:$B$64,2,FALSE)</f>
        <v>#N/A</v>
      </c>
      <c r="AB328">
        <v>17</v>
      </c>
    </row>
    <row r="329" spans="1:28" x14ac:dyDescent="0.3">
      <c r="B329" s="1" t="s">
        <v>1048</v>
      </c>
      <c r="C329" s="1"/>
      <c r="E329" t="s">
        <v>1458</v>
      </c>
      <c r="G329" t="s">
        <v>454</v>
      </c>
      <c r="H329" t="s">
        <v>1459</v>
      </c>
      <c r="I329">
        <v>1</v>
      </c>
      <c r="J329">
        <v>55</v>
      </c>
      <c r="K329">
        <v>39</v>
      </c>
      <c r="L329">
        <v>21</v>
      </c>
      <c r="M329" t="s">
        <v>49</v>
      </c>
      <c r="N329" t="s">
        <v>24</v>
      </c>
      <c r="O329" t="b">
        <v>1</v>
      </c>
      <c r="Y329" t="e">
        <f>Table1[[#This Row],[qPer board]]*Table1[[#This Row],[boards]]</f>
        <v>#N/A</v>
      </c>
      <c r="AA329" t="e">
        <f>VLOOKUP(Table1[[#This Row],[MA_Number]], 'rhd batch30'!$A$1:$B$64,2,FALSE)</f>
        <v>#N/A</v>
      </c>
      <c r="AB329">
        <v>17</v>
      </c>
    </row>
    <row r="330" spans="1:28" x14ac:dyDescent="0.3">
      <c r="A330" t="s">
        <v>1140</v>
      </c>
      <c r="B330" s="1" t="s">
        <v>1039</v>
      </c>
      <c r="C330" s="1"/>
      <c r="D330" t="s">
        <v>281</v>
      </c>
      <c r="E330" t="s">
        <v>1460</v>
      </c>
      <c r="F330" t="b">
        <v>1</v>
      </c>
      <c r="I330">
        <v>1</v>
      </c>
      <c r="J330" t="s">
        <v>676</v>
      </c>
      <c r="K330" t="s">
        <v>676</v>
      </c>
      <c r="L330" t="s">
        <v>676</v>
      </c>
      <c r="O330" t="b">
        <v>1</v>
      </c>
      <c r="Y330" t="e">
        <f>Table1[[#This Row],[qPer board]]*Table1[[#This Row],[boards]]</f>
        <v>#N/A</v>
      </c>
      <c r="AA330" t="e">
        <f>VLOOKUP(Table1[[#This Row],[MA_Number]], 'rhd batch30'!$A$1:$B$64,2,FALSE)</f>
        <v>#N/A</v>
      </c>
      <c r="AB330">
        <v>17</v>
      </c>
    </row>
    <row r="331" spans="1:28" x14ac:dyDescent="0.3">
      <c r="B331" s="1" t="s">
        <v>1039</v>
      </c>
      <c r="C331" s="1"/>
      <c r="E331" t="s">
        <v>1461</v>
      </c>
      <c r="G331" t="s">
        <v>1140</v>
      </c>
      <c r="H331" t="s">
        <v>1462</v>
      </c>
      <c r="I331">
        <v>1</v>
      </c>
      <c r="J331">
        <v>54</v>
      </c>
      <c r="K331">
        <v>40</v>
      </c>
      <c r="L331">
        <v>44</v>
      </c>
      <c r="M331" t="s">
        <v>53</v>
      </c>
      <c r="N331" t="s">
        <v>24</v>
      </c>
      <c r="O331" t="b">
        <v>1</v>
      </c>
      <c r="Y331" t="e">
        <f>Table1[[#This Row],[qPer board]]*Table1[[#This Row],[boards]]</f>
        <v>#N/A</v>
      </c>
      <c r="AA331" t="e">
        <f>VLOOKUP(Table1[[#This Row],[MA_Number]], 'rhd batch30'!$A$1:$B$64,2,FALSE)</f>
        <v>#N/A</v>
      </c>
      <c r="AB331">
        <v>17</v>
      </c>
    </row>
    <row r="332" spans="1:28" x14ac:dyDescent="0.3">
      <c r="B332" s="1" t="s">
        <v>1039</v>
      </c>
      <c r="C332" s="1"/>
      <c r="E332" t="s">
        <v>1463</v>
      </c>
      <c r="G332" t="s">
        <v>1140</v>
      </c>
      <c r="H332" t="s">
        <v>1464</v>
      </c>
      <c r="I332">
        <v>1</v>
      </c>
      <c r="J332">
        <v>54</v>
      </c>
      <c r="K332">
        <v>40</v>
      </c>
      <c r="L332">
        <v>30</v>
      </c>
      <c r="M332" t="s">
        <v>53</v>
      </c>
      <c r="N332" t="s">
        <v>24</v>
      </c>
      <c r="O332" t="b">
        <v>1</v>
      </c>
      <c r="Y332" t="e">
        <f>Table1[[#This Row],[qPer board]]*Table1[[#This Row],[boards]]</f>
        <v>#N/A</v>
      </c>
      <c r="AA332" t="e">
        <f>VLOOKUP(Table1[[#This Row],[MA_Number]], 'rhd batch30'!$A$1:$B$64,2,FALSE)</f>
        <v>#N/A</v>
      </c>
      <c r="AB332">
        <v>17</v>
      </c>
    </row>
    <row r="333" spans="1:28" x14ac:dyDescent="0.3">
      <c r="B333" s="1" t="s">
        <v>1039</v>
      </c>
      <c r="C333" s="1"/>
      <c r="E333" t="s">
        <v>1465</v>
      </c>
      <c r="G333" t="s">
        <v>1140</v>
      </c>
      <c r="H333" t="s">
        <v>1466</v>
      </c>
      <c r="I333">
        <v>1</v>
      </c>
      <c r="J333">
        <v>54</v>
      </c>
      <c r="K333">
        <v>40</v>
      </c>
      <c r="L333">
        <v>21</v>
      </c>
      <c r="M333" t="s">
        <v>53</v>
      </c>
      <c r="N333" t="s">
        <v>24</v>
      </c>
      <c r="O333" t="b">
        <v>1</v>
      </c>
      <c r="Y333" t="e">
        <f>Table1[[#This Row],[qPer board]]*Table1[[#This Row],[boards]]</f>
        <v>#N/A</v>
      </c>
      <c r="AA333" t="e">
        <f>VLOOKUP(Table1[[#This Row],[MA_Number]], 'rhd batch30'!$A$1:$B$64,2,FALSE)</f>
        <v>#N/A</v>
      </c>
      <c r="AB333">
        <v>17</v>
      </c>
    </row>
    <row r="334" spans="1:28" x14ac:dyDescent="0.3">
      <c r="A334" t="s">
        <v>455</v>
      </c>
      <c r="B334" s="1" t="s">
        <v>1467</v>
      </c>
      <c r="C334" s="1"/>
      <c r="D334" t="s">
        <v>281</v>
      </c>
      <c r="E334" t="s">
        <v>1468</v>
      </c>
      <c r="F334" t="b">
        <v>1</v>
      </c>
      <c r="I334">
        <v>1</v>
      </c>
      <c r="J334" t="s">
        <v>676</v>
      </c>
      <c r="K334" t="s">
        <v>676</v>
      </c>
      <c r="L334" t="s">
        <v>676</v>
      </c>
      <c r="O334" t="b">
        <v>1</v>
      </c>
      <c r="Y334" t="e">
        <f>Table1[[#This Row],[qPer board]]*Table1[[#This Row],[boards]]</f>
        <v>#N/A</v>
      </c>
      <c r="AA334" t="e">
        <f>VLOOKUP(Table1[[#This Row],[MA_Number]], 'rhd batch30'!$A$1:$B$64,2,FALSE)</f>
        <v>#N/A</v>
      </c>
      <c r="AB334">
        <v>17</v>
      </c>
    </row>
    <row r="335" spans="1:28" x14ac:dyDescent="0.3">
      <c r="B335" s="1" t="s">
        <v>1467</v>
      </c>
      <c r="C335" s="1"/>
      <c r="E335" t="s">
        <v>1469</v>
      </c>
      <c r="G335" t="s">
        <v>455</v>
      </c>
      <c r="H335" t="s">
        <v>1470</v>
      </c>
      <c r="I335">
        <v>1</v>
      </c>
      <c r="J335">
        <v>50</v>
      </c>
      <c r="K335">
        <v>39</v>
      </c>
      <c r="L335">
        <v>46</v>
      </c>
      <c r="M335" t="s">
        <v>49</v>
      </c>
      <c r="N335" t="s">
        <v>24</v>
      </c>
      <c r="O335" t="b">
        <v>1</v>
      </c>
      <c r="Y335" t="e">
        <f>Table1[[#This Row],[qPer board]]*Table1[[#This Row],[boards]]</f>
        <v>#N/A</v>
      </c>
      <c r="AA335" t="e">
        <f>VLOOKUP(Table1[[#This Row],[MA_Number]], 'rhd batch30'!$A$1:$B$64,2,FALSE)</f>
        <v>#N/A</v>
      </c>
      <c r="AB335">
        <v>17</v>
      </c>
    </row>
    <row r="336" spans="1:28" x14ac:dyDescent="0.3">
      <c r="B336" s="1" t="s">
        <v>1467</v>
      </c>
      <c r="C336" s="1"/>
      <c r="E336" t="s">
        <v>1449</v>
      </c>
      <c r="G336" t="s">
        <v>455</v>
      </c>
      <c r="H336" t="s">
        <v>1471</v>
      </c>
      <c r="I336">
        <v>1</v>
      </c>
      <c r="J336">
        <v>50</v>
      </c>
      <c r="K336">
        <v>39</v>
      </c>
      <c r="L336">
        <v>30</v>
      </c>
      <c r="M336" t="s">
        <v>49</v>
      </c>
      <c r="N336" t="s">
        <v>24</v>
      </c>
      <c r="O336" t="b">
        <v>1</v>
      </c>
      <c r="Y336" t="e">
        <f>Table1[[#This Row],[qPer board]]*Table1[[#This Row],[boards]]</f>
        <v>#N/A</v>
      </c>
      <c r="AA336" t="e">
        <f>VLOOKUP(Table1[[#This Row],[MA_Number]], 'rhd batch30'!$A$1:$B$64,2,FALSE)</f>
        <v>#N/A</v>
      </c>
      <c r="AB336">
        <v>17</v>
      </c>
    </row>
    <row r="337" spans="1:28" x14ac:dyDescent="0.3">
      <c r="B337" s="1" t="s">
        <v>1467</v>
      </c>
      <c r="C337" s="1"/>
      <c r="E337" t="s">
        <v>1451</v>
      </c>
      <c r="G337" t="s">
        <v>455</v>
      </c>
      <c r="H337" t="s">
        <v>1472</v>
      </c>
      <c r="I337">
        <v>1</v>
      </c>
      <c r="J337">
        <v>50</v>
      </c>
      <c r="K337">
        <v>39</v>
      </c>
      <c r="L337">
        <v>21</v>
      </c>
      <c r="M337" t="s">
        <v>49</v>
      </c>
      <c r="N337" t="s">
        <v>24</v>
      </c>
      <c r="O337" t="b">
        <v>1</v>
      </c>
      <c r="Y337" t="e">
        <f>Table1[[#This Row],[qPer board]]*Table1[[#This Row],[boards]]</f>
        <v>#N/A</v>
      </c>
      <c r="AA337" t="e">
        <f>VLOOKUP(Table1[[#This Row],[MA_Number]], 'rhd batch30'!$A$1:$B$64,2,FALSE)</f>
        <v>#N/A</v>
      </c>
      <c r="AB337">
        <v>17</v>
      </c>
    </row>
    <row r="338" spans="1:28" x14ac:dyDescent="0.3">
      <c r="B338" s="1" t="s">
        <v>1467</v>
      </c>
      <c r="C338" s="1"/>
      <c r="E338" t="s">
        <v>1473</v>
      </c>
      <c r="G338" t="s">
        <v>455</v>
      </c>
      <c r="H338" t="s">
        <v>1474</v>
      </c>
      <c r="I338">
        <v>1</v>
      </c>
      <c r="J338">
        <v>26</v>
      </c>
      <c r="K338">
        <v>21</v>
      </c>
      <c r="L338">
        <v>25</v>
      </c>
      <c r="M338" t="s">
        <v>49</v>
      </c>
      <c r="N338" t="s">
        <v>24</v>
      </c>
      <c r="O338" t="b">
        <v>1</v>
      </c>
      <c r="Y338" t="e">
        <f>Table1[[#This Row],[qPer board]]*Table1[[#This Row],[boards]]</f>
        <v>#N/A</v>
      </c>
      <c r="AA338" t="e">
        <f>VLOOKUP(Table1[[#This Row],[MA_Number]], 'rhd batch30'!$A$1:$B$64,2,FALSE)</f>
        <v>#N/A</v>
      </c>
      <c r="AB338">
        <v>17</v>
      </c>
    </row>
    <row r="339" spans="1:28" x14ac:dyDescent="0.3">
      <c r="A339" t="s">
        <v>429</v>
      </c>
      <c r="B339" s="1" t="s">
        <v>1047</v>
      </c>
      <c r="C339" s="1"/>
      <c r="D339" t="s">
        <v>281</v>
      </c>
      <c r="E339" t="s">
        <v>1475</v>
      </c>
      <c r="F339" t="b">
        <v>1</v>
      </c>
      <c r="I339">
        <v>1</v>
      </c>
      <c r="J339" t="s">
        <v>676</v>
      </c>
      <c r="K339" t="s">
        <v>676</v>
      </c>
      <c r="L339" t="s">
        <v>676</v>
      </c>
      <c r="O339" t="b">
        <v>1</v>
      </c>
      <c r="Y339" t="e">
        <f>Table1[[#This Row],[qPer board]]*Table1[[#This Row],[boards]]</f>
        <v>#N/A</v>
      </c>
      <c r="AA339" t="e">
        <f>VLOOKUP(Table1[[#This Row],[MA_Number]], 'rhd batch30'!$A$1:$B$64,2,FALSE)</f>
        <v>#N/A</v>
      </c>
      <c r="AB339">
        <v>17</v>
      </c>
    </row>
    <row r="340" spans="1:28" x14ac:dyDescent="0.3">
      <c r="B340" s="1" t="s">
        <v>1047</v>
      </c>
      <c r="C340" s="1"/>
      <c r="E340" t="s">
        <v>1476</v>
      </c>
      <c r="G340" t="s">
        <v>429</v>
      </c>
      <c r="H340" t="s">
        <v>1477</v>
      </c>
      <c r="I340">
        <v>1</v>
      </c>
      <c r="J340">
        <v>50</v>
      </c>
      <c r="K340">
        <v>39</v>
      </c>
      <c r="L340">
        <v>47</v>
      </c>
      <c r="M340" t="s">
        <v>48</v>
      </c>
      <c r="N340" t="s">
        <v>24</v>
      </c>
      <c r="O340" t="b">
        <v>1</v>
      </c>
      <c r="Y340" t="e">
        <f>Table1[[#This Row],[qPer board]]*Table1[[#This Row],[boards]]</f>
        <v>#N/A</v>
      </c>
      <c r="AA340" t="e">
        <f>VLOOKUP(Table1[[#This Row],[MA_Number]], 'rhd batch30'!$A$1:$B$64,2,FALSE)</f>
        <v>#N/A</v>
      </c>
      <c r="AB340">
        <v>17</v>
      </c>
    </row>
    <row r="341" spans="1:28" x14ac:dyDescent="0.3">
      <c r="B341" s="1" t="s">
        <v>1047</v>
      </c>
      <c r="C341" s="1"/>
      <c r="E341" t="s">
        <v>1449</v>
      </c>
      <c r="G341" t="s">
        <v>429</v>
      </c>
      <c r="H341" t="s">
        <v>1478</v>
      </c>
      <c r="I341">
        <v>1</v>
      </c>
      <c r="J341">
        <v>50</v>
      </c>
      <c r="K341">
        <v>39</v>
      </c>
      <c r="L341">
        <v>30</v>
      </c>
      <c r="M341" t="s">
        <v>48</v>
      </c>
      <c r="N341" t="s">
        <v>24</v>
      </c>
      <c r="O341" t="b">
        <v>1</v>
      </c>
      <c r="Y341" t="e">
        <f>Table1[[#This Row],[qPer board]]*Table1[[#This Row],[boards]]</f>
        <v>#N/A</v>
      </c>
      <c r="AA341" t="e">
        <f>VLOOKUP(Table1[[#This Row],[MA_Number]], 'rhd batch30'!$A$1:$B$64,2,FALSE)</f>
        <v>#N/A</v>
      </c>
      <c r="AB341">
        <v>17</v>
      </c>
    </row>
    <row r="342" spans="1:28" x14ac:dyDescent="0.3">
      <c r="B342" s="1" t="s">
        <v>1047</v>
      </c>
      <c r="C342" s="1"/>
      <c r="E342" t="s">
        <v>1451</v>
      </c>
      <c r="G342" t="s">
        <v>429</v>
      </c>
      <c r="H342" t="s">
        <v>1479</v>
      </c>
      <c r="I342">
        <v>1</v>
      </c>
      <c r="J342">
        <v>50</v>
      </c>
      <c r="K342">
        <v>39</v>
      </c>
      <c r="L342">
        <v>21</v>
      </c>
      <c r="M342" t="s">
        <v>48</v>
      </c>
      <c r="N342" t="s">
        <v>24</v>
      </c>
      <c r="O342" t="b">
        <v>1</v>
      </c>
      <c r="Y342" t="e">
        <f>Table1[[#This Row],[qPer board]]*Table1[[#This Row],[boards]]</f>
        <v>#N/A</v>
      </c>
      <c r="AA342" t="e">
        <f>VLOOKUP(Table1[[#This Row],[MA_Number]], 'rhd batch30'!$A$1:$B$64,2,FALSE)</f>
        <v>#N/A</v>
      </c>
      <c r="AB342">
        <v>17</v>
      </c>
    </row>
    <row r="343" spans="1:28" x14ac:dyDescent="0.3">
      <c r="A343" t="s">
        <v>459</v>
      </c>
      <c r="B343" s="1" t="s">
        <v>1480</v>
      </c>
      <c r="C343" s="1"/>
      <c r="D343" t="s">
        <v>281</v>
      </c>
      <c r="E343" t="s">
        <v>1481</v>
      </c>
      <c r="F343" t="b">
        <v>1</v>
      </c>
      <c r="I343">
        <v>1</v>
      </c>
      <c r="J343" t="s">
        <v>676</v>
      </c>
      <c r="K343" t="s">
        <v>676</v>
      </c>
      <c r="L343" t="s">
        <v>676</v>
      </c>
      <c r="O343" t="b">
        <v>1</v>
      </c>
      <c r="Y343" t="e">
        <f>Table1[[#This Row],[qPer board]]*Table1[[#This Row],[boards]]</f>
        <v>#N/A</v>
      </c>
      <c r="AA343" t="e">
        <f>VLOOKUP(Table1[[#This Row],[MA_Number]], 'rhd batch30'!$A$1:$B$64,2,FALSE)</f>
        <v>#N/A</v>
      </c>
      <c r="AB343">
        <v>17</v>
      </c>
    </row>
    <row r="344" spans="1:28" x14ac:dyDescent="0.3">
      <c r="B344" s="1" t="s">
        <v>1480</v>
      </c>
      <c r="C344" s="1"/>
      <c r="E344" t="s">
        <v>1482</v>
      </c>
      <c r="G344" t="s">
        <v>459</v>
      </c>
      <c r="H344" t="s">
        <v>1483</v>
      </c>
      <c r="I344">
        <v>1</v>
      </c>
      <c r="J344">
        <v>50</v>
      </c>
      <c r="K344">
        <v>39</v>
      </c>
      <c r="L344">
        <v>50</v>
      </c>
      <c r="M344" t="s">
        <v>49</v>
      </c>
      <c r="N344" t="s">
        <v>24</v>
      </c>
      <c r="O344" t="b">
        <v>1</v>
      </c>
      <c r="Y344" t="e">
        <f>Table1[[#This Row],[qPer board]]*Table1[[#This Row],[boards]]</f>
        <v>#N/A</v>
      </c>
      <c r="AA344" t="e">
        <f>VLOOKUP(Table1[[#This Row],[MA_Number]], 'rhd batch30'!$A$1:$B$64,2,FALSE)</f>
        <v>#N/A</v>
      </c>
      <c r="AB344">
        <v>17</v>
      </c>
    </row>
    <row r="345" spans="1:28" x14ac:dyDescent="0.3">
      <c r="B345" s="1" t="s">
        <v>1480</v>
      </c>
      <c r="C345" s="1"/>
      <c r="E345" t="s">
        <v>1449</v>
      </c>
      <c r="G345" t="s">
        <v>459</v>
      </c>
      <c r="H345" t="s">
        <v>1484</v>
      </c>
      <c r="I345">
        <v>1</v>
      </c>
      <c r="J345">
        <v>50</v>
      </c>
      <c r="K345">
        <v>39</v>
      </c>
      <c r="L345">
        <v>30</v>
      </c>
      <c r="M345" t="s">
        <v>49</v>
      </c>
      <c r="N345" t="s">
        <v>24</v>
      </c>
      <c r="O345" t="b">
        <v>1</v>
      </c>
      <c r="Y345" t="e">
        <f>Table1[[#This Row],[qPer board]]*Table1[[#This Row],[boards]]</f>
        <v>#N/A</v>
      </c>
      <c r="AA345" t="e">
        <f>VLOOKUP(Table1[[#This Row],[MA_Number]], 'rhd batch30'!$A$1:$B$64,2,FALSE)</f>
        <v>#N/A</v>
      </c>
      <c r="AB345">
        <v>17</v>
      </c>
    </row>
    <row r="346" spans="1:28" x14ac:dyDescent="0.3">
      <c r="B346" s="1" t="s">
        <v>1480</v>
      </c>
      <c r="C346" s="1"/>
      <c r="E346" t="s">
        <v>1485</v>
      </c>
      <c r="G346" t="s">
        <v>459</v>
      </c>
      <c r="H346" t="s">
        <v>1486</v>
      </c>
      <c r="I346">
        <v>1</v>
      </c>
      <c r="J346">
        <v>50</v>
      </c>
      <c r="K346">
        <v>39</v>
      </c>
      <c r="L346">
        <v>20</v>
      </c>
      <c r="M346" t="s">
        <v>49</v>
      </c>
      <c r="N346" t="s">
        <v>24</v>
      </c>
      <c r="O346" t="b">
        <v>1</v>
      </c>
      <c r="Y346" t="e">
        <f>Table1[[#This Row],[qPer board]]*Table1[[#This Row],[boards]]</f>
        <v>#N/A</v>
      </c>
      <c r="AA346" t="e">
        <f>VLOOKUP(Table1[[#This Row],[MA_Number]], 'rhd batch30'!$A$1:$B$64,2,FALSE)</f>
        <v>#N/A</v>
      </c>
      <c r="AB346">
        <v>17</v>
      </c>
    </row>
    <row r="347" spans="1:28" x14ac:dyDescent="0.3">
      <c r="A347" t="s">
        <v>1030</v>
      </c>
      <c r="B347" s="1">
        <v>7147878930</v>
      </c>
      <c r="C347" s="1"/>
      <c r="D347" t="s">
        <v>1206</v>
      </c>
      <c r="F347" t="b">
        <v>1</v>
      </c>
      <c r="I347">
        <v>1</v>
      </c>
      <c r="J347" t="s">
        <v>676</v>
      </c>
      <c r="K347" t="s">
        <v>676</v>
      </c>
      <c r="L347" t="s">
        <v>676</v>
      </c>
      <c r="O347" t="b">
        <v>1</v>
      </c>
      <c r="Y347" t="e">
        <f>Table1[[#This Row],[qPer board]]*Table1[[#This Row],[boards]]</f>
        <v>#N/A</v>
      </c>
      <c r="AA347" t="e">
        <f>VLOOKUP(Table1[[#This Row],[MA_Number]], 'rhd batch30'!$A$1:$B$64,2,FALSE)</f>
        <v>#N/A</v>
      </c>
      <c r="AB347">
        <v>17</v>
      </c>
    </row>
    <row r="348" spans="1:28" x14ac:dyDescent="0.3">
      <c r="B348" s="1">
        <v>7147878930</v>
      </c>
      <c r="C348" s="1"/>
      <c r="E348" t="s">
        <v>1487</v>
      </c>
      <c r="G348" t="s">
        <v>1030</v>
      </c>
      <c r="H348" t="s">
        <v>1488</v>
      </c>
      <c r="I348">
        <v>1</v>
      </c>
      <c r="J348">
        <v>28</v>
      </c>
      <c r="K348">
        <v>24</v>
      </c>
      <c r="L348">
        <v>29</v>
      </c>
      <c r="N348" t="s">
        <v>40</v>
      </c>
      <c r="O348" t="b">
        <v>1</v>
      </c>
      <c r="Y348" t="e">
        <f>Table1[[#This Row],[qPer board]]*Table1[[#This Row],[boards]]</f>
        <v>#N/A</v>
      </c>
      <c r="AA348" t="e">
        <f>VLOOKUP(Table1[[#This Row],[MA_Number]], 'rhd batch30'!$A$1:$B$64,2,FALSE)</f>
        <v>#N/A</v>
      </c>
      <c r="AB348">
        <v>17</v>
      </c>
    </row>
    <row r="349" spans="1:28" x14ac:dyDescent="0.3">
      <c r="B349" s="1">
        <v>7147878930</v>
      </c>
      <c r="C349" s="1"/>
      <c r="E349" t="s">
        <v>1489</v>
      </c>
      <c r="G349" t="s">
        <v>1030</v>
      </c>
      <c r="H349" t="s">
        <v>1490</v>
      </c>
      <c r="I349">
        <v>1</v>
      </c>
      <c r="J349">
        <v>48</v>
      </c>
      <c r="K349">
        <v>22</v>
      </c>
      <c r="L349">
        <v>44</v>
      </c>
      <c r="M349" t="s">
        <v>49</v>
      </c>
      <c r="N349" t="s">
        <v>24</v>
      </c>
      <c r="O349" t="b">
        <v>1</v>
      </c>
      <c r="Y349" t="e">
        <f>Table1[[#This Row],[qPer board]]*Table1[[#This Row],[boards]]</f>
        <v>#N/A</v>
      </c>
      <c r="AA349" t="e">
        <f>VLOOKUP(Table1[[#This Row],[MA_Number]], 'rhd batch30'!$A$1:$B$64,2,FALSE)</f>
        <v>#N/A</v>
      </c>
      <c r="AB349">
        <v>17</v>
      </c>
    </row>
    <row r="350" spans="1:28" x14ac:dyDescent="0.3">
      <c r="B350" s="1">
        <v>7147878930</v>
      </c>
      <c r="C350" s="1"/>
      <c r="E350" t="s">
        <v>1491</v>
      </c>
      <c r="G350" t="s">
        <v>1030</v>
      </c>
      <c r="H350" t="s">
        <v>1492</v>
      </c>
      <c r="I350">
        <v>1</v>
      </c>
      <c r="J350">
        <v>79</v>
      </c>
      <c r="K350">
        <v>30</v>
      </c>
      <c r="L350">
        <v>35</v>
      </c>
      <c r="M350" t="s">
        <v>49</v>
      </c>
      <c r="N350" t="s">
        <v>24</v>
      </c>
      <c r="O350" t="b">
        <v>1</v>
      </c>
      <c r="Y350" t="e">
        <f>Table1[[#This Row],[qPer board]]*Table1[[#This Row],[boards]]</f>
        <v>#N/A</v>
      </c>
      <c r="AA350" t="e">
        <f>VLOOKUP(Table1[[#This Row],[MA_Number]], 'rhd batch30'!$A$1:$B$64,2,FALSE)</f>
        <v>#N/A</v>
      </c>
      <c r="AB350">
        <v>17</v>
      </c>
    </row>
    <row r="351" spans="1:28" x14ac:dyDescent="0.3">
      <c r="A351" t="s">
        <v>1215</v>
      </c>
      <c r="B351" s="1">
        <v>7147882430</v>
      </c>
      <c r="C351" s="1"/>
      <c r="D351" t="s">
        <v>1206</v>
      </c>
      <c r="E351" t="s">
        <v>1219</v>
      </c>
      <c r="F351" t="b">
        <v>1</v>
      </c>
      <c r="I351">
        <v>1</v>
      </c>
      <c r="J351" t="s">
        <v>676</v>
      </c>
      <c r="K351" t="s">
        <v>676</v>
      </c>
      <c r="L351" t="s">
        <v>676</v>
      </c>
      <c r="Y351" t="e">
        <f>Table1[[#This Row],[qPer board]]*Table1[[#This Row],[boards]]</f>
        <v>#N/A</v>
      </c>
      <c r="AA351" t="e">
        <f>VLOOKUP(Table1[[#This Row],[MA_Number]], 'rhd batch30'!$A$1:$B$64,2,FALSE)</f>
        <v>#N/A</v>
      </c>
      <c r="AB351">
        <v>17</v>
      </c>
    </row>
    <row r="352" spans="1:28" x14ac:dyDescent="0.3">
      <c r="B352" s="1">
        <v>7147882430</v>
      </c>
      <c r="C352" s="1"/>
      <c r="G352" t="s">
        <v>1215</v>
      </c>
      <c r="H352" t="s">
        <v>1216</v>
      </c>
      <c r="I352">
        <v>1</v>
      </c>
      <c r="Y352" t="e">
        <f>Table1[[#This Row],[qPer board]]*Table1[[#This Row],[boards]]</f>
        <v>#N/A</v>
      </c>
      <c r="AA352" t="e">
        <f>VLOOKUP(Table1[[#This Row],[MA_Number]], 'rhd batch30'!$A$1:$B$64,2,FALSE)</f>
        <v>#N/A</v>
      </c>
      <c r="AB352">
        <v>17</v>
      </c>
    </row>
    <row r="353" spans="1:28" x14ac:dyDescent="0.3">
      <c r="A353" t="s">
        <v>730</v>
      </c>
      <c r="B353" s="1" t="s">
        <v>1493</v>
      </c>
      <c r="C353" s="1"/>
      <c r="D353" t="s">
        <v>281</v>
      </c>
      <c r="E353" t="s">
        <v>1494</v>
      </c>
      <c r="F353" t="b">
        <v>1</v>
      </c>
      <c r="I353">
        <v>1</v>
      </c>
      <c r="J353" t="s">
        <v>676</v>
      </c>
      <c r="K353" t="s">
        <v>676</v>
      </c>
      <c r="L353" t="s">
        <v>676</v>
      </c>
      <c r="O353" t="b">
        <v>1</v>
      </c>
      <c r="Y353" t="e">
        <f>Table1[[#This Row],[qPer board]]*Table1[[#This Row],[boards]]</f>
        <v>#N/A</v>
      </c>
      <c r="AA353" t="e">
        <f>VLOOKUP(Table1[[#This Row],[MA_Number]], 'rhd batch30'!$A$1:$B$64,2,FALSE)</f>
        <v>#N/A</v>
      </c>
      <c r="AB353">
        <v>17</v>
      </c>
    </row>
    <row r="354" spans="1:28" x14ac:dyDescent="0.3">
      <c r="B354" s="1" t="s">
        <v>1493</v>
      </c>
      <c r="C354" s="1"/>
      <c r="E354" t="s">
        <v>1495</v>
      </c>
      <c r="G354" t="s">
        <v>730</v>
      </c>
      <c r="H354" t="s">
        <v>1496</v>
      </c>
      <c r="I354">
        <v>1</v>
      </c>
      <c r="J354">
        <v>53</v>
      </c>
      <c r="K354">
        <v>45</v>
      </c>
      <c r="L354">
        <v>43</v>
      </c>
      <c r="M354" t="s">
        <v>48</v>
      </c>
      <c r="N354" t="s">
        <v>24</v>
      </c>
      <c r="O354" t="b">
        <v>1</v>
      </c>
      <c r="Y354" t="e">
        <f>Table1[[#This Row],[qPer board]]*Table1[[#This Row],[boards]]</f>
        <v>#N/A</v>
      </c>
      <c r="AA354" t="e">
        <f>VLOOKUP(Table1[[#This Row],[MA_Number]], 'rhd batch30'!$A$1:$B$64,2,FALSE)</f>
        <v>#N/A</v>
      </c>
      <c r="AB354">
        <v>17</v>
      </c>
    </row>
    <row r="355" spans="1:28" x14ac:dyDescent="0.3">
      <c r="B355" s="1" t="s">
        <v>1493</v>
      </c>
      <c r="C355" s="1"/>
      <c r="E355" t="s">
        <v>1497</v>
      </c>
      <c r="G355" t="s">
        <v>730</v>
      </c>
      <c r="H355" t="s">
        <v>1498</v>
      </c>
      <c r="I355">
        <v>1</v>
      </c>
      <c r="J355">
        <v>53</v>
      </c>
      <c r="K355">
        <v>45</v>
      </c>
      <c r="L355">
        <v>30</v>
      </c>
      <c r="M355" t="s">
        <v>48</v>
      </c>
      <c r="N355" t="s">
        <v>24</v>
      </c>
      <c r="O355" t="b">
        <v>1</v>
      </c>
      <c r="Y355" t="e">
        <f>Table1[[#This Row],[qPer board]]*Table1[[#This Row],[boards]]</f>
        <v>#N/A</v>
      </c>
      <c r="AA355" t="e">
        <f>VLOOKUP(Table1[[#This Row],[MA_Number]], 'rhd batch30'!$A$1:$B$64,2,FALSE)</f>
        <v>#N/A</v>
      </c>
      <c r="AB355">
        <v>17</v>
      </c>
    </row>
    <row r="356" spans="1:28" x14ac:dyDescent="0.3">
      <c r="B356" s="1" t="s">
        <v>1493</v>
      </c>
      <c r="C356" s="1"/>
      <c r="E356" t="s">
        <v>1499</v>
      </c>
      <c r="G356" t="s">
        <v>730</v>
      </c>
      <c r="H356" t="s">
        <v>1500</v>
      </c>
      <c r="I356">
        <v>1</v>
      </c>
      <c r="J356">
        <v>53</v>
      </c>
      <c r="K356">
        <v>45</v>
      </c>
      <c r="L356">
        <v>20</v>
      </c>
      <c r="M356" t="s">
        <v>48</v>
      </c>
      <c r="N356" t="s">
        <v>24</v>
      </c>
      <c r="O356" t="b">
        <v>1</v>
      </c>
      <c r="Y356" t="e">
        <f>Table1[[#This Row],[qPer board]]*Table1[[#This Row],[boards]]</f>
        <v>#N/A</v>
      </c>
      <c r="AA356" t="e">
        <f>VLOOKUP(Table1[[#This Row],[MA_Number]], 'rhd batch30'!$A$1:$B$64,2,FALSE)</f>
        <v>#N/A</v>
      </c>
      <c r="AB356">
        <v>17</v>
      </c>
    </row>
    <row r="357" spans="1:28" x14ac:dyDescent="0.3">
      <c r="A357" t="s">
        <v>438</v>
      </c>
      <c r="B357" s="1" t="s">
        <v>1501</v>
      </c>
      <c r="C357" s="1"/>
      <c r="D357" t="s">
        <v>281</v>
      </c>
      <c r="E357" t="s">
        <v>1502</v>
      </c>
      <c r="F357" t="b">
        <v>1</v>
      </c>
      <c r="I357">
        <v>1</v>
      </c>
      <c r="J357" t="s">
        <v>676</v>
      </c>
      <c r="K357" t="s">
        <v>676</v>
      </c>
      <c r="L357" t="s">
        <v>676</v>
      </c>
      <c r="O357" t="b">
        <v>1</v>
      </c>
      <c r="Y357" t="e">
        <f>Table1[[#This Row],[qPer board]]*Table1[[#This Row],[boards]]</f>
        <v>#N/A</v>
      </c>
      <c r="AA357" t="e">
        <f>VLOOKUP(Table1[[#This Row],[MA_Number]], 'rhd batch30'!$A$1:$B$64,2,FALSE)</f>
        <v>#N/A</v>
      </c>
      <c r="AB357">
        <v>17</v>
      </c>
    </row>
    <row r="358" spans="1:28" x14ac:dyDescent="0.3">
      <c r="B358" s="1" t="s">
        <v>1501</v>
      </c>
      <c r="C358" s="1"/>
      <c r="E358" t="s">
        <v>1503</v>
      </c>
      <c r="G358" t="s">
        <v>438</v>
      </c>
      <c r="H358" t="s">
        <v>1504</v>
      </c>
      <c r="I358">
        <v>1</v>
      </c>
      <c r="J358">
        <v>59</v>
      </c>
      <c r="K358">
        <v>39</v>
      </c>
      <c r="L358">
        <v>58</v>
      </c>
      <c r="M358" t="s">
        <v>48</v>
      </c>
      <c r="N358" t="s">
        <v>24</v>
      </c>
      <c r="O358" t="b">
        <v>1</v>
      </c>
      <c r="Y358" t="e">
        <f>Table1[[#This Row],[qPer board]]*Table1[[#This Row],[boards]]</f>
        <v>#N/A</v>
      </c>
      <c r="AA358" t="e">
        <f>VLOOKUP(Table1[[#This Row],[MA_Number]], 'rhd batch30'!$A$1:$B$64,2,FALSE)</f>
        <v>#N/A</v>
      </c>
      <c r="AB358">
        <v>17</v>
      </c>
    </row>
    <row r="359" spans="1:28" x14ac:dyDescent="0.3">
      <c r="B359" s="1" t="s">
        <v>1501</v>
      </c>
      <c r="C359" s="1"/>
      <c r="E359" t="s">
        <v>1505</v>
      </c>
      <c r="G359" t="s">
        <v>438</v>
      </c>
      <c r="H359" t="s">
        <v>1506</v>
      </c>
      <c r="I359">
        <v>1</v>
      </c>
      <c r="J359">
        <v>59</v>
      </c>
      <c r="K359">
        <v>39</v>
      </c>
      <c r="L359">
        <v>30</v>
      </c>
      <c r="M359" t="s">
        <v>48</v>
      </c>
      <c r="N359" t="s">
        <v>24</v>
      </c>
      <c r="O359" t="b">
        <v>1</v>
      </c>
      <c r="Y359" t="e">
        <f>Table1[[#This Row],[qPer board]]*Table1[[#This Row],[boards]]</f>
        <v>#N/A</v>
      </c>
      <c r="AA359" t="e">
        <f>VLOOKUP(Table1[[#This Row],[MA_Number]], 'rhd batch30'!$A$1:$B$64,2,FALSE)</f>
        <v>#N/A</v>
      </c>
      <c r="AB359">
        <v>17</v>
      </c>
    </row>
    <row r="360" spans="1:28" x14ac:dyDescent="0.3">
      <c r="B360" s="1" t="s">
        <v>1501</v>
      </c>
      <c r="C360" s="1"/>
      <c r="E360" t="s">
        <v>1507</v>
      </c>
      <c r="G360" t="s">
        <v>438</v>
      </c>
      <c r="H360" t="s">
        <v>1508</v>
      </c>
      <c r="I360">
        <v>1</v>
      </c>
      <c r="J360">
        <v>59</v>
      </c>
      <c r="K360">
        <v>39</v>
      </c>
      <c r="L360">
        <v>21</v>
      </c>
      <c r="M360" t="s">
        <v>48</v>
      </c>
      <c r="N360" t="s">
        <v>24</v>
      </c>
      <c r="O360" t="b">
        <v>1</v>
      </c>
      <c r="Y360" t="e">
        <f>Table1[[#This Row],[qPer board]]*Table1[[#This Row],[boards]]</f>
        <v>#N/A</v>
      </c>
      <c r="AA360" t="e">
        <f>VLOOKUP(Table1[[#This Row],[MA_Number]], 'rhd batch30'!$A$1:$B$64,2,FALSE)</f>
        <v>#N/A</v>
      </c>
      <c r="AB360">
        <v>17</v>
      </c>
    </row>
    <row r="361" spans="1:28" x14ac:dyDescent="0.3">
      <c r="B361" s="1" t="s">
        <v>1501</v>
      </c>
      <c r="C361" s="1"/>
      <c r="E361" t="s">
        <v>1509</v>
      </c>
      <c r="G361" t="s">
        <v>438</v>
      </c>
      <c r="H361" t="s">
        <v>1510</v>
      </c>
      <c r="I361">
        <v>1</v>
      </c>
      <c r="J361">
        <v>34</v>
      </c>
      <c r="K361">
        <v>21</v>
      </c>
      <c r="L361">
        <v>25</v>
      </c>
      <c r="M361" t="s">
        <v>48</v>
      </c>
      <c r="N361" t="s">
        <v>24</v>
      </c>
      <c r="O361" t="b">
        <v>1</v>
      </c>
      <c r="Y361" t="e">
        <f>Table1[[#This Row],[qPer board]]*Table1[[#This Row],[boards]]</f>
        <v>#N/A</v>
      </c>
      <c r="AA361" t="e">
        <f>VLOOKUP(Table1[[#This Row],[MA_Number]], 'rhd batch30'!$A$1:$B$64,2,FALSE)</f>
        <v>#N/A</v>
      </c>
      <c r="AB361">
        <v>17</v>
      </c>
    </row>
    <row r="362" spans="1:28" x14ac:dyDescent="0.3">
      <c r="A362" t="s">
        <v>1511</v>
      </c>
      <c r="B362" s="1" t="s">
        <v>1512</v>
      </c>
      <c r="C362" s="1"/>
      <c r="D362" t="s">
        <v>281</v>
      </c>
      <c r="F362" t="b">
        <v>1</v>
      </c>
      <c r="I362">
        <v>1</v>
      </c>
      <c r="J362" t="s">
        <v>676</v>
      </c>
      <c r="K362" t="s">
        <v>676</v>
      </c>
      <c r="L362" t="s">
        <v>676</v>
      </c>
      <c r="O362" t="b">
        <v>1</v>
      </c>
      <c r="Y362" t="e">
        <f>Table1[[#This Row],[qPer board]]*Table1[[#This Row],[boards]]</f>
        <v>#N/A</v>
      </c>
      <c r="AA362" t="e">
        <f>VLOOKUP(Table1[[#This Row],[MA_Number]], 'rhd batch30'!$A$1:$B$64,2,FALSE)</f>
        <v>#N/A</v>
      </c>
      <c r="AB362">
        <v>17</v>
      </c>
    </row>
    <row r="363" spans="1:28" x14ac:dyDescent="0.3">
      <c r="B363" s="1" t="s">
        <v>1512</v>
      </c>
      <c r="C363" s="1"/>
      <c r="E363" t="s">
        <v>1513</v>
      </c>
      <c r="G363" t="s">
        <v>1511</v>
      </c>
      <c r="H363" t="s">
        <v>1514</v>
      </c>
      <c r="I363">
        <v>1</v>
      </c>
      <c r="J363">
        <v>58</v>
      </c>
      <c r="K363">
        <v>35</v>
      </c>
      <c r="L363">
        <v>47</v>
      </c>
      <c r="M363" t="s">
        <v>48</v>
      </c>
      <c r="N363" t="s">
        <v>24</v>
      </c>
      <c r="O363" t="b">
        <v>1</v>
      </c>
      <c r="Y363" t="e">
        <f>Table1[[#This Row],[qPer board]]*Table1[[#This Row],[boards]]</f>
        <v>#N/A</v>
      </c>
      <c r="AA363" t="e">
        <f>VLOOKUP(Table1[[#This Row],[MA_Number]], 'rhd batch30'!$A$1:$B$64,2,FALSE)</f>
        <v>#N/A</v>
      </c>
      <c r="AB363">
        <v>17</v>
      </c>
    </row>
    <row r="364" spans="1:28" x14ac:dyDescent="0.3">
      <c r="B364" s="1" t="s">
        <v>1512</v>
      </c>
      <c r="C364" s="1"/>
      <c r="E364" t="s">
        <v>1515</v>
      </c>
      <c r="G364" t="s">
        <v>1511</v>
      </c>
      <c r="H364" t="s">
        <v>1516</v>
      </c>
      <c r="I364">
        <v>1</v>
      </c>
      <c r="J364">
        <v>58</v>
      </c>
      <c r="K364">
        <v>35</v>
      </c>
      <c r="L364">
        <v>30</v>
      </c>
      <c r="M364" t="s">
        <v>48</v>
      </c>
      <c r="N364" t="s">
        <v>24</v>
      </c>
      <c r="O364" t="b">
        <v>1</v>
      </c>
      <c r="Y364" t="e">
        <f>Table1[[#This Row],[qPer board]]*Table1[[#This Row],[boards]]</f>
        <v>#N/A</v>
      </c>
      <c r="AA364" t="e">
        <f>VLOOKUP(Table1[[#This Row],[MA_Number]], 'rhd batch30'!$A$1:$B$64,2,FALSE)</f>
        <v>#N/A</v>
      </c>
      <c r="AB364">
        <v>17</v>
      </c>
    </row>
    <row r="365" spans="1:28" x14ac:dyDescent="0.3">
      <c r="B365" s="1" t="s">
        <v>1512</v>
      </c>
      <c r="C365" s="1"/>
      <c r="E365" t="s">
        <v>1517</v>
      </c>
      <c r="G365" t="s">
        <v>1511</v>
      </c>
      <c r="H365" t="s">
        <v>1518</v>
      </c>
      <c r="I365">
        <v>1</v>
      </c>
      <c r="J365">
        <v>58</v>
      </c>
      <c r="K365">
        <v>35</v>
      </c>
      <c r="L365">
        <v>20</v>
      </c>
      <c r="M365" t="s">
        <v>48</v>
      </c>
      <c r="N365" t="s">
        <v>24</v>
      </c>
      <c r="O365" t="b">
        <v>1</v>
      </c>
      <c r="Y365" t="e">
        <f>Table1[[#This Row],[qPer board]]*Table1[[#This Row],[boards]]</f>
        <v>#N/A</v>
      </c>
      <c r="AA365" t="e">
        <f>VLOOKUP(Table1[[#This Row],[MA_Number]], 'rhd batch30'!$A$1:$B$64,2,FALSE)</f>
        <v>#N/A</v>
      </c>
      <c r="AB365">
        <v>17</v>
      </c>
    </row>
    <row r="366" spans="1:28" x14ac:dyDescent="0.3">
      <c r="A366" t="s">
        <v>467</v>
      </c>
      <c r="B366" s="1" t="s">
        <v>1077</v>
      </c>
      <c r="C366" s="1"/>
      <c r="D366" t="s">
        <v>281</v>
      </c>
      <c r="E366" t="s">
        <v>1519</v>
      </c>
      <c r="F366" t="b">
        <v>1</v>
      </c>
      <c r="I366">
        <v>1</v>
      </c>
      <c r="J366" t="s">
        <v>676</v>
      </c>
      <c r="K366" t="s">
        <v>676</v>
      </c>
      <c r="L366" t="s">
        <v>676</v>
      </c>
      <c r="O366" t="b">
        <v>1</v>
      </c>
      <c r="Y366" t="e">
        <f>Table1[[#This Row],[qPer board]]*Table1[[#This Row],[boards]]</f>
        <v>#N/A</v>
      </c>
      <c r="AA366" t="e">
        <f>VLOOKUP(Table1[[#This Row],[MA_Number]], 'rhd batch30'!$A$1:$B$64,2,FALSE)</f>
        <v>#N/A</v>
      </c>
      <c r="AB366">
        <v>17</v>
      </c>
    </row>
    <row r="367" spans="1:28" x14ac:dyDescent="0.3">
      <c r="B367" s="1" t="s">
        <v>1077</v>
      </c>
      <c r="C367" s="1"/>
      <c r="E367" t="s">
        <v>1520</v>
      </c>
      <c r="G367" t="s">
        <v>467</v>
      </c>
      <c r="H367" t="s">
        <v>1521</v>
      </c>
      <c r="I367">
        <v>1</v>
      </c>
      <c r="J367">
        <v>54</v>
      </c>
      <c r="K367">
        <v>39</v>
      </c>
      <c r="L367">
        <v>42</v>
      </c>
      <c r="M367" t="s">
        <v>50</v>
      </c>
      <c r="N367" t="s">
        <v>24</v>
      </c>
      <c r="O367" t="b">
        <v>1</v>
      </c>
      <c r="Y367" t="e">
        <f>Table1[[#This Row],[qPer board]]*Table1[[#This Row],[boards]]</f>
        <v>#N/A</v>
      </c>
      <c r="AA367" t="e">
        <f>VLOOKUP(Table1[[#This Row],[MA_Number]], 'rhd batch30'!$A$1:$B$64,2,FALSE)</f>
        <v>#N/A</v>
      </c>
      <c r="AB367">
        <v>17</v>
      </c>
    </row>
    <row r="368" spans="1:28" x14ac:dyDescent="0.3">
      <c r="B368" s="1" t="s">
        <v>1077</v>
      </c>
      <c r="C368" s="1"/>
      <c r="E368" t="s">
        <v>1522</v>
      </c>
      <c r="G368" t="s">
        <v>467</v>
      </c>
      <c r="H368" t="s">
        <v>1523</v>
      </c>
      <c r="I368">
        <v>1</v>
      </c>
      <c r="J368">
        <v>54</v>
      </c>
      <c r="K368">
        <v>39</v>
      </c>
      <c r="L368">
        <v>30</v>
      </c>
      <c r="M368" t="s">
        <v>50</v>
      </c>
      <c r="N368" t="s">
        <v>24</v>
      </c>
      <c r="O368" t="b">
        <v>1</v>
      </c>
      <c r="Y368" t="e">
        <f>Table1[[#This Row],[qPer board]]*Table1[[#This Row],[boards]]</f>
        <v>#N/A</v>
      </c>
      <c r="AA368" t="e">
        <f>VLOOKUP(Table1[[#This Row],[MA_Number]], 'rhd batch30'!$A$1:$B$64,2,FALSE)</f>
        <v>#N/A</v>
      </c>
      <c r="AB368">
        <v>17</v>
      </c>
    </row>
    <row r="369" spans="1:28" x14ac:dyDescent="0.3">
      <c r="B369" s="1" t="s">
        <v>1077</v>
      </c>
      <c r="C369" s="1"/>
      <c r="E369" t="s">
        <v>1524</v>
      </c>
      <c r="G369" t="s">
        <v>467</v>
      </c>
      <c r="H369" t="s">
        <v>1525</v>
      </c>
      <c r="I369">
        <v>1</v>
      </c>
      <c r="J369">
        <v>54</v>
      </c>
      <c r="K369">
        <v>39</v>
      </c>
      <c r="L369">
        <v>20</v>
      </c>
      <c r="M369" t="s">
        <v>50</v>
      </c>
      <c r="N369" t="s">
        <v>24</v>
      </c>
      <c r="O369" t="b">
        <v>1</v>
      </c>
      <c r="Y369" t="e">
        <f>Table1[[#This Row],[qPer board]]*Table1[[#This Row],[boards]]</f>
        <v>#N/A</v>
      </c>
      <c r="AA369" t="e">
        <f>VLOOKUP(Table1[[#This Row],[MA_Number]], 'rhd batch30'!$A$1:$B$64,2,FALSE)</f>
        <v>#N/A</v>
      </c>
      <c r="AB369">
        <v>17</v>
      </c>
    </row>
    <row r="370" spans="1:28" x14ac:dyDescent="0.3">
      <c r="A370" t="s">
        <v>566</v>
      </c>
      <c r="B370" s="1" t="s">
        <v>1526</v>
      </c>
      <c r="C370" s="1"/>
      <c r="D370" t="s">
        <v>281</v>
      </c>
      <c r="E370" t="s">
        <v>1527</v>
      </c>
      <c r="F370" t="b">
        <v>1</v>
      </c>
      <c r="I370">
        <v>1</v>
      </c>
      <c r="J370" t="s">
        <v>676</v>
      </c>
      <c r="K370" t="s">
        <v>676</v>
      </c>
      <c r="L370" t="s">
        <v>676</v>
      </c>
      <c r="O370" t="b">
        <v>1</v>
      </c>
      <c r="Y370" t="e">
        <f>Table1[[#This Row],[qPer board]]*Table1[[#This Row],[boards]]</f>
        <v>#N/A</v>
      </c>
      <c r="AA370" t="e">
        <f>VLOOKUP(Table1[[#This Row],[MA_Number]], 'rhd batch30'!$A$1:$B$64,2,FALSE)</f>
        <v>#N/A</v>
      </c>
      <c r="AB370">
        <v>17</v>
      </c>
    </row>
    <row r="371" spans="1:28" x14ac:dyDescent="0.3">
      <c r="B371" s="1" t="s">
        <v>1526</v>
      </c>
      <c r="C371" s="1"/>
      <c r="E371" t="s">
        <v>1528</v>
      </c>
      <c r="G371" t="s">
        <v>566</v>
      </c>
      <c r="H371" t="s">
        <v>1529</v>
      </c>
      <c r="I371">
        <v>1</v>
      </c>
      <c r="J371">
        <v>50</v>
      </c>
      <c r="K371">
        <v>52</v>
      </c>
      <c r="L371">
        <v>69</v>
      </c>
      <c r="M371" t="s">
        <v>48</v>
      </c>
      <c r="N371" t="s">
        <v>24</v>
      </c>
      <c r="O371" t="b">
        <v>1</v>
      </c>
      <c r="Y371" t="e">
        <f>Table1[[#This Row],[qPer board]]*Table1[[#This Row],[boards]]</f>
        <v>#N/A</v>
      </c>
      <c r="AA371" t="e">
        <f>VLOOKUP(Table1[[#This Row],[MA_Number]], 'rhd batch30'!$A$1:$B$64,2,FALSE)</f>
        <v>#N/A</v>
      </c>
      <c r="AB371">
        <v>17</v>
      </c>
    </row>
    <row r="372" spans="1:28" x14ac:dyDescent="0.3">
      <c r="B372" s="1" t="s">
        <v>1526</v>
      </c>
      <c r="C372" s="1"/>
      <c r="E372" t="s">
        <v>1530</v>
      </c>
      <c r="G372" t="s">
        <v>566</v>
      </c>
      <c r="H372" t="s">
        <v>1531</v>
      </c>
      <c r="I372">
        <v>1</v>
      </c>
      <c r="J372">
        <v>50</v>
      </c>
      <c r="K372">
        <v>52</v>
      </c>
      <c r="L372">
        <v>30</v>
      </c>
      <c r="M372" t="s">
        <v>48</v>
      </c>
      <c r="N372" t="s">
        <v>24</v>
      </c>
      <c r="O372" t="b">
        <v>1</v>
      </c>
      <c r="Y372" t="e">
        <f>Table1[[#This Row],[qPer board]]*Table1[[#This Row],[boards]]</f>
        <v>#N/A</v>
      </c>
      <c r="AA372" t="e">
        <f>VLOOKUP(Table1[[#This Row],[MA_Number]], 'rhd batch30'!$A$1:$B$64,2,FALSE)</f>
        <v>#N/A</v>
      </c>
      <c r="AB372">
        <v>17</v>
      </c>
    </row>
    <row r="373" spans="1:28" x14ac:dyDescent="0.3">
      <c r="B373" s="1" t="s">
        <v>1526</v>
      </c>
      <c r="C373" s="1"/>
      <c r="E373" t="s">
        <v>1532</v>
      </c>
      <c r="G373" t="s">
        <v>566</v>
      </c>
      <c r="H373" t="s">
        <v>1533</v>
      </c>
      <c r="I373">
        <v>1</v>
      </c>
      <c r="J373">
        <v>50</v>
      </c>
      <c r="K373">
        <v>52</v>
      </c>
      <c r="L373">
        <v>20</v>
      </c>
      <c r="M373" t="s">
        <v>48</v>
      </c>
      <c r="N373" t="s">
        <v>24</v>
      </c>
      <c r="O373" t="b">
        <v>1</v>
      </c>
      <c r="Y373" t="e">
        <f>Table1[[#This Row],[qPer board]]*Table1[[#This Row],[boards]]</f>
        <v>#N/A</v>
      </c>
      <c r="AA373" t="e">
        <f>VLOOKUP(Table1[[#This Row],[MA_Number]], 'rhd batch30'!$A$1:$B$64,2,FALSE)</f>
        <v>#N/A</v>
      </c>
      <c r="AB373">
        <v>17</v>
      </c>
    </row>
    <row r="374" spans="1:28" x14ac:dyDescent="0.3">
      <c r="A374" t="s">
        <v>468</v>
      </c>
      <c r="B374" s="1" t="s">
        <v>1076</v>
      </c>
      <c r="C374" s="1"/>
      <c r="D374" t="s">
        <v>281</v>
      </c>
      <c r="E374" t="s">
        <v>1534</v>
      </c>
      <c r="F374" t="b">
        <v>1</v>
      </c>
      <c r="I374">
        <v>1</v>
      </c>
      <c r="J374" t="s">
        <v>676</v>
      </c>
      <c r="K374" t="s">
        <v>676</v>
      </c>
      <c r="L374" t="s">
        <v>676</v>
      </c>
      <c r="O374" t="b">
        <v>1</v>
      </c>
      <c r="Y374" t="e">
        <f>Table1[[#This Row],[qPer board]]*Table1[[#This Row],[boards]]</f>
        <v>#N/A</v>
      </c>
      <c r="AA374" t="e">
        <f>VLOOKUP(Table1[[#This Row],[MA_Number]], 'rhd batch30'!$A$1:$B$64,2,FALSE)</f>
        <v>#N/A</v>
      </c>
      <c r="AB374">
        <v>17</v>
      </c>
    </row>
    <row r="375" spans="1:28" x14ac:dyDescent="0.3">
      <c r="B375" s="1" t="s">
        <v>1076</v>
      </c>
      <c r="C375" s="1"/>
      <c r="E375" t="s">
        <v>1535</v>
      </c>
      <c r="G375" t="s">
        <v>468</v>
      </c>
      <c r="H375" t="s">
        <v>1536</v>
      </c>
      <c r="I375">
        <v>1</v>
      </c>
      <c r="J375">
        <v>52</v>
      </c>
      <c r="K375">
        <v>34</v>
      </c>
      <c r="L375">
        <v>43</v>
      </c>
      <c r="M375" t="s">
        <v>52</v>
      </c>
      <c r="N375" t="s">
        <v>24</v>
      </c>
      <c r="O375" t="b">
        <v>1</v>
      </c>
      <c r="Y375" t="e">
        <f>Table1[[#This Row],[qPer board]]*Table1[[#This Row],[boards]]</f>
        <v>#N/A</v>
      </c>
      <c r="AA375" t="e">
        <f>VLOOKUP(Table1[[#This Row],[MA_Number]], 'rhd batch30'!$A$1:$B$64,2,FALSE)</f>
        <v>#N/A</v>
      </c>
      <c r="AB375">
        <v>17</v>
      </c>
    </row>
    <row r="376" spans="1:28" x14ac:dyDescent="0.3">
      <c r="B376" s="1" t="s">
        <v>1076</v>
      </c>
      <c r="C376" s="1"/>
      <c r="E376" t="s">
        <v>1537</v>
      </c>
      <c r="G376" t="s">
        <v>468</v>
      </c>
      <c r="H376" t="s">
        <v>1538</v>
      </c>
      <c r="I376">
        <v>1</v>
      </c>
      <c r="J376">
        <v>52</v>
      </c>
      <c r="K376">
        <v>34</v>
      </c>
      <c r="L376">
        <v>30</v>
      </c>
      <c r="M376" t="s">
        <v>52</v>
      </c>
      <c r="N376" t="s">
        <v>24</v>
      </c>
      <c r="O376" t="b">
        <v>1</v>
      </c>
      <c r="Y376" t="e">
        <f>Table1[[#This Row],[qPer board]]*Table1[[#This Row],[boards]]</f>
        <v>#N/A</v>
      </c>
      <c r="AA376" t="e">
        <f>VLOOKUP(Table1[[#This Row],[MA_Number]], 'rhd batch30'!$A$1:$B$64,2,FALSE)</f>
        <v>#N/A</v>
      </c>
      <c r="AB376">
        <v>17</v>
      </c>
    </row>
    <row r="377" spans="1:28" x14ac:dyDescent="0.3">
      <c r="B377" s="1" t="s">
        <v>1076</v>
      </c>
      <c r="C377" s="1"/>
      <c r="E377" t="s">
        <v>1539</v>
      </c>
      <c r="G377" t="s">
        <v>468</v>
      </c>
      <c r="H377" t="s">
        <v>1540</v>
      </c>
      <c r="I377">
        <v>1</v>
      </c>
      <c r="J377">
        <v>52</v>
      </c>
      <c r="K377">
        <v>34</v>
      </c>
      <c r="L377">
        <v>20</v>
      </c>
      <c r="M377" t="s">
        <v>52</v>
      </c>
      <c r="N377" t="s">
        <v>24</v>
      </c>
      <c r="O377" t="b">
        <v>1</v>
      </c>
      <c r="Y377" t="e">
        <f>Table1[[#This Row],[qPer board]]*Table1[[#This Row],[boards]]</f>
        <v>#N/A</v>
      </c>
      <c r="AA377" t="e">
        <f>VLOOKUP(Table1[[#This Row],[MA_Number]], 'rhd batch30'!$A$1:$B$64,2,FALSE)</f>
        <v>#N/A</v>
      </c>
      <c r="AB377">
        <v>17</v>
      </c>
    </row>
    <row r="378" spans="1:28" x14ac:dyDescent="0.3">
      <c r="A378" t="s">
        <v>470</v>
      </c>
      <c r="B378" s="1" t="s">
        <v>1041</v>
      </c>
      <c r="C378" s="1"/>
      <c r="D378" t="s">
        <v>281</v>
      </c>
      <c r="E378" t="s">
        <v>1541</v>
      </c>
      <c r="F378" t="b">
        <v>1</v>
      </c>
      <c r="I378">
        <v>1</v>
      </c>
      <c r="J378" t="s">
        <v>676</v>
      </c>
      <c r="K378" t="s">
        <v>676</v>
      </c>
      <c r="L378" t="s">
        <v>676</v>
      </c>
      <c r="O378" t="b">
        <v>1</v>
      </c>
      <c r="Y378" t="e">
        <f>Table1[[#This Row],[qPer board]]*Table1[[#This Row],[boards]]</f>
        <v>#N/A</v>
      </c>
      <c r="AA378" t="e">
        <f>VLOOKUP(Table1[[#This Row],[MA_Number]], 'rhd batch30'!$A$1:$B$64,2,FALSE)</f>
        <v>#N/A</v>
      </c>
      <c r="AB378">
        <v>17</v>
      </c>
    </row>
    <row r="379" spans="1:28" x14ac:dyDescent="0.3">
      <c r="B379" s="1" t="s">
        <v>1041</v>
      </c>
      <c r="C379" s="1"/>
      <c r="E379" t="s">
        <v>1542</v>
      </c>
      <c r="G379" t="s">
        <v>470</v>
      </c>
      <c r="H379" t="s">
        <v>1543</v>
      </c>
      <c r="I379">
        <v>1</v>
      </c>
      <c r="J379">
        <v>64</v>
      </c>
      <c r="K379">
        <v>42</v>
      </c>
      <c r="L379">
        <v>52</v>
      </c>
      <c r="M379" t="s">
        <v>49</v>
      </c>
      <c r="N379" t="s">
        <v>24</v>
      </c>
      <c r="O379" t="b">
        <v>1</v>
      </c>
      <c r="Y379" t="e">
        <f>Table1[[#This Row],[qPer board]]*Table1[[#This Row],[boards]]</f>
        <v>#N/A</v>
      </c>
      <c r="AA379" t="e">
        <f>VLOOKUP(Table1[[#This Row],[MA_Number]], 'rhd batch30'!$A$1:$B$64,2,FALSE)</f>
        <v>#N/A</v>
      </c>
      <c r="AB379">
        <v>17</v>
      </c>
    </row>
    <row r="380" spans="1:28" x14ac:dyDescent="0.3">
      <c r="B380" s="1" t="s">
        <v>1041</v>
      </c>
      <c r="C380" s="1"/>
      <c r="E380" t="s">
        <v>1544</v>
      </c>
      <c r="G380" t="s">
        <v>470</v>
      </c>
      <c r="H380" t="s">
        <v>1545</v>
      </c>
      <c r="I380">
        <v>1</v>
      </c>
      <c r="J380">
        <v>64</v>
      </c>
      <c r="K380">
        <v>42</v>
      </c>
      <c r="L380">
        <v>30</v>
      </c>
      <c r="M380" t="s">
        <v>49</v>
      </c>
      <c r="N380" t="s">
        <v>24</v>
      </c>
      <c r="O380" t="b">
        <v>1</v>
      </c>
      <c r="Y380" t="e">
        <f>Table1[[#This Row],[qPer board]]*Table1[[#This Row],[boards]]</f>
        <v>#N/A</v>
      </c>
      <c r="AA380" t="e">
        <f>VLOOKUP(Table1[[#This Row],[MA_Number]], 'rhd batch30'!$A$1:$B$64,2,FALSE)</f>
        <v>#N/A</v>
      </c>
      <c r="AB380">
        <v>17</v>
      </c>
    </row>
    <row r="381" spans="1:28" x14ac:dyDescent="0.3">
      <c r="B381" s="1" t="s">
        <v>1041</v>
      </c>
      <c r="C381" s="1"/>
      <c r="E381" t="s">
        <v>1546</v>
      </c>
      <c r="G381" t="s">
        <v>470</v>
      </c>
      <c r="H381" t="s">
        <v>1547</v>
      </c>
      <c r="I381">
        <v>1</v>
      </c>
      <c r="J381">
        <v>64</v>
      </c>
      <c r="K381">
        <v>42</v>
      </c>
      <c r="L381">
        <v>21</v>
      </c>
      <c r="M381" t="s">
        <v>49</v>
      </c>
      <c r="N381" t="s">
        <v>24</v>
      </c>
      <c r="O381" t="b">
        <v>1</v>
      </c>
      <c r="Y381" t="e">
        <f>Table1[[#This Row],[qPer board]]*Table1[[#This Row],[boards]]</f>
        <v>#N/A</v>
      </c>
      <c r="AA381" t="e">
        <f>VLOOKUP(Table1[[#This Row],[MA_Number]], 'rhd batch30'!$A$1:$B$64,2,FALSE)</f>
        <v>#N/A</v>
      </c>
      <c r="AB381">
        <v>17</v>
      </c>
    </row>
    <row r="382" spans="1:28" x14ac:dyDescent="0.3">
      <c r="A382" t="s">
        <v>472</v>
      </c>
      <c r="B382" s="1" t="s">
        <v>1072</v>
      </c>
      <c r="C382" s="1"/>
      <c r="D382" t="s">
        <v>281</v>
      </c>
      <c r="E382" t="s">
        <v>1548</v>
      </c>
      <c r="F382" t="b">
        <v>1</v>
      </c>
      <c r="I382">
        <v>1</v>
      </c>
      <c r="J382" t="s">
        <v>676</v>
      </c>
      <c r="K382" t="s">
        <v>676</v>
      </c>
      <c r="L382" t="s">
        <v>676</v>
      </c>
      <c r="O382" t="b">
        <v>1</v>
      </c>
      <c r="Y382" t="e">
        <f>Table1[[#This Row],[qPer board]]*Table1[[#This Row],[boards]]</f>
        <v>#N/A</v>
      </c>
      <c r="AA382" t="e">
        <f>VLOOKUP(Table1[[#This Row],[MA_Number]], 'rhd batch30'!$A$1:$B$64,2,FALSE)</f>
        <v>#N/A</v>
      </c>
      <c r="AB382">
        <v>17</v>
      </c>
    </row>
    <row r="383" spans="1:28" x14ac:dyDescent="0.3">
      <c r="B383" s="1" t="s">
        <v>1072</v>
      </c>
      <c r="C383" s="1"/>
      <c r="E383" t="s">
        <v>1549</v>
      </c>
      <c r="G383" t="s">
        <v>472</v>
      </c>
      <c r="H383" t="s">
        <v>1550</v>
      </c>
      <c r="I383">
        <v>1</v>
      </c>
      <c r="J383">
        <v>65</v>
      </c>
      <c r="K383">
        <v>39</v>
      </c>
      <c r="L383">
        <v>60</v>
      </c>
      <c r="M383" t="s">
        <v>49</v>
      </c>
      <c r="N383" t="s">
        <v>24</v>
      </c>
      <c r="O383" t="b">
        <v>1</v>
      </c>
      <c r="Y383" t="e">
        <f>Table1[[#This Row],[qPer board]]*Table1[[#This Row],[boards]]</f>
        <v>#N/A</v>
      </c>
      <c r="AA383" t="e">
        <f>VLOOKUP(Table1[[#This Row],[MA_Number]], 'rhd batch30'!$A$1:$B$64,2,FALSE)</f>
        <v>#N/A</v>
      </c>
      <c r="AB383">
        <v>17</v>
      </c>
    </row>
    <row r="384" spans="1:28" x14ac:dyDescent="0.3">
      <c r="B384" s="1" t="s">
        <v>1072</v>
      </c>
      <c r="C384" s="1"/>
      <c r="E384" t="s">
        <v>1551</v>
      </c>
      <c r="G384" t="s">
        <v>472</v>
      </c>
      <c r="H384" t="s">
        <v>1552</v>
      </c>
      <c r="I384">
        <v>1</v>
      </c>
      <c r="J384">
        <v>65</v>
      </c>
      <c r="K384">
        <v>39</v>
      </c>
      <c r="L384">
        <v>30</v>
      </c>
      <c r="M384" t="s">
        <v>49</v>
      </c>
      <c r="N384" t="s">
        <v>24</v>
      </c>
      <c r="O384" t="b">
        <v>1</v>
      </c>
      <c r="Y384" t="e">
        <f>Table1[[#This Row],[qPer board]]*Table1[[#This Row],[boards]]</f>
        <v>#N/A</v>
      </c>
      <c r="AA384" t="e">
        <f>VLOOKUP(Table1[[#This Row],[MA_Number]], 'rhd batch30'!$A$1:$B$64,2,FALSE)</f>
        <v>#N/A</v>
      </c>
      <c r="AB384">
        <v>17</v>
      </c>
    </row>
    <row r="385" spans="1:28" x14ac:dyDescent="0.3">
      <c r="B385" s="1" t="s">
        <v>1072</v>
      </c>
      <c r="C385" s="1"/>
      <c r="E385" t="s">
        <v>1553</v>
      </c>
      <c r="G385" t="s">
        <v>472</v>
      </c>
      <c r="H385" t="s">
        <v>1554</v>
      </c>
      <c r="I385">
        <v>1</v>
      </c>
      <c r="J385">
        <v>65</v>
      </c>
      <c r="K385">
        <v>39</v>
      </c>
      <c r="L385">
        <v>21</v>
      </c>
      <c r="M385" t="s">
        <v>49</v>
      </c>
      <c r="N385" t="s">
        <v>24</v>
      </c>
      <c r="O385" t="b">
        <v>1</v>
      </c>
      <c r="Y385" t="e">
        <f>Table1[[#This Row],[qPer board]]*Table1[[#This Row],[boards]]</f>
        <v>#N/A</v>
      </c>
      <c r="AA385" t="e">
        <f>VLOOKUP(Table1[[#This Row],[MA_Number]], 'rhd batch30'!$A$1:$B$64,2,FALSE)</f>
        <v>#N/A</v>
      </c>
      <c r="AB385">
        <v>17</v>
      </c>
    </row>
    <row r="386" spans="1:28" x14ac:dyDescent="0.3">
      <c r="B386" s="1" t="s">
        <v>1072</v>
      </c>
      <c r="C386" s="1"/>
      <c r="E386" t="s">
        <v>1509</v>
      </c>
      <c r="G386" t="s">
        <v>472</v>
      </c>
      <c r="H386" t="s">
        <v>1555</v>
      </c>
      <c r="I386">
        <v>1</v>
      </c>
      <c r="J386">
        <v>34</v>
      </c>
      <c r="K386">
        <v>21</v>
      </c>
      <c r="L386">
        <v>25</v>
      </c>
      <c r="M386" t="s">
        <v>49</v>
      </c>
      <c r="N386" t="s">
        <v>24</v>
      </c>
      <c r="O386" t="b">
        <v>1</v>
      </c>
      <c r="Y386" t="e">
        <f>Table1[[#This Row],[qPer board]]*Table1[[#This Row],[boards]]</f>
        <v>#N/A</v>
      </c>
      <c r="AA386" t="e">
        <f>VLOOKUP(Table1[[#This Row],[MA_Number]], 'rhd batch30'!$A$1:$B$64,2,FALSE)</f>
        <v>#N/A</v>
      </c>
      <c r="AB386">
        <v>17</v>
      </c>
    </row>
    <row r="387" spans="1:28" x14ac:dyDescent="0.3">
      <c r="A387" t="s">
        <v>474</v>
      </c>
      <c r="B387" s="1" t="s">
        <v>1556</v>
      </c>
      <c r="C387" s="1"/>
      <c r="D387" t="s">
        <v>281</v>
      </c>
      <c r="E387" t="s">
        <v>1557</v>
      </c>
      <c r="F387" t="b">
        <v>1</v>
      </c>
      <c r="I387">
        <v>1</v>
      </c>
      <c r="J387" t="s">
        <v>676</v>
      </c>
      <c r="K387" t="s">
        <v>676</v>
      </c>
      <c r="L387" t="s">
        <v>676</v>
      </c>
      <c r="O387" t="b">
        <v>1</v>
      </c>
      <c r="Y387" t="e">
        <f>Table1[[#This Row],[qPer board]]*Table1[[#This Row],[boards]]</f>
        <v>#N/A</v>
      </c>
      <c r="AA387" t="e">
        <f>VLOOKUP(Table1[[#This Row],[MA_Number]], 'rhd batch30'!$A$1:$B$64,2,FALSE)</f>
        <v>#N/A</v>
      </c>
      <c r="AB387">
        <v>17</v>
      </c>
    </row>
    <row r="388" spans="1:28" x14ac:dyDescent="0.3">
      <c r="B388" s="1" t="s">
        <v>1556</v>
      </c>
      <c r="C388" s="1"/>
      <c r="E388" t="s">
        <v>1558</v>
      </c>
      <c r="G388" t="s">
        <v>474</v>
      </c>
      <c r="H388" t="s">
        <v>1559</v>
      </c>
      <c r="I388">
        <v>1</v>
      </c>
      <c r="J388">
        <v>64</v>
      </c>
      <c r="K388">
        <v>48</v>
      </c>
      <c r="L388">
        <v>52</v>
      </c>
      <c r="M388" t="s">
        <v>49</v>
      </c>
      <c r="N388" t="s">
        <v>24</v>
      </c>
      <c r="O388" t="b">
        <v>1</v>
      </c>
      <c r="Y388" t="e">
        <f>Table1[[#This Row],[qPer board]]*Table1[[#This Row],[boards]]</f>
        <v>#N/A</v>
      </c>
      <c r="AA388" t="e">
        <f>VLOOKUP(Table1[[#This Row],[MA_Number]], 'rhd batch30'!$A$1:$B$64,2,FALSE)</f>
        <v>#N/A</v>
      </c>
      <c r="AB388">
        <v>17</v>
      </c>
    </row>
    <row r="389" spans="1:28" x14ac:dyDescent="0.3">
      <c r="B389" s="1" t="s">
        <v>1556</v>
      </c>
      <c r="C389" s="1"/>
      <c r="E389" t="s">
        <v>1560</v>
      </c>
      <c r="G389" t="s">
        <v>474</v>
      </c>
      <c r="H389" t="s">
        <v>1561</v>
      </c>
      <c r="I389">
        <v>1</v>
      </c>
      <c r="J389">
        <v>64</v>
      </c>
      <c r="K389">
        <v>48</v>
      </c>
      <c r="L389">
        <v>30</v>
      </c>
      <c r="M389" t="s">
        <v>49</v>
      </c>
      <c r="N389" t="s">
        <v>24</v>
      </c>
      <c r="O389" t="b">
        <v>1</v>
      </c>
      <c r="Y389" t="e">
        <f>Table1[[#This Row],[qPer board]]*Table1[[#This Row],[boards]]</f>
        <v>#N/A</v>
      </c>
      <c r="AA389" t="e">
        <f>VLOOKUP(Table1[[#This Row],[MA_Number]], 'rhd batch30'!$A$1:$B$64,2,FALSE)</f>
        <v>#N/A</v>
      </c>
      <c r="AB389">
        <v>17</v>
      </c>
    </row>
    <row r="390" spans="1:28" x14ac:dyDescent="0.3">
      <c r="B390" s="1" t="s">
        <v>1556</v>
      </c>
      <c r="C390" s="1"/>
      <c r="E390" t="s">
        <v>1562</v>
      </c>
      <c r="G390" t="s">
        <v>474</v>
      </c>
      <c r="H390" t="s">
        <v>1563</v>
      </c>
      <c r="I390">
        <v>1</v>
      </c>
      <c r="J390">
        <v>64</v>
      </c>
      <c r="K390">
        <v>48</v>
      </c>
      <c r="L390">
        <v>20</v>
      </c>
      <c r="M390" t="s">
        <v>49</v>
      </c>
      <c r="N390" t="s">
        <v>24</v>
      </c>
      <c r="O390" t="b">
        <v>1</v>
      </c>
      <c r="Y390" t="e">
        <f>Table1[[#This Row],[qPer board]]*Table1[[#This Row],[boards]]</f>
        <v>#N/A</v>
      </c>
      <c r="AA390" t="e">
        <f>VLOOKUP(Table1[[#This Row],[MA_Number]], 'rhd batch30'!$A$1:$B$64,2,FALSE)</f>
        <v>#N/A</v>
      </c>
      <c r="AB390">
        <v>17</v>
      </c>
    </row>
    <row r="391" spans="1:28" x14ac:dyDescent="0.3">
      <c r="A391" t="s">
        <v>1755</v>
      </c>
      <c r="B391" s="1">
        <v>7235053630</v>
      </c>
      <c r="C391" s="1"/>
      <c r="D391" t="s">
        <v>281</v>
      </c>
      <c r="E391" t="s">
        <v>1943</v>
      </c>
      <c r="F391" t="b">
        <v>1</v>
      </c>
      <c r="I391">
        <v>1</v>
      </c>
      <c r="J391" t="s">
        <v>676</v>
      </c>
      <c r="K391" t="s">
        <v>676</v>
      </c>
      <c r="L391" t="s">
        <v>676</v>
      </c>
      <c r="O391" t="b">
        <v>1</v>
      </c>
      <c r="Y391" t="e">
        <f>Table1[[#This Row],[qPer board]]*Table1[[#This Row],[boards]]</f>
        <v>#N/A</v>
      </c>
      <c r="AA391" t="e">
        <f>VLOOKUP(Table1[[#This Row],[MA_Number]], 'rhd batch30'!$A$1:$B$64,2,FALSE)</f>
        <v>#N/A</v>
      </c>
      <c r="AB391">
        <v>17</v>
      </c>
    </row>
    <row r="392" spans="1:28" x14ac:dyDescent="0.3">
      <c r="B392" s="1">
        <v>7235053630</v>
      </c>
      <c r="C392" s="1"/>
      <c r="G392" t="s">
        <v>1755</v>
      </c>
      <c r="H392" t="s">
        <v>1756</v>
      </c>
      <c r="I392">
        <v>1</v>
      </c>
      <c r="J392">
        <v>101</v>
      </c>
      <c r="K392">
        <v>73</v>
      </c>
      <c r="L392">
        <v>75</v>
      </c>
      <c r="M392" t="s">
        <v>49</v>
      </c>
      <c r="N392" t="s">
        <v>24</v>
      </c>
      <c r="P392" t="b">
        <v>1</v>
      </c>
      <c r="Y392" t="e">
        <f>Table1[[#This Row],[qPer board]]*Table1[[#This Row],[boards]]</f>
        <v>#N/A</v>
      </c>
      <c r="AA392" t="e">
        <f>VLOOKUP(Table1[[#This Row],[MA_Number]], 'rhd batch30'!$A$1:$B$64,2,FALSE)</f>
        <v>#N/A</v>
      </c>
      <c r="AB392">
        <v>17</v>
      </c>
    </row>
    <row r="393" spans="1:28" x14ac:dyDescent="0.3">
      <c r="B393" s="1">
        <v>7235053630</v>
      </c>
      <c r="C393" s="1"/>
      <c r="G393" t="s">
        <v>1755</v>
      </c>
      <c r="H393" t="s">
        <v>1757</v>
      </c>
      <c r="I393">
        <v>1</v>
      </c>
      <c r="J393">
        <v>99</v>
      </c>
      <c r="K393">
        <v>34</v>
      </c>
      <c r="L393">
        <v>40</v>
      </c>
      <c r="M393" t="s">
        <v>49</v>
      </c>
      <c r="N393" t="s">
        <v>24</v>
      </c>
      <c r="O393" t="b">
        <v>1</v>
      </c>
      <c r="Y393" t="e">
        <f>Table1[[#This Row],[qPer board]]*Table1[[#This Row],[boards]]</f>
        <v>#N/A</v>
      </c>
      <c r="AA393" t="e">
        <f>VLOOKUP(Table1[[#This Row],[MA_Number]], 'rhd batch30'!$A$1:$B$64,2,FALSE)</f>
        <v>#N/A</v>
      </c>
      <c r="AB393">
        <v>17</v>
      </c>
    </row>
    <row r="394" spans="1:28" x14ac:dyDescent="0.3">
      <c r="B394" s="1">
        <v>7235053630</v>
      </c>
      <c r="C394" s="1"/>
      <c r="G394" t="s">
        <v>1755</v>
      </c>
      <c r="H394" t="s">
        <v>1938</v>
      </c>
      <c r="I394">
        <v>1</v>
      </c>
      <c r="J394">
        <v>34</v>
      </c>
      <c r="K394">
        <v>22</v>
      </c>
      <c r="L394">
        <v>25</v>
      </c>
      <c r="N394" t="s">
        <v>40</v>
      </c>
      <c r="O394" t="b">
        <v>1</v>
      </c>
      <c r="Y394" t="e">
        <f>Table1[[#This Row],[qPer board]]*Table1[[#This Row],[boards]]</f>
        <v>#N/A</v>
      </c>
      <c r="AA394" t="e">
        <f>VLOOKUP(Table1[[#This Row],[MA_Number]], 'rhd batch30'!$A$1:$B$64,2,FALSE)</f>
        <v>#N/A</v>
      </c>
      <c r="AB394">
        <v>17</v>
      </c>
    </row>
    <row r="395" spans="1:28" x14ac:dyDescent="0.3">
      <c r="A395" t="s">
        <v>1939</v>
      </c>
      <c r="B395" s="1">
        <v>7235053630</v>
      </c>
      <c r="C395" s="1"/>
      <c r="D395" t="s">
        <v>281</v>
      </c>
      <c r="E395" t="s">
        <v>1943</v>
      </c>
      <c r="F395" t="b">
        <v>1</v>
      </c>
      <c r="I395">
        <v>1</v>
      </c>
      <c r="J395" t="s">
        <v>676</v>
      </c>
      <c r="K395" t="s">
        <v>676</v>
      </c>
      <c r="L395" t="s">
        <v>676</v>
      </c>
      <c r="O395" t="b">
        <v>1</v>
      </c>
      <c r="Y395" t="e">
        <f>Table1[[#This Row],[qPer board]]*Table1[[#This Row],[boards]]</f>
        <v>#N/A</v>
      </c>
      <c r="AA395" t="e">
        <f>VLOOKUP(Table1[[#This Row],[MA_Number]], 'rhd batch30'!$A$1:$B$64,2,FALSE)</f>
        <v>#N/A</v>
      </c>
      <c r="AB395">
        <v>17</v>
      </c>
    </row>
    <row r="396" spans="1:28" x14ac:dyDescent="0.3">
      <c r="B396" s="1">
        <v>7235053630</v>
      </c>
      <c r="C396" s="1"/>
      <c r="G396" t="s">
        <v>1939</v>
      </c>
      <c r="H396" t="s">
        <v>1940</v>
      </c>
      <c r="I396">
        <v>1</v>
      </c>
      <c r="J396">
        <v>102</v>
      </c>
      <c r="K396">
        <v>75</v>
      </c>
      <c r="L396">
        <v>93</v>
      </c>
      <c r="M396" t="s">
        <v>49</v>
      </c>
      <c r="N396" t="s">
        <v>24</v>
      </c>
      <c r="O396" t="b">
        <v>1</v>
      </c>
      <c r="Y396" t="e">
        <f>Table1[[#This Row],[qPer board]]*Table1[[#This Row],[boards]]</f>
        <v>#N/A</v>
      </c>
      <c r="AA396" t="e">
        <f>VLOOKUP(Table1[[#This Row],[MA_Number]], 'rhd batch30'!$A$1:$B$64,2,FALSE)</f>
        <v>#N/A</v>
      </c>
      <c r="AB396">
        <v>17</v>
      </c>
    </row>
    <row r="397" spans="1:28" x14ac:dyDescent="0.3">
      <c r="B397" s="1">
        <v>7235053630</v>
      </c>
      <c r="C397" s="1"/>
      <c r="G397" t="s">
        <v>1939</v>
      </c>
      <c r="H397" t="s">
        <v>1941</v>
      </c>
      <c r="I397">
        <v>1</v>
      </c>
      <c r="J397">
        <v>83</v>
      </c>
      <c r="K397">
        <v>30</v>
      </c>
      <c r="L397">
        <v>42</v>
      </c>
      <c r="M397" t="s">
        <v>49</v>
      </c>
      <c r="N397" t="s">
        <v>24</v>
      </c>
      <c r="O397" t="b">
        <v>1</v>
      </c>
      <c r="Y397" t="e">
        <f>Table1[[#This Row],[qPer board]]*Table1[[#This Row],[boards]]</f>
        <v>#N/A</v>
      </c>
      <c r="AA397" t="e">
        <f>VLOOKUP(Table1[[#This Row],[MA_Number]], 'rhd batch30'!$A$1:$B$64,2,FALSE)</f>
        <v>#N/A</v>
      </c>
      <c r="AB397">
        <v>17</v>
      </c>
    </row>
    <row r="398" spans="1:28" x14ac:dyDescent="0.3">
      <c r="B398" s="1">
        <v>7235053630</v>
      </c>
      <c r="C398" s="1"/>
      <c r="G398" t="s">
        <v>1939</v>
      </c>
      <c r="H398" t="s">
        <v>1942</v>
      </c>
      <c r="I398">
        <v>1</v>
      </c>
      <c r="J398">
        <v>25</v>
      </c>
      <c r="K398">
        <v>20</v>
      </c>
      <c r="L398">
        <v>36</v>
      </c>
      <c r="N398" t="s">
        <v>40</v>
      </c>
      <c r="O398" t="b">
        <v>1</v>
      </c>
      <c r="Y398" t="e">
        <f>Table1[[#This Row],[qPer board]]*Table1[[#This Row],[boards]]</f>
        <v>#N/A</v>
      </c>
      <c r="AA398" t="e">
        <f>VLOOKUP(Table1[[#This Row],[MA_Number]], 'rhd batch30'!$A$1:$B$64,2,FALSE)</f>
        <v>#N/A</v>
      </c>
      <c r="AB398">
        <v>17</v>
      </c>
    </row>
    <row r="399" spans="1:28" x14ac:dyDescent="0.3">
      <c r="A399" t="s">
        <v>1029</v>
      </c>
      <c r="B399" s="1">
        <v>7247374530</v>
      </c>
      <c r="C399" s="1"/>
      <c r="D399" t="s">
        <v>1206</v>
      </c>
      <c r="E399" t="s">
        <v>1219</v>
      </c>
      <c r="F399" t="b">
        <v>1</v>
      </c>
      <c r="I399">
        <v>1</v>
      </c>
      <c r="J399" t="s">
        <v>676</v>
      </c>
      <c r="K399" t="s">
        <v>676</v>
      </c>
      <c r="L399" t="s">
        <v>676</v>
      </c>
      <c r="Y399" t="e">
        <f>Table1[[#This Row],[qPer board]]*Table1[[#This Row],[boards]]</f>
        <v>#N/A</v>
      </c>
      <c r="AA399" t="e">
        <f>VLOOKUP(Table1[[#This Row],[MA_Number]], 'rhd batch30'!$A$1:$B$64,2,FALSE)</f>
        <v>#N/A</v>
      </c>
      <c r="AB399">
        <v>17</v>
      </c>
    </row>
    <row r="400" spans="1:28" x14ac:dyDescent="0.3">
      <c r="B400" s="1">
        <v>7247374530</v>
      </c>
      <c r="C400" s="1"/>
      <c r="G400" t="s">
        <v>1029</v>
      </c>
      <c r="H400" t="s">
        <v>1564</v>
      </c>
      <c r="I400">
        <v>1</v>
      </c>
      <c r="Y400" t="e">
        <f>Table1[[#This Row],[qPer board]]*Table1[[#This Row],[boards]]</f>
        <v>#N/A</v>
      </c>
      <c r="AA400" t="e">
        <f>VLOOKUP(Table1[[#This Row],[MA_Number]], 'rhd batch30'!$A$1:$B$64,2,FALSE)</f>
        <v>#N/A</v>
      </c>
      <c r="AB400">
        <v>17</v>
      </c>
    </row>
    <row r="401" spans="1:28" x14ac:dyDescent="0.3">
      <c r="A401" t="s">
        <v>1809</v>
      </c>
      <c r="B401" s="1">
        <v>7247760830</v>
      </c>
      <c r="C401" s="1"/>
      <c r="D401" t="s">
        <v>1206</v>
      </c>
      <c r="F401" t="b">
        <v>1</v>
      </c>
      <c r="I401">
        <v>1</v>
      </c>
      <c r="J401" t="s">
        <v>676</v>
      </c>
      <c r="K401" t="s">
        <v>676</v>
      </c>
      <c r="L401" t="s">
        <v>676</v>
      </c>
      <c r="O401" t="b">
        <v>1</v>
      </c>
      <c r="Y401" t="e">
        <f>Table1[[#This Row],[qPer board]]*Table1[[#This Row],[boards]]</f>
        <v>#N/A</v>
      </c>
      <c r="AA401" t="e">
        <f>VLOOKUP(Table1[[#This Row],[MA_Number]], 'rhd batch30'!$A$1:$B$64,2,FALSE)</f>
        <v>#N/A</v>
      </c>
      <c r="AB401">
        <v>17</v>
      </c>
    </row>
    <row r="402" spans="1:28" x14ac:dyDescent="0.3">
      <c r="B402" s="1">
        <v>7247760830</v>
      </c>
      <c r="C402" s="1"/>
      <c r="E402" t="s">
        <v>1565</v>
      </c>
      <c r="G402" t="s">
        <v>1809</v>
      </c>
      <c r="H402" t="s">
        <v>1810</v>
      </c>
      <c r="I402">
        <v>1</v>
      </c>
      <c r="J402">
        <v>22</v>
      </c>
      <c r="K402">
        <v>27</v>
      </c>
      <c r="L402">
        <v>35</v>
      </c>
      <c r="N402" t="s">
        <v>40</v>
      </c>
      <c r="O402" t="b">
        <v>1</v>
      </c>
      <c r="Y402" t="e">
        <f>Table1[[#This Row],[qPer board]]*Table1[[#This Row],[boards]]</f>
        <v>#N/A</v>
      </c>
      <c r="AA402" t="e">
        <f>VLOOKUP(Table1[[#This Row],[MA_Number]], 'rhd batch30'!$A$1:$B$64,2,FALSE)</f>
        <v>#N/A</v>
      </c>
      <c r="AB402">
        <v>17</v>
      </c>
    </row>
    <row r="403" spans="1:28" x14ac:dyDescent="0.3">
      <c r="A403" t="s">
        <v>1566</v>
      </c>
      <c r="B403" s="1">
        <v>7247760930</v>
      </c>
      <c r="C403" s="1"/>
      <c r="D403" t="s">
        <v>1206</v>
      </c>
      <c r="F403" t="b">
        <v>1</v>
      </c>
      <c r="I403">
        <v>1</v>
      </c>
      <c r="J403" t="s">
        <v>676</v>
      </c>
      <c r="K403" t="s">
        <v>676</v>
      </c>
      <c r="L403" t="s">
        <v>676</v>
      </c>
      <c r="O403" t="b">
        <v>1</v>
      </c>
      <c r="Y403" t="e">
        <f>Table1[[#This Row],[qPer board]]*Table1[[#This Row],[boards]]</f>
        <v>#N/A</v>
      </c>
      <c r="AA403" t="e">
        <f>VLOOKUP(Table1[[#This Row],[MA_Number]], 'rhd batch30'!$A$1:$B$64,2,FALSE)</f>
        <v>#N/A</v>
      </c>
      <c r="AB403">
        <v>17</v>
      </c>
    </row>
    <row r="404" spans="1:28" x14ac:dyDescent="0.3">
      <c r="B404" s="1">
        <v>7247760930</v>
      </c>
      <c r="C404" s="1"/>
      <c r="E404" t="s">
        <v>1567</v>
      </c>
      <c r="G404" t="s">
        <v>1566</v>
      </c>
      <c r="H404" t="s">
        <v>1568</v>
      </c>
      <c r="I404">
        <v>1</v>
      </c>
      <c r="J404">
        <v>23</v>
      </c>
      <c r="K404">
        <v>24</v>
      </c>
      <c r="L404">
        <v>35</v>
      </c>
      <c r="N404" t="s">
        <v>40</v>
      </c>
      <c r="O404" t="b">
        <v>1</v>
      </c>
      <c r="Y404" t="e">
        <f>Table1[[#This Row],[qPer board]]*Table1[[#This Row],[boards]]</f>
        <v>#N/A</v>
      </c>
      <c r="AA404" t="e">
        <f>VLOOKUP(Table1[[#This Row],[MA_Number]], 'rhd batch30'!$A$1:$B$64,2,FALSE)</f>
        <v>#N/A</v>
      </c>
      <c r="AB404">
        <v>17</v>
      </c>
    </row>
    <row r="405" spans="1:28" x14ac:dyDescent="0.3">
      <c r="A405" t="s">
        <v>476</v>
      </c>
      <c r="B405" s="1">
        <v>7247761330</v>
      </c>
      <c r="C405" s="1"/>
      <c r="D405" t="s">
        <v>1206</v>
      </c>
      <c r="F405" t="b">
        <v>1</v>
      </c>
      <c r="I405">
        <v>1</v>
      </c>
      <c r="J405" t="s">
        <v>676</v>
      </c>
      <c r="K405" t="s">
        <v>676</v>
      </c>
      <c r="L405" t="s">
        <v>676</v>
      </c>
      <c r="O405" t="b">
        <v>1</v>
      </c>
      <c r="Y405" t="e">
        <f>Table1[[#This Row],[qPer board]]*Table1[[#This Row],[boards]]</f>
        <v>#N/A</v>
      </c>
      <c r="AA405" t="e">
        <f>VLOOKUP(Table1[[#This Row],[MA_Number]], 'rhd batch30'!$A$1:$B$64,2,FALSE)</f>
        <v>#N/A</v>
      </c>
      <c r="AB405">
        <v>17</v>
      </c>
    </row>
    <row r="406" spans="1:28" x14ac:dyDescent="0.3">
      <c r="B406" s="1">
        <v>7247761330</v>
      </c>
      <c r="C406" s="1"/>
      <c r="E406" t="s">
        <v>1569</v>
      </c>
      <c r="G406" t="s">
        <v>476</v>
      </c>
      <c r="H406" t="s">
        <v>1570</v>
      </c>
      <c r="I406">
        <v>1</v>
      </c>
      <c r="J406">
        <v>25</v>
      </c>
      <c r="K406">
        <v>25</v>
      </c>
      <c r="L406">
        <v>35</v>
      </c>
      <c r="N406" t="s">
        <v>40</v>
      </c>
      <c r="O406" t="b">
        <v>1</v>
      </c>
      <c r="Y406" t="e">
        <f>Table1[[#This Row],[qPer board]]*Table1[[#This Row],[boards]]</f>
        <v>#N/A</v>
      </c>
      <c r="AA406" t="e">
        <f>VLOOKUP(Table1[[#This Row],[MA_Number]], 'rhd batch30'!$A$1:$B$64,2,FALSE)</f>
        <v>#N/A</v>
      </c>
      <c r="AB406">
        <v>17</v>
      </c>
    </row>
    <row r="407" spans="1:28" x14ac:dyDescent="0.3">
      <c r="B407" s="1">
        <v>7247761330</v>
      </c>
      <c r="C407" s="1"/>
      <c r="E407" t="s">
        <v>1571</v>
      </c>
      <c r="G407" t="s">
        <v>476</v>
      </c>
      <c r="H407" t="s">
        <v>1572</v>
      </c>
      <c r="I407">
        <v>1</v>
      </c>
      <c r="J407">
        <v>45</v>
      </c>
      <c r="K407">
        <v>25</v>
      </c>
      <c r="L407">
        <v>47</v>
      </c>
      <c r="M407" t="s">
        <v>49</v>
      </c>
      <c r="N407" t="s">
        <v>24</v>
      </c>
      <c r="O407" t="b">
        <v>1</v>
      </c>
      <c r="Y407" t="e">
        <f>Table1[[#This Row],[qPer board]]*Table1[[#This Row],[boards]]</f>
        <v>#N/A</v>
      </c>
      <c r="AA407" t="e">
        <f>VLOOKUP(Table1[[#This Row],[MA_Number]], 'rhd batch30'!$A$1:$B$64,2,FALSE)</f>
        <v>#N/A</v>
      </c>
      <c r="AB407">
        <v>17</v>
      </c>
    </row>
    <row r="408" spans="1:28" x14ac:dyDescent="0.3">
      <c r="B408" s="1">
        <v>7247761330</v>
      </c>
      <c r="C408" s="1"/>
      <c r="E408" t="s">
        <v>1573</v>
      </c>
      <c r="G408" t="s">
        <v>476</v>
      </c>
      <c r="H408" t="s">
        <v>1574</v>
      </c>
      <c r="I408">
        <v>1</v>
      </c>
      <c r="J408">
        <v>78</v>
      </c>
      <c r="K408">
        <v>30</v>
      </c>
      <c r="L408">
        <v>35</v>
      </c>
      <c r="M408" t="s">
        <v>49</v>
      </c>
      <c r="N408" t="s">
        <v>24</v>
      </c>
      <c r="O408" t="b">
        <v>1</v>
      </c>
      <c r="Y408" t="e">
        <f>Table1[[#This Row],[qPer board]]*Table1[[#This Row],[boards]]</f>
        <v>#N/A</v>
      </c>
      <c r="AA408" t="e">
        <f>VLOOKUP(Table1[[#This Row],[MA_Number]], 'rhd batch30'!$A$1:$B$64,2,FALSE)</f>
        <v>#N/A</v>
      </c>
      <c r="AB408">
        <v>17</v>
      </c>
    </row>
    <row r="409" spans="1:28" x14ac:dyDescent="0.3">
      <c r="A409" t="s">
        <v>1575</v>
      </c>
      <c r="B409" s="1">
        <v>7247764130</v>
      </c>
      <c r="C409" s="1"/>
      <c r="D409" t="s">
        <v>1206</v>
      </c>
      <c r="F409" t="b">
        <v>1</v>
      </c>
      <c r="I409">
        <v>1</v>
      </c>
      <c r="J409" t="s">
        <v>676</v>
      </c>
      <c r="K409" t="s">
        <v>676</v>
      </c>
      <c r="L409" t="s">
        <v>676</v>
      </c>
      <c r="O409" t="b">
        <v>1</v>
      </c>
      <c r="Y409" t="e">
        <f>Table1[[#This Row],[qPer board]]*Table1[[#This Row],[boards]]</f>
        <v>#N/A</v>
      </c>
      <c r="AA409" t="e">
        <f>VLOOKUP(Table1[[#This Row],[MA_Number]], 'rhd batch30'!$A$1:$B$64,2,FALSE)</f>
        <v>#N/A</v>
      </c>
      <c r="AB409">
        <v>17</v>
      </c>
    </row>
    <row r="410" spans="1:28" x14ac:dyDescent="0.3">
      <c r="B410" s="1">
        <v>7247764130</v>
      </c>
      <c r="C410" s="1"/>
      <c r="E410" t="s">
        <v>1576</v>
      </c>
      <c r="G410" t="s">
        <v>1575</v>
      </c>
      <c r="H410" t="s">
        <v>1577</v>
      </c>
      <c r="I410">
        <v>1</v>
      </c>
      <c r="J410">
        <v>22</v>
      </c>
      <c r="K410">
        <v>25</v>
      </c>
      <c r="L410">
        <v>35</v>
      </c>
      <c r="N410" t="s">
        <v>40</v>
      </c>
      <c r="O410" t="b">
        <v>1</v>
      </c>
      <c r="Y410" t="e">
        <f>Table1[[#This Row],[qPer board]]*Table1[[#This Row],[boards]]</f>
        <v>#N/A</v>
      </c>
      <c r="AA410" t="e">
        <f>VLOOKUP(Table1[[#This Row],[MA_Number]], 'rhd batch30'!$A$1:$B$64,2,FALSE)</f>
        <v>#N/A</v>
      </c>
      <c r="AB410">
        <v>17</v>
      </c>
    </row>
    <row r="411" spans="1:28" x14ac:dyDescent="0.3">
      <c r="A411" t="s">
        <v>1205</v>
      </c>
      <c r="B411" s="1">
        <v>7247781530</v>
      </c>
      <c r="C411" s="1"/>
      <c r="D411" t="s">
        <v>1206</v>
      </c>
      <c r="E411" t="s">
        <v>1578</v>
      </c>
      <c r="F411" t="b">
        <v>1</v>
      </c>
      <c r="I411">
        <v>1</v>
      </c>
      <c r="J411" t="s">
        <v>676</v>
      </c>
      <c r="K411" t="s">
        <v>676</v>
      </c>
      <c r="L411" t="s">
        <v>676</v>
      </c>
      <c r="O411" t="b">
        <v>1</v>
      </c>
      <c r="Y411" t="e">
        <f>Table1[[#This Row],[qPer board]]*Table1[[#This Row],[boards]]</f>
        <v>#N/A</v>
      </c>
      <c r="AA411" t="e">
        <f>VLOOKUP(Table1[[#This Row],[MA_Number]], 'rhd batch30'!$A$1:$B$64,2,FALSE)</f>
        <v>#N/A</v>
      </c>
      <c r="AB411">
        <v>17</v>
      </c>
    </row>
    <row r="412" spans="1:28" x14ac:dyDescent="0.3">
      <c r="B412" s="1">
        <v>7247781530</v>
      </c>
      <c r="C412" s="1"/>
      <c r="E412" t="s">
        <v>1579</v>
      </c>
      <c r="G412" t="s">
        <v>1205</v>
      </c>
      <c r="H412" t="s">
        <v>1580</v>
      </c>
      <c r="I412">
        <v>1</v>
      </c>
      <c r="J412">
        <v>33</v>
      </c>
      <c r="K412">
        <v>30</v>
      </c>
      <c r="L412">
        <v>32</v>
      </c>
      <c r="N412" t="s">
        <v>40</v>
      </c>
      <c r="O412" t="b">
        <v>1</v>
      </c>
      <c r="Y412" t="e">
        <f>Table1[[#This Row],[qPer board]]*Table1[[#This Row],[boards]]</f>
        <v>#N/A</v>
      </c>
      <c r="AA412" t="e">
        <f>VLOOKUP(Table1[[#This Row],[MA_Number]], 'rhd batch30'!$A$1:$B$64,2,FALSE)</f>
        <v>#N/A</v>
      </c>
      <c r="AB412">
        <v>17</v>
      </c>
    </row>
    <row r="413" spans="1:28" x14ac:dyDescent="0.3">
      <c r="B413" s="1">
        <v>7247781530</v>
      </c>
      <c r="C413" s="1"/>
      <c r="E413" t="s">
        <v>1581</v>
      </c>
      <c r="G413" t="s">
        <v>1205</v>
      </c>
      <c r="H413" t="s">
        <v>1582</v>
      </c>
      <c r="I413">
        <v>1</v>
      </c>
      <c r="J413">
        <v>52</v>
      </c>
      <c r="K413">
        <v>30</v>
      </c>
      <c r="L413">
        <v>47</v>
      </c>
      <c r="M413" t="s">
        <v>49</v>
      </c>
      <c r="N413" t="s">
        <v>24</v>
      </c>
      <c r="O413" t="b">
        <v>1</v>
      </c>
      <c r="Y413" t="e">
        <f>Table1[[#This Row],[qPer board]]*Table1[[#This Row],[boards]]</f>
        <v>#N/A</v>
      </c>
      <c r="AA413" t="e">
        <f>VLOOKUP(Table1[[#This Row],[MA_Number]], 'rhd batch30'!$A$1:$B$64,2,FALSE)</f>
        <v>#N/A</v>
      </c>
      <c r="AB413">
        <v>17</v>
      </c>
    </row>
    <row r="414" spans="1:28" x14ac:dyDescent="0.3">
      <c r="B414" s="1">
        <v>7247781530</v>
      </c>
      <c r="C414" s="1"/>
      <c r="E414" t="s">
        <v>1583</v>
      </c>
      <c r="G414" t="s">
        <v>1205</v>
      </c>
      <c r="H414" t="s">
        <v>1584</v>
      </c>
      <c r="I414">
        <v>1</v>
      </c>
      <c r="J414">
        <v>74</v>
      </c>
      <c r="K414">
        <v>30</v>
      </c>
      <c r="L414">
        <v>35</v>
      </c>
      <c r="M414" t="s">
        <v>49</v>
      </c>
      <c r="N414" t="s">
        <v>24</v>
      </c>
      <c r="O414" t="b">
        <v>1</v>
      </c>
      <c r="Y414" t="e">
        <f>Table1[[#This Row],[qPer board]]*Table1[[#This Row],[boards]]</f>
        <v>#N/A</v>
      </c>
      <c r="AA414" t="e">
        <f>VLOOKUP(Table1[[#This Row],[MA_Number]], 'rhd batch30'!$A$1:$B$64,2,FALSE)</f>
        <v>#N/A</v>
      </c>
      <c r="AB414">
        <v>17</v>
      </c>
    </row>
    <row r="415" spans="1:28" x14ac:dyDescent="0.3">
      <c r="A415" t="s">
        <v>1585</v>
      </c>
      <c r="B415" s="1">
        <v>7247787730</v>
      </c>
      <c r="C415" s="1"/>
      <c r="D415" t="s">
        <v>1206</v>
      </c>
      <c r="F415" t="b">
        <v>1</v>
      </c>
      <c r="I415">
        <v>1</v>
      </c>
      <c r="J415" t="s">
        <v>676</v>
      </c>
      <c r="K415" t="s">
        <v>676</v>
      </c>
      <c r="L415" t="s">
        <v>676</v>
      </c>
      <c r="O415" t="b">
        <v>1</v>
      </c>
      <c r="Y415" t="e">
        <f>Table1[[#This Row],[qPer board]]*Table1[[#This Row],[boards]]</f>
        <v>#N/A</v>
      </c>
      <c r="AA415" t="e">
        <f>VLOOKUP(Table1[[#This Row],[MA_Number]], 'rhd batch30'!$A$1:$B$64,2,FALSE)</f>
        <v>#N/A</v>
      </c>
      <c r="AB415">
        <v>17</v>
      </c>
    </row>
    <row r="416" spans="1:28" x14ac:dyDescent="0.3">
      <c r="B416" s="1">
        <v>7247787730</v>
      </c>
      <c r="C416" s="1"/>
      <c r="E416" t="s">
        <v>1586</v>
      </c>
      <c r="G416" t="s">
        <v>1585</v>
      </c>
      <c r="H416" t="s">
        <v>1587</v>
      </c>
      <c r="I416">
        <v>1</v>
      </c>
      <c r="J416">
        <v>22</v>
      </c>
      <c r="K416">
        <v>24</v>
      </c>
      <c r="L416">
        <v>35</v>
      </c>
      <c r="N416" t="s">
        <v>40</v>
      </c>
      <c r="O416" t="b">
        <v>1</v>
      </c>
      <c r="Y416" t="e">
        <f>Table1[[#This Row],[qPer board]]*Table1[[#This Row],[boards]]</f>
        <v>#N/A</v>
      </c>
      <c r="AA416" t="e">
        <f>VLOOKUP(Table1[[#This Row],[MA_Number]], 'rhd batch30'!$A$1:$B$64,2,FALSE)</f>
        <v>#N/A</v>
      </c>
      <c r="AB416">
        <v>17</v>
      </c>
    </row>
    <row r="417" spans="1:28" x14ac:dyDescent="0.3">
      <c r="A417" t="s">
        <v>1588</v>
      </c>
      <c r="B417" s="1">
        <v>7252779130</v>
      </c>
      <c r="C417" s="1"/>
      <c r="D417" t="s">
        <v>1206</v>
      </c>
      <c r="E417" t="s">
        <v>1219</v>
      </c>
      <c r="F417" t="b">
        <v>1</v>
      </c>
      <c r="I417">
        <v>1</v>
      </c>
      <c r="J417" t="s">
        <v>676</v>
      </c>
      <c r="K417" t="s">
        <v>676</v>
      </c>
      <c r="L417" t="s">
        <v>676</v>
      </c>
      <c r="Y417" t="e">
        <f>Table1[[#This Row],[qPer board]]*Table1[[#This Row],[boards]]</f>
        <v>#N/A</v>
      </c>
      <c r="AA417" t="e">
        <f>VLOOKUP(Table1[[#This Row],[MA_Number]], 'rhd batch30'!$A$1:$B$64,2,FALSE)</f>
        <v>#N/A</v>
      </c>
      <c r="AB417">
        <v>17</v>
      </c>
    </row>
    <row r="418" spans="1:28" x14ac:dyDescent="0.3">
      <c r="B418" s="1">
        <v>7252779130</v>
      </c>
      <c r="C418" s="1"/>
      <c r="G418" t="s">
        <v>1588</v>
      </c>
      <c r="H418" t="s">
        <v>1589</v>
      </c>
      <c r="I418">
        <v>1</v>
      </c>
      <c r="Y418" t="e">
        <f>Table1[[#This Row],[qPer board]]*Table1[[#This Row],[boards]]</f>
        <v>#N/A</v>
      </c>
      <c r="AA418" t="e">
        <f>VLOOKUP(Table1[[#This Row],[MA_Number]], 'rhd batch30'!$A$1:$B$64,2,FALSE)</f>
        <v>#N/A</v>
      </c>
      <c r="AB418">
        <v>17</v>
      </c>
    </row>
    <row r="419" spans="1:28" x14ac:dyDescent="0.3">
      <c r="A419" t="s">
        <v>1590</v>
      </c>
      <c r="B419" s="1">
        <v>7252785330</v>
      </c>
      <c r="C419" s="1"/>
      <c r="D419" t="s">
        <v>1206</v>
      </c>
      <c r="E419" t="s">
        <v>1219</v>
      </c>
      <c r="F419" t="b">
        <v>1</v>
      </c>
      <c r="I419">
        <v>1</v>
      </c>
      <c r="J419" t="s">
        <v>676</v>
      </c>
      <c r="K419" t="s">
        <v>676</v>
      </c>
      <c r="L419" t="s">
        <v>676</v>
      </c>
      <c r="Y419" t="e">
        <f>Table1[[#This Row],[qPer board]]*Table1[[#This Row],[boards]]</f>
        <v>#N/A</v>
      </c>
      <c r="AA419" t="e">
        <f>VLOOKUP(Table1[[#This Row],[MA_Number]], 'rhd batch30'!$A$1:$B$64,2,FALSE)</f>
        <v>#N/A</v>
      </c>
      <c r="AB419">
        <v>17</v>
      </c>
    </row>
    <row r="420" spans="1:28" x14ac:dyDescent="0.3">
      <c r="B420" s="1">
        <v>7252785330</v>
      </c>
      <c r="C420" s="1"/>
      <c r="G420" t="s">
        <v>1590</v>
      </c>
      <c r="H420" t="s">
        <v>1564</v>
      </c>
      <c r="I420">
        <v>1</v>
      </c>
      <c r="Y420" t="e">
        <f>Table1[[#This Row],[qPer board]]*Table1[[#This Row],[boards]]</f>
        <v>#N/A</v>
      </c>
      <c r="AA420" t="e">
        <f>VLOOKUP(Table1[[#This Row],[MA_Number]], 'rhd batch30'!$A$1:$B$64,2,FALSE)</f>
        <v>#N/A</v>
      </c>
      <c r="AB420">
        <v>17</v>
      </c>
    </row>
    <row r="421" spans="1:28" x14ac:dyDescent="0.3">
      <c r="A421" t="s">
        <v>1591</v>
      </c>
      <c r="B421" s="1">
        <v>7252809330</v>
      </c>
      <c r="C421" s="1"/>
      <c r="D421" t="s">
        <v>1206</v>
      </c>
      <c r="F421" t="b">
        <v>1</v>
      </c>
      <c r="I421">
        <v>1</v>
      </c>
      <c r="J421" t="s">
        <v>676</v>
      </c>
      <c r="K421" t="s">
        <v>676</v>
      </c>
      <c r="L421" t="s">
        <v>676</v>
      </c>
      <c r="O421" t="b">
        <v>1</v>
      </c>
      <c r="Y421" t="e">
        <f>Table1[[#This Row],[qPer board]]*Table1[[#This Row],[boards]]</f>
        <v>#N/A</v>
      </c>
      <c r="AA421" t="e">
        <f>VLOOKUP(Table1[[#This Row],[MA_Number]], 'rhd batch30'!$A$1:$B$64,2,FALSE)</f>
        <v>#N/A</v>
      </c>
      <c r="AB421">
        <v>17</v>
      </c>
    </row>
    <row r="422" spans="1:28" x14ac:dyDescent="0.3">
      <c r="B422" s="1">
        <v>7252809330</v>
      </c>
      <c r="C422" s="1"/>
      <c r="E422" t="s">
        <v>1592</v>
      </c>
      <c r="G422" t="s">
        <v>1591</v>
      </c>
      <c r="H422" t="s">
        <v>1593</v>
      </c>
      <c r="I422">
        <v>1</v>
      </c>
      <c r="J422">
        <v>35</v>
      </c>
      <c r="K422">
        <v>35</v>
      </c>
      <c r="L422">
        <v>35</v>
      </c>
      <c r="N422" t="s">
        <v>40</v>
      </c>
      <c r="O422" t="b">
        <v>1</v>
      </c>
      <c r="Y422" t="e">
        <f>Table1[[#This Row],[qPer board]]*Table1[[#This Row],[boards]]</f>
        <v>#N/A</v>
      </c>
      <c r="AA422" t="e">
        <f>VLOOKUP(Table1[[#This Row],[MA_Number]], 'rhd batch30'!$A$1:$B$64,2,FALSE)</f>
        <v>#N/A</v>
      </c>
      <c r="AB422">
        <v>17</v>
      </c>
    </row>
    <row r="423" spans="1:28" x14ac:dyDescent="0.3">
      <c r="A423" t="s">
        <v>1594</v>
      </c>
      <c r="B423" s="1" t="s">
        <v>1595</v>
      </c>
      <c r="C423" s="1"/>
      <c r="D423" t="s">
        <v>281</v>
      </c>
      <c r="E423" t="s">
        <v>1596</v>
      </c>
      <c r="F423" t="b">
        <v>1</v>
      </c>
      <c r="I423">
        <v>1</v>
      </c>
      <c r="J423" t="s">
        <v>676</v>
      </c>
      <c r="K423" t="s">
        <v>676</v>
      </c>
      <c r="L423" t="s">
        <v>676</v>
      </c>
      <c r="O423" t="b">
        <v>1</v>
      </c>
      <c r="Y423" t="e">
        <f>Table1[[#This Row],[qPer board]]*Table1[[#This Row],[boards]]</f>
        <v>#N/A</v>
      </c>
      <c r="AA423" t="e">
        <f>VLOOKUP(Table1[[#This Row],[MA_Number]], 'rhd batch30'!$A$1:$B$64,2,FALSE)</f>
        <v>#N/A</v>
      </c>
      <c r="AB423">
        <v>17</v>
      </c>
    </row>
    <row r="424" spans="1:28" x14ac:dyDescent="0.3">
      <c r="B424" s="1" t="s">
        <v>1595</v>
      </c>
      <c r="C424" s="1"/>
      <c r="E424" t="s">
        <v>1597</v>
      </c>
      <c r="G424" t="s">
        <v>1594</v>
      </c>
      <c r="H424" t="s">
        <v>1598</v>
      </c>
      <c r="I424">
        <v>1</v>
      </c>
      <c r="J424">
        <v>60</v>
      </c>
      <c r="K424">
        <v>40</v>
      </c>
      <c r="L424">
        <v>53</v>
      </c>
      <c r="M424" t="s">
        <v>49</v>
      </c>
      <c r="N424" t="s">
        <v>24</v>
      </c>
      <c r="O424" t="b">
        <v>1</v>
      </c>
      <c r="Y424" t="e">
        <f>Table1[[#This Row],[qPer board]]*Table1[[#This Row],[boards]]</f>
        <v>#N/A</v>
      </c>
      <c r="AA424" t="e">
        <f>VLOOKUP(Table1[[#This Row],[MA_Number]], 'rhd batch30'!$A$1:$B$64,2,FALSE)</f>
        <v>#N/A</v>
      </c>
      <c r="AB424">
        <v>17</v>
      </c>
    </row>
    <row r="425" spans="1:28" x14ac:dyDescent="0.3">
      <c r="B425" s="1" t="s">
        <v>1595</v>
      </c>
      <c r="C425" s="1"/>
      <c r="E425" t="s">
        <v>1599</v>
      </c>
      <c r="G425" t="s">
        <v>1594</v>
      </c>
      <c r="H425" t="s">
        <v>1600</v>
      </c>
      <c r="I425">
        <v>1</v>
      </c>
      <c r="J425">
        <v>60</v>
      </c>
      <c r="K425">
        <v>40</v>
      </c>
      <c r="L425">
        <v>30</v>
      </c>
      <c r="M425" t="s">
        <v>49</v>
      </c>
      <c r="N425" t="s">
        <v>24</v>
      </c>
      <c r="O425" t="b">
        <v>1</v>
      </c>
      <c r="Y425" t="e">
        <f>Table1[[#This Row],[qPer board]]*Table1[[#This Row],[boards]]</f>
        <v>#N/A</v>
      </c>
      <c r="AA425" t="e">
        <f>VLOOKUP(Table1[[#This Row],[MA_Number]], 'rhd batch30'!$A$1:$B$64,2,FALSE)</f>
        <v>#N/A</v>
      </c>
      <c r="AB425">
        <v>17</v>
      </c>
    </row>
    <row r="426" spans="1:28" x14ac:dyDescent="0.3">
      <c r="B426" s="1" t="s">
        <v>1595</v>
      </c>
      <c r="C426" s="1"/>
      <c r="E426" t="s">
        <v>1601</v>
      </c>
      <c r="G426" t="s">
        <v>1594</v>
      </c>
      <c r="H426" t="s">
        <v>1602</v>
      </c>
      <c r="I426">
        <v>1</v>
      </c>
      <c r="J426">
        <v>60</v>
      </c>
      <c r="K426">
        <v>40</v>
      </c>
      <c r="L426">
        <v>20</v>
      </c>
      <c r="M426" t="s">
        <v>49</v>
      </c>
      <c r="N426" t="s">
        <v>24</v>
      </c>
      <c r="O426" t="b">
        <v>1</v>
      </c>
      <c r="Y426" t="e">
        <f>Table1[[#This Row],[qPer board]]*Table1[[#This Row],[boards]]</f>
        <v>#N/A</v>
      </c>
      <c r="AA426" t="e">
        <f>VLOOKUP(Table1[[#This Row],[MA_Number]], 'rhd batch30'!$A$1:$B$64,2,FALSE)</f>
        <v>#N/A</v>
      </c>
      <c r="AB426">
        <v>17</v>
      </c>
    </row>
    <row r="427" spans="1:28" x14ac:dyDescent="0.3">
      <c r="A427" t="s">
        <v>482</v>
      </c>
      <c r="B427" s="1" t="s">
        <v>1036</v>
      </c>
      <c r="C427" s="1"/>
      <c r="D427" t="s">
        <v>281</v>
      </c>
      <c r="E427" t="s">
        <v>1603</v>
      </c>
      <c r="F427" t="b">
        <v>1</v>
      </c>
      <c r="I427">
        <v>1</v>
      </c>
      <c r="J427" t="s">
        <v>676</v>
      </c>
      <c r="K427" t="s">
        <v>676</v>
      </c>
      <c r="L427" t="s">
        <v>676</v>
      </c>
      <c r="O427" t="b">
        <v>1</v>
      </c>
      <c r="Y427" t="e">
        <f>Table1[[#This Row],[qPer board]]*Table1[[#This Row],[boards]]</f>
        <v>#N/A</v>
      </c>
      <c r="AA427" t="e">
        <f>VLOOKUP(Table1[[#This Row],[MA_Number]], 'rhd batch30'!$A$1:$B$64,2,FALSE)</f>
        <v>#N/A</v>
      </c>
      <c r="AB427">
        <v>17</v>
      </c>
    </row>
    <row r="428" spans="1:28" x14ac:dyDescent="0.3">
      <c r="B428" s="1" t="s">
        <v>1036</v>
      </c>
      <c r="C428" s="1"/>
      <c r="E428" t="s">
        <v>1604</v>
      </c>
      <c r="G428" t="s">
        <v>482</v>
      </c>
      <c r="H428" t="s">
        <v>1605</v>
      </c>
      <c r="I428">
        <v>1</v>
      </c>
      <c r="J428">
        <v>61</v>
      </c>
      <c r="K428">
        <v>55</v>
      </c>
      <c r="L428">
        <v>48</v>
      </c>
      <c r="M428" t="s">
        <v>49</v>
      </c>
      <c r="N428" t="s">
        <v>24</v>
      </c>
      <c r="O428" t="b">
        <v>1</v>
      </c>
      <c r="Y428" t="e">
        <f>Table1[[#This Row],[qPer board]]*Table1[[#This Row],[boards]]</f>
        <v>#N/A</v>
      </c>
      <c r="AA428" t="e">
        <f>VLOOKUP(Table1[[#This Row],[MA_Number]], 'rhd batch30'!$A$1:$B$64,2,FALSE)</f>
        <v>#N/A</v>
      </c>
      <c r="AB428">
        <v>17</v>
      </c>
    </row>
    <row r="429" spans="1:28" x14ac:dyDescent="0.3">
      <c r="B429" s="1" t="s">
        <v>1036</v>
      </c>
      <c r="C429" s="1"/>
      <c r="E429" t="s">
        <v>1606</v>
      </c>
      <c r="G429" t="s">
        <v>482</v>
      </c>
      <c r="H429" t="s">
        <v>1607</v>
      </c>
      <c r="I429">
        <v>1</v>
      </c>
      <c r="J429">
        <v>61</v>
      </c>
      <c r="K429">
        <v>55</v>
      </c>
      <c r="L429">
        <v>30</v>
      </c>
      <c r="M429" t="s">
        <v>49</v>
      </c>
      <c r="N429" t="s">
        <v>24</v>
      </c>
      <c r="O429" t="b">
        <v>1</v>
      </c>
      <c r="Y429" t="e">
        <f>Table1[[#This Row],[qPer board]]*Table1[[#This Row],[boards]]</f>
        <v>#N/A</v>
      </c>
      <c r="AA429" t="e">
        <f>VLOOKUP(Table1[[#This Row],[MA_Number]], 'rhd batch30'!$A$1:$B$64,2,FALSE)</f>
        <v>#N/A</v>
      </c>
      <c r="AB429">
        <v>17</v>
      </c>
    </row>
    <row r="430" spans="1:28" x14ac:dyDescent="0.3">
      <c r="B430" s="1" t="s">
        <v>1036</v>
      </c>
      <c r="C430" s="1"/>
      <c r="E430" t="s">
        <v>1608</v>
      </c>
      <c r="G430" t="s">
        <v>482</v>
      </c>
      <c r="H430" t="s">
        <v>1609</v>
      </c>
      <c r="I430">
        <v>1</v>
      </c>
      <c r="J430">
        <v>61</v>
      </c>
      <c r="K430">
        <v>55</v>
      </c>
      <c r="L430">
        <v>20</v>
      </c>
      <c r="M430" t="s">
        <v>49</v>
      </c>
      <c r="N430" t="s">
        <v>24</v>
      </c>
      <c r="O430" t="b">
        <v>1</v>
      </c>
      <c r="Y430" t="e">
        <f>Table1[[#This Row],[qPer board]]*Table1[[#This Row],[boards]]</f>
        <v>#N/A</v>
      </c>
      <c r="AA430" t="e">
        <f>VLOOKUP(Table1[[#This Row],[MA_Number]], 'rhd batch30'!$A$1:$B$64,2,FALSE)</f>
        <v>#N/A</v>
      </c>
      <c r="AB430">
        <v>17</v>
      </c>
    </row>
    <row r="431" spans="1:28" x14ac:dyDescent="0.3">
      <c r="A431" t="s">
        <v>706</v>
      </c>
      <c r="B431" s="1" t="s">
        <v>1610</v>
      </c>
      <c r="C431" s="1"/>
      <c r="D431" t="s">
        <v>281</v>
      </c>
      <c r="E431" t="s">
        <v>1611</v>
      </c>
      <c r="F431" t="b">
        <v>1</v>
      </c>
      <c r="I431">
        <v>1</v>
      </c>
      <c r="J431" t="s">
        <v>676</v>
      </c>
      <c r="K431" t="s">
        <v>676</v>
      </c>
      <c r="L431" t="s">
        <v>676</v>
      </c>
      <c r="O431" t="b">
        <v>1</v>
      </c>
      <c r="Y431" t="e">
        <f>Table1[[#This Row],[qPer board]]*Table1[[#This Row],[boards]]</f>
        <v>#N/A</v>
      </c>
      <c r="AA431" t="e">
        <f>VLOOKUP(Table1[[#This Row],[MA_Number]], 'rhd batch30'!$A$1:$B$64,2,FALSE)</f>
        <v>#N/A</v>
      </c>
      <c r="AB431">
        <v>17</v>
      </c>
    </row>
    <row r="432" spans="1:28" x14ac:dyDescent="0.3">
      <c r="B432" s="1" t="s">
        <v>1610</v>
      </c>
      <c r="C432" s="1"/>
      <c r="E432" t="s">
        <v>1612</v>
      </c>
      <c r="G432" t="s">
        <v>706</v>
      </c>
      <c r="H432" t="s">
        <v>1613</v>
      </c>
      <c r="I432">
        <v>1</v>
      </c>
      <c r="J432">
        <v>61</v>
      </c>
      <c r="K432">
        <v>42</v>
      </c>
      <c r="L432">
        <v>53</v>
      </c>
      <c r="M432" t="s">
        <v>49</v>
      </c>
      <c r="N432" t="s">
        <v>24</v>
      </c>
      <c r="O432" t="b">
        <v>1</v>
      </c>
      <c r="Y432" t="e">
        <f>Table1[[#This Row],[qPer board]]*Table1[[#This Row],[boards]]</f>
        <v>#N/A</v>
      </c>
      <c r="AA432" t="e">
        <f>VLOOKUP(Table1[[#This Row],[MA_Number]], 'rhd batch30'!$A$1:$B$64,2,FALSE)</f>
        <v>#N/A</v>
      </c>
      <c r="AB432">
        <v>17</v>
      </c>
    </row>
    <row r="433" spans="1:28" x14ac:dyDescent="0.3">
      <c r="B433" s="1" t="s">
        <v>1610</v>
      </c>
      <c r="C433" s="1"/>
      <c r="E433" t="s">
        <v>1614</v>
      </c>
      <c r="G433" t="s">
        <v>706</v>
      </c>
      <c r="H433" t="s">
        <v>1615</v>
      </c>
      <c r="I433">
        <v>1</v>
      </c>
      <c r="J433">
        <v>61</v>
      </c>
      <c r="K433">
        <v>42</v>
      </c>
      <c r="L433">
        <v>30</v>
      </c>
      <c r="M433" t="s">
        <v>49</v>
      </c>
      <c r="N433" t="s">
        <v>24</v>
      </c>
      <c r="O433" t="b">
        <v>1</v>
      </c>
      <c r="Y433" t="e">
        <f>Table1[[#This Row],[qPer board]]*Table1[[#This Row],[boards]]</f>
        <v>#N/A</v>
      </c>
      <c r="AA433" t="e">
        <f>VLOOKUP(Table1[[#This Row],[MA_Number]], 'rhd batch30'!$A$1:$B$64,2,FALSE)</f>
        <v>#N/A</v>
      </c>
      <c r="AB433">
        <v>17</v>
      </c>
    </row>
    <row r="434" spans="1:28" x14ac:dyDescent="0.3">
      <c r="B434" s="1" t="s">
        <v>1610</v>
      </c>
      <c r="C434" s="1"/>
      <c r="E434" t="s">
        <v>1616</v>
      </c>
      <c r="G434" t="s">
        <v>706</v>
      </c>
      <c r="H434" t="s">
        <v>1617</v>
      </c>
      <c r="I434">
        <v>1</v>
      </c>
      <c r="J434">
        <v>61</v>
      </c>
      <c r="K434">
        <v>42</v>
      </c>
      <c r="L434">
        <v>20</v>
      </c>
      <c r="M434" t="s">
        <v>49</v>
      </c>
      <c r="N434" t="s">
        <v>24</v>
      </c>
      <c r="O434" t="b">
        <v>1</v>
      </c>
      <c r="Y434" t="e">
        <f>Table1[[#This Row],[qPer board]]*Table1[[#This Row],[boards]]</f>
        <v>#N/A</v>
      </c>
      <c r="AA434" t="e">
        <f>VLOOKUP(Table1[[#This Row],[MA_Number]], 'rhd batch30'!$A$1:$B$64,2,FALSE)</f>
        <v>#N/A</v>
      </c>
      <c r="AB434">
        <v>17</v>
      </c>
    </row>
    <row r="435" spans="1:28" x14ac:dyDescent="0.3">
      <c r="A435" t="s">
        <v>484</v>
      </c>
      <c r="B435" s="1" t="s">
        <v>1046</v>
      </c>
      <c r="C435" s="1"/>
      <c r="D435" t="s">
        <v>281</v>
      </c>
      <c r="E435" t="s">
        <v>1618</v>
      </c>
      <c r="F435" t="b">
        <v>1</v>
      </c>
      <c r="I435">
        <v>1</v>
      </c>
      <c r="J435" t="s">
        <v>676</v>
      </c>
      <c r="K435" t="s">
        <v>676</v>
      </c>
      <c r="L435" t="s">
        <v>676</v>
      </c>
      <c r="O435" t="b">
        <v>1</v>
      </c>
      <c r="Y435" t="e">
        <f>Table1[[#This Row],[qPer board]]*Table1[[#This Row],[boards]]</f>
        <v>#N/A</v>
      </c>
      <c r="AA435" t="e">
        <f>VLOOKUP(Table1[[#This Row],[MA_Number]], 'rhd batch30'!$A$1:$B$64,2,FALSE)</f>
        <v>#N/A</v>
      </c>
      <c r="AB435">
        <v>17</v>
      </c>
    </row>
    <row r="436" spans="1:28" x14ac:dyDescent="0.3">
      <c r="B436" s="1" t="s">
        <v>1046</v>
      </c>
      <c r="C436" s="1"/>
      <c r="E436" t="s">
        <v>1619</v>
      </c>
      <c r="G436" t="s">
        <v>484</v>
      </c>
      <c r="H436" t="s">
        <v>1620</v>
      </c>
      <c r="I436">
        <v>1</v>
      </c>
      <c r="J436">
        <v>60</v>
      </c>
      <c r="K436">
        <v>46</v>
      </c>
      <c r="L436">
        <v>47</v>
      </c>
      <c r="M436" t="s">
        <v>49</v>
      </c>
      <c r="N436" t="s">
        <v>24</v>
      </c>
      <c r="O436" t="b">
        <v>1</v>
      </c>
      <c r="Y436" t="e">
        <f>Table1[[#This Row],[qPer board]]*Table1[[#This Row],[boards]]</f>
        <v>#N/A</v>
      </c>
      <c r="AA436" t="e">
        <f>VLOOKUP(Table1[[#This Row],[MA_Number]], 'rhd batch30'!$A$1:$B$64,2,FALSE)</f>
        <v>#N/A</v>
      </c>
      <c r="AB436">
        <v>17</v>
      </c>
    </row>
    <row r="437" spans="1:28" x14ac:dyDescent="0.3">
      <c r="B437" s="1" t="s">
        <v>1046</v>
      </c>
      <c r="C437" s="1"/>
      <c r="E437" t="s">
        <v>1621</v>
      </c>
      <c r="G437" t="s">
        <v>484</v>
      </c>
      <c r="H437" t="s">
        <v>1622</v>
      </c>
      <c r="I437">
        <v>1</v>
      </c>
      <c r="J437">
        <v>60</v>
      </c>
      <c r="K437">
        <v>46</v>
      </c>
      <c r="L437">
        <v>30</v>
      </c>
      <c r="M437" t="s">
        <v>49</v>
      </c>
      <c r="N437" t="s">
        <v>24</v>
      </c>
      <c r="O437" t="b">
        <v>1</v>
      </c>
      <c r="Y437" t="e">
        <f>Table1[[#This Row],[qPer board]]*Table1[[#This Row],[boards]]</f>
        <v>#N/A</v>
      </c>
      <c r="AA437" t="e">
        <f>VLOOKUP(Table1[[#This Row],[MA_Number]], 'rhd batch30'!$A$1:$B$64,2,FALSE)</f>
        <v>#N/A</v>
      </c>
      <c r="AB437">
        <v>17</v>
      </c>
    </row>
    <row r="438" spans="1:28" x14ac:dyDescent="0.3">
      <c r="B438" s="1" t="s">
        <v>1046</v>
      </c>
      <c r="C438" s="1"/>
      <c r="E438" t="s">
        <v>1623</v>
      </c>
      <c r="G438" t="s">
        <v>484</v>
      </c>
      <c r="H438" t="s">
        <v>1624</v>
      </c>
      <c r="I438">
        <v>1</v>
      </c>
      <c r="J438">
        <v>60</v>
      </c>
      <c r="K438">
        <v>46</v>
      </c>
      <c r="L438">
        <v>20</v>
      </c>
      <c r="M438" t="s">
        <v>49</v>
      </c>
      <c r="N438" t="s">
        <v>24</v>
      </c>
      <c r="O438" t="b">
        <v>1</v>
      </c>
      <c r="Y438" t="e">
        <f>Table1[[#This Row],[qPer board]]*Table1[[#This Row],[boards]]</f>
        <v>#N/A</v>
      </c>
      <c r="AA438" t="e">
        <f>VLOOKUP(Table1[[#This Row],[MA_Number]], 'rhd batch30'!$A$1:$B$64,2,FALSE)</f>
        <v>#N/A</v>
      </c>
      <c r="AB438">
        <v>17</v>
      </c>
    </row>
    <row r="439" spans="1:28" x14ac:dyDescent="0.3">
      <c r="A439" t="s">
        <v>485</v>
      </c>
      <c r="B439" s="1" t="s">
        <v>1040</v>
      </c>
      <c r="C439" s="1"/>
      <c r="D439" t="s">
        <v>281</v>
      </c>
      <c r="E439" t="s">
        <v>1625</v>
      </c>
      <c r="F439" t="b">
        <v>1</v>
      </c>
      <c r="I439">
        <v>1</v>
      </c>
      <c r="J439" t="s">
        <v>676</v>
      </c>
      <c r="K439" t="s">
        <v>676</v>
      </c>
      <c r="L439" t="s">
        <v>676</v>
      </c>
      <c r="O439" t="b">
        <v>1</v>
      </c>
      <c r="Y439" t="e">
        <f>Table1[[#This Row],[qPer board]]*Table1[[#This Row],[boards]]</f>
        <v>#N/A</v>
      </c>
      <c r="AA439" t="e">
        <f>VLOOKUP(Table1[[#This Row],[MA_Number]], 'rhd batch30'!$A$1:$B$64,2,FALSE)</f>
        <v>#N/A</v>
      </c>
      <c r="AB439">
        <v>17</v>
      </c>
    </row>
    <row r="440" spans="1:28" x14ac:dyDescent="0.3">
      <c r="B440" s="1" t="s">
        <v>1040</v>
      </c>
      <c r="C440" s="1"/>
      <c r="E440" t="s">
        <v>1626</v>
      </c>
      <c r="G440" t="s">
        <v>485</v>
      </c>
      <c r="H440" t="s">
        <v>1627</v>
      </c>
      <c r="I440">
        <v>1</v>
      </c>
      <c r="J440">
        <v>60</v>
      </c>
      <c r="K440">
        <v>41</v>
      </c>
      <c r="L440">
        <v>51</v>
      </c>
      <c r="M440" t="s">
        <v>49</v>
      </c>
      <c r="N440" t="s">
        <v>24</v>
      </c>
      <c r="O440" t="b">
        <v>1</v>
      </c>
      <c r="Y440" t="e">
        <f>Table1[[#This Row],[qPer board]]*Table1[[#This Row],[boards]]</f>
        <v>#N/A</v>
      </c>
      <c r="AA440" t="e">
        <f>VLOOKUP(Table1[[#This Row],[MA_Number]], 'rhd batch30'!$A$1:$B$64,2,FALSE)</f>
        <v>#N/A</v>
      </c>
      <c r="AB440">
        <v>17</v>
      </c>
    </row>
    <row r="441" spans="1:28" x14ac:dyDescent="0.3">
      <c r="B441" s="1" t="s">
        <v>1040</v>
      </c>
      <c r="C441" s="1"/>
      <c r="E441" t="s">
        <v>1628</v>
      </c>
      <c r="G441" t="s">
        <v>485</v>
      </c>
      <c r="H441" t="s">
        <v>1629</v>
      </c>
      <c r="I441">
        <v>1</v>
      </c>
      <c r="J441">
        <v>60</v>
      </c>
      <c r="K441">
        <v>41</v>
      </c>
      <c r="L441">
        <v>30</v>
      </c>
      <c r="M441" t="s">
        <v>49</v>
      </c>
      <c r="N441" t="s">
        <v>24</v>
      </c>
      <c r="O441" t="b">
        <v>1</v>
      </c>
      <c r="Y441" t="e">
        <f>Table1[[#This Row],[qPer board]]*Table1[[#This Row],[boards]]</f>
        <v>#N/A</v>
      </c>
      <c r="AA441" t="e">
        <f>VLOOKUP(Table1[[#This Row],[MA_Number]], 'rhd batch30'!$A$1:$B$64,2,FALSE)</f>
        <v>#N/A</v>
      </c>
      <c r="AB441">
        <v>17</v>
      </c>
    </row>
    <row r="442" spans="1:28" x14ac:dyDescent="0.3">
      <c r="B442" s="1" t="s">
        <v>1040</v>
      </c>
      <c r="C442" s="1"/>
      <c r="E442" t="s">
        <v>1630</v>
      </c>
      <c r="G442" t="s">
        <v>485</v>
      </c>
      <c r="H442" t="s">
        <v>1631</v>
      </c>
      <c r="I442">
        <v>1</v>
      </c>
      <c r="J442">
        <v>60</v>
      </c>
      <c r="K442">
        <v>41</v>
      </c>
      <c r="L442">
        <v>20</v>
      </c>
      <c r="M442" t="s">
        <v>49</v>
      </c>
      <c r="N442" t="s">
        <v>24</v>
      </c>
      <c r="O442" t="b">
        <v>1</v>
      </c>
      <c r="Y442" t="e">
        <f>Table1[[#This Row],[qPer board]]*Table1[[#This Row],[boards]]</f>
        <v>#N/A</v>
      </c>
      <c r="AA442" t="e">
        <f>VLOOKUP(Table1[[#This Row],[MA_Number]], 'rhd batch30'!$A$1:$B$64,2,FALSE)</f>
        <v>#N/A</v>
      </c>
      <c r="AB442">
        <v>17</v>
      </c>
    </row>
    <row r="443" spans="1:28" x14ac:dyDescent="0.3">
      <c r="A443" t="s">
        <v>486</v>
      </c>
      <c r="B443" s="1" t="s">
        <v>1632</v>
      </c>
      <c r="C443" s="1"/>
      <c r="D443" t="s">
        <v>281</v>
      </c>
      <c r="E443" t="s">
        <v>1633</v>
      </c>
      <c r="F443" t="b">
        <v>1</v>
      </c>
      <c r="I443">
        <v>1</v>
      </c>
      <c r="J443" t="s">
        <v>676</v>
      </c>
      <c r="K443" t="s">
        <v>676</v>
      </c>
      <c r="L443" t="s">
        <v>676</v>
      </c>
      <c r="O443" t="b">
        <v>1</v>
      </c>
      <c r="Y443" t="e">
        <f>Table1[[#This Row],[qPer board]]*Table1[[#This Row],[boards]]</f>
        <v>#N/A</v>
      </c>
      <c r="AA443" t="e">
        <f>VLOOKUP(Table1[[#This Row],[MA_Number]], 'rhd batch30'!$A$1:$B$64,2,FALSE)</f>
        <v>#N/A</v>
      </c>
      <c r="AB443">
        <v>17</v>
      </c>
    </row>
    <row r="444" spans="1:28" x14ac:dyDescent="0.3">
      <c r="B444" s="1" t="s">
        <v>1632</v>
      </c>
      <c r="C444" s="1"/>
      <c r="E444" t="s">
        <v>1634</v>
      </c>
      <c r="G444" t="s">
        <v>486</v>
      </c>
      <c r="H444" t="s">
        <v>1635</v>
      </c>
      <c r="I444">
        <v>1</v>
      </c>
      <c r="J444">
        <v>61</v>
      </c>
      <c r="K444">
        <v>42</v>
      </c>
      <c r="L444">
        <v>52</v>
      </c>
      <c r="M444" t="s">
        <v>49</v>
      </c>
      <c r="N444" t="s">
        <v>24</v>
      </c>
      <c r="O444" t="b">
        <v>1</v>
      </c>
      <c r="Y444" t="e">
        <f>Table1[[#This Row],[qPer board]]*Table1[[#This Row],[boards]]</f>
        <v>#N/A</v>
      </c>
      <c r="AA444" t="e">
        <f>VLOOKUP(Table1[[#This Row],[MA_Number]], 'rhd batch30'!$A$1:$B$64,2,FALSE)</f>
        <v>#N/A</v>
      </c>
      <c r="AB444">
        <v>17</v>
      </c>
    </row>
    <row r="445" spans="1:28" x14ac:dyDescent="0.3">
      <c r="B445" s="1" t="s">
        <v>1632</v>
      </c>
      <c r="C445" s="1"/>
      <c r="E445" t="s">
        <v>1614</v>
      </c>
      <c r="G445" t="s">
        <v>486</v>
      </c>
      <c r="H445" t="s">
        <v>1636</v>
      </c>
      <c r="I445">
        <v>1</v>
      </c>
      <c r="J445">
        <v>61</v>
      </c>
      <c r="K445">
        <v>42</v>
      </c>
      <c r="L445">
        <v>30</v>
      </c>
      <c r="M445" t="s">
        <v>49</v>
      </c>
      <c r="N445" t="s">
        <v>24</v>
      </c>
      <c r="O445" t="b">
        <v>1</v>
      </c>
      <c r="Y445" t="e">
        <f>Table1[[#This Row],[qPer board]]*Table1[[#This Row],[boards]]</f>
        <v>#N/A</v>
      </c>
      <c r="AA445" t="e">
        <f>VLOOKUP(Table1[[#This Row],[MA_Number]], 'rhd batch30'!$A$1:$B$64,2,FALSE)</f>
        <v>#N/A</v>
      </c>
      <c r="AB445">
        <v>17</v>
      </c>
    </row>
    <row r="446" spans="1:28" x14ac:dyDescent="0.3">
      <c r="B446" s="1" t="s">
        <v>1632</v>
      </c>
      <c r="C446" s="1"/>
      <c r="E446" t="s">
        <v>1637</v>
      </c>
      <c r="G446" t="s">
        <v>486</v>
      </c>
      <c r="H446" t="s">
        <v>1638</v>
      </c>
      <c r="I446">
        <v>1</v>
      </c>
      <c r="J446">
        <v>61</v>
      </c>
      <c r="K446">
        <v>42</v>
      </c>
      <c r="L446">
        <v>21</v>
      </c>
      <c r="M446" t="s">
        <v>49</v>
      </c>
      <c r="N446" t="s">
        <v>24</v>
      </c>
      <c r="O446" t="b">
        <v>1</v>
      </c>
      <c r="Y446" t="e">
        <f>Table1[[#This Row],[qPer board]]*Table1[[#This Row],[boards]]</f>
        <v>#N/A</v>
      </c>
      <c r="AA446" t="e">
        <f>VLOOKUP(Table1[[#This Row],[MA_Number]], 'rhd batch30'!$A$1:$B$64,2,FALSE)</f>
        <v>#N/A</v>
      </c>
      <c r="AB446">
        <v>17</v>
      </c>
    </row>
    <row r="447" spans="1:28" x14ac:dyDescent="0.3">
      <c r="A447" t="s">
        <v>1639</v>
      </c>
      <c r="B447" s="1" t="s">
        <v>1640</v>
      </c>
      <c r="C447" s="1"/>
      <c r="D447" t="s">
        <v>281</v>
      </c>
      <c r="E447" t="s">
        <v>1641</v>
      </c>
      <c r="F447" t="b">
        <v>1</v>
      </c>
      <c r="I447">
        <v>1</v>
      </c>
      <c r="J447" t="s">
        <v>676</v>
      </c>
      <c r="K447" t="s">
        <v>676</v>
      </c>
      <c r="L447" t="s">
        <v>676</v>
      </c>
      <c r="O447" t="b">
        <v>1</v>
      </c>
      <c r="Y447" t="e">
        <f>Table1[[#This Row],[qPer board]]*Table1[[#This Row],[boards]]</f>
        <v>#N/A</v>
      </c>
      <c r="AA447" t="e">
        <f>VLOOKUP(Table1[[#This Row],[MA_Number]], 'rhd batch30'!$A$1:$B$64,2,FALSE)</f>
        <v>#N/A</v>
      </c>
      <c r="AB447">
        <v>17</v>
      </c>
    </row>
    <row r="448" spans="1:28" x14ac:dyDescent="0.3">
      <c r="B448" s="1" t="s">
        <v>1640</v>
      </c>
      <c r="C448" s="1"/>
      <c r="E448" t="s">
        <v>1642</v>
      </c>
      <c r="G448" t="s">
        <v>1639</v>
      </c>
      <c r="H448" t="s">
        <v>1643</v>
      </c>
      <c r="I448">
        <v>1</v>
      </c>
      <c r="J448">
        <v>61</v>
      </c>
      <c r="K448">
        <v>43</v>
      </c>
      <c r="L448">
        <v>63</v>
      </c>
      <c r="M448" t="s">
        <v>49</v>
      </c>
      <c r="N448" t="s">
        <v>24</v>
      </c>
      <c r="O448" t="b">
        <v>1</v>
      </c>
      <c r="Y448" t="e">
        <f>Table1[[#This Row],[qPer board]]*Table1[[#This Row],[boards]]</f>
        <v>#N/A</v>
      </c>
      <c r="AA448" t="e">
        <f>VLOOKUP(Table1[[#This Row],[MA_Number]], 'rhd batch30'!$A$1:$B$64,2,FALSE)</f>
        <v>#N/A</v>
      </c>
      <c r="AB448">
        <v>17</v>
      </c>
    </row>
    <row r="449" spans="1:28" x14ac:dyDescent="0.3">
      <c r="B449" s="1" t="s">
        <v>1640</v>
      </c>
      <c r="C449" s="1"/>
      <c r="E449" t="s">
        <v>1644</v>
      </c>
      <c r="G449" t="s">
        <v>1639</v>
      </c>
      <c r="H449" t="s">
        <v>1645</v>
      </c>
      <c r="I449">
        <v>1</v>
      </c>
      <c r="J449">
        <v>61</v>
      </c>
      <c r="K449">
        <v>43</v>
      </c>
      <c r="L449">
        <v>30</v>
      </c>
      <c r="M449" t="s">
        <v>49</v>
      </c>
      <c r="N449" t="s">
        <v>24</v>
      </c>
      <c r="O449" t="b">
        <v>1</v>
      </c>
      <c r="Y449" t="e">
        <f>Table1[[#This Row],[qPer board]]*Table1[[#This Row],[boards]]</f>
        <v>#N/A</v>
      </c>
      <c r="AA449" t="e">
        <f>VLOOKUP(Table1[[#This Row],[MA_Number]], 'rhd batch30'!$A$1:$B$64,2,FALSE)</f>
        <v>#N/A</v>
      </c>
      <c r="AB449">
        <v>17</v>
      </c>
    </row>
    <row r="450" spans="1:28" x14ac:dyDescent="0.3">
      <c r="B450" s="1" t="s">
        <v>1640</v>
      </c>
      <c r="C450" s="1"/>
      <c r="E450" t="s">
        <v>1646</v>
      </c>
      <c r="G450" t="s">
        <v>1639</v>
      </c>
      <c r="H450" t="s">
        <v>1647</v>
      </c>
      <c r="I450">
        <v>1</v>
      </c>
      <c r="J450">
        <v>61</v>
      </c>
      <c r="K450">
        <v>43</v>
      </c>
      <c r="L450">
        <v>20</v>
      </c>
      <c r="M450" t="s">
        <v>49</v>
      </c>
      <c r="N450" t="s">
        <v>24</v>
      </c>
      <c r="O450" t="b">
        <v>1</v>
      </c>
      <c r="Y450" t="e">
        <f>Table1[[#This Row],[qPer board]]*Table1[[#This Row],[boards]]</f>
        <v>#N/A</v>
      </c>
      <c r="AA450" t="e">
        <f>VLOOKUP(Table1[[#This Row],[MA_Number]], 'rhd batch30'!$A$1:$B$64,2,FALSE)</f>
        <v>#N/A</v>
      </c>
      <c r="AB450">
        <v>17</v>
      </c>
    </row>
    <row r="451" spans="1:28" x14ac:dyDescent="0.3">
      <c r="A451" t="s">
        <v>487</v>
      </c>
      <c r="B451" s="1" t="s">
        <v>1070</v>
      </c>
      <c r="C451" s="1"/>
      <c r="D451" t="s">
        <v>281</v>
      </c>
      <c r="E451" t="s">
        <v>1648</v>
      </c>
      <c r="F451" t="b">
        <v>1</v>
      </c>
      <c r="I451">
        <v>1</v>
      </c>
      <c r="J451" t="s">
        <v>676</v>
      </c>
      <c r="K451" t="s">
        <v>676</v>
      </c>
      <c r="L451" t="s">
        <v>676</v>
      </c>
      <c r="O451" t="b">
        <v>1</v>
      </c>
      <c r="Y451" t="e">
        <f>Table1[[#This Row],[qPer board]]*Table1[[#This Row],[boards]]</f>
        <v>#N/A</v>
      </c>
      <c r="AA451" t="e">
        <f>VLOOKUP(Table1[[#This Row],[MA_Number]], 'rhd batch30'!$A$1:$B$64,2,FALSE)</f>
        <v>#N/A</v>
      </c>
      <c r="AB451">
        <v>17</v>
      </c>
    </row>
    <row r="452" spans="1:28" x14ac:dyDescent="0.3">
      <c r="B452" s="1" t="s">
        <v>1070</v>
      </c>
      <c r="C452" s="1"/>
      <c r="E452" t="s">
        <v>1649</v>
      </c>
      <c r="G452" t="s">
        <v>487</v>
      </c>
      <c r="H452" t="s">
        <v>1650</v>
      </c>
      <c r="I452">
        <v>1</v>
      </c>
      <c r="J452">
        <v>61</v>
      </c>
      <c r="K452">
        <v>39</v>
      </c>
      <c r="L452">
        <v>65</v>
      </c>
      <c r="M452" t="s">
        <v>49</v>
      </c>
      <c r="N452" t="s">
        <v>24</v>
      </c>
      <c r="O452" t="b">
        <v>1</v>
      </c>
      <c r="Y452" t="e">
        <f>Table1[[#This Row],[qPer board]]*Table1[[#This Row],[boards]]</f>
        <v>#N/A</v>
      </c>
      <c r="AA452" t="e">
        <f>VLOOKUP(Table1[[#This Row],[MA_Number]], 'rhd batch30'!$A$1:$B$64,2,FALSE)</f>
        <v>#N/A</v>
      </c>
      <c r="AB452">
        <v>17</v>
      </c>
    </row>
    <row r="453" spans="1:28" x14ac:dyDescent="0.3">
      <c r="B453" s="1" t="s">
        <v>1070</v>
      </c>
      <c r="C453" s="1"/>
      <c r="E453" t="s">
        <v>1651</v>
      </c>
      <c r="G453" t="s">
        <v>487</v>
      </c>
      <c r="H453" t="s">
        <v>1652</v>
      </c>
      <c r="I453">
        <v>1</v>
      </c>
      <c r="J453">
        <v>61</v>
      </c>
      <c r="K453">
        <v>39</v>
      </c>
      <c r="L453">
        <v>30</v>
      </c>
      <c r="M453" t="s">
        <v>49</v>
      </c>
      <c r="N453" t="s">
        <v>24</v>
      </c>
      <c r="O453" t="b">
        <v>1</v>
      </c>
      <c r="Y453" t="e">
        <f>Table1[[#This Row],[qPer board]]*Table1[[#This Row],[boards]]</f>
        <v>#N/A</v>
      </c>
      <c r="AA453" t="e">
        <f>VLOOKUP(Table1[[#This Row],[MA_Number]], 'rhd batch30'!$A$1:$B$64,2,FALSE)</f>
        <v>#N/A</v>
      </c>
      <c r="AB453">
        <v>17</v>
      </c>
    </row>
    <row r="454" spans="1:28" x14ac:dyDescent="0.3">
      <c r="B454" s="1" t="s">
        <v>1070</v>
      </c>
      <c r="C454" s="1"/>
      <c r="E454" t="s">
        <v>1653</v>
      </c>
      <c r="G454" t="s">
        <v>487</v>
      </c>
      <c r="H454" t="s">
        <v>1654</v>
      </c>
      <c r="I454">
        <v>1</v>
      </c>
      <c r="J454">
        <v>61</v>
      </c>
      <c r="K454">
        <v>39</v>
      </c>
      <c r="L454">
        <v>20</v>
      </c>
      <c r="M454" t="s">
        <v>49</v>
      </c>
      <c r="N454" t="s">
        <v>24</v>
      </c>
      <c r="O454" t="b">
        <v>1</v>
      </c>
      <c r="Y454" t="e">
        <f>Table1[[#This Row],[qPer board]]*Table1[[#This Row],[boards]]</f>
        <v>#N/A</v>
      </c>
      <c r="AA454" t="e">
        <f>VLOOKUP(Table1[[#This Row],[MA_Number]], 'rhd batch30'!$A$1:$B$64,2,FALSE)</f>
        <v>#N/A</v>
      </c>
      <c r="AB454">
        <v>17</v>
      </c>
    </row>
    <row r="455" spans="1:28" x14ac:dyDescent="0.3">
      <c r="A455" t="s">
        <v>490</v>
      </c>
      <c r="B455" s="1" t="s">
        <v>1074</v>
      </c>
      <c r="C455" s="1"/>
      <c r="D455" t="s">
        <v>281</v>
      </c>
      <c r="F455" t="b">
        <v>1</v>
      </c>
      <c r="I455">
        <v>1</v>
      </c>
      <c r="J455" t="s">
        <v>676</v>
      </c>
      <c r="K455" t="s">
        <v>676</v>
      </c>
      <c r="L455" t="s">
        <v>676</v>
      </c>
      <c r="O455" t="b">
        <v>1</v>
      </c>
      <c r="Y455" t="e">
        <f>Table1[[#This Row],[qPer board]]*Table1[[#This Row],[boards]]</f>
        <v>#N/A</v>
      </c>
      <c r="AA455" t="e">
        <f>VLOOKUP(Table1[[#This Row],[MA_Number]], 'rhd batch30'!$A$1:$B$64,2,FALSE)</f>
        <v>#N/A</v>
      </c>
      <c r="AB455">
        <v>17</v>
      </c>
    </row>
    <row r="456" spans="1:28" x14ac:dyDescent="0.3">
      <c r="B456" s="1" t="s">
        <v>1074</v>
      </c>
      <c r="C456" s="1"/>
      <c r="E456" t="s">
        <v>1655</v>
      </c>
      <c r="G456" t="s">
        <v>490</v>
      </c>
      <c r="H456" t="s">
        <v>1656</v>
      </c>
      <c r="I456">
        <v>1</v>
      </c>
      <c r="J456">
        <v>65</v>
      </c>
      <c r="K456">
        <v>50</v>
      </c>
      <c r="L456">
        <v>85</v>
      </c>
      <c r="M456" t="s">
        <v>49</v>
      </c>
      <c r="N456" t="s">
        <v>24</v>
      </c>
      <c r="O456" t="b">
        <v>1</v>
      </c>
      <c r="Y456" t="e">
        <f>Table1[[#This Row],[qPer board]]*Table1[[#This Row],[boards]]</f>
        <v>#N/A</v>
      </c>
      <c r="AA456" t="e">
        <f>VLOOKUP(Table1[[#This Row],[MA_Number]], 'rhd batch30'!$A$1:$B$64,2,FALSE)</f>
        <v>#N/A</v>
      </c>
      <c r="AB456">
        <v>17</v>
      </c>
    </row>
    <row r="457" spans="1:28" x14ac:dyDescent="0.3">
      <c r="B457" s="1" t="s">
        <v>1074</v>
      </c>
      <c r="C457" s="1"/>
      <c r="E457" t="s">
        <v>1657</v>
      </c>
      <c r="G457" t="s">
        <v>490</v>
      </c>
      <c r="H457" t="s">
        <v>1658</v>
      </c>
      <c r="I457">
        <v>1</v>
      </c>
      <c r="J457">
        <v>65</v>
      </c>
      <c r="K457">
        <v>50</v>
      </c>
      <c r="L457">
        <v>30</v>
      </c>
      <c r="M457" t="s">
        <v>49</v>
      </c>
      <c r="N457" t="s">
        <v>24</v>
      </c>
      <c r="O457" t="b">
        <v>1</v>
      </c>
      <c r="Y457" t="e">
        <f>Table1[[#This Row],[qPer board]]*Table1[[#This Row],[boards]]</f>
        <v>#N/A</v>
      </c>
      <c r="AA457" t="e">
        <f>VLOOKUP(Table1[[#This Row],[MA_Number]], 'rhd batch30'!$A$1:$B$64,2,FALSE)</f>
        <v>#N/A</v>
      </c>
      <c r="AB457">
        <v>17</v>
      </c>
    </row>
    <row r="458" spans="1:28" x14ac:dyDescent="0.3">
      <c r="B458" s="1" t="s">
        <v>1074</v>
      </c>
      <c r="C458" s="1"/>
      <c r="E458" t="s">
        <v>1659</v>
      </c>
      <c r="G458" t="s">
        <v>490</v>
      </c>
      <c r="H458" t="s">
        <v>1660</v>
      </c>
      <c r="I458">
        <v>1</v>
      </c>
      <c r="J458">
        <v>65</v>
      </c>
      <c r="K458">
        <v>50</v>
      </c>
      <c r="L458">
        <v>20</v>
      </c>
      <c r="M458" t="s">
        <v>49</v>
      </c>
      <c r="N458" t="s">
        <v>24</v>
      </c>
      <c r="O458" t="b">
        <v>1</v>
      </c>
      <c r="Y458" t="e">
        <f>Table1[[#This Row],[qPer board]]*Table1[[#This Row],[boards]]</f>
        <v>#N/A</v>
      </c>
      <c r="AA458" t="e">
        <f>VLOOKUP(Table1[[#This Row],[MA_Number]], 'rhd batch30'!$A$1:$B$64,2,FALSE)</f>
        <v>#N/A</v>
      </c>
      <c r="AB458">
        <v>17</v>
      </c>
    </row>
    <row r="459" spans="1:28" x14ac:dyDescent="0.3">
      <c r="A459" t="s">
        <v>1661</v>
      </c>
      <c r="B459" s="1" t="s">
        <v>1662</v>
      </c>
      <c r="C459" s="1"/>
      <c r="D459" t="s">
        <v>281</v>
      </c>
      <c r="E459" t="s">
        <v>1663</v>
      </c>
      <c r="F459" t="b">
        <v>1</v>
      </c>
      <c r="I459">
        <v>1</v>
      </c>
      <c r="J459" t="s">
        <v>676</v>
      </c>
      <c r="K459" t="s">
        <v>676</v>
      </c>
      <c r="L459" t="s">
        <v>676</v>
      </c>
      <c r="O459" t="b">
        <v>1</v>
      </c>
      <c r="Y459" t="e">
        <f>Table1[[#This Row],[qPer board]]*Table1[[#This Row],[boards]]</f>
        <v>#N/A</v>
      </c>
      <c r="AA459" t="e">
        <f>VLOOKUP(Table1[[#This Row],[MA_Number]], 'rhd batch30'!$A$1:$B$64,2,FALSE)</f>
        <v>#N/A</v>
      </c>
      <c r="AB459">
        <v>17</v>
      </c>
    </row>
    <row r="460" spans="1:28" x14ac:dyDescent="0.3">
      <c r="B460" s="1" t="s">
        <v>1662</v>
      </c>
      <c r="C460" s="1"/>
      <c r="E460" t="s">
        <v>1664</v>
      </c>
      <c r="G460" t="s">
        <v>1661</v>
      </c>
      <c r="H460" t="s">
        <v>1665</v>
      </c>
      <c r="I460">
        <v>1</v>
      </c>
      <c r="J460">
        <v>84</v>
      </c>
      <c r="K460">
        <v>48</v>
      </c>
      <c r="L460">
        <v>53</v>
      </c>
      <c r="M460" t="s">
        <v>49</v>
      </c>
      <c r="N460" t="s">
        <v>24</v>
      </c>
      <c r="O460" t="b">
        <v>1</v>
      </c>
      <c r="Y460" t="e">
        <f>Table1[[#This Row],[qPer board]]*Table1[[#This Row],[boards]]</f>
        <v>#N/A</v>
      </c>
      <c r="AA460" t="e">
        <f>VLOOKUP(Table1[[#This Row],[MA_Number]], 'rhd batch30'!$A$1:$B$64,2,FALSE)</f>
        <v>#N/A</v>
      </c>
      <c r="AB460">
        <v>17</v>
      </c>
    </row>
    <row r="461" spans="1:28" x14ac:dyDescent="0.3">
      <c r="B461" s="1" t="s">
        <v>1662</v>
      </c>
      <c r="C461" s="1"/>
      <c r="E461" t="s">
        <v>1666</v>
      </c>
      <c r="G461" t="s">
        <v>1661</v>
      </c>
      <c r="H461" t="s">
        <v>1667</v>
      </c>
      <c r="I461">
        <v>1</v>
      </c>
      <c r="J461">
        <v>84</v>
      </c>
      <c r="K461">
        <v>48</v>
      </c>
      <c r="L461">
        <v>30</v>
      </c>
      <c r="M461" t="s">
        <v>49</v>
      </c>
      <c r="N461" t="s">
        <v>24</v>
      </c>
      <c r="O461" t="b">
        <v>1</v>
      </c>
      <c r="Y461" t="e">
        <f>Table1[[#This Row],[qPer board]]*Table1[[#This Row],[boards]]</f>
        <v>#N/A</v>
      </c>
      <c r="AA461" t="e">
        <f>VLOOKUP(Table1[[#This Row],[MA_Number]], 'rhd batch30'!$A$1:$B$64,2,FALSE)</f>
        <v>#N/A</v>
      </c>
      <c r="AB461">
        <v>17</v>
      </c>
    </row>
    <row r="462" spans="1:28" x14ac:dyDescent="0.3">
      <c r="B462" s="1" t="s">
        <v>1662</v>
      </c>
      <c r="C462" s="1"/>
      <c r="E462" t="s">
        <v>1668</v>
      </c>
      <c r="G462" t="s">
        <v>1661</v>
      </c>
      <c r="H462" t="s">
        <v>1669</v>
      </c>
      <c r="I462">
        <v>1</v>
      </c>
      <c r="J462">
        <v>84</v>
      </c>
      <c r="K462">
        <v>48</v>
      </c>
      <c r="L462">
        <v>20</v>
      </c>
      <c r="M462" t="s">
        <v>49</v>
      </c>
      <c r="N462" t="s">
        <v>24</v>
      </c>
      <c r="O462" t="b">
        <v>1</v>
      </c>
      <c r="Y462" t="e">
        <f>Table1[[#This Row],[qPer board]]*Table1[[#This Row],[boards]]</f>
        <v>#N/A</v>
      </c>
      <c r="AA462" t="e">
        <f>VLOOKUP(Table1[[#This Row],[MA_Number]], 'rhd batch30'!$A$1:$B$64,2,FALSE)</f>
        <v>#N/A</v>
      </c>
      <c r="AB462">
        <v>17</v>
      </c>
    </row>
    <row r="463" spans="1:28" x14ac:dyDescent="0.3">
      <c r="A463" t="s">
        <v>710</v>
      </c>
      <c r="B463" s="1" t="s">
        <v>1083</v>
      </c>
      <c r="C463" s="1"/>
      <c r="D463" t="s">
        <v>281</v>
      </c>
      <c r="F463" t="b">
        <v>1</v>
      </c>
      <c r="I463">
        <v>1</v>
      </c>
      <c r="J463" t="s">
        <v>676</v>
      </c>
      <c r="K463" t="s">
        <v>676</v>
      </c>
      <c r="L463" t="s">
        <v>676</v>
      </c>
      <c r="O463" t="b">
        <v>1</v>
      </c>
      <c r="Y463" t="e">
        <f>Table1[[#This Row],[qPer board]]*Table1[[#This Row],[boards]]</f>
        <v>#N/A</v>
      </c>
      <c r="AA463" t="e">
        <f>VLOOKUP(Table1[[#This Row],[MA_Number]], 'rhd batch30'!$A$1:$B$64,2,FALSE)</f>
        <v>#N/A</v>
      </c>
      <c r="AB463">
        <v>17</v>
      </c>
    </row>
    <row r="464" spans="1:28" x14ac:dyDescent="0.3">
      <c r="B464" s="1" t="s">
        <v>1083</v>
      </c>
      <c r="C464" s="1"/>
      <c r="E464" t="s">
        <v>1670</v>
      </c>
      <c r="G464" t="s">
        <v>710</v>
      </c>
      <c r="H464" t="s">
        <v>1671</v>
      </c>
      <c r="I464">
        <v>1</v>
      </c>
      <c r="J464">
        <v>83</v>
      </c>
      <c r="K464">
        <v>54</v>
      </c>
      <c r="L464">
        <v>54</v>
      </c>
      <c r="M464" t="s">
        <v>49</v>
      </c>
      <c r="N464" t="s">
        <v>24</v>
      </c>
      <c r="O464" t="b">
        <v>1</v>
      </c>
      <c r="Y464" t="e">
        <f>Table1[[#This Row],[qPer board]]*Table1[[#This Row],[boards]]</f>
        <v>#N/A</v>
      </c>
      <c r="AA464" t="e">
        <f>VLOOKUP(Table1[[#This Row],[MA_Number]], 'rhd batch30'!$A$1:$B$64,2,FALSE)</f>
        <v>#N/A</v>
      </c>
      <c r="AB464">
        <v>17</v>
      </c>
    </row>
    <row r="465" spans="1:28" x14ac:dyDescent="0.3">
      <c r="B465" s="1" t="s">
        <v>1083</v>
      </c>
      <c r="C465" s="1"/>
      <c r="E465" t="s">
        <v>1672</v>
      </c>
      <c r="G465" t="s">
        <v>710</v>
      </c>
      <c r="H465" t="s">
        <v>1673</v>
      </c>
      <c r="I465">
        <v>1</v>
      </c>
      <c r="J465">
        <v>83</v>
      </c>
      <c r="K465">
        <v>54</v>
      </c>
      <c r="L465">
        <v>30</v>
      </c>
      <c r="M465" t="s">
        <v>49</v>
      </c>
      <c r="N465" t="s">
        <v>24</v>
      </c>
      <c r="O465" t="b">
        <v>1</v>
      </c>
      <c r="Y465" t="e">
        <f>Table1[[#This Row],[qPer board]]*Table1[[#This Row],[boards]]</f>
        <v>#N/A</v>
      </c>
      <c r="AA465" t="e">
        <f>VLOOKUP(Table1[[#This Row],[MA_Number]], 'rhd batch30'!$A$1:$B$64,2,FALSE)</f>
        <v>#N/A</v>
      </c>
      <c r="AB465">
        <v>17</v>
      </c>
    </row>
    <row r="466" spans="1:28" x14ac:dyDescent="0.3">
      <c r="B466" s="1" t="s">
        <v>1083</v>
      </c>
      <c r="C466" s="1"/>
      <c r="E466" t="s">
        <v>1674</v>
      </c>
      <c r="G466" t="s">
        <v>710</v>
      </c>
      <c r="H466" t="s">
        <v>1675</v>
      </c>
      <c r="I466">
        <v>1</v>
      </c>
      <c r="J466">
        <v>83</v>
      </c>
      <c r="K466">
        <v>54</v>
      </c>
      <c r="L466">
        <v>20</v>
      </c>
      <c r="M466" t="s">
        <v>49</v>
      </c>
      <c r="N466" t="s">
        <v>24</v>
      </c>
      <c r="O466" t="b">
        <v>1</v>
      </c>
      <c r="Y466" t="e">
        <f>Table1[[#This Row],[qPer board]]*Table1[[#This Row],[boards]]</f>
        <v>#N/A</v>
      </c>
      <c r="AA466" t="e">
        <f>VLOOKUP(Table1[[#This Row],[MA_Number]], 'rhd batch30'!$A$1:$B$64,2,FALSE)</f>
        <v>#N/A</v>
      </c>
      <c r="AB466">
        <v>17</v>
      </c>
    </row>
    <row r="467" spans="1:28" x14ac:dyDescent="0.3">
      <c r="A467" t="s">
        <v>1676</v>
      </c>
      <c r="B467" s="1" t="s">
        <v>1677</v>
      </c>
      <c r="C467" s="1"/>
      <c r="D467" t="s">
        <v>281</v>
      </c>
      <c r="E467" t="s">
        <v>1678</v>
      </c>
      <c r="F467" t="b">
        <v>1</v>
      </c>
      <c r="I467">
        <v>1</v>
      </c>
      <c r="J467" t="s">
        <v>676</v>
      </c>
      <c r="K467" t="s">
        <v>676</v>
      </c>
      <c r="L467" t="s">
        <v>676</v>
      </c>
      <c r="O467" t="b">
        <v>1</v>
      </c>
      <c r="Y467" t="e">
        <f>Table1[[#This Row],[qPer board]]*Table1[[#This Row],[boards]]</f>
        <v>#N/A</v>
      </c>
      <c r="AA467" t="e">
        <f>VLOOKUP(Table1[[#This Row],[MA_Number]], 'rhd batch30'!$A$1:$B$64,2,FALSE)</f>
        <v>#N/A</v>
      </c>
      <c r="AB467">
        <v>17</v>
      </c>
    </row>
    <row r="468" spans="1:28" x14ac:dyDescent="0.3">
      <c r="B468" s="1" t="s">
        <v>1677</v>
      </c>
      <c r="C468" s="1"/>
      <c r="E468" t="s">
        <v>1679</v>
      </c>
      <c r="G468" t="s">
        <v>1676</v>
      </c>
      <c r="H468" t="s">
        <v>1680</v>
      </c>
      <c r="I468">
        <v>1</v>
      </c>
      <c r="J468">
        <v>67</v>
      </c>
      <c r="K468">
        <v>60</v>
      </c>
      <c r="L468">
        <v>63</v>
      </c>
      <c r="M468" t="s">
        <v>1031</v>
      </c>
      <c r="N468" t="s">
        <v>24</v>
      </c>
      <c r="O468" t="b">
        <v>1</v>
      </c>
      <c r="Y468" t="e">
        <f>Table1[[#This Row],[qPer board]]*Table1[[#This Row],[boards]]</f>
        <v>#N/A</v>
      </c>
      <c r="AA468" t="e">
        <f>VLOOKUP(Table1[[#This Row],[MA_Number]], 'rhd batch30'!$A$1:$B$64,2,FALSE)</f>
        <v>#N/A</v>
      </c>
      <c r="AB468">
        <v>17</v>
      </c>
    </row>
    <row r="469" spans="1:28" x14ac:dyDescent="0.3">
      <c r="B469" s="1" t="s">
        <v>1677</v>
      </c>
      <c r="C469" s="1"/>
      <c r="E469" t="s">
        <v>1681</v>
      </c>
      <c r="G469" t="s">
        <v>1676</v>
      </c>
      <c r="H469" t="s">
        <v>1682</v>
      </c>
      <c r="I469">
        <v>1</v>
      </c>
      <c r="J469">
        <v>67</v>
      </c>
      <c r="K469">
        <v>60</v>
      </c>
      <c r="L469">
        <v>30</v>
      </c>
      <c r="M469" t="s">
        <v>1031</v>
      </c>
      <c r="N469" t="s">
        <v>24</v>
      </c>
      <c r="O469" t="b">
        <v>1</v>
      </c>
      <c r="Y469" t="e">
        <f>Table1[[#This Row],[qPer board]]*Table1[[#This Row],[boards]]</f>
        <v>#N/A</v>
      </c>
      <c r="AA469" t="e">
        <f>VLOOKUP(Table1[[#This Row],[MA_Number]], 'rhd batch30'!$A$1:$B$64,2,FALSE)</f>
        <v>#N/A</v>
      </c>
      <c r="AB469">
        <v>17</v>
      </c>
    </row>
    <row r="470" spans="1:28" x14ac:dyDescent="0.3">
      <c r="B470" s="1" t="s">
        <v>1677</v>
      </c>
      <c r="C470" s="1"/>
      <c r="E470" t="s">
        <v>1683</v>
      </c>
      <c r="G470" t="s">
        <v>1676</v>
      </c>
      <c r="H470" t="s">
        <v>1684</v>
      </c>
      <c r="I470">
        <v>1</v>
      </c>
      <c r="J470">
        <v>67</v>
      </c>
      <c r="K470">
        <v>60</v>
      </c>
      <c r="L470">
        <v>20</v>
      </c>
      <c r="M470" t="s">
        <v>1031</v>
      </c>
      <c r="N470" t="s">
        <v>24</v>
      </c>
      <c r="O470" t="b">
        <v>1</v>
      </c>
      <c r="Y470" t="e">
        <f>Table1[[#This Row],[qPer board]]*Table1[[#This Row],[boards]]</f>
        <v>#N/A</v>
      </c>
      <c r="AA470" t="e">
        <f>VLOOKUP(Table1[[#This Row],[MA_Number]], 'rhd batch30'!$A$1:$B$64,2,FALSE)</f>
        <v>#N/A</v>
      </c>
      <c r="AB470">
        <v>17</v>
      </c>
    </row>
    <row r="471" spans="1:28" x14ac:dyDescent="0.3">
      <c r="A471" t="s">
        <v>497</v>
      </c>
      <c r="B471" s="1" t="s">
        <v>1079</v>
      </c>
      <c r="C471" s="1"/>
      <c r="D471" t="s">
        <v>281</v>
      </c>
      <c r="E471" t="s">
        <v>1685</v>
      </c>
      <c r="F471" t="b">
        <v>1</v>
      </c>
      <c r="I471">
        <v>1</v>
      </c>
      <c r="J471" t="s">
        <v>676</v>
      </c>
      <c r="K471" t="s">
        <v>676</v>
      </c>
      <c r="L471" t="s">
        <v>676</v>
      </c>
      <c r="O471" t="b">
        <v>1</v>
      </c>
      <c r="Y471" t="e">
        <f>Table1[[#This Row],[qPer board]]*Table1[[#This Row],[boards]]</f>
        <v>#N/A</v>
      </c>
      <c r="AA471" t="e">
        <f>VLOOKUP(Table1[[#This Row],[MA_Number]], 'rhd batch30'!$A$1:$B$64,2,FALSE)</f>
        <v>#N/A</v>
      </c>
      <c r="AB471">
        <v>17</v>
      </c>
    </row>
    <row r="472" spans="1:28" x14ac:dyDescent="0.3">
      <c r="B472" s="1" t="s">
        <v>1079</v>
      </c>
      <c r="C472" s="1"/>
      <c r="E472" t="s">
        <v>1686</v>
      </c>
      <c r="G472" t="s">
        <v>497</v>
      </c>
      <c r="H472" t="s">
        <v>1687</v>
      </c>
      <c r="I472">
        <v>1</v>
      </c>
      <c r="J472">
        <v>61</v>
      </c>
      <c r="K472">
        <v>39</v>
      </c>
      <c r="L472">
        <v>53</v>
      </c>
      <c r="M472" t="s">
        <v>49</v>
      </c>
      <c r="N472" t="s">
        <v>24</v>
      </c>
      <c r="O472" t="b">
        <v>1</v>
      </c>
      <c r="Y472" t="e">
        <f>Table1[[#This Row],[qPer board]]*Table1[[#This Row],[boards]]</f>
        <v>#N/A</v>
      </c>
      <c r="AA472" t="e">
        <f>VLOOKUP(Table1[[#This Row],[MA_Number]], 'rhd batch30'!$A$1:$B$64,2,FALSE)</f>
        <v>#N/A</v>
      </c>
      <c r="AB472">
        <v>17</v>
      </c>
    </row>
    <row r="473" spans="1:28" x14ac:dyDescent="0.3">
      <c r="B473" s="1" t="s">
        <v>1079</v>
      </c>
      <c r="C473" s="1"/>
      <c r="E473" t="s">
        <v>1651</v>
      </c>
      <c r="G473" t="s">
        <v>497</v>
      </c>
      <c r="H473" t="s">
        <v>1688</v>
      </c>
      <c r="I473">
        <v>1</v>
      </c>
      <c r="J473">
        <v>61</v>
      </c>
      <c r="K473">
        <v>39</v>
      </c>
      <c r="L473">
        <v>30</v>
      </c>
      <c r="M473" t="s">
        <v>49</v>
      </c>
      <c r="N473" t="s">
        <v>24</v>
      </c>
      <c r="O473" t="b">
        <v>1</v>
      </c>
      <c r="Y473" t="e">
        <f>Table1[[#This Row],[qPer board]]*Table1[[#This Row],[boards]]</f>
        <v>#N/A</v>
      </c>
      <c r="AA473" t="e">
        <f>VLOOKUP(Table1[[#This Row],[MA_Number]], 'rhd batch30'!$A$1:$B$64,2,FALSE)</f>
        <v>#N/A</v>
      </c>
      <c r="AB473">
        <v>17</v>
      </c>
    </row>
    <row r="474" spans="1:28" x14ac:dyDescent="0.3">
      <c r="B474" s="1" t="s">
        <v>1079</v>
      </c>
      <c r="C474" s="1"/>
      <c r="E474" t="s">
        <v>1689</v>
      </c>
      <c r="G474" t="s">
        <v>497</v>
      </c>
      <c r="H474" t="s">
        <v>1690</v>
      </c>
      <c r="I474">
        <v>1</v>
      </c>
      <c r="J474">
        <v>61</v>
      </c>
      <c r="K474">
        <v>39</v>
      </c>
      <c r="L474">
        <v>21</v>
      </c>
      <c r="M474" t="s">
        <v>49</v>
      </c>
      <c r="N474" t="s">
        <v>24</v>
      </c>
      <c r="O474" t="b">
        <v>1</v>
      </c>
      <c r="Y474" t="e">
        <f>Table1[[#This Row],[qPer board]]*Table1[[#This Row],[boards]]</f>
        <v>#N/A</v>
      </c>
      <c r="AA474" t="e">
        <f>VLOOKUP(Table1[[#This Row],[MA_Number]], 'rhd batch30'!$A$1:$B$64,2,FALSE)</f>
        <v>#N/A</v>
      </c>
      <c r="AB474">
        <v>17</v>
      </c>
    </row>
    <row r="475" spans="1:28" x14ac:dyDescent="0.3">
      <c r="A475" t="s">
        <v>498</v>
      </c>
      <c r="B475" s="1" t="s">
        <v>1691</v>
      </c>
      <c r="C475" s="1"/>
      <c r="D475" t="s">
        <v>281</v>
      </c>
      <c r="E475" t="s">
        <v>1692</v>
      </c>
      <c r="F475" t="b">
        <v>1</v>
      </c>
      <c r="I475">
        <v>1</v>
      </c>
      <c r="J475" t="s">
        <v>676</v>
      </c>
      <c r="K475" t="s">
        <v>676</v>
      </c>
      <c r="L475" t="s">
        <v>676</v>
      </c>
      <c r="O475" t="b">
        <v>1</v>
      </c>
      <c r="Y475" t="e">
        <f>Table1[[#This Row],[qPer board]]*Table1[[#This Row],[boards]]</f>
        <v>#N/A</v>
      </c>
      <c r="AA475" t="e">
        <f>VLOOKUP(Table1[[#This Row],[MA_Number]], 'rhd batch30'!$A$1:$B$64,2,FALSE)</f>
        <v>#N/A</v>
      </c>
      <c r="AB475">
        <v>17</v>
      </c>
    </row>
    <row r="476" spans="1:28" x14ac:dyDescent="0.3">
      <c r="B476" s="1" t="s">
        <v>1691</v>
      </c>
      <c r="C476" s="1"/>
      <c r="E476" t="s">
        <v>1693</v>
      </c>
      <c r="G476" t="s">
        <v>498</v>
      </c>
      <c r="H476" t="s">
        <v>1694</v>
      </c>
      <c r="I476">
        <v>1</v>
      </c>
      <c r="J476">
        <v>61</v>
      </c>
      <c r="K476">
        <v>36</v>
      </c>
      <c r="L476">
        <v>53</v>
      </c>
      <c r="M476" t="s">
        <v>49</v>
      </c>
      <c r="N476" t="s">
        <v>24</v>
      </c>
      <c r="O476" t="b">
        <v>1</v>
      </c>
      <c r="Y476" t="e">
        <f>Table1[[#This Row],[qPer board]]*Table1[[#This Row],[boards]]</f>
        <v>#N/A</v>
      </c>
      <c r="AA476" t="e">
        <f>VLOOKUP(Table1[[#This Row],[MA_Number]], 'rhd batch30'!$A$1:$B$64,2,FALSE)</f>
        <v>#N/A</v>
      </c>
      <c r="AB476">
        <v>17</v>
      </c>
    </row>
    <row r="477" spans="1:28" x14ac:dyDescent="0.3">
      <c r="B477" s="1" t="s">
        <v>1691</v>
      </c>
      <c r="C477" s="1"/>
      <c r="E477" t="s">
        <v>1695</v>
      </c>
      <c r="G477" t="s">
        <v>498</v>
      </c>
      <c r="H477" t="s">
        <v>1696</v>
      </c>
      <c r="I477">
        <v>1</v>
      </c>
      <c r="J477">
        <v>61</v>
      </c>
      <c r="K477">
        <v>36</v>
      </c>
      <c r="L477">
        <v>30</v>
      </c>
      <c r="M477" t="s">
        <v>49</v>
      </c>
      <c r="N477" t="s">
        <v>24</v>
      </c>
      <c r="O477" t="b">
        <v>1</v>
      </c>
      <c r="Y477" t="e">
        <f>Table1[[#This Row],[qPer board]]*Table1[[#This Row],[boards]]</f>
        <v>#N/A</v>
      </c>
      <c r="AA477" t="e">
        <f>VLOOKUP(Table1[[#This Row],[MA_Number]], 'rhd batch30'!$A$1:$B$64,2,FALSE)</f>
        <v>#N/A</v>
      </c>
      <c r="AB477">
        <v>17</v>
      </c>
    </row>
    <row r="478" spans="1:28" x14ac:dyDescent="0.3">
      <c r="B478" s="1" t="s">
        <v>1691</v>
      </c>
      <c r="C478" s="1"/>
      <c r="E478" t="s">
        <v>1697</v>
      </c>
      <c r="G478" t="s">
        <v>498</v>
      </c>
      <c r="H478" t="s">
        <v>1698</v>
      </c>
      <c r="I478">
        <v>1</v>
      </c>
      <c r="J478">
        <v>61</v>
      </c>
      <c r="K478">
        <v>36</v>
      </c>
      <c r="L478">
        <v>21</v>
      </c>
      <c r="M478" t="s">
        <v>49</v>
      </c>
      <c r="N478" t="s">
        <v>24</v>
      </c>
      <c r="O478" t="b">
        <v>1</v>
      </c>
      <c r="Y478" t="e">
        <f>Table1[[#This Row],[qPer board]]*Table1[[#This Row],[boards]]</f>
        <v>#N/A</v>
      </c>
      <c r="AA478" t="e">
        <f>VLOOKUP(Table1[[#This Row],[MA_Number]], 'rhd batch30'!$A$1:$B$64,2,FALSE)</f>
        <v>#N/A</v>
      </c>
      <c r="AB478">
        <v>17</v>
      </c>
    </row>
    <row r="479" spans="1:28" x14ac:dyDescent="0.3">
      <c r="A479" t="s">
        <v>714</v>
      </c>
      <c r="B479" s="1" t="s">
        <v>1084</v>
      </c>
      <c r="C479" s="1"/>
      <c r="D479" t="s">
        <v>281</v>
      </c>
      <c r="E479" t="s">
        <v>1699</v>
      </c>
      <c r="F479" t="b">
        <v>1</v>
      </c>
      <c r="I479">
        <v>1</v>
      </c>
      <c r="J479" t="s">
        <v>676</v>
      </c>
      <c r="K479" t="s">
        <v>676</v>
      </c>
      <c r="L479" t="s">
        <v>676</v>
      </c>
      <c r="O479" t="b">
        <v>1</v>
      </c>
      <c r="Y479" t="e">
        <f>Table1[[#This Row],[qPer board]]*Table1[[#This Row],[boards]]</f>
        <v>#N/A</v>
      </c>
      <c r="AA479" t="e">
        <f>VLOOKUP(Table1[[#This Row],[MA_Number]], 'rhd batch30'!$A$1:$B$64,2,FALSE)</f>
        <v>#N/A</v>
      </c>
      <c r="AB479">
        <v>17</v>
      </c>
    </row>
    <row r="480" spans="1:28" x14ac:dyDescent="0.3">
      <c r="B480" s="1" t="s">
        <v>1084</v>
      </c>
      <c r="C480" s="1"/>
      <c r="E480" t="s">
        <v>1693</v>
      </c>
      <c r="G480" t="s">
        <v>714</v>
      </c>
      <c r="H480" t="s">
        <v>1700</v>
      </c>
      <c r="I480">
        <v>1</v>
      </c>
      <c r="J480">
        <v>61</v>
      </c>
      <c r="K480">
        <v>36</v>
      </c>
      <c r="L480">
        <v>53</v>
      </c>
      <c r="M480" t="s">
        <v>49</v>
      </c>
      <c r="N480" t="s">
        <v>24</v>
      </c>
      <c r="O480" t="b">
        <v>1</v>
      </c>
      <c r="Y480" t="e">
        <f>Table1[[#This Row],[qPer board]]*Table1[[#This Row],[boards]]</f>
        <v>#N/A</v>
      </c>
      <c r="AA480" t="e">
        <f>VLOOKUP(Table1[[#This Row],[MA_Number]], 'rhd batch30'!$A$1:$B$64,2,FALSE)</f>
        <v>#N/A</v>
      </c>
      <c r="AB480">
        <v>17</v>
      </c>
    </row>
    <row r="481" spans="1:28" x14ac:dyDescent="0.3">
      <c r="B481" s="1" t="s">
        <v>1084</v>
      </c>
      <c r="C481" s="1"/>
      <c r="E481" t="s">
        <v>1695</v>
      </c>
      <c r="G481" t="s">
        <v>714</v>
      </c>
      <c r="H481" t="s">
        <v>1701</v>
      </c>
      <c r="I481">
        <v>1</v>
      </c>
      <c r="J481">
        <v>61</v>
      </c>
      <c r="K481">
        <v>36</v>
      </c>
      <c r="L481">
        <v>30</v>
      </c>
      <c r="M481" t="s">
        <v>49</v>
      </c>
      <c r="N481" t="s">
        <v>24</v>
      </c>
      <c r="O481" t="b">
        <v>1</v>
      </c>
      <c r="Y481" t="e">
        <f>Table1[[#This Row],[qPer board]]*Table1[[#This Row],[boards]]</f>
        <v>#N/A</v>
      </c>
      <c r="AA481" t="e">
        <f>VLOOKUP(Table1[[#This Row],[MA_Number]], 'rhd batch30'!$A$1:$B$64,2,FALSE)</f>
        <v>#N/A</v>
      </c>
      <c r="AB481">
        <v>17</v>
      </c>
    </row>
    <row r="482" spans="1:28" x14ac:dyDescent="0.3">
      <c r="B482" s="1" t="s">
        <v>1084</v>
      </c>
      <c r="C482" s="1"/>
      <c r="E482" t="s">
        <v>1697</v>
      </c>
      <c r="G482" t="s">
        <v>714</v>
      </c>
      <c r="H482" t="s">
        <v>1702</v>
      </c>
      <c r="I482">
        <v>1</v>
      </c>
      <c r="J482">
        <v>61</v>
      </c>
      <c r="K482">
        <v>36</v>
      </c>
      <c r="L482">
        <v>21</v>
      </c>
      <c r="M482" t="s">
        <v>49</v>
      </c>
      <c r="N482" t="s">
        <v>24</v>
      </c>
      <c r="O482" t="b">
        <v>1</v>
      </c>
      <c r="Y482" t="e">
        <f>Table1[[#This Row],[qPer board]]*Table1[[#This Row],[boards]]</f>
        <v>#N/A</v>
      </c>
      <c r="AA482" t="e">
        <f>VLOOKUP(Table1[[#This Row],[MA_Number]], 'rhd batch30'!$A$1:$B$64,2,FALSE)</f>
        <v>#N/A</v>
      </c>
      <c r="AB482">
        <v>17</v>
      </c>
    </row>
    <row r="483" spans="1:28" x14ac:dyDescent="0.3">
      <c r="A483" t="s">
        <v>504</v>
      </c>
      <c r="B483" s="1" t="s">
        <v>1080</v>
      </c>
      <c r="C483" s="1"/>
      <c r="D483" t="s">
        <v>281</v>
      </c>
      <c r="E483" t="s">
        <v>1692</v>
      </c>
      <c r="F483" t="b">
        <v>1</v>
      </c>
      <c r="I483">
        <v>1</v>
      </c>
      <c r="J483" t="s">
        <v>676</v>
      </c>
      <c r="K483" t="s">
        <v>676</v>
      </c>
      <c r="L483" t="s">
        <v>676</v>
      </c>
      <c r="O483" t="b">
        <v>1</v>
      </c>
      <c r="Y483" t="e">
        <f>Table1[[#This Row],[qPer board]]*Table1[[#This Row],[boards]]</f>
        <v>#N/A</v>
      </c>
      <c r="AA483" t="e">
        <f>VLOOKUP(Table1[[#This Row],[MA_Number]], 'rhd batch30'!$A$1:$B$64,2,FALSE)</f>
        <v>#N/A</v>
      </c>
      <c r="AB483">
        <v>17</v>
      </c>
    </row>
    <row r="484" spans="1:28" x14ac:dyDescent="0.3">
      <c r="B484" s="1" t="s">
        <v>1080</v>
      </c>
      <c r="C484" s="1"/>
      <c r="E484" t="s">
        <v>1693</v>
      </c>
      <c r="G484" t="s">
        <v>504</v>
      </c>
      <c r="H484" t="s">
        <v>1703</v>
      </c>
      <c r="I484">
        <v>1</v>
      </c>
      <c r="J484">
        <v>61</v>
      </c>
      <c r="K484">
        <v>36</v>
      </c>
      <c r="L484">
        <v>53</v>
      </c>
      <c r="M484" t="s">
        <v>49</v>
      </c>
      <c r="N484" t="s">
        <v>24</v>
      </c>
      <c r="O484" t="b">
        <v>1</v>
      </c>
      <c r="Y484" t="e">
        <f>Table1[[#This Row],[qPer board]]*Table1[[#This Row],[boards]]</f>
        <v>#N/A</v>
      </c>
      <c r="AA484" t="e">
        <f>VLOOKUP(Table1[[#This Row],[MA_Number]], 'rhd batch30'!$A$1:$B$64,2,FALSE)</f>
        <v>#N/A</v>
      </c>
      <c r="AB484">
        <v>17</v>
      </c>
    </row>
    <row r="485" spans="1:28" x14ac:dyDescent="0.3">
      <c r="B485" s="1" t="s">
        <v>1080</v>
      </c>
      <c r="C485" s="1"/>
      <c r="E485" t="s">
        <v>1695</v>
      </c>
      <c r="G485" t="s">
        <v>504</v>
      </c>
      <c r="H485" t="s">
        <v>1704</v>
      </c>
      <c r="I485">
        <v>1</v>
      </c>
      <c r="J485">
        <v>61</v>
      </c>
      <c r="K485">
        <v>36</v>
      </c>
      <c r="L485">
        <v>30</v>
      </c>
      <c r="M485" t="s">
        <v>49</v>
      </c>
      <c r="N485" t="s">
        <v>24</v>
      </c>
      <c r="O485" t="b">
        <v>1</v>
      </c>
      <c r="Y485" t="e">
        <f>Table1[[#This Row],[qPer board]]*Table1[[#This Row],[boards]]</f>
        <v>#N/A</v>
      </c>
      <c r="AA485" t="e">
        <f>VLOOKUP(Table1[[#This Row],[MA_Number]], 'rhd batch30'!$A$1:$B$64,2,FALSE)</f>
        <v>#N/A</v>
      </c>
      <c r="AB485">
        <v>17</v>
      </c>
    </row>
    <row r="486" spans="1:28" x14ac:dyDescent="0.3">
      <c r="B486" s="1" t="s">
        <v>1080</v>
      </c>
      <c r="C486" s="1"/>
      <c r="E486" t="s">
        <v>1697</v>
      </c>
      <c r="G486" t="s">
        <v>504</v>
      </c>
      <c r="H486" t="s">
        <v>1705</v>
      </c>
      <c r="I486">
        <v>1</v>
      </c>
      <c r="J486">
        <v>61</v>
      </c>
      <c r="K486">
        <v>36</v>
      </c>
      <c r="L486">
        <v>21</v>
      </c>
      <c r="M486" t="s">
        <v>49</v>
      </c>
      <c r="N486" t="s">
        <v>24</v>
      </c>
      <c r="O486" t="b">
        <v>1</v>
      </c>
      <c r="Y486" t="e">
        <f>Table1[[#This Row],[qPer board]]*Table1[[#This Row],[boards]]</f>
        <v>#N/A</v>
      </c>
      <c r="AA486" t="e">
        <f>VLOOKUP(Table1[[#This Row],[MA_Number]], 'rhd batch30'!$A$1:$B$64,2,FALSE)</f>
        <v>#N/A</v>
      </c>
      <c r="AB486">
        <v>17</v>
      </c>
    </row>
    <row r="487" spans="1:28" x14ac:dyDescent="0.3">
      <c r="A487" t="s">
        <v>716</v>
      </c>
      <c r="B487" s="1" t="s">
        <v>1088</v>
      </c>
      <c r="C487" s="1"/>
      <c r="D487" t="s">
        <v>281</v>
      </c>
      <c r="E487" t="s">
        <v>1685</v>
      </c>
      <c r="F487" t="b">
        <v>1</v>
      </c>
      <c r="I487">
        <v>1</v>
      </c>
      <c r="J487" t="s">
        <v>676</v>
      </c>
      <c r="K487" t="s">
        <v>676</v>
      </c>
      <c r="L487" t="s">
        <v>676</v>
      </c>
      <c r="O487" t="b">
        <v>1</v>
      </c>
      <c r="Y487" t="e">
        <f>Table1[[#This Row],[qPer board]]*Table1[[#This Row],[boards]]</f>
        <v>#N/A</v>
      </c>
      <c r="AA487" t="e">
        <f>VLOOKUP(Table1[[#This Row],[MA_Number]], 'rhd batch30'!$A$1:$B$64,2,FALSE)</f>
        <v>#N/A</v>
      </c>
      <c r="AB487">
        <v>17</v>
      </c>
    </row>
    <row r="488" spans="1:28" x14ac:dyDescent="0.3">
      <c r="B488" s="1" t="s">
        <v>1088</v>
      </c>
      <c r="C488" s="1"/>
      <c r="E488" t="s">
        <v>1706</v>
      </c>
      <c r="G488" t="s">
        <v>716</v>
      </c>
      <c r="H488" t="s">
        <v>1707</v>
      </c>
      <c r="I488">
        <v>1</v>
      </c>
      <c r="J488">
        <v>56</v>
      </c>
      <c r="K488">
        <v>51</v>
      </c>
      <c r="L488">
        <v>53</v>
      </c>
      <c r="M488" t="s">
        <v>49</v>
      </c>
      <c r="N488" t="s">
        <v>24</v>
      </c>
      <c r="O488" t="b">
        <v>1</v>
      </c>
      <c r="Y488" t="e">
        <f>Table1[[#This Row],[qPer board]]*Table1[[#This Row],[boards]]</f>
        <v>#N/A</v>
      </c>
      <c r="AA488" t="e">
        <f>VLOOKUP(Table1[[#This Row],[MA_Number]], 'rhd batch30'!$A$1:$B$64,2,FALSE)</f>
        <v>#N/A</v>
      </c>
      <c r="AB488">
        <v>17</v>
      </c>
    </row>
    <row r="489" spans="1:28" x14ac:dyDescent="0.3">
      <c r="B489" s="1" t="s">
        <v>1088</v>
      </c>
      <c r="C489" s="1"/>
      <c r="E489" t="s">
        <v>1708</v>
      </c>
      <c r="G489" t="s">
        <v>716</v>
      </c>
      <c r="H489" t="s">
        <v>1709</v>
      </c>
      <c r="I489">
        <v>1</v>
      </c>
      <c r="J489">
        <v>56</v>
      </c>
      <c r="K489">
        <v>51</v>
      </c>
      <c r="L489">
        <v>30</v>
      </c>
      <c r="M489" t="s">
        <v>49</v>
      </c>
      <c r="N489" t="s">
        <v>24</v>
      </c>
      <c r="O489" t="b">
        <v>1</v>
      </c>
      <c r="Y489" t="e">
        <f>Table1[[#This Row],[qPer board]]*Table1[[#This Row],[boards]]</f>
        <v>#N/A</v>
      </c>
      <c r="AA489" t="e">
        <f>VLOOKUP(Table1[[#This Row],[MA_Number]], 'rhd batch30'!$A$1:$B$64,2,FALSE)</f>
        <v>#N/A</v>
      </c>
      <c r="AB489">
        <v>17</v>
      </c>
    </row>
    <row r="490" spans="1:28" x14ac:dyDescent="0.3">
      <c r="B490" s="1" t="s">
        <v>1088</v>
      </c>
      <c r="C490" s="1"/>
      <c r="E490" t="s">
        <v>1710</v>
      </c>
      <c r="G490" t="s">
        <v>716</v>
      </c>
      <c r="H490" t="s">
        <v>1711</v>
      </c>
      <c r="I490">
        <v>1</v>
      </c>
      <c r="J490">
        <v>56</v>
      </c>
      <c r="K490">
        <v>51</v>
      </c>
      <c r="L490">
        <v>20</v>
      </c>
      <c r="M490" t="s">
        <v>49</v>
      </c>
      <c r="N490" t="s">
        <v>24</v>
      </c>
      <c r="O490" t="b">
        <v>1</v>
      </c>
      <c r="Y490" t="e">
        <f>Table1[[#This Row],[qPer board]]*Table1[[#This Row],[boards]]</f>
        <v>#N/A</v>
      </c>
      <c r="AA490" t="e">
        <f>VLOOKUP(Table1[[#This Row],[MA_Number]], 'rhd batch30'!$A$1:$B$64,2,FALSE)</f>
        <v>#N/A</v>
      </c>
      <c r="AB490">
        <v>17</v>
      </c>
    </row>
    <row r="491" spans="1:28" x14ac:dyDescent="0.3">
      <c r="A491" t="s">
        <v>1208</v>
      </c>
      <c r="B491" s="1" t="s">
        <v>1209</v>
      </c>
      <c r="C491" s="1"/>
      <c r="D491" t="s">
        <v>281</v>
      </c>
      <c r="E491" t="s">
        <v>1210</v>
      </c>
      <c r="F491" t="b">
        <v>1</v>
      </c>
      <c r="I491">
        <v>1</v>
      </c>
      <c r="J491" t="s">
        <v>676</v>
      </c>
      <c r="K491" t="s">
        <v>676</v>
      </c>
      <c r="L491" t="s">
        <v>676</v>
      </c>
      <c r="O491" t="b">
        <v>1</v>
      </c>
      <c r="Y491" t="e">
        <f>Table1[[#This Row],[qPer board]]*Table1[[#This Row],[boards]]</f>
        <v>#N/A</v>
      </c>
      <c r="AA491" t="e">
        <f>VLOOKUP(Table1[[#This Row],[MA_Number]], 'rhd batch30'!$A$1:$B$64,2,FALSE)</f>
        <v>#N/A</v>
      </c>
      <c r="AB491">
        <v>17</v>
      </c>
    </row>
    <row r="492" spans="1:28" x14ac:dyDescent="0.3">
      <c r="B492" s="1" t="s">
        <v>1209</v>
      </c>
      <c r="C492" s="1"/>
      <c r="E492" t="s">
        <v>1712</v>
      </c>
      <c r="G492" t="s">
        <v>1208</v>
      </c>
      <c r="H492" t="s">
        <v>1211</v>
      </c>
      <c r="I492">
        <v>1</v>
      </c>
      <c r="J492">
        <v>66</v>
      </c>
      <c r="K492">
        <v>47</v>
      </c>
      <c r="L492">
        <v>48</v>
      </c>
      <c r="M492" t="s">
        <v>48</v>
      </c>
      <c r="N492" t="s">
        <v>24</v>
      </c>
      <c r="O492" t="b">
        <v>1</v>
      </c>
      <c r="Y492" t="e">
        <f>Table1[[#This Row],[qPer board]]*Table1[[#This Row],[boards]]</f>
        <v>#N/A</v>
      </c>
      <c r="AA492" t="e">
        <f>VLOOKUP(Table1[[#This Row],[MA_Number]], 'rhd batch30'!$A$1:$B$64,2,FALSE)</f>
        <v>#N/A</v>
      </c>
      <c r="AB492">
        <v>17</v>
      </c>
    </row>
    <row r="493" spans="1:28" x14ac:dyDescent="0.3">
      <c r="B493" s="1" t="s">
        <v>1209</v>
      </c>
      <c r="C493" s="1"/>
      <c r="E493" t="s">
        <v>1713</v>
      </c>
      <c r="G493" t="s">
        <v>1208</v>
      </c>
      <c r="H493" t="s">
        <v>1212</v>
      </c>
      <c r="I493">
        <v>1</v>
      </c>
      <c r="J493">
        <v>66</v>
      </c>
      <c r="K493">
        <v>47</v>
      </c>
      <c r="L493">
        <v>30</v>
      </c>
      <c r="M493" t="s">
        <v>48</v>
      </c>
      <c r="N493" t="s">
        <v>24</v>
      </c>
      <c r="O493" t="b">
        <v>1</v>
      </c>
      <c r="Y493" t="e">
        <f>Table1[[#This Row],[qPer board]]*Table1[[#This Row],[boards]]</f>
        <v>#N/A</v>
      </c>
      <c r="AA493" t="e">
        <f>VLOOKUP(Table1[[#This Row],[MA_Number]], 'rhd batch30'!$A$1:$B$64,2,FALSE)</f>
        <v>#N/A</v>
      </c>
      <c r="AB493">
        <v>17</v>
      </c>
    </row>
    <row r="494" spans="1:28" x14ac:dyDescent="0.3">
      <c r="B494" s="1" t="s">
        <v>1209</v>
      </c>
      <c r="C494" s="1"/>
      <c r="E494" t="s">
        <v>1714</v>
      </c>
      <c r="G494" t="s">
        <v>1208</v>
      </c>
      <c r="H494" t="s">
        <v>1213</v>
      </c>
      <c r="I494">
        <v>1</v>
      </c>
      <c r="J494">
        <v>66</v>
      </c>
      <c r="K494">
        <v>47</v>
      </c>
      <c r="L494">
        <v>20</v>
      </c>
      <c r="M494" t="s">
        <v>48</v>
      </c>
      <c r="N494" t="s">
        <v>24</v>
      </c>
      <c r="O494" t="b">
        <v>1</v>
      </c>
      <c r="Y494" t="e">
        <f>Table1[[#This Row],[qPer board]]*Table1[[#This Row],[boards]]</f>
        <v>#N/A</v>
      </c>
      <c r="AA494" t="e">
        <f>VLOOKUP(Table1[[#This Row],[MA_Number]], 'rhd batch30'!$A$1:$B$64,2,FALSE)</f>
        <v>#N/A</v>
      </c>
      <c r="AB494">
        <v>17</v>
      </c>
    </row>
    <row r="495" spans="1:28" x14ac:dyDescent="0.3">
      <c r="A495" t="s">
        <v>1751</v>
      </c>
      <c r="B495" s="1" t="s">
        <v>1715</v>
      </c>
      <c r="C495" s="1"/>
      <c r="D495" t="s">
        <v>281</v>
      </c>
      <c r="F495" t="b">
        <v>1</v>
      </c>
      <c r="I495">
        <v>1</v>
      </c>
      <c r="J495" t="s">
        <v>676</v>
      </c>
      <c r="K495" t="s">
        <v>676</v>
      </c>
      <c r="L495" t="s">
        <v>676</v>
      </c>
      <c r="O495" t="b">
        <v>1</v>
      </c>
      <c r="Y495" t="e">
        <f>Table1[[#This Row],[qPer board]]*Table1[[#This Row],[boards]]</f>
        <v>#N/A</v>
      </c>
      <c r="AA495" t="e">
        <f>VLOOKUP(Table1[[#This Row],[MA_Number]], 'rhd batch30'!$A$1:$B$64,2,FALSE)</f>
        <v>#N/A</v>
      </c>
      <c r="AB495">
        <v>17</v>
      </c>
    </row>
    <row r="496" spans="1:28" x14ac:dyDescent="0.3">
      <c r="B496" s="1" t="s">
        <v>1715</v>
      </c>
      <c r="C496" s="1"/>
      <c r="G496" t="s">
        <v>1751</v>
      </c>
      <c r="H496" t="s">
        <v>1752</v>
      </c>
      <c r="I496">
        <v>1</v>
      </c>
      <c r="J496">
        <v>66</v>
      </c>
      <c r="K496">
        <v>47</v>
      </c>
      <c r="L496">
        <v>47</v>
      </c>
      <c r="M496" t="s">
        <v>48</v>
      </c>
      <c r="N496" t="s">
        <v>24</v>
      </c>
      <c r="O496" t="b">
        <v>1</v>
      </c>
      <c r="Y496" t="e">
        <f>Table1[[#This Row],[qPer board]]*Table1[[#This Row],[boards]]</f>
        <v>#N/A</v>
      </c>
      <c r="AA496" t="e">
        <f>VLOOKUP(Table1[[#This Row],[MA_Number]], 'rhd batch30'!$A$1:$B$64,2,FALSE)</f>
        <v>#N/A</v>
      </c>
      <c r="AB496">
        <v>17</v>
      </c>
    </row>
    <row r="497" spans="1:28" x14ac:dyDescent="0.3">
      <c r="B497" s="1" t="s">
        <v>1715</v>
      </c>
      <c r="C497" s="1"/>
      <c r="G497" t="s">
        <v>1751</v>
      </c>
      <c r="H497" t="s">
        <v>1753</v>
      </c>
      <c r="I497">
        <v>1</v>
      </c>
      <c r="J497">
        <v>66</v>
      </c>
      <c r="K497">
        <v>47</v>
      </c>
      <c r="L497">
        <v>30</v>
      </c>
      <c r="M497" t="s">
        <v>48</v>
      </c>
      <c r="N497" t="s">
        <v>24</v>
      </c>
      <c r="O497" t="b">
        <v>1</v>
      </c>
      <c r="Y497" t="e">
        <f>Table1[[#This Row],[qPer board]]*Table1[[#This Row],[boards]]</f>
        <v>#N/A</v>
      </c>
      <c r="AA497" t="e">
        <f>VLOOKUP(Table1[[#This Row],[MA_Number]], 'rhd batch30'!$A$1:$B$64,2,FALSE)</f>
        <v>#N/A</v>
      </c>
      <c r="AB497">
        <v>17</v>
      </c>
    </row>
    <row r="498" spans="1:28" x14ac:dyDescent="0.3">
      <c r="B498" s="1" t="s">
        <v>1715</v>
      </c>
      <c r="C498" s="1"/>
      <c r="G498" t="s">
        <v>1751</v>
      </c>
      <c r="H498" t="s">
        <v>1754</v>
      </c>
      <c r="I498">
        <v>1</v>
      </c>
      <c r="J498">
        <v>66</v>
      </c>
      <c r="K498">
        <v>47</v>
      </c>
      <c r="L498">
        <v>20</v>
      </c>
      <c r="M498" t="s">
        <v>48</v>
      </c>
      <c r="N498" t="s">
        <v>24</v>
      </c>
      <c r="O498" t="b">
        <v>1</v>
      </c>
      <c r="Y498" t="e">
        <f>Table1[[#This Row],[qPer board]]*Table1[[#This Row],[boards]]</f>
        <v>#N/A</v>
      </c>
      <c r="AA498" t="e">
        <f>VLOOKUP(Table1[[#This Row],[MA_Number]], 'rhd batch30'!$A$1:$B$64,2,FALSE)</f>
        <v>#N/A</v>
      </c>
      <c r="AB498">
        <v>17</v>
      </c>
    </row>
    <row r="499" spans="1:28" x14ac:dyDescent="0.3">
      <c r="A499" t="s">
        <v>718</v>
      </c>
      <c r="B499" s="1" t="s">
        <v>1104</v>
      </c>
      <c r="C499" s="1"/>
      <c r="D499" t="s">
        <v>281</v>
      </c>
      <c r="E499" t="s">
        <v>1716</v>
      </c>
      <c r="F499" t="b">
        <v>1</v>
      </c>
      <c r="I499">
        <v>1</v>
      </c>
      <c r="J499" t="s">
        <v>676</v>
      </c>
      <c r="K499" t="s">
        <v>676</v>
      </c>
      <c r="L499" t="s">
        <v>676</v>
      </c>
      <c r="O499" t="b">
        <v>1</v>
      </c>
      <c r="Y499" t="e">
        <f>Table1[[#This Row],[qPer board]]*Table1[[#This Row],[boards]]</f>
        <v>#N/A</v>
      </c>
      <c r="AA499" t="e">
        <f>VLOOKUP(Table1[[#This Row],[MA_Number]], 'rhd batch30'!$A$1:$B$64,2,FALSE)</f>
        <v>#N/A</v>
      </c>
      <c r="AB499">
        <v>17</v>
      </c>
    </row>
    <row r="500" spans="1:28" x14ac:dyDescent="0.3">
      <c r="B500" s="1" t="s">
        <v>1104</v>
      </c>
      <c r="C500" s="1"/>
      <c r="E500" t="s">
        <v>1717</v>
      </c>
      <c r="G500" t="s">
        <v>718</v>
      </c>
      <c r="H500" t="s">
        <v>1718</v>
      </c>
      <c r="I500">
        <v>1</v>
      </c>
      <c r="J500">
        <v>56</v>
      </c>
      <c r="K500">
        <v>50</v>
      </c>
      <c r="L500">
        <v>52</v>
      </c>
      <c r="M500" t="s">
        <v>49</v>
      </c>
      <c r="N500" t="s">
        <v>24</v>
      </c>
      <c r="O500" t="b">
        <v>1</v>
      </c>
      <c r="Y500" t="e">
        <f>Table1[[#This Row],[qPer board]]*Table1[[#This Row],[boards]]</f>
        <v>#N/A</v>
      </c>
      <c r="AA500" t="e">
        <f>VLOOKUP(Table1[[#This Row],[MA_Number]], 'rhd batch30'!$A$1:$B$64,2,FALSE)</f>
        <v>#N/A</v>
      </c>
      <c r="AB500">
        <v>17</v>
      </c>
    </row>
    <row r="501" spans="1:28" x14ac:dyDescent="0.3">
      <c r="B501" s="1" t="s">
        <v>1104</v>
      </c>
      <c r="C501" s="1"/>
      <c r="E501" t="s">
        <v>1719</v>
      </c>
      <c r="G501" t="s">
        <v>718</v>
      </c>
      <c r="H501" t="s">
        <v>1720</v>
      </c>
      <c r="I501">
        <v>1</v>
      </c>
      <c r="J501">
        <v>56</v>
      </c>
      <c r="K501">
        <v>50</v>
      </c>
      <c r="L501">
        <v>30</v>
      </c>
      <c r="M501" t="s">
        <v>49</v>
      </c>
      <c r="N501" t="s">
        <v>24</v>
      </c>
      <c r="O501" t="b">
        <v>1</v>
      </c>
      <c r="Y501" t="e">
        <f>Table1[[#This Row],[qPer board]]*Table1[[#This Row],[boards]]</f>
        <v>#N/A</v>
      </c>
      <c r="AA501" t="e">
        <f>VLOOKUP(Table1[[#This Row],[MA_Number]], 'rhd batch30'!$A$1:$B$64,2,FALSE)</f>
        <v>#N/A</v>
      </c>
      <c r="AB501">
        <v>17</v>
      </c>
    </row>
    <row r="502" spans="1:28" x14ac:dyDescent="0.3">
      <c r="B502" s="1" t="s">
        <v>1104</v>
      </c>
      <c r="C502" s="1"/>
      <c r="E502" t="s">
        <v>1721</v>
      </c>
      <c r="G502" t="s">
        <v>718</v>
      </c>
      <c r="H502" t="s">
        <v>1722</v>
      </c>
      <c r="I502">
        <v>1</v>
      </c>
      <c r="J502">
        <v>56</v>
      </c>
      <c r="K502">
        <v>50</v>
      </c>
      <c r="L502">
        <v>20</v>
      </c>
      <c r="M502" t="s">
        <v>49</v>
      </c>
      <c r="N502" t="s">
        <v>24</v>
      </c>
      <c r="O502" t="b">
        <v>1</v>
      </c>
      <c r="Y502" t="e">
        <f>Table1[[#This Row],[qPer board]]*Table1[[#This Row],[boards]]</f>
        <v>#N/A</v>
      </c>
      <c r="AA502" t="e">
        <f>VLOOKUP(Table1[[#This Row],[MA_Number]], 'rhd batch30'!$A$1:$B$64,2,FALSE)</f>
        <v>#N/A</v>
      </c>
      <c r="AB502">
        <v>17</v>
      </c>
    </row>
    <row r="503" spans="1:28" x14ac:dyDescent="0.3">
      <c r="A503" t="s">
        <v>1847</v>
      </c>
      <c r="B503" s="1" t="s">
        <v>1234</v>
      </c>
      <c r="C503" s="1"/>
      <c r="D503" t="s">
        <v>281</v>
      </c>
      <c r="E503" t="s">
        <v>1748</v>
      </c>
      <c r="F503" t="b">
        <v>1</v>
      </c>
      <c r="I503">
        <v>1</v>
      </c>
      <c r="J503" t="s">
        <v>676</v>
      </c>
      <c r="K503" t="s">
        <v>676</v>
      </c>
      <c r="L503" t="s">
        <v>676</v>
      </c>
      <c r="O503" t="b">
        <v>1</v>
      </c>
      <c r="Y503" t="e">
        <f>Table1[[#This Row],[qPer board]]*Table1[[#This Row],[boards]]</f>
        <v>#N/A</v>
      </c>
      <c r="AA503" t="e">
        <f>VLOOKUP(Table1[[#This Row],[MA_Number]], 'rhd batch30'!$A$1:$B$64,2,FALSE)</f>
        <v>#N/A</v>
      </c>
      <c r="AB503">
        <v>17</v>
      </c>
    </row>
    <row r="504" spans="1:28" x14ac:dyDescent="0.3">
      <c r="B504" s="1" t="s">
        <v>1234</v>
      </c>
      <c r="C504" s="1"/>
      <c r="G504" t="s">
        <v>1847</v>
      </c>
      <c r="H504" t="s">
        <v>1848</v>
      </c>
      <c r="I504">
        <v>1</v>
      </c>
      <c r="J504">
        <v>58</v>
      </c>
      <c r="K504">
        <v>35</v>
      </c>
      <c r="L504">
        <v>41</v>
      </c>
      <c r="M504" t="s">
        <v>49</v>
      </c>
      <c r="N504" t="s">
        <v>24</v>
      </c>
      <c r="O504" t="b">
        <v>1</v>
      </c>
      <c r="Y504" t="e">
        <f>Table1[[#This Row],[qPer board]]*Table1[[#This Row],[boards]]</f>
        <v>#N/A</v>
      </c>
      <c r="AA504" t="e">
        <f>VLOOKUP(Table1[[#This Row],[MA_Number]], 'rhd batch30'!$A$1:$B$64,2,FALSE)</f>
        <v>#N/A</v>
      </c>
      <c r="AB504">
        <v>17</v>
      </c>
    </row>
    <row r="505" spans="1:28" x14ac:dyDescent="0.3">
      <c r="B505" s="1" t="s">
        <v>1234</v>
      </c>
      <c r="C505" s="1"/>
      <c r="G505" t="s">
        <v>1847</v>
      </c>
      <c r="H505" t="s">
        <v>1849</v>
      </c>
      <c r="I505">
        <v>1</v>
      </c>
      <c r="J505">
        <v>58</v>
      </c>
      <c r="K505">
        <v>35</v>
      </c>
      <c r="L505">
        <v>30</v>
      </c>
      <c r="M505" t="s">
        <v>49</v>
      </c>
      <c r="N505" t="s">
        <v>24</v>
      </c>
      <c r="O505" t="b">
        <v>1</v>
      </c>
      <c r="Y505" t="e">
        <f>Table1[[#This Row],[qPer board]]*Table1[[#This Row],[boards]]</f>
        <v>#N/A</v>
      </c>
      <c r="AA505" t="e">
        <f>VLOOKUP(Table1[[#This Row],[MA_Number]], 'rhd batch30'!$A$1:$B$64,2,FALSE)</f>
        <v>#N/A</v>
      </c>
      <c r="AB505">
        <v>17</v>
      </c>
    </row>
    <row r="506" spans="1:28" x14ac:dyDescent="0.3">
      <c r="B506" s="1" t="s">
        <v>1234</v>
      </c>
      <c r="C506" s="1"/>
      <c r="G506" t="s">
        <v>1847</v>
      </c>
      <c r="H506" t="s">
        <v>1850</v>
      </c>
      <c r="I506">
        <v>1</v>
      </c>
      <c r="J506">
        <v>58</v>
      </c>
      <c r="K506">
        <v>35</v>
      </c>
      <c r="L506">
        <v>20</v>
      </c>
      <c r="M506" t="s">
        <v>49</v>
      </c>
      <c r="N506" t="s">
        <v>24</v>
      </c>
      <c r="O506" t="b">
        <v>1</v>
      </c>
      <c r="Y506" t="e">
        <f>Table1[[#This Row],[qPer board]]*Table1[[#This Row],[boards]]</f>
        <v>#N/A</v>
      </c>
      <c r="AA506" t="e">
        <f>VLOOKUP(Table1[[#This Row],[MA_Number]], 'rhd batch30'!$A$1:$B$64,2,FALSE)</f>
        <v>#N/A</v>
      </c>
      <c r="AB506">
        <v>17</v>
      </c>
    </row>
    <row r="507" spans="1:28" x14ac:dyDescent="0.3">
      <c r="A507" t="s">
        <v>1723</v>
      </c>
      <c r="B507" s="1" t="s">
        <v>1724</v>
      </c>
      <c r="C507" s="1"/>
      <c r="D507" t="s">
        <v>281</v>
      </c>
      <c r="E507" t="s">
        <v>1475</v>
      </c>
      <c r="F507" t="b">
        <v>1</v>
      </c>
      <c r="I507">
        <v>1</v>
      </c>
      <c r="J507" t="s">
        <v>676</v>
      </c>
      <c r="K507" t="s">
        <v>676</v>
      </c>
      <c r="L507" t="s">
        <v>676</v>
      </c>
      <c r="O507" t="b">
        <v>1</v>
      </c>
      <c r="Y507" t="e">
        <f>Table1[[#This Row],[qPer board]]*Table1[[#This Row],[boards]]</f>
        <v>#N/A</v>
      </c>
      <c r="AA507" t="e">
        <f>VLOOKUP(Table1[[#This Row],[MA_Number]], 'rhd batch30'!$A$1:$B$64,2,FALSE)</f>
        <v>#N/A</v>
      </c>
      <c r="AB507">
        <v>17</v>
      </c>
    </row>
    <row r="508" spans="1:28" x14ac:dyDescent="0.3">
      <c r="B508" s="1" t="s">
        <v>1724</v>
      </c>
      <c r="C508" s="1"/>
      <c r="E508" t="s">
        <v>1725</v>
      </c>
      <c r="G508" t="s">
        <v>1723</v>
      </c>
      <c r="H508" t="s">
        <v>1726</v>
      </c>
      <c r="I508">
        <v>1</v>
      </c>
      <c r="J508">
        <v>60</v>
      </c>
      <c r="K508">
        <v>40</v>
      </c>
      <c r="L508">
        <v>46</v>
      </c>
      <c r="M508" t="s">
        <v>48</v>
      </c>
      <c r="N508" t="s">
        <v>24</v>
      </c>
      <c r="O508" t="b">
        <v>1</v>
      </c>
      <c r="Y508" t="e">
        <f>Table1[[#This Row],[qPer board]]*Table1[[#This Row],[boards]]</f>
        <v>#N/A</v>
      </c>
      <c r="AA508" t="e">
        <f>VLOOKUP(Table1[[#This Row],[MA_Number]], 'rhd batch30'!$A$1:$B$64,2,FALSE)</f>
        <v>#N/A</v>
      </c>
      <c r="AB508">
        <v>17</v>
      </c>
    </row>
    <row r="509" spans="1:28" x14ac:dyDescent="0.3">
      <c r="B509" s="1" t="s">
        <v>1724</v>
      </c>
      <c r="C509" s="1"/>
      <c r="E509" t="s">
        <v>1599</v>
      </c>
      <c r="G509" t="s">
        <v>1723</v>
      </c>
      <c r="H509" t="s">
        <v>1727</v>
      </c>
      <c r="I509">
        <v>1</v>
      </c>
      <c r="J509">
        <v>60</v>
      </c>
      <c r="K509">
        <v>40</v>
      </c>
      <c r="L509">
        <v>30</v>
      </c>
      <c r="M509" t="s">
        <v>48</v>
      </c>
      <c r="N509" t="s">
        <v>24</v>
      </c>
      <c r="O509" t="b">
        <v>1</v>
      </c>
      <c r="Y509" t="e">
        <f>Table1[[#This Row],[qPer board]]*Table1[[#This Row],[boards]]</f>
        <v>#N/A</v>
      </c>
      <c r="AA509" t="e">
        <f>VLOOKUP(Table1[[#This Row],[MA_Number]], 'rhd batch30'!$A$1:$B$64,2,FALSE)</f>
        <v>#N/A</v>
      </c>
      <c r="AB509">
        <v>17</v>
      </c>
    </row>
    <row r="510" spans="1:28" x14ac:dyDescent="0.3">
      <c r="B510" s="1" t="s">
        <v>1724</v>
      </c>
      <c r="C510" s="1"/>
      <c r="E510" t="s">
        <v>1601</v>
      </c>
      <c r="G510" t="s">
        <v>1723</v>
      </c>
      <c r="H510" t="s">
        <v>1728</v>
      </c>
      <c r="I510">
        <v>1</v>
      </c>
      <c r="J510">
        <v>60</v>
      </c>
      <c r="K510">
        <v>40</v>
      </c>
      <c r="L510">
        <v>20</v>
      </c>
      <c r="M510" t="s">
        <v>48</v>
      </c>
      <c r="N510" t="s">
        <v>24</v>
      </c>
      <c r="O510" t="b">
        <v>1</v>
      </c>
      <c r="Y510" t="e">
        <f>Table1[[#This Row],[qPer board]]*Table1[[#This Row],[boards]]</f>
        <v>#N/A</v>
      </c>
      <c r="AA510" t="e">
        <f>VLOOKUP(Table1[[#This Row],[MA_Number]], 'rhd batch30'!$A$1:$B$64,2,FALSE)</f>
        <v>#N/A</v>
      </c>
      <c r="AB510">
        <v>17</v>
      </c>
    </row>
    <row r="511" spans="1:28" x14ac:dyDescent="0.3">
      <c r="A511" t="s">
        <v>607</v>
      </c>
      <c r="B511" s="1" t="s">
        <v>1097</v>
      </c>
      <c r="C511" s="1"/>
      <c r="D511" t="s">
        <v>281</v>
      </c>
      <c r="E511" t="s">
        <v>1729</v>
      </c>
      <c r="F511" t="b">
        <v>1</v>
      </c>
      <c r="I511">
        <v>1</v>
      </c>
      <c r="J511" t="s">
        <v>676</v>
      </c>
      <c r="K511" t="s">
        <v>676</v>
      </c>
      <c r="L511" t="s">
        <v>676</v>
      </c>
      <c r="O511" t="b">
        <v>1</v>
      </c>
      <c r="Y511" t="e">
        <f>Table1[[#This Row],[qPer board]]*Table1[[#This Row],[boards]]</f>
        <v>#N/A</v>
      </c>
      <c r="AA511" t="e">
        <f>VLOOKUP(Table1[[#This Row],[MA_Number]], 'rhd batch30'!$A$1:$B$64,2,FALSE)</f>
        <v>#N/A</v>
      </c>
      <c r="AB511">
        <v>17</v>
      </c>
    </row>
    <row r="512" spans="1:28" x14ac:dyDescent="0.3">
      <c r="B512" s="1" t="s">
        <v>1097</v>
      </c>
      <c r="C512" s="1"/>
      <c r="E512" t="s">
        <v>1730</v>
      </c>
      <c r="G512" t="s">
        <v>607</v>
      </c>
      <c r="H512" t="s">
        <v>1731</v>
      </c>
      <c r="I512">
        <v>1</v>
      </c>
      <c r="J512">
        <v>60</v>
      </c>
      <c r="K512">
        <v>39</v>
      </c>
      <c r="L512">
        <v>47</v>
      </c>
      <c r="M512" t="s">
        <v>50</v>
      </c>
      <c r="N512" t="s">
        <v>24</v>
      </c>
      <c r="O512" t="b">
        <v>1</v>
      </c>
      <c r="Y512" t="e">
        <f>Table1[[#This Row],[qPer board]]*Table1[[#This Row],[boards]]</f>
        <v>#N/A</v>
      </c>
      <c r="AA512" t="e">
        <f>VLOOKUP(Table1[[#This Row],[MA_Number]], 'rhd batch30'!$A$1:$B$64,2,FALSE)</f>
        <v>#N/A</v>
      </c>
      <c r="AB512">
        <v>17</v>
      </c>
    </row>
    <row r="513" spans="1:28" x14ac:dyDescent="0.3">
      <c r="B513" s="1" t="s">
        <v>1097</v>
      </c>
      <c r="C513" s="1"/>
      <c r="E513" t="s">
        <v>1732</v>
      </c>
      <c r="G513" t="s">
        <v>607</v>
      </c>
      <c r="H513" t="s">
        <v>1733</v>
      </c>
      <c r="I513">
        <v>1</v>
      </c>
      <c r="J513">
        <v>60</v>
      </c>
      <c r="K513">
        <v>39</v>
      </c>
      <c r="L513">
        <v>30</v>
      </c>
      <c r="M513" t="s">
        <v>50</v>
      </c>
      <c r="N513" t="s">
        <v>24</v>
      </c>
      <c r="O513" t="b">
        <v>1</v>
      </c>
      <c r="Y513" t="e">
        <f>Table1[[#This Row],[qPer board]]*Table1[[#This Row],[boards]]</f>
        <v>#N/A</v>
      </c>
      <c r="AA513" t="e">
        <f>VLOOKUP(Table1[[#This Row],[MA_Number]], 'rhd batch30'!$A$1:$B$64,2,FALSE)</f>
        <v>#N/A</v>
      </c>
      <c r="AB513">
        <v>17</v>
      </c>
    </row>
    <row r="514" spans="1:28" x14ac:dyDescent="0.3">
      <c r="B514" s="1" t="s">
        <v>1097</v>
      </c>
      <c r="C514" s="1"/>
      <c r="E514" t="s">
        <v>1734</v>
      </c>
      <c r="G514" t="s">
        <v>607</v>
      </c>
      <c r="H514" t="s">
        <v>1735</v>
      </c>
      <c r="I514">
        <v>1</v>
      </c>
      <c r="J514">
        <v>60</v>
      </c>
      <c r="K514">
        <v>39</v>
      </c>
      <c r="L514">
        <v>21</v>
      </c>
      <c r="M514" t="s">
        <v>50</v>
      </c>
      <c r="N514" t="s">
        <v>24</v>
      </c>
      <c r="O514" t="b">
        <v>1</v>
      </c>
      <c r="Y514" t="e">
        <f>Table1[[#This Row],[qPer board]]*Table1[[#This Row],[boards]]</f>
        <v>#N/A</v>
      </c>
      <c r="AA514" t="e">
        <f>VLOOKUP(Table1[[#This Row],[MA_Number]], 'rhd batch30'!$A$1:$B$64,2,FALSE)</f>
        <v>#N/A</v>
      </c>
      <c r="AB514">
        <v>17</v>
      </c>
    </row>
    <row r="515" spans="1:28" x14ac:dyDescent="0.3">
      <c r="A515" t="s">
        <v>723</v>
      </c>
      <c r="B515" s="1" t="s">
        <v>1105</v>
      </c>
      <c r="C515" s="1"/>
      <c r="D515" t="s">
        <v>281</v>
      </c>
      <c r="E515" t="s">
        <v>1736</v>
      </c>
      <c r="F515" t="b">
        <v>1</v>
      </c>
      <c r="I515">
        <v>1</v>
      </c>
      <c r="J515" t="s">
        <v>676</v>
      </c>
      <c r="K515" t="s">
        <v>676</v>
      </c>
      <c r="L515" t="s">
        <v>676</v>
      </c>
      <c r="O515" t="b">
        <v>1</v>
      </c>
      <c r="Y515" t="e">
        <f>Table1[[#This Row],[qPer board]]*Table1[[#This Row],[boards]]</f>
        <v>#N/A</v>
      </c>
      <c r="AA515" t="e">
        <f>VLOOKUP(Table1[[#This Row],[MA_Number]], 'rhd batch30'!$A$1:$B$64,2,FALSE)</f>
        <v>#N/A</v>
      </c>
      <c r="AB515">
        <v>17</v>
      </c>
    </row>
    <row r="516" spans="1:28" x14ac:dyDescent="0.3">
      <c r="B516" s="1" t="s">
        <v>1105</v>
      </c>
      <c r="C516" s="1"/>
      <c r="E516" t="s">
        <v>1737</v>
      </c>
      <c r="G516" t="s">
        <v>723</v>
      </c>
      <c r="H516" t="s">
        <v>1738</v>
      </c>
      <c r="I516">
        <v>1</v>
      </c>
      <c r="J516">
        <v>57</v>
      </c>
      <c r="K516">
        <v>40</v>
      </c>
      <c r="L516">
        <v>47</v>
      </c>
      <c r="M516" t="s">
        <v>51</v>
      </c>
      <c r="N516" t="s">
        <v>24</v>
      </c>
      <c r="O516" t="b">
        <v>1</v>
      </c>
      <c r="Y516" t="e">
        <f>Table1[[#This Row],[qPer board]]*Table1[[#This Row],[boards]]</f>
        <v>#N/A</v>
      </c>
      <c r="AA516" t="e">
        <f>VLOOKUP(Table1[[#This Row],[MA_Number]], 'rhd batch30'!$A$1:$B$64,2,FALSE)</f>
        <v>#N/A</v>
      </c>
      <c r="AB516">
        <v>17</v>
      </c>
    </row>
    <row r="517" spans="1:28" x14ac:dyDescent="0.3">
      <c r="B517" s="1" t="s">
        <v>1105</v>
      </c>
      <c r="C517" s="1"/>
      <c r="E517" t="s">
        <v>1739</v>
      </c>
      <c r="G517" t="s">
        <v>723</v>
      </c>
      <c r="H517" t="s">
        <v>1740</v>
      </c>
      <c r="I517">
        <v>1</v>
      </c>
      <c r="J517">
        <v>57</v>
      </c>
      <c r="K517">
        <v>40</v>
      </c>
      <c r="L517">
        <v>30</v>
      </c>
      <c r="M517" t="s">
        <v>51</v>
      </c>
      <c r="N517" t="s">
        <v>24</v>
      </c>
      <c r="O517" t="b">
        <v>1</v>
      </c>
      <c r="Y517" t="e">
        <f>Table1[[#This Row],[qPer board]]*Table1[[#This Row],[boards]]</f>
        <v>#N/A</v>
      </c>
      <c r="AA517" t="e">
        <f>VLOOKUP(Table1[[#This Row],[MA_Number]], 'rhd batch30'!$A$1:$B$64,2,FALSE)</f>
        <v>#N/A</v>
      </c>
      <c r="AB517">
        <v>17</v>
      </c>
    </row>
    <row r="518" spans="1:28" x14ac:dyDescent="0.3">
      <c r="B518" s="1" t="s">
        <v>1105</v>
      </c>
      <c r="C518" s="1"/>
      <c r="E518" t="s">
        <v>1741</v>
      </c>
      <c r="G518" t="s">
        <v>723</v>
      </c>
      <c r="H518" t="s">
        <v>1742</v>
      </c>
      <c r="I518">
        <v>1</v>
      </c>
      <c r="J518">
        <v>57</v>
      </c>
      <c r="K518">
        <v>40</v>
      </c>
      <c r="L518">
        <v>21</v>
      </c>
      <c r="M518" t="s">
        <v>51</v>
      </c>
      <c r="N518" t="s">
        <v>24</v>
      </c>
      <c r="O518" t="b">
        <v>1</v>
      </c>
      <c r="Y518" t="e">
        <f>Table1[[#This Row],[qPer board]]*Table1[[#This Row],[boards]]</f>
        <v>#N/A</v>
      </c>
      <c r="AA518" t="e">
        <f>VLOOKUP(Table1[[#This Row],[MA_Number]], 'rhd batch30'!$A$1:$B$64,2,FALSE)</f>
        <v>#N/A</v>
      </c>
      <c r="AB518">
        <v>17</v>
      </c>
    </row>
    <row r="519" spans="1:28" x14ac:dyDescent="0.3">
      <c r="A519" s="67" t="s">
        <v>1954</v>
      </c>
      <c r="B519" s="1" t="s">
        <v>1743</v>
      </c>
      <c r="C519" s="1"/>
      <c r="D519" t="s">
        <v>281</v>
      </c>
      <c r="E519" t="s">
        <v>1962</v>
      </c>
      <c r="F519" t="b">
        <v>1</v>
      </c>
      <c r="I519">
        <v>1</v>
      </c>
      <c r="J519" t="s">
        <v>676</v>
      </c>
      <c r="K519" t="s">
        <v>676</v>
      </c>
      <c r="L519" t="s">
        <v>676</v>
      </c>
      <c r="N519" t="s">
        <v>24</v>
      </c>
      <c r="O519" t="b">
        <v>1</v>
      </c>
      <c r="X519">
        <v>21</v>
      </c>
      <c r="Y519" t="e">
        <f>Table1[[#This Row],[qPer board]]*Table1[[#This Row],[boards]]</f>
        <v>#N/A</v>
      </c>
      <c r="Z519" t="s">
        <v>1763</v>
      </c>
      <c r="AA519" t="e">
        <f>VLOOKUP(Table1[[#This Row],[MA_Number]], 'rhd batch30'!$A$1:$B$64,2,FALSE)</f>
        <v>#N/A</v>
      </c>
      <c r="AB519">
        <v>1</v>
      </c>
    </row>
    <row r="520" spans="1:28" x14ac:dyDescent="0.3">
      <c r="A520" s="67"/>
      <c r="B520" s="1" t="s">
        <v>1743</v>
      </c>
      <c r="C520" s="1"/>
      <c r="G520" t="s">
        <v>1954</v>
      </c>
      <c r="H520" t="s">
        <v>1956</v>
      </c>
      <c r="I520">
        <v>1</v>
      </c>
      <c r="J520">
        <v>70</v>
      </c>
      <c r="K520">
        <v>40</v>
      </c>
      <c r="L520">
        <v>48</v>
      </c>
      <c r="M520" t="s">
        <v>49</v>
      </c>
      <c r="N520" t="s">
        <v>24</v>
      </c>
      <c r="O520" t="b">
        <v>1</v>
      </c>
      <c r="X520">
        <v>21</v>
      </c>
      <c r="Y520" t="e">
        <f>Table1[[#This Row],[qPer board]]*Table1[[#This Row],[boards]]</f>
        <v>#N/A</v>
      </c>
      <c r="Z520" t="s">
        <v>1763</v>
      </c>
      <c r="AA520" t="e">
        <f>VLOOKUP(Table1[[#This Row],[MA_Number]], 'rhd batch30'!$A$1:$B$64,2,FALSE)</f>
        <v>#N/A</v>
      </c>
      <c r="AB520">
        <v>1</v>
      </c>
    </row>
    <row r="521" spans="1:28" x14ac:dyDescent="0.3">
      <c r="A521" s="67"/>
      <c r="B521" s="1" t="s">
        <v>1743</v>
      </c>
      <c r="C521" s="1"/>
      <c r="G521" t="s">
        <v>1954</v>
      </c>
      <c r="H521" t="s">
        <v>1957</v>
      </c>
      <c r="I521">
        <v>1</v>
      </c>
      <c r="J521">
        <v>70</v>
      </c>
      <c r="K521">
        <v>40</v>
      </c>
      <c r="L521">
        <v>30</v>
      </c>
      <c r="M521" t="s">
        <v>49</v>
      </c>
      <c r="N521" t="s">
        <v>24</v>
      </c>
      <c r="O521" t="b">
        <v>1</v>
      </c>
      <c r="X521">
        <v>21</v>
      </c>
      <c r="Y521" t="e">
        <f>Table1[[#This Row],[qPer board]]*Table1[[#This Row],[boards]]</f>
        <v>#N/A</v>
      </c>
      <c r="Z521" t="s">
        <v>1763</v>
      </c>
      <c r="AA521" t="e">
        <f>VLOOKUP(Table1[[#This Row],[MA_Number]], 'rhd batch30'!$A$1:$B$64,2,FALSE)</f>
        <v>#N/A</v>
      </c>
      <c r="AB521">
        <v>1</v>
      </c>
    </row>
    <row r="522" spans="1:28" x14ac:dyDescent="0.3">
      <c r="A522" s="67"/>
      <c r="B522" s="1" t="s">
        <v>1743</v>
      </c>
      <c r="C522" s="1"/>
      <c r="G522" t="s">
        <v>1954</v>
      </c>
      <c r="H522" t="s">
        <v>1958</v>
      </c>
      <c r="I522">
        <v>1</v>
      </c>
      <c r="J522">
        <v>70</v>
      </c>
      <c r="K522">
        <v>40</v>
      </c>
      <c r="L522">
        <v>20</v>
      </c>
      <c r="M522" t="s">
        <v>49</v>
      </c>
      <c r="N522" t="s">
        <v>24</v>
      </c>
      <c r="O522" t="b">
        <v>1</v>
      </c>
      <c r="X522">
        <v>21</v>
      </c>
      <c r="Y522" t="e">
        <f>Table1[[#This Row],[qPer board]]*Table1[[#This Row],[boards]]</f>
        <v>#N/A</v>
      </c>
      <c r="Z522" t="s">
        <v>1763</v>
      </c>
      <c r="AA522" t="e">
        <f>VLOOKUP(Table1[[#This Row],[MA_Number]], 'rhd batch30'!$A$1:$B$64,2,FALSE)</f>
        <v>#N/A</v>
      </c>
      <c r="AB522">
        <v>1</v>
      </c>
    </row>
    <row r="523" spans="1:28" x14ac:dyDescent="0.3">
      <c r="A523" s="67" t="s">
        <v>1955</v>
      </c>
      <c r="B523" s="1" t="s">
        <v>1743</v>
      </c>
      <c r="C523" s="1"/>
      <c r="D523" t="s">
        <v>281</v>
      </c>
      <c r="E523" t="s">
        <v>1963</v>
      </c>
      <c r="F523" t="b">
        <v>1</v>
      </c>
      <c r="I523">
        <v>1</v>
      </c>
      <c r="J523" t="s">
        <v>676</v>
      </c>
      <c r="K523" t="s">
        <v>676</v>
      </c>
      <c r="L523" t="s">
        <v>676</v>
      </c>
      <c r="N523" t="s">
        <v>24</v>
      </c>
      <c r="O523" t="b">
        <v>1</v>
      </c>
      <c r="X523">
        <v>42</v>
      </c>
      <c r="Y523">
        <f>Table1[[#This Row],[qPer board]]*Table1[[#This Row],[boards]]</f>
        <v>1</v>
      </c>
      <c r="Z523" t="s">
        <v>1763</v>
      </c>
      <c r="AA523">
        <v>1</v>
      </c>
      <c r="AB523">
        <v>1</v>
      </c>
    </row>
    <row r="524" spans="1:28" x14ac:dyDescent="0.3">
      <c r="A524" s="67"/>
      <c r="B524" s="1" t="s">
        <v>1743</v>
      </c>
      <c r="C524" s="1"/>
      <c r="G524" t="s">
        <v>1955</v>
      </c>
      <c r="H524" t="s">
        <v>1959</v>
      </c>
      <c r="I524">
        <v>1</v>
      </c>
      <c r="J524">
        <v>50</v>
      </c>
      <c r="K524">
        <v>40</v>
      </c>
      <c r="L524">
        <v>70</v>
      </c>
      <c r="M524" t="s">
        <v>48</v>
      </c>
      <c r="N524" t="s">
        <v>24</v>
      </c>
      <c r="O524" t="b">
        <v>1</v>
      </c>
      <c r="X524">
        <v>42</v>
      </c>
      <c r="Y524">
        <f>Table1[[#This Row],[qPer board]]*Table1[[#This Row],[boards]]</f>
        <v>1</v>
      </c>
      <c r="Z524" t="s">
        <v>1763</v>
      </c>
      <c r="AA524">
        <v>1</v>
      </c>
      <c r="AB524">
        <v>1</v>
      </c>
    </row>
    <row r="525" spans="1:28" x14ac:dyDescent="0.3">
      <c r="A525" s="67"/>
      <c r="B525" s="1" t="s">
        <v>1743</v>
      </c>
      <c r="C525" s="1"/>
      <c r="G525" t="s">
        <v>1955</v>
      </c>
      <c r="H525" t="s">
        <v>1960</v>
      </c>
      <c r="I525">
        <v>1</v>
      </c>
      <c r="J525">
        <v>50</v>
      </c>
      <c r="K525">
        <v>40</v>
      </c>
      <c r="L525">
        <v>30</v>
      </c>
      <c r="M525" t="s">
        <v>48</v>
      </c>
      <c r="N525" t="s">
        <v>24</v>
      </c>
      <c r="O525" t="b">
        <v>1</v>
      </c>
      <c r="X525">
        <v>42</v>
      </c>
      <c r="Y525">
        <f>Table1[[#This Row],[qPer board]]*Table1[[#This Row],[boards]]</f>
        <v>1</v>
      </c>
      <c r="Z525" t="s">
        <v>1763</v>
      </c>
      <c r="AA525">
        <v>1</v>
      </c>
      <c r="AB525">
        <v>1</v>
      </c>
    </row>
    <row r="526" spans="1:28" x14ac:dyDescent="0.3">
      <c r="A526" s="67"/>
      <c r="B526" s="1" t="s">
        <v>1743</v>
      </c>
      <c r="C526" s="1"/>
      <c r="G526" t="s">
        <v>1955</v>
      </c>
      <c r="H526" t="s">
        <v>1961</v>
      </c>
      <c r="I526">
        <v>1</v>
      </c>
      <c r="J526">
        <v>50</v>
      </c>
      <c r="K526">
        <v>40</v>
      </c>
      <c r="L526">
        <v>20</v>
      </c>
      <c r="M526" t="s">
        <v>48</v>
      </c>
      <c r="N526" t="s">
        <v>24</v>
      </c>
      <c r="O526" t="b">
        <v>1</v>
      </c>
      <c r="X526">
        <v>42</v>
      </c>
      <c r="Y526">
        <f>Table1[[#This Row],[qPer board]]*Table1[[#This Row],[boards]]</f>
        <v>1</v>
      </c>
      <c r="Z526" t="s">
        <v>1763</v>
      </c>
      <c r="AA526">
        <v>1</v>
      </c>
      <c r="AB526">
        <v>1</v>
      </c>
    </row>
    <row r="527" spans="1:28" x14ac:dyDescent="0.3">
      <c r="A527" s="67" t="s">
        <v>1931</v>
      </c>
      <c r="B527" s="1">
        <v>7035990430</v>
      </c>
      <c r="C527" s="1"/>
      <c r="D527" t="s">
        <v>281</v>
      </c>
      <c r="E527" t="s">
        <v>1761</v>
      </c>
      <c r="F527" t="b">
        <v>1</v>
      </c>
      <c r="I527">
        <v>1</v>
      </c>
      <c r="N527" t="s">
        <v>24</v>
      </c>
      <c r="O527" t="b">
        <v>1</v>
      </c>
      <c r="Y527" t="e">
        <f>Table1[[#This Row],[qPer board]]*Table1[[#This Row],[boards]]</f>
        <v>#N/A</v>
      </c>
      <c r="AA527" t="e">
        <f>VLOOKUP(Table1[[#This Row],[MA_Number]], 'rhd batch30'!$A$1:$B$64,2,FALSE)</f>
        <v>#N/A</v>
      </c>
      <c r="AB527">
        <v>17</v>
      </c>
    </row>
    <row r="528" spans="1:28" x14ac:dyDescent="0.3">
      <c r="A528" s="67"/>
      <c r="B528" s="1">
        <v>7035990430</v>
      </c>
      <c r="C528" s="1"/>
      <c r="G528" t="s">
        <v>1931</v>
      </c>
      <c r="H528" t="s">
        <v>1932</v>
      </c>
      <c r="I528">
        <v>1</v>
      </c>
      <c r="J528">
        <v>70</v>
      </c>
      <c r="K528">
        <v>65</v>
      </c>
      <c r="L528">
        <v>70</v>
      </c>
      <c r="M528" t="s">
        <v>49</v>
      </c>
      <c r="N528" t="s">
        <v>24</v>
      </c>
      <c r="O528" t="b">
        <v>1</v>
      </c>
      <c r="Y528" t="e">
        <f>Table1[[#This Row],[qPer board]]*Table1[[#This Row],[boards]]</f>
        <v>#N/A</v>
      </c>
      <c r="AA528" t="e">
        <f>VLOOKUP(Table1[[#This Row],[MA_Number]], 'rhd batch30'!$A$1:$B$64,2,FALSE)</f>
        <v>#N/A</v>
      </c>
      <c r="AB528">
        <v>17</v>
      </c>
    </row>
    <row r="529" spans="1:28" x14ac:dyDescent="0.3">
      <c r="A529" s="67"/>
      <c r="B529" s="1">
        <v>7035990430</v>
      </c>
      <c r="C529" s="1"/>
      <c r="G529" t="s">
        <v>1931</v>
      </c>
      <c r="H529" t="s">
        <v>1933</v>
      </c>
      <c r="I529">
        <v>1</v>
      </c>
      <c r="J529">
        <v>35</v>
      </c>
      <c r="K529">
        <v>15</v>
      </c>
      <c r="L529">
        <v>25</v>
      </c>
      <c r="M529" t="s">
        <v>49</v>
      </c>
      <c r="N529" t="s">
        <v>24</v>
      </c>
      <c r="O529" t="b">
        <v>1</v>
      </c>
      <c r="Y529" t="e">
        <f>Table1[[#This Row],[qPer board]]*Table1[[#This Row],[boards]]</f>
        <v>#N/A</v>
      </c>
      <c r="AA529" t="e">
        <f>VLOOKUP(Table1[[#This Row],[MA_Number]], 'rhd batch30'!$A$1:$B$64,2,FALSE)</f>
        <v>#N/A</v>
      </c>
      <c r="AB529">
        <v>17</v>
      </c>
    </row>
    <row r="530" spans="1:28" x14ac:dyDescent="0.3">
      <c r="A530" s="67" t="s">
        <v>1844</v>
      </c>
      <c r="B530" s="1">
        <v>7035990930</v>
      </c>
      <c r="C530" s="1"/>
      <c r="D530" t="s">
        <v>281</v>
      </c>
      <c r="E530" t="s">
        <v>1762</v>
      </c>
      <c r="F530" t="b">
        <v>1</v>
      </c>
      <c r="I530">
        <v>1</v>
      </c>
      <c r="N530" t="s">
        <v>24</v>
      </c>
      <c r="O530" t="b">
        <v>1</v>
      </c>
      <c r="Y530" t="e">
        <f>Table1[[#This Row],[qPer board]]*Table1[[#This Row],[boards]]</f>
        <v>#N/A</v>
      </c>
      <c r="AA530" t="e">
        <f>VLOOKUP(Table1[[#This Row],[MA_Number]], 'rhd batch30'!$A$1:$B$64,2,FALSE)</f>
        <v>#N/A</v>
      </c>
      <c r="AB530">
        <v>17</v>
      </c>
    </row>
    <row r="531" spans="1:28" x14ac:dyDescent="0.3">
      <c r="A531" s="67"/>
      <c r="B531" s="1">
        <v>7035990930</v>
      </c>
      <c r="C531" s="1"/>
      <c r="G531" t="s">
        <v>1844</v>
      </c>
      <c r="H531" t="s">
        <v>1845</v>
      </c>
      <c r="I531">
        <v>1</v>
      </c>
      <c r="J531">
        <v>110</v>
      </c>
      <c r="K531">
        <v>50</v>
      </c>
      <c r="L531">
        <v>75</v>
      </c>
      <c r="M531" t="s">
        <v>49</v>
      </c>
      <c r="N531" t="s">
        <v>24</v>
      </c>
      <c r="O531" t="b">
        <v>1</v>
      </c>
      <c r="Y531" t="e">
        <f>Table1[[#This Row],[qPer board]]*Table1[[#This Row],[boards]]</f>
        <v>#N/A</v>
      </c>
      <c r="AA531" t="e">
        <f>VLOOKUP(Table1[[#This Row],[MA_Number]], 'rhd batch30'!$A$1:$B$64,2,FALSE)</f>
        <v>#N/A</v>
      </c>
      <c r="AB531">
        <v>17</v>
      </c>
    </row>
    <row r="532" spans="1:28" x14ac:dyDescent="0.3">
      <c r="A532" s="67"/>
      <c r="B532" s="1">
        <v>7035990930</v>
      </c>
      <c r="C532" s="1"/>
      <c r="G532" t="s">
        <v>1844</v>
      </c>
      <c r="H532" t="s">
        <v>1846</v>
      </c>
      <c r="I532">
        <v>1</v>
      </c>
      <c r="J532">
        <v>45</v>
      </c>
      <c r="K532">
        <v>15</v>
      </c>
      <c r="L532">
        <v>42</v>
      </c>
      <c r="M532" t="s">
        <v>49</v>
      </c>
      <c r="N532" t="s">
        <v>24</v>
      </c>
      <c r="O532" t="b">
        <v>1</v>
      </c>
      <c r="Y532" t="e">
        <f>Table1[[#This Row],[qPer board]]*Table1[[#This Row],[boards]]</f>
        <v>#N/A</v>
      </c>
      <c r="AA532" t="e">
        <f>VLOOKUP(Table1[[#This Row],[MA_Number]], 'rhd batch30'!$A$1:$B$64,2,FALSE)</f>
        <v>#N/A</v>
      </c>
      <c r="AB532">
        <v>17</v>
      </c>
    </row>
    <row r="533" spans="1:28" x14ac:dyDescent="0.3">
      <c r="A533" t="s">
        <v>1814</v>
      </c>
      <c r="B533" s="1">
        <v>7075244730</v>
      </c>
      <c r="C533" s="1"/>
      <c r="D533" t="s">
        <v>280</v>
      </c>
      <c r="E533" t="s">
        <v>1815</v>
      </c>
      <c r="F533" t="b">
        <v>0</v>
      </c>
      <c r="I533">
        <v>1</v>
      </c>
      <c r="J533">
        <v>56</v>
      </c>
      <c r="K533">
        <v>55</v>
      </c>
      <c r="L533">
        <v>65</v>
      </c>
      <c r="M533" t="s">
        <v>49</v>
      </c>
      <c r="N533" t="s">
        <v>24</v>
      </c>
      <c r="O533" t="b">
        <v>1</v>
      </c>
      <c r="X533">
        <v>24</v>
      </c>
      <c r="Y533">
        <f>Table1[[#This Row],[qPer board]]*Table1[[#This Row],[boards]]</f>
        <v>28</v>
      </c>
      <c r="Z533" t="s">
        <v>1348</v>
      </c>
      <c r="AA533">
        <v>1</v>
      </c>
      <c r="AB533">
        <v>28</v>
      </c>
    </row>
    <row r="534" spans="1:28" x14ac:dyDescent="0.3">
      <c r="A534" t="s">
        <v>1817</v>
      </c>
      <c r="B534" s="1" t="s">
        <v>1269</v>
      </c>
      <c r="C534" s="1"/>
      <c r="D534" t="s">
        <v>280</v>
      </c>
      <c r="E534" t="s">
        <v>1812</v>
      </c>
      <c r="F534" t="b">
        <v>0</v>
      </c>
      <c r="I534">
        <v>1</v>
      </c>
      <c r="J534">
        <v>56</v>
      </c>
      <c r="K534">
        <v>48</v>
      </c>
      <c r="L534">
        <v>57</v>
      </c>
      <c r="M534" t="s">
        <v>53</v>
      </c>
      <c r="N534" t="s">
        <v>24</v>
      </c>
      <c r="O534" t="b">
        <v>1</v>
      </c>
      <c r="X534">
        <v>30</v>
      </c>
      <c r="Y534">
        <f>Table1[[#This Row],[qPer board]]*Table1[[#This Row],[boards]]</f>
        <v>17</v>
      </c>
      <c r="Z534" t="s">
        <v>1820</v>
      </c>
      <c r="AA534">
        <f>VLOOKUP(Table1[[#This Row],[MA_Number]], 'rhd batch30'!$A$1:$B$64,2,FALSE)</f>
        <v>1</v>
      </c>
      <c r="AB534">
        <v>17</v>
      </c>
    </row>
    <row r="535" spans="1:28" x14ac:dyDescent="0.3">
      <c r="A535" t="s">
        <v>1826</v>
      </c>
      <c r="B535" s="1" t="s">
        <v>526</v>
      </c>
      <c r="C535" s="1"/>
      <c r="D535" t="s">
        <v>280</v>
      </c>
      <c r="E535" t="s">
        <v>1812</v>
      </c>
      <c r="F535" t="b">
        <v>1</v>
      </c>
      <c r="I535">
        <v>1</v>
      </c>
      <c r="N535" t="s">
        <v>24</v>
      </c>
      <c r="O535" t="b">
        <v>1</v>
      </c>
      <c r="V535" t="b">
        <v>1</v>
      </c>
      <c r="X535">
        <v>30</v>
      </c>
      <c r="Y535">
        <f>Table1[[#This Row],[qPer board]]*Table1[[#This Row],[boards]]</f>
        <v>34</v>
      </c>
      <c r="Z535" t="s">
        <v>1820</v>
      </c>
      <c r="AA535">
        <f>VLOOKUP(Table1[[#This Row],[MA_Number]], 'rhd batch30'!$A$1:$B$64,2,FALSE)</f>
        <v>2</v>
      </c>
      <c r="AB535">
        <v>17</v>
      </c>
    </row>
    <row r="536" spans="1:28" x14ac:dyDescent="0.3">
      <c r="B536" s="1" t="s">
        <v>526</v>
      </c>
      <c r="C536" s="1"/>
      <c r="E536" t="s">
        <v>1965</v>
      </c>
      <c r="G536" t="s">
        <v>1826</v>
      </c>
      <c r="H536" t="s">
        <v>1827</v>
      </c>
      <c r="I536">
        <v>1</v>
      </c>
      <c r="M536" t="s">
        <v>1031</v>
      </c>
      <c r="AA536" t="e">
        <f>VLOOKUP(Table1[[#This Row],[MA_Number]], 'rhd batch30'!$A$1:$B$64,2,FALSE)</f>
        <v>#N/A</v>
      </c>
      <c r="AB536">
        <v>17</v>
      </c>
    </row>
    <row r="537" spans="1:28" x14ac:dyDescent="0.3">
      <c r="B537" s="1" t="s">
        <v>526</v>
      </c>
      <c r="C537" s="1"/>
      <c r="E537" t="s">
        <v>1965</v>
      </c>
      <c r="G537" t="s">
        <v>1826</v>
      </c>
      <c r="H537" t="s">
        <v>1828</v>
      </c>
      <c r="I537">
        <v>1</v>
      </c>
      <c r="M537" t="s">
        <v>49</v>
      </c>
      <c r="AA537" t="e">
        <f>VLOOKUP(Table1[[#This Row],[MA_Number]], 'rhd batch30'!$A$1:$B$64,2,FALSE)</f>
        <v>#N/A</v>
      </c>
      <c r="AB537">
        <v>17</v>
      </c>
    </row>
    <row r="538" spans="1:28" x14ac:dyDescent="0.3">
      <c r="B538" s="1" t="s">
        <v>526</v>
      </c>
      <c r="C538" s="1"/>
      <c r="G538" t="s">
        <v>1826</v>
      </c>
      <c r="H538" t="s">
        <v>1829</v>
      </c>
      <c r="I538">
        <v>1</v>
      </c>
      <c r="J538">
        <v>42</v>
      </c>
      <c r="K538">
        <v>46</v>
      </c>
      <c r="L538">
        <v>62</v>
      </c>
      <c r="M538" t="s">
        <v>48</v>
      </c>
      <c r="N538" t="s">
        <v>24</v>
      </c>
      <c r="O538" t="b">
        <v>1</v>
      </c>
      <c r="AA538" t="e">
        <f>VLOOKUP(Table1[[#This Row],[MA_Number]], 'rhd batch30'!$A$1:$B$64,2,FALSE)</f>
        <v>#N/A</v>
      </c>
      <c r="AB538">
        <v>17</v>
      </c>
    </row>
    <row r="539" spans="1:28" x14ac:dyDescent="0.3">
      <c r="A539" t="s">
        <v>1830</v>
      </c>
      <c r="B539" s="1">
        <v>7119641970</v>
      </c>
      <c r="C539" s="1"/>
      <c r="D539" t="s">
        <v>280</v>
      </c>
      <c r="E539" t="s">
        <v>1812</v>
      </c>
      <c r="F539" t="b">
        <v>0</v>
      </c>
      <c r="I539">
        <v>1</v>
      </c>
      <c r="J539">
        <v>42</v>
      </c>
      <c r="K539">
        <v>34</v>
      </c>
      <c r="L539">
        <v>46</v>
      </c>
      <c r="M539" t="s">
        <v>54</v>
      </c>
      <c r="N539" t="s">
        <v>24</v>
      </c>
      <c r="O539" t="b">
        <v>1</v>
      </c>
      <c r="X539">
        <v>30</v>
      </c>
      <c r="Y539">
        <f>Table1[[#This Row],[qPer board]]*Table1[[#This Row],[boards]]</f>
        <v>17</v>
      </c>
      <c r="Z539" t="s">
        <v>1820</v>
      </c>
      <c r="AA539">
        <f>VLOOKUP(Table1[[#This Row],[MA_Number]], 'rhd batch30'!$A$1:$B$64,2,FALSE)</f>
        <v>1</v>
      </c>
      <c r="AB539">
        <v>17</v>
      </c>
    </row>
    <row r="540" spans="1:28" x14ac:dyDescent="0.3">
      <c r="A540" t="s">
        <v>1966</v>
      </c>
      <c r="B540" s="1" t="s">
        <v>249</v>
      </c>
      <c r="C540" s="1"/>
      <c r="D540" t="s">
        <v>280</v>
      </c>
      <c r="E540" t="s">
        <v>1812</v>
      </c>
      <c r="F540" t="b">
        <v>0</v>
      </c>
      <c r="I540">
        <v>1</v>
      </c>
      <c r="J540">
        <v>42</v>
      </c>
      <c r="K540">
        <v>37</v>
      </c>
      <c r="L540">
        <v>43</v>
      </c>
      <c r="M540" t="s">
        <v>54</v>
      </c>
      <c r="N540" t="s">
        <v>24</v>
      </c>
      <c r="O540" t="b">
        <v>1</v>
      </c>
      <c r="X540">
        <v>24</v>
      </c>
      <c r="Y540">
        <f>Table1[[#This Row],[qPer board]]*Table1[[#This Row],[boards]]</f>
        <v>56</v>
      </c>
      <c r="Z540" t="s">
        <v>1348</v>
      </c>
      <c r="AA540">
        <v>2</v>
      </c>
      <c r="AB540">
        <v>28</v>
      </c>
    </row>
    <row r="541" spans="1:28" x14ac:dyDescent="0.3">
      <c r="A541" t="s">
        <v>1967</v>
      </c>
      <c r="B541" s="1" t="s">
        <v>248</v>
      </c>
      <c r="C541" s="1"/>
      <c r="D541" t="s">
        <v>280</v>
      </c>
      <c r="E541" t="s">
        <v>1812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X541">
        <v>24</v>
      </c>
      <c r="Y541">
        <f>Table1[[#This Row],[qPer board]]*Table1[[#This Row],[boards]]</f>
        <v>56</v>
      </c>
      <c r="Z541" t="s">
        <v>1348</v>
      </c>
      <c r="AA541">
        <v>2</v>
      </c>
      <c r="AB541">
        <v>28</v>
      </c>
    </row>
    <row r="542" spans="1:28" x14ac:dyDescent="0.3">
      <c r="A542" t="s">
        <v>2033</v>
      </c>
      <c r="B542" s="1" t="s">
        <v>219</v>
      </c>
      <c r="C542" s="1"/>
      <c r="D542" t="s">
        <v>280</v>
      </c>
      <c r="E542" t="s">
        <v>1812</v>
      </c>
      <c r="F542" t="b">
        <v>0</v>
      </c>
      <c r="I542">
        <v>1</v>
      </c>
      <c r="J542">
        <v>80</v>
      </c>
      <c r="K542">
        <v>76</v>
      </c>
      <c r="L542">
        <v>52</v>
      </c>
      <c r="M542" t="s">
        <v>48</v>
      </c>
      <c r="N542" t="s">
        <v>24</v>
      </c>
      <c r="O542" t="b">
        <v>1</v>
      </c>
      <c r="X542">
        <v>24</v>
      </c>
      <c r="Y542">
        <f>Table1[[#This Row],[qPer board]]*Table1[[#This Row],[boards]]</f>
        <v>56</v>
      </c>
      <c r="Z542" t="s">
        <v>1348</v>
      </c>
      <c r="AA542">
        <v>2</v>
      </c>
      <c r="AB542">
        <v>28</v>
      </c>
    </row>
    <row r="543" spans="1:28" x14ac:dyDescent="0.3">
      <c r="A543" t="s">
        <v>2032</v>
      </c>
      <c r="B543" s="1" t="s">
        <v>1277</v>
      </c>
      <c r="C543" s="1"/>
      <c r="D543" t="s">
        <v>280</v>
      </c>
      <c r="E543" t="s">
        <v>1812</v>
      </c>
      <c r="F543" t="b">
        <v>0</v>
      </c>
      <c r="I543">
        <v>1</v>
      </c>
      <c r="J543">
        <v>67</v>
      </c>
      <c r="K543">
        <v>40</v>
      </c>
      <c r="L543">
        <v>53</v>
      </c>
      <c r="M543" t="s">
        <v>48</v>
      </c>
      <c r="N543" t="s">
        <v>24</v>
      </c>
      <c r="O543" t="b">
        <v>1</v>
      </c>
      <c r="X543">
        <v>24</v>
      </c>
      <c r="Y543">
        <f>Table1[[#This Row],[qPer board]]*Table1[[#This Row],[boards]]</f>
        <v>56</v>
      </c>
      <c r="Z543" t="s">
        <v>1348</v>
      </c>
      <c r="AA543">
        <v>2</v>
      </c>
      <c r="AB543">
        <v>28</v>
      </c>
    </row>
    <row r="544" spans="1:28" x14ac:dyDescent="0.3">
      <c r="A544" t="s">
        <v>2035</v>
      </c>
      <c r="B544" s="1" t="s">
        <v>1276</v>
      </c>
      <c r="C544" s="1"/>
      <c r="D544" t="s">
        <v>280</v>
      </c>
      <c r="E544" t="s">
        <v>1812</v>
      </c>
      <c r="F544" t="b">
        <v>1</v>
      </c>
      <c r="I544">
        <v>1</v>
      </c>
      <c r="X544">
        <v>24</v>
      </c>
      <c r="Y544">
        <f>Table1[[#This Row],[qPer board]]*Table1[[#This Row],[boards]]</f>
        <v>56</v>
      </c>
      <c r="Z544" t="s">
        <v>1348</v>
      </c>
      <c r="AA544">
        <v>2</v>
      </c>
      <c r="AB544">
        <v>28</v>
      </c>
    </row>
    <row r="545" spans="2:28" x14ac:dyDescent="0.3">
      <c r="B545" s="1" t="s">
        <v>1276</v>
      </c>
      <c r="C545" s="1"/>
      <c r="G545" t="s">
        <v>2035</v>
      </c>
      <c r="H545" t="s">
        <v>2036</v>
      </c>
      <c r="I545">
        <v>1</v>
      </c>
      <c r="J545">
        <v>75</v>
      </c>
      <c r="K545">
        <v>65</v>
      </c>
      <c r="L545">
        <v>55</v>
      </c>
      <c r="M545" t="s">
        <v>49</v>
      </c>
      <c r="N545" t="s">
        <v>24</v>
      </c>
      <c r="O545" t="b">
        <v>1</v>
      </c>
      <c r="X545">
        <v>24</v>
      </c>
      <c r="Y545">
        <f>Table1[[#This Row],[qPer board]]*Table1[[#This Row],[boards]]</f>
        <v>56</v>
      </c>
      <c r="Z545" t="s">
        <v>1348</v>
      </c>
      <c r="AA545">
        <v>2</v>
      </c>
      <c r="AB545">
        <v>28</v>
      </c>
    </row>
    <row r="546" spans="2:28" x14ac:dyDescent="0.3">
      <c r="B546" s="1" t="s">
        <v>1276</v>
      </c>
      <c r="C546" s="1"/>
      <c r="G546" t="s">
        <v>2035</v>
      </c>
      <c r="H546" t="s">
        <v>2037</v>
      </c>
      <c r="I546">
        <v>1</v>
      </c>
      <c r="J546">
        <v>45</v>
      </c>
      <c r="K546">
        <v>40</v>
      </c>
      <c r="L546">
        <v>78</v>
      </c>
      <c r="M546" t="s">
        <v>48</v>
      </c>
      <c r="N546" t="s">
        <v>24</v>
      </c>
      <c r="O546" t="b">
        <v>1</v>
      </c>
      <c r="X546">
        <v>24</v>
      </c>
      <c r="Y546">
        <f>Table1[[#This Row],[qPer board]]*Table1[[#This Row],[boards]]</f>
        <v>56</v>
      </c>
      <c r="Z546" t="s">
        <v>1348</v>
      </c>
      <c r="AA546">
        <v>2</v>
      </c>
      <c r="AB546">
        <v>28</v>
      </c>
    </row>
    <row r="547" spans="2:28" x14ac:dyDescent="0.3">
      <c r="C547" s="1"/>
      <c r="Y547" t="e">
        <f>Table1[[#This Row],[qPer board]]*Table1[[#This Row],[boards]]</f>
        <v>#N/A</v>
      </c>
      <c r="AA547" t="e">
        <f>VLOOKUP(Table1[[#This Row],[MA_Number]], 'rhd batch30'!$A$1:$B$64,2,FALSE)</f>
        <v>#N/A</v>
      </c>
      <c r="AB547">
        <v>17</v>
      </c>
    </row>
    <row r="548" spans="2:28" x14ac:dyDescent="0.3">
      <c r="C548" s="1"/>
      <c r="Y548" t="e">
        <f>Table1[[#This Row],[qPer board]]*Table1[[#This Row],[boards]]</f>
        <v>#N/A</v>
      </c>
      <c r="AA548" t="e">
        <f>VLOOKUP(Table1[[#This Row],[MA_Number]], 'rhd batch30'!$A$1:$B$64,2,FALSE)</f>
        <v>#N/A</v>
      </c>
      <c r="AB548">
        <v>17</v>
      </c>
    </row>
    <row r="549" spans="2:28" x14ac:dyDescent="0.3">
      <c r="C549" s="1"/>
      <c r="Y549" t="e">
        <f>Table1[[#This Row],[qPer board]]*Table1[[#This Row],[boards]]</f>
        <v>#N/A</v>
      </c>
      <c r="AA549" t="e">
        <f>VLOOKUP(Table1[[#This Row],[MA_Number]], 'rhd batch30'!$A$1:$B$64,2,FALSE)</f>
        <v>#N/A</v>
      </c>
      <c r="AB549">
        <v>17</v>
      </c>
    </row>
    <row r="550" spans="2:28" x14ac:dyDescent="0.3">
      <c r="C550" s="1"/>
      <c r="Y550" t="e">
        <f>Table1[[#This Row],[qPer board]]*Table1[[#This Row],[boards]]</f>
        <v>#N/A</v>
      </c>
      <c r="AA550" t="e">
        <f>VLOOKUP(Table1[[#This Row],[MA_Number]], 'rhd batch30'!$A$1:$B$64,2,FALSE)</f>
        <v>#N/A</v>
      </c>
      <c r="AB550">
        <v>17</v>
      </c>
    </row>
    <row r="551" spans="2:28" x14ac:dyDescent="0.3">
      <c r="C551" s="1"/>
      <c r="Y551" t="e">
        <f>Table1[[#This Row],[qPer board]]*Table1[[#This Row],[boards]]</f>
        <v>#N/A</v>
      </c>
      <c r="AA551" t="e">
        <f>VLOOKUP(Table1[[#This Row],[MA_Number]], 'rhd batch30'!$A$1:$B$64,2,FALSE)</f>
        <v>#N/A</v>
      </c>
      <c r="AB551">
        <v>17</v>
      </c>
    </row>
    <row r="552" spans="2:28" x14ac:dyDescent="0.3">
      <c r="C552" s="1"/>
      <c r="Y552" t="e">
        <f>Table1[[#This Row],[qPer board]]*Table1[[#This Row],[boards]]</f>
        <v>#N/A</v>
      </c>
      <c r="AA552" t="e">
        <f>VLOOKUP(Table1[[#This Row],[MA_Number]], 'rhd batch30'!$A$1:$B$64,2,FALSE)</f>
        <v>#N/A</v>
      </c>
      <c r="AB552">
        <v>17</v>
      </c>
    </row>
    <row r="553" spans="2:28" x14ac:dyDescent="0.3">
      <c r="C553" s="1"/>
      <c r="Y553" t="e">
        <f>Table1[[#This Row],[qPer board]]*Table1[[#This Row],[boards]]</f>
        <v>#N/A</v>
      </c>
      <c r="AA553" t="e">
        <f>VLOOKUP(Table1[[#This Row],[MA_Number]], 'rhd batch30'!$A$1:$B$64,2,FALSE)</f>
        <v>#N/A</v>
      </c>
      <c r="AB553">
        <v>17</v>
      </c>
    </row>
    <row r="554" spans="2:28" x14ac:dyDescent="0.3">
      <c r="C554" s="1"/>
      <c r="Y554" t="e">
        <f>Table1[[#This Row],[qPer board]]*Table1[[#This Row],[boards]]</f>
        <v>#N/A</v>
      </c>
      <c r="AA554" t="e">
        <f>VLOOKUP(Table1[[#This Row],[MA_Number]], 'rhd batch30'!$A$1:$B$64,2,FALSE)</f>
        <v>#N/A</v>
      </c>
      <c r="AB554">
        <v>17</v>
      </c>
    </row>
    <row r="555" spans="2:28" x14ac:dyDescent="0.3">
      <c r="C555" s="1"/>
      <c r="Y555" t="e">
        <f>Table1[[#This Row],[qPer board]]*Table1[[#This Row],[boards]]</f>
        <v>#N/A</v>
      </c>
      <c r="AA555" t="e">
        <f>VLOOKUP(Table1[[#This Row],[MA_Number]], 'rhd batch30'!$A$1:$B$64,2,FALSE)</f>
        <v>#N/A</v>
      </c>
      <c r="AB555">
        <v>17</v>
      </c>
    </row>
    <row r="556" spans="2:28" x14ac:dyDescent="0.3">
      <c r="C556" s="1"/>
      <c r="Y556" t="e">
        <f>Table1[[#This Row],[qPer board]]*Table1[[#This Row],[boards]]</f>
        <v>#N/A</v>
      </c>
      <c r="AA556" t="e">
        <f>VLOOKUP(Table1[[#This Row],[MA_Number]], 'rhd batch30'!$A$1:$B$64,2,FALSE)</f>
        <v>#N/A</v>
      </c>
      <c r="AB556">
        <v>17</v>
      </c>
    </row>
    <row r="557" spans="2:28" x14ac:dyDescent="0.3">
      <c r="C557" s="1"/>
      <c r="Y557" t="e">
        <f>Table1[[#This Row],[qPer board]]*Table1[[#This Row],[boards]]</f>
        <v>#N/A</v>
      </c>
      <c r="AA557" t="e">
        <f>VLOOKUP(Table1[[#This Row],[MA_Number]], 'rhd batch30'!$A$1:$B$64,2,FALSE)</f>
        <v>#N/A</v>
      </c>
      <c r="AB557">
        <v>17</v>
      </c>
    </row>
    <row r="558" spans="2:28" x14ac:dyDescent="0.3">
      <c r="C558" s="1"/>
      <c r="Y558" t="e">
        <f>Table1[[#This Row],[qPer board]]*Table1[[#This Row],[boards]]</f>
        <v>#N/A</v>
      </c>
      <c r="AA558" t="e">
        <f>VLOOKUP(Table1[[#This Row],[MA_Number]], 'rhd batch30'!$A$1:$B$64,2,FALSE)</f>
        <v>#N/A</v>
      </c>
      <c r="AB558">
        <v>17</v>
      </c>
    </row>
    <row r="559" spans="2:28" x14ac:dyDescent="0.3">
      <c r="C559" s="1"/>
      <c r="Y559" t="e">
        <f>Table1[[#This Row],[qPer board]]*Table1[[#This Row],[boards]]</f>
        <v>#N/A</v>
      </c>
      <c r="AA559" t="e">
        <f>VLOOKUP(Table1[[#This Row],[MA_Number]], 'rhd batch30'!$A$1:$B$64,2,FALSE)</f>
        <v>#N/A</v>
      </c>
      <c r="AB559">
        <v>17</v>
      </c>
    </row>
    <row r="560" spans="2:28" x14ac:dyDescent="0.3">
      <c r="C560" s="1"/>
      <c r="Y560" t="e">
        <f>Table1[[#This Row],[qPer board]]*Table1[[#This Row],[boards]]</f>
        <v>#N/A</v>
      </c>
      <c r="AA560" t="e">
        <f>VLOOKUP(Table1[[#This Row],[MA_Number]], 'rhd batch30'!$A$1:$B$64,2,FALSE)</f>
        <v>#N/A</v>
      </c>
      <c r="AB560">
        <v>17</v>
      </c>
    </row>
    <row r="561" spans="3:28" x14ac:dyDescent="0.3">
      <c r="C561" s="1"/>
      <c r="Y561" t="e">
        <f>Table1[[#This Row],[qPer board]]*Table1[[#This Row],[boards]]</f>
        <v>#N/A</v>
      </c>
      <c r="AA561" t="e">
        <f>VLOOKUP(Table1[[#This Row],[MA_Number]], 'rhd batch30'!$A$1:$B$64,2,FALSE)</f>
        <v>#N/A</v>
      </c>
      <c r="AB561">
        <v>17</v>
      </c>
    </row>
    <row r="562" spans="3:28" x14ac:dyDescent="0.3">
      <c r="C562" s="1"/>
      <c r="Y562" t="e">
        <f>Table1[[#This Row],[qPer board]]*Table1[[#This Row],[boards]]</f>
        <v>#N/A</v>
      </c>
      <c r="AA562" t="e">
        <f>VLOOKUP(Table1[[#This Row],[MA_Number]], 'rhd batch30'!$A$1:$B$64,2,FALSE)</f>
        <v>#N/A</v>
      </c>
      <c r="AB562">
        <v>17</v>
      </c>
    </row>
    <row r="563" spans="3:28" x14ac:dyDescent="0.3">
      <c r="C563" s="1"/>
      <c r="Y563" t="e">
        <f>Table1[[#This Row],[qPer board]]*Table1[[#This Row],[boards]]</f>
        <v>#N/A</v>
      </c>
      <c r="AA563" t="e">
        <f>VLOOKUP(Table1[[#This Row],[MA_Number]], 'rhd batch30'!$A$1:$B$64,2,FALSE)</f>
        <v>#N/A</v>
      </c>
      <c r="AB563">
        <v>17</v>
      </c>
    </row>
    <row r="564" spans="3:28" x14ac:dyDescent="0.3">
      <c r="C564" s="1"/>
      <c r="Y564" t="e">
        <f>Table1[[#This Row],[qPer board]]*Table1[[#This Row],[boards]]</f>
        <v>#N/A</v>
      </c>
      <c r="AA564" t="e">
        <f>VLOOKUP(Table1[[#This Row],[MA_Number]], 'rhd batch30'!$A$1:$B$64,2,FALSE)</f>
        <v>#N/A</v>
      </c>
      <c r="AB564">
        <v>17</v>
      </c>
    </row>
    <row r="565" spans="3:28" x14ac:dyDescent="0.3">
      <c r="C565" s="1"/>
      <c r="Y565" t="e">
        <f>Table1[[#This Row],[qPer board]]*Table1[[#This Row],[boards]]</f>
        <v>#N/A</v>
      </c>
      <c r="AA565" t="e">
        <f>VLOOKUP(Table1[[#This Row],[MA_Number]], 'rhd batch30'!$A$1:$B$64,2,FALSE)</f>
        <v>#N/A</v>
      </c>
      <c r="AB565">
        <v>17</v>
      </c>
    </row>
    <row r="566" spans="3:28" x14ac:dyDescent="0.3">
      <c r="C566" s="1"/>
      <c r="Y566" t="e">
        <f>Table1[[#This Row],[qPer board]]*Table1[[#This Row],[boards]]</f>
        <v>#N/A</v>
      </c>
      <c r="AA566" t="e">
        <f>VLOOKUP(Table1[[#This Row],[MA_Number]], 'rhd batch30'!$A$1:$B$64,2,FALSE)</f>
        <v>#N/A</v>
      </c>
      <c r="AB566">
        <v>17</v>
      </c>
    </row>
    <row r="567" spans="3:28" x14ac:dyDescent="0.3">
      <c r="C567" s="1"/>
      <c r="Y567" t="e">
        <f>Table1[[#This Row],[qPer board]]*Table1[[#This Row],[boards]]</f>
        <v>#N/A</v>
      </c>
      <c r="AA567" t="e">
        <f>VLOOKUP(Table1[[#This Row],[MA_Number]], 'rhd batch30'!$A$1:$B$64,2,FALSE)</f>
        <v>#N/A</v>
      </c>
      <c r="AB567">
        <v>17</v>
      </c>
    </row>
    <row r="568" spans="3:28" x14ac:dyDescent="0.3">
      <c r="C568" s="1"/>
      <c r="Y568" t="e">
        <f>Table1[[#This Row],[qPer board]]*Table1[[#This Row],[boards]]</f>
        <v>#N/A</v>
      </c>
      <c r="AA568" t="e">
        <f>VLOOKUP(Table1[[#This Row],[MA_Number]], 'rhd batch30'!$A$1:$B$64,2,FALSE)</f>
        <v>#N/A</v>
      </c>
      <c r="AB568">
        <v>17</v>
      </c>
    </row>
    <row r="569" spans="3:28" x14ac:dyDescent="0.3">
      <c r="C569" s="1"/>
      <c r="Y569" t="e">
        <f>Table1[[#This Row],[qPer board]]*Table1[[#This Row],[boards]]</f>
        <v>#N/A</v>
      </c>
      <c r="AA569" t="e">
        <f>VLOOKUP(Table1[[#This Row],[MA_Number]], 'rhd batch30'!$A$1:$B$64,2,FALSE)</f>
        <v>#N/A</v>
      </c>
      <c r="AB569">
        <v>17</v>
      </c>
    </row>
    <row r="570" spans="3:28" x14ac:dyDescent="0.3">
      <c r="C570" s="1"/>
      <c r="Y570" t="e">
        <f>Table1[[#This Row],[qPer board]]*Table1[[#This Row],[boards]]</f>
        <v>#N/A</v>
      </c>
      <c r="AA570" t="e">
        <f>VLOOKUP(Table1[[#This Row],[MA_Number]], 'rhd batch30'!$A$1:$B$64,2,FALSE)</f>
        <v>#N/A</v>
      </c>
      <c r="AB570">
        <v>17</v>
      </c>
    </row>
    <row r="571" spans="3:28" x14ac:dyDescent="0.3">
      <c r="C571" s="1"/>
      <c r="Y571" t="e">
        <f>Table1[[#This Row],[qPer board]]*Table1[[#This Row],[boards]]</f>
        <v>#N/A</v>
      </c>
      <c r="AA571" t="e">
        <f>VLOOKUP(Table1[[#This Row],[MA_Number]], 'rhd batch30'!$A$1:$B$64,2,FALSE)</f>
        <v>#N/A</v>
      </c>
      <c r="AB571">
        <v>17</v>
      </c>
    </row>
    <row r="572" spans="3:28" x14ac:dyDescent="0.3">
      <c r="C572" s="1"/>
      <c r="Y572" t="e">
        <f>Table1[[#This Row],[qPer board]]*Table1[[#This Row],[boards]]</f>
        <v>#N/A</v>
      </c>
      <c r="AA572" t="e">
        <f>VLOOKUP(Table1[[#This Row],[MA_Number]], 'rhd batch30'!$A$1:$B$64,2,FALSE)</f>
        <v>#N/A</v>
      </c>
      <c r="AB572">
        <v>17</v>
      </c>
    </row>
    <row r="573" spans="3:28" x14ac:dyDescent="0.3">
      <c r="C573" s="1"/>
      <c r="Y573" t="e">
        <f>Table1[[#This Row],[qPer board]]*Table1[[#This Row],[boards]]</f>
        <v>#N/A</v>
      </c>
      <c r="AA573" t="e">
        <f>VLOOKUP(Table1[[#This Row],[MA_Number]], 'rhd batch30'!$A$1:$B$64,2,FALSE)</f>
        <v>#N/A</v>
      </c>
      <c r="AB573">
        <v>17</v>
      </c>
    </row>
    <row r="574" spans="3:28" x14ac:dyDescent="0.3">
      <c r="C574" s="1"/>
      <c r="Y574" t="e">
        <f>Table1[[#This Row],[qPer board]]*Table1[[#This Row],[boards]]</f>
        <v>#N/A</v>
      </c>
      <c r="AA574" t="e">
        <f>VLOOKUP(Table1[[#This Row],[MA_Number]], 'rhd batch30'!$A$1:$B$64,2,FALSE)</f>
        <v>#N/A</v>
      </c>
      <c r="AB574">
        <v>17</v>
      </c>
    </row>
    <row r="575" spans="3:28" x14ac:dyDescent="0.3">
      <c r="C575" s="1"/>
      <c r="Y575" t="e">
        <f>Table1[[#This Row],[qPer board]]*Table1[[#This Row],[boards]]</f>
        <v>#N/A</v>
      </c>
      <c r="AA575" t="e">
        <f>VLOOKUP(Table1[[#This Row],[MA_Number]], 'rhd batch30'!$A$1:$B$64,2,FALSE)</f>
        <v>#N/A</v>
      </c>
      <c r="AB575">
        <v>17</v>
      </c>
    </row>
    <row r="576" spans="3:28" x14ac:dyDescent="0.3">
      <c r="C576" s="1"/>
      <c r="Y576" t="e">
        <f>Table1[[#This Row],[qPer board]]*Table1[[#This Row],[boards]]</f>
        <v>#N/A</v>
      </c>
      <c r="AA576" t="e">
        <f>VLOOKUP(Table1[[#This Row],[MA_Number]], 'rhd batch30'!$A$1:$B$64,2,FALSE)</f>
        <v>#N/A</v>
      </c>
      <c r="AB576">
        <v>17</v>
      </c>
    </row>
    <row r="577" spans="3:28" x14ac:dyDescent="0.3">
      <c r="C577" s="1"/>
      <c r="Y577" t="e">
        <f>Table1[[#This Row],[qPer board]]*Table1[[#This Row],[boards]]</f>
        <v>#N/A</v>
      </c>
      <c r="AA577" t="e">
        <f>VLOOKUP(Table1[[#This Row],[MA_Number]], 'rhd batch30'!$A$1:$B$64,2,FALSE)</f>
        <v>#N/A</v>
      </c>
      <c r="AB577">
        <v>17</v>
      </c>
    </row>
    <row r="578" spans="3:28" x14ac:dyDescent="0.3">
      <c r="C578" s="1"/>
      <c r="Y578" t="e">
        <f>Table1[[#This Row],[qPer board]]*Table1[[#This Row],[boards]]</f>
        <v>#N/A</v>
      </c>
      <c r="AA578" t="e">
        <f>VLOOKUP(Table1[[#This Row],[MA_Number]], 'rhd batch30'!$A$1:$B$64,2,FALSE)</f>
        <v>#N/A</v>
      </c>
      <c r="AB578">
        <v>17</v>
      </c>
    </row>
    <row r="579" spans="3:28" x14ac:dyDescent="0.3">
      <c r="C579" s="1"/>
      <c r="Y579" t="e">
        <f>Table1[[#This Row],[qPer board]]*Table1[[#This Row],[boards]]</f>
        <v>#N/A</v>
      </c>
      <c r="AA579" t="e">
        <f>VLOOKUP(Table1[[#This Row],[MA_Number]], 'rhd batch30'!$A$1:$B$64,2,FALSE)</f>
        <v>#N/A</v>
      </c>
      <c r="AB579">
        <v>17</v>
      </c>
    </row>
    <row r="580" spans="3:28" x14ac:dyDescent="0.3">
      <c r="C580" s="1"/>
      <c r="Y580" t="e">
        <f>Table1[[#This Row],[qPer board]]*Table1[[#This Row],[boards]]</f>
        <v>#N/A</v>
      </c>
      <c r="AA580" t="e">
        <f>VLOOKUP(Table1[[#This Row],[MA_Number]], 'rhd batch30'!$A$1:$B$64,2,FALSE)</f>
        <v>#N/A</v>
      </c>
      <c r="AB580">
        <v>17</v>
      </c>
    </row>
    <row r="581" spans="3:28" x14ac:dyDescent="0.3">
      <c r="C581" s="1"/>
      <c r="Y581" t="e">
        <f>Table1[[#This Row],[qPer board]]*Table1[[#This Row],[boards]]</f>
        <v>#N/A</v>
      </c>
      <c r="AA581" t="e">
        <f>VLOOKUP(Table1[[#This Row],[MA_Number]], 'rhd batch30'!$A$1:$B$64,2,FALSE)</f>
        <v>#N/A</v>
      </c>
      <c r="AB581">
        <v>17</v>
      </c>
    </row>
    <row r="582" spans="3:28" x14ac:dyDescent="0.3">
      <c r="C582" s="1"/>
      <c r="Y582" t="e">
        <f>Table1[[#This Row],[qPer board]]*Table1[[#This Row],[boards]]</f>
        <v>#N/A</v>
      </c>
      <c r="AA582" t="e">
        <f>VLOOKUP(Table1[[#This Row],[MA_Number]], 'rhd batch30'!$A$1:$B$64,2,FALSE)</f>
        <v>#N/A</v>
      </c>
      <c r="AB582">
        <v>17</v>
      </c>
    </row>
    <row r="583" spans="3:28" x14ac:dyDescent="0.3">
      <c r="C583" s="1"/>
      <c r="Y583" t="e">
        <f>Table1[[#This Row],[qPer board]]*Table1[[#This Row],[boards]]</f>
        <v>#N/A</v>
      </c>
      <c r="AA583" t="e">
        <f>VLOOKUP(Table1[[#This Row],[MA_Number]], 'rhd batch30'!$A$1:$B$64,2,FALSE)</f>
        <v>#N/A</v>
      </c>
      <c r="AB583">
        <v>17</v>
      </c>
    </row>
    <row r="584" spans="3:28" x14ac:dyDescent="0.3">
      <c r="C584" s="1"/>
      <c r="Y584" t="e">
        <f>Table1[[#This Row],[qPer board]]*Table1[[#This Row],[boards]]</f>
        <v>#N/A</v>
      </c>
      <c r="AA584" t="e">
        <f>VLOOKUP(Table1[[#This Row],[MA_Number]], 'rhd batch30'!$A$1:$B$64,2,FALSE)</f>
        <v>#N/A</v>
      </c>
      <c r="AB584">
        <v>17</v>
      </c>
    </row>
    <row r="585" spans="3:28" x14ac:dyDescent="0.3">
      <c r="C585" s="1"/>
      <c r="Y585" t="e">
        <f>Table1[[#This Row],[qPer board]]*Table1[[#This Row],[boards]]</f>
        <v>#N/A</v>
      </c>
      <c r="AA585" t="e">
        <f>VLOOKUP(Table1[[#This Row],[MA_Number]], 'rhd batch30'!$A$1:$B$64,2,FALSE)</f>
        <v>#N/A</v>
      </c>
      <c r="AB585">
        <v>17</v>
      </c>
    </row>
    <row r="586" spans="3:28" x14ac:dyDescent="0.3">
      <c r="C586" s="1"/>
      <c r="Y586" t="e">
        <f>Table1[[#This Row],[qPer board]]*Table1[[#This Row],[boards]]</f>
        <v>#N/A</v>
      </c>
      <c r="AA586" t="e">
        <f>VLOOKUP(Table1[[#This Row],[MA_Number]], 'rhd batch30'!$A$1:$B$64,2,FALSE)</f>
        <v>#N/A</v>
      </c>
      <c r="AB586">
        <v>17</v>
      </c>
    </row>
    <row r="587" spans="3:28" x14ac:dyDescent="0.3">
      <c r="C587" s="1"/>
      <c r="Y587" t="e">
        <f>Table1[[#This Row],[qPer board]]*Table1[[#This Row],[boards]]</f>
        <v>#N/A</v>
      </c>
      <c r="AA587" t="e">
        <f>VLOOKUP(Table1[[#This Row],[MA_Number]], 'rhd batch30'!$A$1:$B$64,2,FALSE)</f>
        <v>#N/A</v>
      </c>
      <c r="AB587">
        <v>17</v>
      </c>
    </row>
    <row r="588" spans="3:28" x14ac:dyDescent="0.3">
      <c r="C588" s="1"/>
      <c r="Y588" t="e">
        <f>Table1[[#This Row],[qPer board]]*Table1[[#This Row],[boards]]</f>
        <v>#N/A</v>
      </c>
      <c r="AA588" t="e">
        <f>VLOOKUP(Table1[[#This Row],[MA_Number]], 'rhd batch30'!$A$1:$B$64,2,FALSE)</f>
        <v>#N/A</v>
      </c>
      <c r="AB588">
        <v>17</v>
      </c>
    </row>
    <row r="589" spans="3:28" x14ac:dyDescent="0.3">
      <c r="C589" s="1"/>
      <c r="Y589" t="e">
        <f>Table1[[#This Row],[qPer board]]*Table1[[#This Row],[boards]]</f>
        <v>#N/A</v>
      </c>
      <c r="AA589" t="e">
        <f>VLOOKUP(Table1[[#This Row],[MA_Number]], 'rhd batch30'!$A$1:$B$64,2,FALSE)</f>
        <v>#N/A</v>
      </c>
      <c r="AB589">
        <v>17</v>
      </c>
    </row>
    <row r="590" spans="3:28" x14ac:dyDescent="0.3">
      <c r="C590" s="1"/>
      <c r="Y590" t="e">
        <f>Table1[[#This Row],[qPer board]]*Table1[[#This Row],[boards]]</f>
        <v>#N/A</v>
      </c>
      <c r="AA590" t="e">
        <f>VLOOKUP(Table1[[#This Row],[MA_Number]], 'rhd batch30'!$A$1:$B$64,2,FALSE)</f>
        <v>#N/A</v>
      </c>
      <c r="AB590">
        <v>17</v>
      </c>
    </row>
    <row r="591" spans="3:28" x14ac:dyDescent="0.3">
      <c r="C591" s="1"/>
      <c r="Y591" t="e">
        <f>Table1[[#This Row],[qPer board]]*Table1[[#This Row],[boards]]</f>
        <v>#N/A</v>
      </c>
      <c r="AA591" t="e">
        <f>VLOOKUP(Table1[[#This Row],[MA_Number]], 'rhd batch30'!$A$1:$B$64,2,FALSE)</f>
        <v>#N/A</v>
      </c>
      <c r="AB591">
        <v>17</v>
      </c>
    </row>
    <row r="592" spans="3:28" x14ac:dyDescent="0.3">
      <c r="C592" s="1"/>
      <c r="Y592" t="e">
        <f>Table1[[#This Row],[qPer board]]*Table1[[#This Row],[boards]]</f>
        <v>#N/A</v>
      </c>
      <c r="AA592" t="e">
        <f>VLOOKUP(Table1[[#This Row],[MA_Number]], 'rhd batch30'!$A$1:$B$64,2,FALSE)</f>
        <v>#N/A</v>
      </c>
      <c r="AB592">
        <v>17</v>
      </c>
    </row>
    <row r="593" spans="3:28" x14ac:dyDescent="0.3">
      <c r="C593" s="1"/>
      <c r="Y593" t="e">
        <f>Table1[[#This Row],[qPer board]]*Table1[[#This Row],[boards]]</f>
        <v>#N/A</v>
      </c>
      <c r="AA593" t="e">
        <f>VLOOKUP(Table1[[#This Row],[MA_Number]], 'rhd batch30'!$A$1:$B$64,2,FALSE)</f>
        <v>#N/A</v>
      </c>
      <c r="AB593">
        <v>17</v>
      </c>
    </row>
    <row r="594" spans="3:28" x14ac:dyDescent="0.3">
      <c r="C594" s="1"/>
      <c r="Y594" t="e">
        <f>Table1[[#This Row],[qPer board]]*Table1[[#This Row],[boards]]</f>
        <v>#N/A</v>
      </c>
      <c r="AA594" t="e">
        <f>VLOOKUP(Table1[[#This Row],[MA_Number]], 'rhd batch30'!$A$1:$B$64,2,FALSE)</f>
        <v>#N/A</v>
      </c>
      <c r="AB594">
        <v>17</v>
      </c>
    </row>
    <row r="595" spans="3:28" x14ac:dyDescent="0.3">
      <c r="C595" s="1"/>
      <c r="Y595" t="e">
        <f>Table1[[#This Row],[qPer board]]*Table1[[#This Row],[boards]]</f>
        <v>#N/A</v>
      </c>
      <c r="AA595" t="e">
        <f>VLOOKUP(Table1[[#This Row],[MA_Number]], 'rhd batch30'!$A$1:$B$64,2,FALSE)</f>
        <v>#N/A</v>
      </c>
      <c r="AB595">
        <v>17</v>
      </c>
    </row>
    <row r="596" spans="3:28" x14ac:dyDescent="0.3">
      <c r="C596" s="1"/>
      <c r="Y596" t="e">
        <f>Table1[[#This Row],[qPer board]]*Table1[[#This Row],[boards]]</f>
        <v>#N/A</v>
      </c>
      <c r="AA596" t="e">
        <f>VLOOKUP(Table1[[#This Row],[MA_Number]], 'rhd batch30'!$A$1:$B$64,2,FALSE)</f>
        <v>#N/A</v>
      </c>
      <c r="AB596">
        <v>17</v>
      </c>
    </row>
    <row r="597" spans="3:28" x14ac:dyDescent="0.3">
      <c r="C597" s="1"/>
      <c r="Y597" t="e">
        <f>Table1[[#This Row],[qPer board]]*Table1[[#This Row],[boards]]</f>
        <v>#N/A</v>
      </c>
      <c r="AA597" t="e">
        <f>VLOOKUP(Table1[[#This Row],[MA_Number]], 'rhd batch30'!$A$1:$B$64,2,FALSE)</f>
        <v>#N/A</v>
      </c>
      <c r="AB597">
        <v>17</v>
      </c>
    </row>
    <row r="598" spans="3:28" x14ac:dyDescent="0.3">
      <c r="C598" s="1"/>
      <c r="Y598" t="e">
        <f>Table1[[#This Row],[qPer board]]*Table1[[#This Row],[boards]]</f>
        <v>#N/A</v>
      </c>
      <c r="AA598" t="e">
        <f>VLOOKUP(Table1[[#This Row],[MA_Number]], 'rhd batch30'!$A$1:$B$64,2,FALSE)</f>
        <v>#N/A</v>
      </c>
      <c r="AB598">
        <v>17</v>
      </c>
    </row>
    <row r="599" spans="3:28" x14ac:dyDescent="0.3">
      <c r="C599" s="1"/>
      <c r="Y599" t="e">
        <f>Table1[[#This Row],[qPer board]]*Table1[[#This Row],[boards]]</f>
        <v>#N/A</v>
      </c>
      <c r="AA599" t="e">
        <f>VLOOKUP(Table1[[#This Row],[MA_Number]], 'rhd batch30'!$A$1:$B$64,2,FALSE)</f>
        <v>#N/A</v>
      </c>
      <c r="AB599">
        <v>17</v>
      </c>
    </row>
    <row r="600" spans="3:28" x14ac:dyDescent="0.3">
      <c r="C600" s="1"/>
      <c r="Y600" t="e">
        <f>Table1[[#This Row],[qPer board]]*Table1[[#This Row],[boards]]</f>
        <v>#N/A</v>
      </c>
      <c r="AA600" t="e">
        <f>VLOOKUP(Table1[[#This Row],[MA_Number]], 'rhd batch30'!$A$1:$B$64,2,FALSE)</f>
        <v>#N/A</v>
      </c>
      <c r="AB600">
        <v>17</v>
      </c>
    </row>
    <row r="601" spans="3:28" x14ac:dyDescent="0.3">
      <c r="C601" s="1"/>
      <c r="Y601" t="e">
        <f>Table1[[#This Row],[qPer board]]*Table1[[#This Row],[boards]]</f>
        <v>#N/A</v>
      </c>
      <c r="AA601" t="e">
        <f>VLOOKUP(Table1[[#This Row],[MA_Number]], 'rhd batch30'!$A$1:$B$64,2,FALSE)</f>
        <v>#N/A</v>
      </c>
      <c r="AB601">
        <v>17</v>
      </c>
    </row>
    <row r="602" spans="3:28" x14ac:dyDescent="0.3">
      <c r="C602" s="1"/>
      <c r="Y602" t="e">
        <f>Table1[[#This Row],[qPer board]]*Table1[[#This Row],[boards]]</f>
        <v>#N/A</v>
      </c>
      <c r="AA602" t="e">
        <f>VLOOKUP(Table1[[#This Row],[MA_Number]], 'rhd batch30'!$A$1:$B$64,2,FALSE)</f>
        <v>#N/A</v>
      </c>
      <c r="AB602">
        <v>17</v>
      </c>
    </row>
    <row r="603" spans="3:28" x14ac:dyDescent="0.3">
      <c r="C603" s="1"/>
      <c r="Y603" t="e">
        <f>Table1[[#This Row],[qPer board]]*Table1[[#This Row],[boards]]</f>
        <v>#N/A</v>
      </c>
      <c r="AA603" t="e">
        <f>VLOOKUP(Table1[[#This Row],[MA_Number]], 'rhd batch30'!$A$1:$B$64,2,FALSE)</f>
        <v>#N/A</v>
      </c>
      <c r="AB603">
        <v>17</v>
      </c>
    </row>
    <row r="604" spans="3:28" x14ac:dyDescent="0.3">
      <c r="C604" s="1"/>
      <c r="Y604" t="e">
        <f>Table1[[#This Row],[qPer board]]*Table1[[#This Row],[boards]]</f>
        <v>#N/A</v>
      </c>
      <c r="AA604" t="e">
        <f>VLOOKUP(Table1[[#This Row],[MA_Number]], 'rhd batch30'!$A$1:$B$64,2,FALSE)</f>
        <v>#N/A</v>
      </c>
      <c r="AB604">
        <v>17</v>
      </c>
    </row>
    <row r="605" spans="3:28" x14ac:dyDescent="0.3">
      <c r="C605" s="1"/>
      <c r="Y605" t="e">
        <f>Table1[[#This Row],[qPer board]]*Table1[[#This Row],[boards]]</f>
        <v>#N/A</v>
      </c>
      <c r="AA605" t="e">
        <f>VLOOKUP(Table1[[#This Row],[MA_Number]], 'rhd batch30'!$A$1:$B$64,2,FALSE)</f>
        <v>#N/A</v>
      </c>
      <c r="AB605">
        <v>17</v>
      </c>
    </row>
    <row r="606" spans="3:28" x14ac:dyDescent="0.3">
      <c r="C606" s="1"/>
      <c r="Y606" t="e">
        <f>Table1[[#This Row],[qPer board]]*Table1[[#This Row],[boards]]</f>
        <v>#N/A</v>
      </c>
      <c r="AA606" t="e">
        <f>VLOOKUP(Table1[[#This Row],[MA_Number]], 'rhd batch30'!$A$1:$B$64,2,FALSE)</f>
        <v>#N/A</v>
      </c>
      <c r="AB606">
        <v>17</v>
      </c>
    </row>
    <row r="607" spans="3:28" x14ac:dyDescent="0.3">
      <c r="C607" s="1"/>
      <c r="Y607" t="e">
        <f>Table1[[#This Row],[qPer board]]*Table1[[#This Row],[boards]]</f>
        <v>#N/A</v>
      </c>
      <c r="AA607" t="e">
        <f>VLOOKUP(Table1[[#This Row],[MA_Number]], 'rhd batch30'!$A$1:$B$64,2,FALSE)</f>
        <v>#N/A</v>
      </c>
      <c r="AB607">
        <v>17</v>
      </c>
    </row>
    <row r="608" spans="3:28" x14ac:dyDescent="0.3">
      <c r="C608" s="1"/>
      <c r="Y608" t="e">
        <f>Table1[[#This Row],[qPer board]]*Table1[[#This Row],[boards]]</f>
        <v>#N/A</v>
      </c>
      <c r="AA608" t="e">
        <f>VLOOKUP(Table1[[#This Row],[MA_Number]], 'rhd batch30'!$A$1:$B$64,2,FALSE)</f>
        <v>#N/A</v>
      </c>
      <c r="AB608">
        <v>17</v>
      </c>
    </row>
    <row r="609" spans="3:28" x14ac:dyDescent="0.3">
      <c r="C609" s="1"/>
      <c r="Y609" t="e">
        <f>Table1[[#This Row],[qPer board]]*Table1[[#This Row],[boards]]</f>
        <v>#N/A</v>
      </c>
      <c r="AA609" t="e">
        <f>VLOOKUP(Table1[[#This Row],[MA_Number]], 'rhd batch30'!$A$1:$B$64,2,FALSE)</f>
        <v>#N/A</v>
      </c>
      <c r="AB609">
        <v>17</v>
      </c>
    </row>
    <row r="610" spans="3:28" x14ac:dyDescent="0.3">
      <c r="C610" s="1"/>
      <c r="Y610" t="e">
        <f>Table1[[#This Row],[qPer board]]*Table1[[#This Row],[boards]]</f>
        <v>#N/A</v>
      </c>
      <c r="AA610" t="e">
        <f>VLOOKUP(Table1[[#This Row],[MA_Number]], 'rhd batch30'!$A$1:$B$64,2,FALSE)</f>
        <v>#N/A</v>
      </c>
      <c r="AB610">
        <v>17</v>
      </c>
    </row>
    <row r="611" spans="3:28" x14ac:dyDescent="0.3">
      <c r="C611" s="1"/>
      <c r="Y611" t="e">
        <f>Table1[[#This Row],[qPer board]]*Table1[[#This Row],[boards]]</f>
        <v>#N/A</v>
      </c>
      <c r="AA611" t="e">
        <f>VLOOKUP(Table1[[#This Row],[MA_Number]], 'rhd batch30'!$A$1:$B$64,2,FALSE)</f>
        <v>#N/A</v>
      </c>
      <c r="AB611">
        <v>17</v>
      </c>
    </row>
    <row r="612" spans="3:28" x14ac:dyDescent="0.3">
      <c r="C612" s="1"/>
      <c r="Y612" t="e">
        <f>Table1[[#This Row],[qPer board]]*Table1[[#This Row],[boards]]</f>
        <v>#N/A</v>
      </c>
      <c r="AA612" t="e">
        <f>VLOOKUP(Table1[[#This Row],[MA_Number]], 'rhd batch30'!$A$1:$B$64,2,FALSE)</f>
        <v>#N/A</v>
      </c>
      <c r="AB612">
        <v>17</v>
      </c>
    </row>
    <row r="613" spans="3:28" x14ac:dyDescent="0.3">
      <c r="C613" s="1"/>
      <c r="Y613" t="e">
        <f>Table1[[#This Row],[qPer board]]*Table1[[#This Row],[boards]]</f>
        <v>#N/A</v>
      </c>
      <c r="AA613" t="e">
        <f>VLOOKUP(Table1[[#This Row],[MA_Number]], 'rhd batch30'!$A$1:$B$64,2,FALSE)</f>
        <v>#N/A</v>
      </c>
      <c r="AB613">
        <v>17</v>
      </c>
    </row>
    <row r="614" spans="3:28" x14ac:dyDescent="0.3">
      <c r="C614" s="1"/>
      <c r="Y614" t="e">
        <f>Table1[[#This Row],[qPer board]]*Table1[[#This Row],[boards]]</f>
        <v>#N/A</v>
      </c>
      <c r="AA614" t="e">
        <f>VLOOKUP(Table1[[#This Row],[MA_Number]], 'rhd batch30'!$A$1:$B$64,2,FALSE)</f>
        <v>#N/A</v>
      </c>
      <c r="AB614">
        <v>17</v>
      </c>
    </row>
    <row r="615" spans="3:28" x14ac:dyDescent="0.3">
      <c r="C615" s="1"/>
      <c r="Y615" t="e">
        <f>Table1[[#This Row],[qPer board]]*Table1[[#This Row],[boards]]</f>
        <v>#N/A</v>
      </c>
      <c r="AA615" t="e">
        <f>VLOOKUP(Table1[[#This Row],[MA_Number]], 'rhd batch30'!$A$1:$B$64,2,FALSE)</f>
        <v>#N/A</v>
      </c>
      <c r="AB615">
        <v>17</v>
      </c>
    </row>
    <row r="616" spans="3:28" x14ac:dyDescent="0.3">
      <c r="C616" s="1"/>
      <c r="Y616" t="e">
        <f>Table1[[#This Row],[qPer board]]*Table1[[#This Row],[boards]]</f>
        <v>#N/A</v>
      </c>
      <c r="AA616" t="e">
        <f>VLOOKUP(Table1[[#This Row],[MA_Number]], 'rhd batch30'!$A$1:$B$64,2,FALSE)</f>
        <v>#N/A</v>
      </c>
      <c r="AB616">
        <v>17</v>
      </c>
    </row>
    <row r="617" spans="3:28" x14ac:dyDescent="0.3">
      <c r="C617" s="1"/>
      <c r="Y617" t="e">
        <f>Table1[[#This Row],[qPer board]]*Table1[[#This Row],[boards]]</f>
        <v>#N/A</v>
      </c>
      <c r="AA617" t="e">
        <f>VLOOKUP(Table1[[#This Row],[MA_Number]], 'rhd batch30'!$A$1:$B$64,2,FALSE)</f>
        <v>#N/A</v>
      </c>
      <c r="AB617">
        <v>17</v>
      </c>
    </row>
    <row r="618" spans="3:28" x14ac:dyDescent="0.3">
      <c r="C618" s="1"/>
      <c r="Y618" t="e">
        <f>Table1[[#This Row],[qPer board]]*Table1[[#This Row],[boards]]</f>
        <v>#N/A</v>
      </c>
      <c r="AA618" t="e">
        <f>VLOOKUP(Table1[[#This Row],[MA_Number]], 'rhd batch30'!$A$1:$B$64,2,FALSE)</f>
        <v>#N/A</v>
      </c>
      <c r="AB618">
        <v>17</v>
      </c>
    </row>
    <row r="619" spans="3:28" x14ac:dyDescent="0.3">
      <c r="C619" s="1"/>
      <c r="Y619" t="e">
        <f>Table1[[#This Row],[qPer board]]*Table1[[#This Row],[boards]]</f>
        <v>#N/A</v>
      </c>
      <c r="AA619" t="e">
        <f>VLOOKUP(Table1[[#This Row],[MA_Number]], 'rhd batch30'!$A$1:$B$64,2,FALSE)</f>
        <v>#N/A</v>
      </c>
      <c r="AB619">
        <v>17</v>
      </c>
    </row>
    <row r="620" spans="3:28" x14ac:dyDescent="0.3">
      <c r="C620" s="1"/>
      <c r="Y620" t="e">
        <f>Table1[[#This Row],[qPer board]]*Table1[[#This Row],[boards]]</f>
        <v>#N/A</v>
      </c>
      <c r="AA620" t="e">
        <f>VLOOKUP(Table1[[#This Row],[MA_Number]], 'rhd batch30'!$A$1:$B$64,2,FALSE)</f>
        <v>#N/A</v>
      </c>
      <c r="AB620">
        <v>17</v>
      </c>
    </row>
    <row r="621" spans="3:28" x14ac:dyDescent="0.3">
      <c r="C621" s="1"/>
      <c r="Y621" t="e">
        <f>Table1[[#This Row],[qPer board]]*Table1[[#This Row],[boards]]</f>
        <v>#N/A</v>
      </c>
      <c r="AA621" t="e">
        <f>VLOOKUP(Table1[[#This Row],[MA_Number]], 'rhd batch30'!$A$1:$B$64,2,FALSE)</f>
        <v>#N/A</v>
      </c>
      <c r="AB621">
        <v>17</v>
      </c>
    </row>
    <row r="622" spans="3:28" x14ac:dyDescent="0.3">
      <c r="C622" s="1"/>
      <c r="Y622" t="e">
        <f>Table1[[#This Row],[qPer board]]*Table1[[#This Row],[boards]]</f>
        <v>#N/A</v>
      </c>
      <c r="AA622" t="e">
        <f>VLOOKUP(Table1[[#This Row],[MA_Number]], 'rhd batch30'!$A$1:$B$64,2,FALSE)</f>
        <v>#N/A</v>
      </c>
      <c r="AB622">
        <v>17</v>
      </c>
    </row>
    <row r="623" spans="3:28" x14ac:dyDescent="0.3">
      <c r="C623" s="1"/>
      <c r="Y623" t="e">
        <f>Table1[[#This Row],[qPer board]]*Table1[[#This Row],[boards]]</f>
        <v>#N/A</v>
      </c>
      <c r="AA623" t="e">
        <f>VLOOKUP(Table1[[#This Row],[MA_Number]], 'rhd batch30'!$A$1:$B$64,2,FALSE)</f>
        <v>#N/A</v>
      </c>
      <c r="AB623">
        <v>17</v>
      </c>
    </row>
    <row r="624" spans="3:28" x14ac:dyDescent="0.3">
      <c r="C624" s="1"/>
      <c r="Y624" t="e">
        <f>Table1[[#This Row],[qPer board]]*Table1[[#This Row],[boards]]</f>
        <v>#N/A</v>
      </c>
      <c r="AA624" t="e">
        <f>VLOOKUP(Table1[[#This Row],[MA_Number]], 'rhd batch30'!$A$1:$B$64,2,FALSE)</f>
        <v>#N/A</v>
      </c>
      <c r="AB624">
        <v>17</v>
      </c>
    </row>
    <row r="625" spans="3:28" x14ac:dyDescent="0.3">
      <c r="C625" s="1"/>
      <c r="Y625" t="e">
        <f>Table1[[#This Row],[qPer board]]*Table1[[#This Row],[boards]]</f>
        <v>#N/A</v>
      </c>
      <c r="AA625" t="e">
        <f>VLOOKUP(Table1[[#This Row],[MA_Number]], 'rhd batch30'!$A$1:$B$64,2,FALSE)</f>
        <v>#N/A</v>
      </c>
      <c r="AB625">
        <v>17</v>
      </c>
    </row>
    <row r="626" spans="3:28" x14ac:dyDescent="0.3">
      <c r="C626" s="1"/>
      <c r="Y626" t="e">
        <f>Table1[[#This Row],[qPer board]]*Table1[[#This Row],[boards]]</f>
        <v>#N/A</v>
      </c>
      <c r="AA626" t="e">
        <f>VLOOKUP(Table1[[#This Row],[MA_Number]], 'rhd batch30'!$A$1:$B$64,2,FALSE)</f>
        <v>#N/A</v>
      </c>
      <c r="AB626">
        <v>17</v>
      </c>
    </row>
    <row r="627" spans="3:28" x14ac:dyDescent="0.3">
      <c r="C627" s="1"/>
      <c r="Y627" t="e">
        <f>Table1[[#This Row],[qPer board]]*Table1[[#This Row],[boards]]</f>
        <v>#N/A</v>
      </c>
      <c r="AA627" t="e">
        <f>VLOOKUP(Table1[[#This Row],[MA_Number]], 'rhd batch30'!$A$1:$B$64,2,FALSE)</f>
        <v>#N/A</v>
      </c>
      <c r="AB627">
        <v>17</v>
      </c>
    </row>
    <row r="628" spans="3:28" x14ac:dyDescent="0.3">
      <c r="C628" s="1"/>
      <c r="Y628" t="e">
        <f>Table1[[#This Row],[qPer board]]*Table1[[#This Row],[boards]]</f>
        <v>#N/A</v>
      </c>
      <c r="AA628" t="e">
        <f>VLOOKUP(Table1[[#This Row],[MA_Number]], 'rhd batch30'!$A$1:$B$64,2,FALSE)</f>
        <v>#N/A</v>
      </c>
      <c r="AB628">
        <v>17</v>
      </c>
    </row>
    <row r="629" spans="3:28" x14ac:dyDescent="0.3">
      <c r="C629" s="1"/>
      <c r="Y629" t="e">
        <f>Table1[[#This Row],[qPer board]]*Table1[[#This Row],[boards]]</f>
        <v>#N/A</v>
      </c>
      <c r="AA629" t="e">
        <f>VLOOKUP(Table1[[#This Row],[MA_Number]], 'rhd batch30'!$A$1:$B$64,2,FALSE)</f>
        <v>#N/A</v>
      </c>
      <c r="AB629">
        <v>17</v>
      </c>
    </row>
    <row r="630" spans="3:28" x14ac:dyDescent="0.3">
      <c r="C630" s="1"/>
      <c r="Y630" t="e">
        <f>Table1[[#This Row],[qPer board]]*Table1[[#This Row],[boards]]</f>
        <v>#N/A</v>
      </c>
      <c r="AA630" t="e">
        <f>VLOOKUP(Table1[[#This Row],[MA_Number]], 'rhd batch30'!$A$1:$B$64,2,FALSE)</f>
        <v>#N/A</v>
      </c>
      <c r="AB630">
        <v>17</v>
      </c>
    </row>
    <row r="631" spans="3:28" x14ac:dyDescent="0.3">
      <c r="C631" s="1"/>
      <c r="Y631" t="e">
        <f>Table1[[#This Row],[qPer board]]*Table1[[#This Row],[boards]]</f>
        <v>#N/A</v>
      </c>
      <c r="AA631" t="e">
        <f>VLOOKUP(Table1[[#This Row],[MA_Number]], 'rhd batch30'!$A$1:$B$64,2,FALSE)</f>
        <v>#N/A</v>
      </c>
      <c r="AB631">
        <v>17</v>
      </c>
    </row>
    <row r="632" spans="3:28" x14ac:dyDescent="0.3">
      <c r="C632" s="1"/>
      <c r="Y632" t="e">
        <f>Table1[[#This Row],[qPer board]]*Table1[[#This Row],[boards]]</f>
        <v>#N/A</v>
      </c>
      <c r="AA632" t="e">
        <f>VLOOKUP(Table1[[#This Row],[MA_Number]], 'rhd batch30'!$A$1:$B$64,2,FALSE)</f>
        <v>#N/A</v>
      </c>
      <c r="AB632">
        <v>17</v>
      </c>
    </row>
    <row r="633" spans="3:28" x14ac:dyDescent="0.3">
      <c r="C633" s="1"/>
      <c r="Y633" t="e">
        <f>Table1[[#This Row],[qPer board]]*Table1[[#This Row],[boards]]</f>
        <v>#N/A</v>
      </c>
      <c r="AA633" t="e">
        <f>VLOOKUP(Table1[[#This Row],[MA_Number]], 'rhd batch30'!$A$1:$B$64,2,FALSE)</f>
        <v>#N/A</v>
      </c>
      <c r="AB633">
        <v>17</v>
      </c>
    </row>
    <row r="634" spans="3:28" x14ac:dyDescent="0.3">
      <c r="C634" s="1"/>
      <c r="Y634" t="e">
        <f>Table1[[#This Row],[qPer board]]*Table1[[#This Row],[boards]]</f>
        <v>#N/A</v>
      </c>
      <c r="AA634" t="e">
        <f>VLOOKUP(Table1[[#This Row],[MA_Number]], 'rhd batch30'!$A$1:$B$64,2,FALSE)</f>
        <v>#N/A</v>
      </c>
      <c r="AB634">
        <v>17</v>
      </c>
    </row>
    <row r="635" spans="3:28" x14ac:dyDescent="0.3">
      <c r="C635" s="1"/>
      <c r="Y635" t="e">
        <f>Table1[[#This Row],[qPer board]]*Table1[[#This Row],[boards]]</f>
        <v>#N/A</v>
      </c>
      <c r="AA635" t="e">
        <f>VLOOKUP(Table1[[#This Row],[MA_Number]], 'rhd batch30'!$A$1:$B$64,2,FALSE)</f>
        <v>#N/A</v>
      </c>
      <c r="AB635">
        <v>17</v>
      </c>
    </row>
    <row r="636" spans="3:28" x14ac:dyDescent="0.3">
      <c r="C636" s="1"/>
      <c r="Y636" t="e">
        <f>Table1[[#This Row],[qPer board]]*Table1[[#This Row],[boards]]</f>
        <v>#N/A</v>
      </c>
      <c r="AA636" t="e">
        <f>VLOOKUP(Table1[[#This Row],[MA_Number]], 'rhd batch30'!$A$1:$B$64,2,FALSE)</f>
        <v>#N/A</v>
      </c>
      <c r="AB636">
        <v>17</v>
      </c>
    </row>
    <row r="637" spans="3:28" x14ac:dyDescent="0.3">
      <c r="C637" s="1"/>
      <c r="Y637" t="e">
        <f>Table1[[#This Row],[qPer board]]*Table1[[#This Row],[boards]]</f>
        <v>#N/A</v>
      </c>
      <c r="AA637" t="e">
        <f>VLOOKUP(Table1[[#This Row],[MA_Number]], 'rhd batch30'!$A$1:$B$64,2,FALSE)</f>
        <v>#N/A</v>
      </c>
      <c r="AB637">
        <v>17</v>
      </c>
    </row>
    <row r="638" spans="3:28" x14ac:dyDescent="0.3">
      <c r="C638" s="1"/>
      <c r="Y638" t="e">
        <f>Table1[[#This Row],[qPer board]]*Table1[[#This Row],[boards]]</f>
        <v>#N/A</v>
      </c>
      <c r="AA638" t="e">
        <f>VLOOKUP(Table1[[#This Row],[MA_Number]], 'rhd batch30'!$A$1:$B$64,2,FALSE)</f>
        <v>#N/A</v>
      </c>
      <c r="AB638">
        <v>17</v>
      </c>
    </row>
    <row r="639" spans="3:28" x14ac:dyDescent="0.3">
      <c r="C639" s="1"/>
      <c r="Y639" t="e">
        <f>Table1[[#This Row],[qPer board]]*Table1[[#This Row],[boards]]</f>
        <v>#N/A</v>
      </c>
      <c r="AA639" t="e">
        <f>VLOOKUP(Table1[[#This Row],[MA_Number]], 'rhd batch30'!$A$1:$B$64,2,FALSE)</f>
        <v>#N/A</v>
      </c>
      <c r="AB639">
        <v>17</v>
      </c>
    </row>
    <row r="640" spans="3:28" x14ac:dyDescent="0.3">
      <c r="C640" s="1"/>
      <c r="Y640" t="e">
        <f>Table1[[#This Row],[qPer board]]*Table1[[#This Row],[boards]]</f>
        <v>#N/A</v>
      </c>
      <c r="AA640" t="e">
        <f>VLOOKUP(Table1[[#This Row],[MA_Number]], 'rhd batch30'!$A$1:$B$64,2,FALSE)</f>
        <v>#N/A</v>
      </c>
      <c r="AB640">
        <v>17</v>
      </c>
    </row>
    <row r="641" spans="3:28" x14ac:dyDescent="0.3">
      <c r="C641" s="1"/>
      <c r="Y641" t="e">
        <f>Table1[[#This Row],[qPer board]]*Table1[[#This Row],[boards]]</f>
        <v>#N/A</v>
      </c>
      <c r="AA641" t="e">
        <f>VLOOKUP(Table1[[#This Row],[MA_Number]], 'rhd batch30'!$A$1:$B$64,2,FALSE)</f>
        <v>#N/A</v>
      </c>
      <c r="AB641">
        <v>17</v>
      </c>
    </row>
  </sheetData>
  <phoneticPr fontId="1" type="noConversion"/>
  <conditionalFormatting sqref="A1:A1048576">
    <cfRule type="duplicateValues" dxfId="30" priority="27"/>
  </conditionalFormatting>
  <conditionalFormatting sqref="A2:A641">
    <cfRule type="duplicateValues" dxfId="29" priority="74"/>
  </conditionalFormatting>
  <conditionalFormatting sqref="G238">
    <cfRule type="duplicateValues" dxfId="28" priority="13"/>
  </conditionalFormatting>
  <conditionalFormatting sqref="G239">
    <cfRule type="duplicateValues" dxfId="27" priority="12"/>
  </conditionalFormatting>
  <conditionalFormatting sqref="G261">
    <cfRule type="duplicateValues" dxfId="26" priority="6"/>
    <cfRule type="duplicateValues" dxfId="25" priority="7"/>
  </conditionalFormatting>
  <conditionalFormatting sqref="G262">
    <cfRule type="duplicateValues" dxfId="24" priority="4"/>
    <cfRule type="duplicateValues" dxfId="23" priority="5"/>
  </conditionalFormatting>
  <conditionalFormatting sqref="H238">
    <cfRule type="duplicateValues" dxfId="22" priority="11"/>
  </conditionalFormatting>
  <conditionalFormatting sqref="H239">
    <cfRule type="duplicateValues" dxfId="21" priority="10"/>
  </conditionalFormatting>
  <conditionalFormatting sqref="H261:H262">
    <cfRule type="duplicateValues" dxfId="20" priority="2"/>
    <cfRule type="duplicateValues" dxfId="19" priority="3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01DC4A4-B6AE-4D11-A27D-80577B7169A8}">
          <x14:formula1>
            <xm:f>color_list!$A$2:$A$9</xm:f>
          </x14:formula1>
          <xm:sqref>M536:M641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N2:N641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M2:M535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D2:D641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Z2:Z641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M290"/>
  <sheetViews>
    <sheetView topLeftCell="A15" workbookViewId="0">
      <selection activeCell="I157" sqref="I157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  <col min="10" max="10" width="9.88671875" bestFit="1" customWidth="1"/>
    <col min="11" max="11" width="18.109375" bestFit="1" customWidth="1"/>
    <col min="12" max="12" width="12.21875" bestFit="1" customWidth="1"/>
  </cols>
  <sheetData>
    <row r="1" spans="1:10" hidden="1" x14ac:dyDescent="0.3">
      <c r="A1" s="51" t="s">
        <v>1221</v>
      </c>
      <c r="B1" s="51" t="s">
        <v>315</v>
      </c>
      <c r="C1" s="51" t="s">
        <v>23</v>
      </c>
      <c r="D1" t="s">
        <v>1226</v>
      </c>
      <c r="E1" s="51" t="s">
        <v>23</v>
      </c>
    </row>
    <row r="2" spans="1:10" hidden="1" x14ac:dyDescent="0.3">
      <c r="A2" s="51">
        <v>323</v>
      </c>
      <c r="B2" s="51" t="s">
        <v>968</v>
      </c>
      <c r="C2" s="51">
        <v>3</v>
      </c>
      <c r="D2" t="e">
        <f t="shared" ref="D2:D14" si="0">VLOOKUP(A2, $E$2:$E$15, 1, FALSE)</f>
        <v>#N/A</v>
      </c>
      <c r="E2" s="51">
        <v>3</v>
      </c>
    </row>
    <row r="3" spans="1:10" hidden="1" x14ac:dyDescent="0.3">
      <c r="A3" s="51">
        <v>33323</v>
      </c>
      <c r="B3" s="51" t="s">
        <v>1222</v>
      </c>
      <c r="C3" s="51">
        <v>4</v>
      </c>
      <c r="D3" t="e">
        <f t="shared" si="0"/>
        <v>#N/A</v>
      </c>
      <c r="E3" s="51"/>
    </row>
    <row r="4" spans="1:10" hidden="1" x14ac:dyDescent="0.3">
      <c r="A4" s="51">
        <v>444</v>
      </c>
      <c r="B4" s="51" t="s">
        <v>1223</v>
      </c>
      <c r="C4" s="51">
        <v>5</v>
      </c>
      <c r="D4" t="e">
        <f t="shared" si="0"/>
        <v>#N/A</v>
      </c>
      <c r="E4" s="51">
        <v>5</v>
      </c>
    </row>
    <row r="5" spans="1:10" hidden="1" x14ac:dyDescent="0.3">
      <c r="A5" s="56">
        <v>5</v>
      </c>
      <c r="B5" s="56" t="s">
        <v>1225</v>
      </c>
      <c r="C5" s="56">
        <v>3</v>
      </c>
      <c r="D5">
        <f t="shared" si="0"/>
        <v>5</v>
      </c>
      <c r="E5" s="51">
        <v>4</v>
      </c>
    </row>
    <row r="6" spans="1:10" hidden="1" x14ac:dyDescent="0.3">
      <c r="D6" t="e">
        <f t="shared" si="0"/>
        <v>#N/A</v>
      </c>
      <c r="E6" s="51">
        <v>3</v>
      </c>
    </row>
    <row r="7" spans="1:10" hidden="1" x14ac:dyDescent="0.3">
      <c r="A7" s="51">
        <v>324444</v>
      </c>
      <c r="B7" s="51" t="s">
        <v>1224</v>
      </c>
      <c r="C7" s="51">
        <v>66</v>
      </c>
      <c r="D7" t="e">
        <f t="shared" si="0"/>
        <v>#N/A</v>
      </c>
      <c r="E7" s="51"/>
    </row>
    <row r="8" spans="1:10" hidden="1" x14ac:dyDescent="0.3">
      <c r="D8" t="e">
        <f t="shared" si="0"/>
        <v>#N/A</v>
      </c>
      <c r="E8" s="56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51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315</v>
      </c>
      <c r="D15" t="s">
        <v>274</v>
      </c>
      <c r="E15" t="s">
        <v>275</v>
      </c>
      <c r="F15" t="s">
        <v>1387</v>
      </c>
      <c r="G15" t="s">
        <v>23</v>
      </c>
      <c r="I15" t="s">
        <v>1346</v>
      </c>
      <c r="J15" t="s">
        <v>1365</v>
      </c>
    </row>
    <row r="16" spans="1:10" hidden="1" x14ac:dyDescent="0.3">
      <c r="A16">
        <v>7003756102</v>
      </c>
      <c r="B16" t="s">
        <v>1291</v>
      </c>
      <c r="C16" t="s">
        <v>1004</v>
      </c>
      <c r="D16" t="s">
        <v>11</v>
      </c>
      <c r="G16">
        <v>1</v>
      </c>
      <c r="H16">
        <f t="shared" ref="H16:H17" si="1">G16*28</f>
        <v>28</v>
      </c>
      <c r="I16" s="62">
        <v>19</v>
      </c>
    </row>
    <row r="17" spans="1:10" hidden="1" x14ac:dyDescent="0.3">
      <c r="A17">
        <v>7035964930</v>
      </c>
      <c r="B17" t="s">
        <v>1291</v>
      </c>
      <c r="C17" t="s">
        <v>1004</v>
      </c>
      <c r="D17" t="s">
        <v>11</v>
      </c>
      <c r="G17">
        <v>1</v>
      </c>
      <c r="H17">
        <f t="shared" si="1"/>
        <v>28</v>
      </c>
      <c r="I17" s="62">
        <v>23</v>
      </c>
    </row>
    <row r="18" spans="1:10" hidden="1" x14ac:dyDescent="0.3">
      <c r="A18">
        <v>7035990430</v>
      </c>
      <c r="B18" t="s">
        <v>1291</v>
      </c>
      <c r="C18" t="s">
        <v>1294</v>
      </c>
      <c r="D18" t="s">
        <v>11</v>
      </c>
      <c r="G18">
        <v>2</v>
      </c>
      <c r="H18">
        <f>G18*28</f>
        <v>56</v>
      </c>
      <c r="I18" s="62">
        <v>19</v>
      </c>
    </row>
    <row r="19" spans="1:10" hidden="1" x14ac:dyDescent="0.3">
      <c r="A19">
        <v>7035990930</v>
      </c>
      <c r="B19" t="s">
        <v>1291</v>
      </c>
      <c r="C19" t="s">
        <v>1294</v>
      </c>
      <c r="D19" t="s">
        <v>11</v>
      </c>
      <c r="G19">
        <v>1</v>
      </c>
      <c r="H19">
        <f t="shared" ref="H19:H79" si="2">G19*28</f>
        <v>28</v>
      </c>
      <c r="I19" s="62">
        <v>19</v>
      </c>
    </row>
    <row r="20" spans="1:10" hidden="1" x14ac:dyDescent="0.3">
      <c r="A20" t="s">
        <v>1265</v>
      </c>
      <c r="B20" t="s">
        <v>1291</v>
      </c>
      <c r="C20" t="s">
        <v>1296</v>
      </c>
      <c r="D20" t="s">
        <v>1293</v>
      </c>
      <c r="G20">
        <v>2</v>
      </c>
      <c r="H20">
        <f t="shared" si="2"/>
        <v>56</v>
      </c>
      <c r="I20" s="62">
        <v>20</v>
      </c>
    </row>
    <row r="21" spans="1:10" hidden="1" x14ac:dyDescent="0.3">
      <c r="A21" t="s">
        <v>876</v>
      </c>
      <c r="B21" t="s">
        <v>1291</v>
      </c>
      <c r="C21" t="s">
        <v>1296</v>
      </c>
      <c r="D21" t="s">
        <v>1293</v>
      </c>
      <c r="G21">
        <v>1</v>
      </c>
      <c r="H21">
        <f t="shared" si="2"/>
        <v>28</v>
      </c>
      <c r="I21" s="62">
        <v>20</v>
      </c>
    </row>
    <row r="22" spans="1:10" hidden="1" x14ac:dyDescent="0.3">
      <c r="A22">
        <v>7047186030</v>
      </c>
      <c r="B22" t="s">
        <v>1291</v>
      </c>
      <c r="C22" t="s">
        <v>1293</v>
      </c>
      <c r="D22" t="s">
        <v>1293</v>
      </c>
      <c r="G22">
        <v>30</v>
      </c>
      <c r="H22">
        <f t="shared" si="2"/>
        <v>840</v>
      </c>
      <c r="I22" s="62">
        <v>19</v>
      </c>
      <c r="J22">
        <v>116</v>
      </c>
    </row>
    <row r="23" spans="1:10" hidden="1" x14ac:dyDescent="0.3">
      <c r="A23" t="s">
        <v>881</v>
      </c>
      <c r="B23" t="s">
        <v>1291</v>
      </c>
      <c r="C23" t="s">
        <v>1296</v>
      </c>
      <c r="D23" t="s">
        <v>1293</v>
      </c>
      <c r="G23">
        <v>1</v>
      </c>
      <c r="H23">
        <f t="shared" si="2"/>
        <v>28</v>
      </c>
      <c r="I23" s="62">
        <v>20</v>
      </c>
    </row>
    <row r="24" spans="1:10" hidden="1" x14ac:dyDescent="0.3">
      <c r="A24" t="s">
        <v>1266</v>
      </c>
      <c r="B24" t="s">
        <v>1291</v>
      </c>
      <c r="C24" t="s">
        <v>1296</v>
      </c>
      <c r="D24" t="s">
        <v>1293</v>
      </c>
      <c r="G24">
        <v>3</v>
      </c>
      <c r="H24">
        <f t="shared" si="2"/>
        <v>84</v>
      </c>
      <c r="I24" s="62">
        <v>20</v>
      </c>
    </row>
    <row r="25" spans="1:10" hidden="1" x14ac:dyDescent="0.3">
      <c r="A25" t="s">
        <v>1267</v>
      </c>
      <c r="B25" t="s">
        <v>1291</v>
      </c>
      <c r="C25" t="s">
        <v>1296</v>
      </c>
      <c r="D25" t="s">
        <v>1293</v>
      </c>
      <c r="G25">
        <v>1</v>
      </c>
      <c r="H25">
        <f t="shared" si="2"/>
        <v>28</v>
      </c>
      <c r="I25" s="62">
        <v>20</v>
      </c>
    </row>
    <row r="26" spans="1:10" hidden="1" x14ac:dyDescent="0.3">
      <c r="A26" t="s">
        <v>1268</v>
      </c>
      <c r="B26" t="s">
        <v>1291</v>
      </c>
      <c r="C26" t="s">
        <v>1296</v>
      </c>
      <c r="D26" t="s">
        <v>1293</v>
      </c>
      <c r="G26">
        <v>1</v>
      </c>
      <c r="H26">
        <f t="shared" si="2"/>
        <v>28</v>
      </c>
      <c r="I26" s="62">
        <v>20</v>
      </c>
    </row>
    <row r="27" spans="1:10" hidden="1" x14ac:dyDescent="0.3">
      <c r="A27">
        <v>7075181330</v>
      </c>
      <c r="B27" t="s">
        <v>1291</v>
      </c>
      <c r="C27" t="s">
        <v>1004</v>
      </c>
      <c r="D27" t="s">
        <v>11</v>
      </c>
      <c r="G27">
        <v>1</v>
      </c>
      <c r="H27">
        <f t="shared" si="2"/>
        <v>28</v>
      </c>
      <c r="I27" s="62">
        <v>22</v>
      </c>
    </row>
    <row r="28" spans="1:10" hidden="1" x14ac:dyDescent="0.3">
      <c r="A28">
        <v>7075231930</v>
      </c>
      <c r="B28" t="s">
        <v>1291</v>
      </c>
      <c r="C28" t="s">
        <v>1294</v>
      </c>
      <c r="D28" t="s">
        <v>11</v>
      </c>
      <c r="G28">
        <v>1</v>
      </c>
      <c r="H28">
        <f t="shared" si="2"/>
        <v>28</v>
      </c>
      <c r="I28" s="62">
        <v>19</v>
      </c>
      <c r="J28">
        <v>2</v>
      </c>
    </row>
    <row r="29" spans="1:10" hidden="1" x14ac:dyDescent="0.3">
      <c r="A29">
        <v>7075244730</v>
      </c>
      <c r="B29" t="s">
        <v>1291</v>
      </c>
      <c r="C29" t="s">
        <v>1004</v>
      </c>
      <c r="D29" t="s">
        <v>11</v>
      </c>
      <c r="G29">
        <v>1</v>
      </c>
      <c r="H29">
        <f t="shared" si="2"/>
        <v>28</v>
      </c>
      <c r="I29">
        <v>24</v>
      </c>
    </row>
    <row r="30" spans="1:10" hidden="1" x14ac:dyDescent="0.3">
      <c r="A30" t="s">
        <v>811</v>
      </c>
      <c r="B30" t="s">
        <v>1291</v>
      </c>
      <c r="C30" t="s">
        <v>1004</v>
      </c>
      <c r="D30" t="s">
        <v>11</v>
      </c>
      <c r="G30">
        <v>2</v>
      </c>
      <c r="H30">
        <f t="shared" si="2"/>
        <v>56</v>
      </c>
      <c r="I30" s="62">
        <v>23</v>
      </c>
    </row>
    <row r="31" spans="1:10" hidden="1" x14ac:dyDescent="0.3">
      <c r="A31">
        <v>71186354</v>
      </c>
      <c r="B31" t="s">
        <v>1291</v>
      </c>
      <c r="C31" t="s">
        <v>1004</v>
      </c>
      <c r="D31" t="s">
        <v>11</v>
      </c>
      <c r="E31">
        <v>1</v>
      </c>
      <c r="F31" t="s">
        <v>1386</v>
      </c>
      <c r="G31">
        <v>2</v>
      </c>
      <c r="H31">
        <f t="shared" si="2"/>
        <v>56</v>
      </c>
      <c r="I31" s="62">
        <v>19</v>
      </c>
      <c r="J31">
        <v>3</v>
      </c>
    </row>
    <row r="32" spans="1:10" hidden="1" x14ac:dyDescent="0.3">
      <c r="A32" t="s">
        <v>212</v>
      </c>
      <c r="B32" t="s">
        <v>1291</v>
      </c>
      <c r="C32" t="s">
        <v>1004</v>
      </c>
      <c r="D32" t="s">
        <v>11</v>
      </c>
      <c r="G32">
        <v>1</v>
      </c>
      <c r="H32">
        <f t="shared" si="2"/>
        <v>28</v>
      </c>
    </row>
    <row r="33" spans="1:11" hidden="1" x14ac:dyDescent="0.3">
      <c r="A33" t="s">
        <v>520</v>
      </c>
      <c r="B33" t="s">
        <v>1291</v>
      </c>
      <c r="C33" t="s">
        <v>1004</v>
      </c>
      <c r="D33" t="s">
        <v>11</v>
      </c>
      <c r="E33">
        <v>1</v>
      </c>
      <c r="G33">
        <v>2</v>
      </c>
      <c r="H33">
        <f t="shared" si="2"/>
        <v>56</v>
      </c>
      <c r="I33" s="62">
        <v>23</v>
      </c>
    </row>
    <row r="34" spans="1:11" hidden="1" x14ac:dyDescent="0.3">
      <c r="A34">
        <v>7118670020</v>
      </c>
      <c r="B34" t="s">
        <v>1291</v>
      </c>
      <c r="C34" t="s">
        <v>1004</v>
      </c>
      <c r="D34" t="s">
        <v>11</v>
      </c>
      <c r="E34">
        <v>1</v>
      </c>
      <c r="F34" t="s">
        <v>1388</v>
      </c>
      <c r="G34">
        <v>2</v>
      </c>
      <c r="H34">
        <f t="shared" si="2"/>
        <v>56</v>
      </c>
      <c r="I34" s="62">
        <v>19</v>
      </c>
    </row>
    <row r="35" spans="1:11" hidden="1" x14ac:dyDescent="0.3">
      <c r="A35" t="s">
        <v>1269</v>
      </c>
      <c r="B35" t="s">
        <v>1291</v>
      </c>
      <c r="C35" t="s">
        <v>1004</v>
      </c>
      <c r="D35" t="s">
        <v>11</v>
      </c>
      <c r="G35">
        <v>1</v>
      </c>
      <c r="H35">
        <f t="shared" si="2"/>
        <v>28</v>
      </c>
      <c r="I35" s="62">
        <v>23</v>
      </c>
    </row>
    <row r="36" spans="1:11" hidden="1" x14ac:dyDescent="0.3">
      <c r="A36" t="s">
        <v>214</v>
      </c>
      <c r="B36" t="s">
        <v>1291</v>
      </c>
      <c r="C36" t="s">
        <v>1004</v>
      </c>
      <c r="D36" t="s">
        <v>11</v>
      </c>
      <c r="G36">
        <v>1</v>
      </c>
      <c r="H36">
        <f t="shared" si="2"/>
        <v>28</v>
      </c>
    </row>
    <row r="37" spans="1:11" hidden="1" x14ac:dyDescent="0.3">
      <c r="A37">
        <v>7119131530</v>
      </c>
      <c r="B37" t="s">
        <v>1291</v>
      </c>
      <c r="C37" t="s">
        <v>1004</v>
      </c>
      <c r="D37" t="s">
        <v>11</v>
      </c>
      <c r="E37">
        <v>1</v>
      </c>
      <c r="G37">
        <v>3</v>
      </c>
      <c r="H37">
        <f t="shared" si="2"/>
        <v>84</v>
      </c>
      <c r="I37" s="62">
        <v>19</v>
      </c>
    </row>
    <row r="38" spans="1:11" hidden="1" x14ac:dyDescent="0.3">
      <c r="A38" t="s">
        <v>526</v>
      </c>
      <c r="B38" t="s">
        <v>1291</v>
      </c>
      <c r="C38" t="s">
        <v>1004</v>
      </c>
      <c r="D38" t="s">
        <v>11</v>
      </c>
      <c r="G38">
        <v>2</v>
      </c>
      <c r="H38">
        <f t="shared" si="2"/>
        <v>56</v>
      </c>
      <c r="I38" s="62">
        <v>23</v>
      </c>
    </row>
    <row r="39" spans="1:11" hidden="1" x14ac:dyDescent="0.3">
      <c r="A39">
        <v>7119146730</v>
      </c>
      <c r="B39" t="s">
        <v>1291</v>
      </c>
      <c r="C39" t="s">
        <v>1004</v>
      </c>
      <c r="D39" t="s">
        <v>11</v>
      </c>
      <c r="E39">
        <v>1</v>
      </c>
      <c r="G39">
        <v>1</v>
      </c>
      <c r="H39">
        <f t="shared" si="2"/>
        <v>28</v>
      </c>
      <c r="I39" s="62">
        <v>22</v>
      </c>
    </row>
    <row r="40" spans="1:11" hidden="1" x14ac:dyDescent="0.3">
      <c r="A40">
        <v>7119163630</v>
      </c>
      <c r="B40" t="s">
        <v>1291</v>
      </c>
      <c r="C40" t="s">
        <v>1004</v>
      </c>
      <c r="D40" t="s">
        <v>11</v>
      </c>
      <c r="E40">
        <v>1</v>
      </c>
      <c r="G40">
        <v>4</v>
      </c>
      <c r="H40">
        <f t="shared" si="2"/>
        <v>112</v>
      </c>
      <c r="K40" t="s">
        <v>1768</v>
      </c>
    </row>
    <row r="41" spans="1:11" hidden="1" x14ac:dyDescent="0.3">
      <c r="A41">
        <v>7119172930</v>
      </c>
      <c r="B41" t="s">
        <v>1291</v>
      </c>
      <c r="C41" t="s">
        <v>1004</v>
      </c>
      <c r="D41" t="s">
        <v>11</v>
      </c>
      <c r="E41">
        <v>1</v>
      </c>
      <c r="G41">
        <v>1</v>
      </c>
      <c r="H41">
        <f t="shared" si="2"/>
        <v>28</v>
      </c>
      <c r="K41" t="s">
        <v>1767</v>
      </c>
    </row>
    <row r="42" spans="1:11" hidden="1" x14ac:dyDescent="0.3">
      <c r="A42">
        <v>71191993</v>
      </c>
      <c r="B42" t="s">
        <v>1291</v>
      </c>
      <c r="C42" t="s">
        <v>1004</v>
      </c>
      <c r="D42" t="s">
        <v>11</v>
      </c>
      <c r="E42">
        <v>1</v>
      </c>
      <c r="G42">
        <v>1</v>
      </c>
      <c r="H42">
        <f t="shared" si="2"/>
        <v>28</v>
      </c>
      <c r="I42" s="62">
        <v>19</v>
      </c>
    </row>
    <row r="43" spans="1:11" hidden="1" x14ac:dyDescent="0.3">
      <c r="A43">
        <v>7119639830</v>
      </c>
      <c r="B43" t="s">
        <v>1291</v>
      </c>
      <c r="C43" t="s">
        <v>1004</v>
      </c>
      <c r="D43" t="s">
        <v>11</v>
      </c>
      <c r="E43">
        <v>1</v>
      </c>
      <c r="G43">
        <v>1</v>
      </c>
      <c r="H43">
        <f t="shared" si="2"/>
        <v>28</v>
      </c>
      <c r="I43" s="62">
        <v>22</v>
      </c>
    </row>
    <row r="44" spans="1:11" hidden="1" x14ac:dyDescent="0.3">
      <c r="A44">
        <v>71196401</v>
      </c>
      <c r="B44" t="s">
        <v>1291</v>
      </c>
      <c r="C44" t="s">
        <v>1004</v>
      </c>
      <c r="D44" t="s">
        <v>11</v>
      </c>
      <c r="E44">
        <v>1</v>
      </c>
      <c r="G44">
        <v>1</v>
      </c>
      <c r="H44">
        <f t="shared" si="2"/>
        <v>28</v>
      </c>
      <c r="I44" s="62">
        <v>19</v>
      </c>
    </row>
    <row r="45" spans="1:11" hidden="1" x14ac:dyDescent="0.3">
      <c r="A45">
        <v>7119641970</v>
      </c>
      <c r="B45" t="s">
        <v>1291</v>
      </c>
      <c r="C45" t="s">
        <v>1004</v>
      </c>
      <c r="D45" t="s">
        <v>11</v>
      </c>
      <c r="E45">
        <v>1</v>
      </c>
      <c r="G45">
        <v>1</v>
      </c>
      <c r="H45">
        <f t="shared" si="2"/>
        <v>28</v>
      </c>
      <c r="I45" s="62">
        <v>23</v>
      </c>
    </row>
    <row r="46" spans="1:11" hidden="1" x14ac:dyDescent="0.3">
      <c r="A46" t="s">
        <v>218</v>
      </c>
      <c r="B46" t="s">
        <v>1291</v>
      </c>
      <c r="C46" t="s">
        <v>1004</v>
      </c>
      <c r="D46" t="s">
        <v>11</v>
      </c>
      <c r="G46">
        <v>1</v>
      </c>
      <c r="H46">
        <f t="shared" si="2"/>
        <v>28</v>
      </c>
    </row>
    <row r="47" spans="1:11" hidden="1" x14ac:dyDescent="0.3">
      <c r="A47">
        <v>71196506</v>
      </c>
      <c r="B47" t="s">
        <v>1291</v>
      </c>
      <c r="C47" t="s">
        <v>1004</v>
      </c>
      <c r="D47" t="s">
        <v>11</v>
      </c>
      <c r="E47">
        <v>1</v>
      </c>
      <c r="G47">
        <v>1</v>
      </c>
      <c r="H47">
        <f t="shared" si="2"/>
        <v>28</v>
      </c>
      <c r="K47" t="s">
        <v>1770</v>
      </c>
    </row>
    <row r="48" spans="1:11" hidden="1" x14ac:dyDescent="0.3">
      <c r="A48">
        <v>7119668820</v>
      </c>
      <c r="B48" t="s">
        <v>1291</v>
      </c>
      <c r="C48" t="s">
        <v>1004</v>
      </c>
      <c r="D48" t="s">
        <v>11</v>
      </c>
      <c r="E48">
        <v>1</v>
      </c>
      <c r="G48">
        <v>1</v>
      </c>
      <c r="H48">
        <f t="shared" si="2"/>
        <v>28</v>
      </c>
      <c r="K48" t="s">
        <v>1769</v>
      </c>
    </row>
    <row r="49" spans="1:11" hidden="1" x14ac:dyDescent="0.3">
      <c r="A49" t="s">
        <v>217</v>
      </c>
      <c r="B49" t="s">
        <v>1291</v>
      </c>
      <c r="C49" t="s">
        <v>1004</v>
      </c>
      <c r="D49" t="s">
        <v>11</v>
      </c>
      <c r="G49">
        <v>3</v>
      </c>
      <c r="H49">
        <f t="shared" si="2"/>
        <v>84</v>
      </c>
    </row>
    <row r="50" spans="1:11" hidden="1" x14ac:dyDescent="0.3">
      <c r="A50">
        <v>71196714</v>
      </c>
      <c r="B50" t="s">
        <v>1291</v>
      </c>
      <c r="C50" t="s">
        <v>1004</v>
      </c>
      <c r="D50" t="s">
        <v>11</v>
      </c>
      <c r="E50">
        <v>1</v>
      </c>
      <c r="G50">
        <v>1</v>
      </c>
      <c r="H50">
        <f t="shared" si="2"/>
        <v>28</v>
      </c>
      <c r="I50" s="62">
        <v>22</v>
      </c>
    </row>
    <row r="51" spans="1:11" hidden="1" x14ac:dyDescent="0.3">
      <c r="A51" t="s">
        <v>1026</v>
      </c>
      <c r="B51" t="s">
        <v>1291</v>
      </c>
      <c r="C51" t="s">
        <v>1296</v>
      </c>
      <c r="D51" t="s">
        <v>1293</v>
      </c>
      <c r="G51">
        <v>1</v>
      </c>
      <c r="H51">
        <f t="shared" si="2"/>
        <v>28</v>
      </c>
      <c r="I51" s="62">
        <v>20</v>
      </c>
    </row>
    <row r="52" spans="1:11" hidden="1" x14ac:dyDescent="0.3">
      <c r="A52">
        <v>7147882430</v>
      </c>
      <c r="B52" t="s">
        <v>1291</v>
      </c>
      <c r="C52" t="s">
        <v>1293</v>
      </c>
      <c r="D52" t="s">
        <v>1293</v>
      </c>
      <c r="G52">
        <v>6</v>
      </c>
      <c r="H52">
        <f t="shared" si="2"/>
        <v>168</v>
      </c>
      <c r="I52" s="62">
        <v>19</v>
      </c>
      <c r="J52">
        <v>19</v>
      </c>
    </row>
    <row r="53" spans="1:11" hidden="1" x14ac:dyDescent="0.3">
      <c r="A53" t="s">
        <v>1270</v>
      </c>
      <c r="B53" t="s">
        <v>1291</v>
      </c>
      <c r="C53" t="s">
        <v>1295</v>
      </c>
      <c r="D53" t="s">
        <v>11</v>
      </c>
      <c r="G53">
        <v>1</v>
      </c>
      <c r="H53">
        <f t="shared" si="2"/>
        <v>28</v>
      </c>
    </row>
    <row r="54" spans="1:11" hidden="1" x14ac:dyDescent="0.3">
      <c r="A54" t="s">
        <v>1271</v>
      </c>
      <c r="B54" t="s">
        <v>1291</v>
      </c>
      <c r="C54" t="s">
        <v>1295</v>
      </c>
      <c r="D54" t="s">
        <v>11</v>
      </c>
      <c r="G54">
        <v>1</v>
      </c>
      <c r="H54">
        <f t="shared" si="2"/>
        <v>28</v>
      </c>
    </row>
    <row r="55" spans="1:11" hidden="1" x14ac:dyDescent="0.3">
      <c r="A55">
        <v>71781227</v>
      </c>
      <c r="B55" t="s">
        <v>1291</v>
      </c>
      <c r="C55" t="s">
        <v>1004</v>
      </c>
      <c r="D55" t="s">
        <v>11</v>
      </c>
      <c r="E55">
        <v>1</v>
      </c>
      <c r="G55">
        <v>1</v>
      </c>
      <c r="H55">
        <f t="shared" si="2"/>
        <v>28</v>
      </c>
      <c r="I55" s="62">
        <v>22</v>
      </c>
    </row>
    <row r="56" spans="1:11" hidden="1" x14ac:dyDescent="0.3">
      <c r="A56">
        <v>71782472</v>
      </c>
      <c r="B56" t="s">
        <v>1291</v>
      </c>
      <c r="C56" t="s">
        <v>1004</v>
      </c>
      <c r="D56" t="s">
        <v>11</v>
      </c>
      <c r="E56">
        <v>1</v>
      </c>
      <c r="G56">
        <v>1</v>
      </c>
      <c r="H56">
        <f t="shared" si="2"/>
        <v>28</v>
      </c>
      <c r="I56" s="62">
        <v>22</v>
      </c>
    </row>
    <row r="57" spans="1:11" hidden="1" x14ac:dyDescent="0.3">
      <c r="A57">
        <v>7178270480</v>
      </c>
      <c r="B57" t="s">
        <v>1291</v>
      </c>
      <c r="C57" t="s">
        <v>1004</v>
      </c>
      <c r="D57" t="s">
        <v>11</v>
      </c>
      <c r="G57">
        <v>1</v>
      </c>
      <c r="H57">
        <f t="shared" si="2"/>
        <v>28</v>
      </c>
    </row>
    <row r="58" spans="1:11" hidden="1" x14ac:dyDescent="0.3">
      <c r="A58" t="s">
        <v>219</v>
      </c>
      <c r="B58" t="s">
        <v>1291</v>
      </c>
      <c r="C58" t="s">
        <v>1004</v>
      </c>
      <c r="D58" t="s">
        <v>11</v>
      </c>
      <c r="G58">
        <v>2</v>
      </c>
      <c r="H58">
        <f t="shared" si="2"/>
        <v>56</v>
      </c>
      <c r="I58">
        <v>24</v>
      </c>
      <c r="K58" t="s">
        <v>2034</v>
      </c>
    </row>
    <row r="59" spans="1:11" hidden="1" x14ac:dyDescent="0.3">
      <c r="A59">
        <v>7183753630</v>
      </c>
      <c r="B59" t="s">
        <v>1291</v>
      </c>
      <c r="C59" t="s">
        <v>1004</v>
      </c>
      <c r="D59" t="s">
        <v>11</v>
      </c>
      <c r="E59">
        <v>1</v>
      </c>
      <c r="G59">
        <v>1</v>
      </c>
      <c r="H59">
        <f t="shared" si="2"/>
        <v>28</v>
      </c>
      <c r="I59" s="62">
        <v>22</v>
      </c>
    </row>
    <row r="60" spans="1:11" hidden="1" x14ac:dyDescent="0.3">
      <c r="A60" t="s">
        <v>552</v>
      </c>
      <c r="B60" t="s">
        <v>1291</v>
      </c>
      <c r="C60" t="s">
        <v>1004</v>
      </c>
      <c r="D60" t="s">
        <v>11</v>
      </c>
      <c r="G60">
        <v>1</v>
      </c>
      <c r="H60">
        <f t="shared" si="2"/>
        <v>28</v>
      </c>
      <c r="K60" t="s">
        <v>1964</v>
      </c>
    </row>
    <row r="61" spans="1:11" hidden="1" x14ac:dyDescent="0.3">
      <c r="A61" t="s">
        <v>1272</v>
      </c>
      <c r="B61" t="s">
        <v>1291</v>
      </c>
      <c r="C61" t="s">
        <v>1295</v>
      </c>
      <c r="D61" t="s">
        <v>11</v>
      </c>
      <c r="G61">
        <v>1</v>
      </c>
      <c r="H61">
        <f t="shared" si="2"/>
        <v>28</v>
      </c>
    </row>
    <row r="62" spans="1:11" hidden="1" x14ac:dyDescent="0.3">
      <c r="A62" t="s">
        <v>256</v>
      </c>
      <c r="B62" t="s">
        <v>1291</v>
      </c>
      <c r="C62" t="s">
        <v>1004</v>
      </c>
      <c r="D62" t="s">
        <v>11</v>
      </c>
      <c r="G62">
        <v>1</v>
      </c>
      <c r="H62">
        <f t="shared" si="2"/>
        <v>28</v>
      </c>
    </row>
    <row r="63" spans="1:11" hidden="1" x14ac:dyDescent="0.3">
      <c r="A63" t="s">
        <v>221</v>
      </c>
      <c r="B63" t="s">
        <v>1291</v>
      </c>
      <c r="C63" t="s">
        <v>1004</v>
      </c>
      <c r="D63" t="s">
        <v>11</v>
      </c>
      <c r="E63">
        <v>1</v>
      </c>
      <c r="G63">
        <v>1</v>
      </c>
      <c r="H63">
        <f t="shared" si="2"/>
        <v>28</v>
      </c>
      <c r="I63" s="62">
        <v>19</v>
      </c>
      <c r="J63">
        <v>1</v>
      </c>
    </row>
    <row r="64" spans="1:11" hidden="1" x14ac:dyDescent="0.3">
      <c r="A64" t="s">
        <v>1273</v>
      </c>
      <c r="B64" t="s">
        <v>1291</v>
      </c>
      <c r="C64" t="s">
        <v>1004</v>
      </c>
      <c r="D64" t="s">
        <v>11</v>
      </c>
      <c r="G64">
        <v>1</v>
      </c>
      <c r="H64">
        <f t="shared" si="2"/>
        <v>28</v>
      </c>
    </row>
    <row r="65" spans="1:11" hidden="1" x14ac:dyDescent="0.3">
      <c r="A65">
        <v>7189663170</v>
      </c>
      <c r="B65" t="s">
        <v>1291</v>
      </c>
      <c r="C65" t="s">
        <v>1004</v>
      </c>
      <c r="D65" t="s">
        <v>11</v>
      </c>
      <c r="G65">
        <v>2</v>
      </c>
      <c r="H65">
        <f t="shared" si="2"/>
        <v>56</v>
      </c>
      <c r="I65" s="62">
        <v>22</v>
      </c>
    </row>
    <row r="66" spans="1:11" hidden="1" x14ac:dyDescent="0.3">
      <c r="A66" t="s">
        <v>860</v>
      </c>
      <c r="B66" t="s">
        <v>1291</v>
      </c>
      <c r="C66" t="s">
        <v>1004</v>
      </c>
      <c r="D66" t="s">
        <v>11</v>
      </c>
      <c r="G66">
        <v>1</v>
      </c>
      <c r="H66">
        <f t="shared" si="2"/>
        <v>28</v>
      </c>
    </row>
    <row r="67" spans="1:11" hidden="1" x14ac:dyDescent="0.3">
      <c r="A67" t="s">
        <v>224</v>
      </c>
      <c r="B67" t="s">
        <v>1291</v>
      </c>
      <c r="C67" t="s">
        <v>1004</v>
      </c>
      <c r="D67" t="s">
        <v>11</v>
      </c>
      <c r="G67">
        <v>1</v>
      </c>
      <c r="H67">
        <f t="shared" si="2"/>
        <v>28</v>
      </c>
    </row>
    <row r="68" spans="1:11" hidden="1" x14ac:dyDescent="0.3">
      <c r="A68">
        <v>71897277</v>
      </c>
      <c r="B68" t="s">
        <v>1291</v>
      </c>
      <c r="C68" t="s">
        <v>1004</v>
      </c>
      <c r="D68" t="s">
        <v>11</v>
      </c>
      <c r="E68">
        <v>1</v>
      </c>
      <c r="G68">
        <v>1</v>
      </c>
      <c r="H68">
        <f t="shared" si="2"/>
        <v>28</v>
      </c>
      <c r="I68" s="62">
        <v>19</v>
      </c>
    </row>
    <row r="69" spans="1:11" hidden="1" x14ac:dyDescent="0.3">
      <c r="A69" t="s">
        <v>225</v>
      </c>
      <c r="B69" t="s">
        <v>1291</v>
      </c>
      <c r="C69" t="s">
        <v>1004</v>
      </c>
      <c r="D69" t="s">
        <v>11</v>
      </c>
      <c r="G69">
        <v>1</v>
      </c>
      <c r="H69">
        <f t="shared" si="2"/>
        <v>28</v>
      </c>
    </row>
    <row r="70" spans="1:11" hidden="1" x14ac:dyDescent="0.3">
      <c r="A70" t="s">
        <v>1274</v>
      </c>
      <c r="B70" t="s">
        <v>1291</v>
      </c>
      <c r="C70" t="s">
        <v>1004</v>
      </c>
      <c r="D70" t="s">
        <v>11</v>
      </c>
      <c r="G70">
        <v>1</v>
      </c>
      <c r="H70">
        <f t="shared" si="2"/>
        <v>28</v>
      </c>
      <c r="K70" t="s">
        <v>1964</v>
      </c>
    </row>
    <row r="71" spans="1:11" hidden="1" x14ac:dyDescent="0.3">
      <c r="A71">
        <v>71899503</v>
      </c>
      <c r="B71" t="s">
        <v>1291</v>
      </c>
      <c r="C71" t="s">
        <v>1004</v>
      </c>
      <c r="D71" t="s">
        <v>11</v>
      </c>
      <c r="E71">
        <v>1</v>
      </c>
      <c r="G71">
        <v>2</v>
      </c>
      <c r="H71">
        <f t="shared" si="2"/>
        <v>56</v>
      </c>
      <c r="I71" s="62">
        <v>19</v>
      </c>
    </row>
    <row r="72" spans="1:11" hidden="1" x14ac:dyDescent="0.3">
      <c r="A72">
        <v>7189982830</v>
      </c>
      <c r="B72" t="s">
        <v>1291</v>
      </c>
      <c r="C72" t="s">
        <v>1004</v>
      </c>
      <c r="D72" t="s">
        <v>11</v>
      </c>
      <c r="E72">
        <v>1</v>
      </c>
      <c r="G72">
        <v>1</v>
      </c>
      <c r="H72">
        <f t="shared" si="2"/>
        <v>28</v>
      </c>
      <c r="I72" s="62">
        <v>22</v>
      </c>
    </row>
    <row r="73" spans="1:11" hidden="1" x14ac:dyDescent="0.3">
      <c r="A73">
        <v>71979512</v>
      </c>
      <c r="B73" t="s">
        <v>1291</v>
      </c>
      <c r="C73" t="s">
        <v>1004</v>
      </c>
      <c r="D73" t="s">
        <v>11</v>
      </c>
      <c r="G73">
        <v>1</v>
      </c>
      <c r="H73">
        <f t="shared" si="2"/>
        <v>28</v>
      </c>
      <c r="K73" t="s">
        <v>1766</v>
      </c>
    </row>
    <row r="74" spans="1:11" hidden="1" x14ac:dyDescent="0.3">
      <c r="A74" t="s">
        <v>1275</v>
      </c>
      <c r="B74" t="s">
        <v>1291</v>
      </c>
      <c r="C74" t="s">
        <v>1004</v>
      </c>
      <c r="D74" t="s">
        <v>11</v>
      </c>
      <c r="G74">
        <v>1</v>
      </c>
      <c r="H74">
        <f t="shared" si="2"/>
        <v>28</v>
      </c>
      <c r="K74" t="s">
        <v>1964</v>
      </c>
    </row>
    <row r="75" spans="1:11" hidden="1" x14ac:dyDescent="0.3">
      <c r="A75">
        <v>7198599230</v>
      </c>
      <c r="B75" t="s">
        <v>1291</v>
      </c>
      <c r="C75" t="s">
        <v>1004</v>
      </c>
      <c r="D75" t="s">
        <v>11</v>
      </c>
      <c r="G75">
        <v>1</v>
      </c>
      <c r="H75">
        <f t="shared" si="2"/>
        <v>28</v>
      </c>
      <c r="I75" s="62">
        <v>22</v>
      </c>
    </row>
    <row r="76" spans="1:11" hidden="1" x14ac:dyDescent="0.3">
      <c r="A76">
        <v>71986562</v>
      </c>
      <c r="B76" t="s">
        <v>1291</v>
      </c>
      <c r="C76" t="s">
        <v>1004</v>
      </c>
      <c r="D76" t="s">
        <v>11</v>
      </c>
      <c r="G76">
        <v>1</v>
      </c>
      <c r="H76">
        <f t="shared" si="2"/>
        <v>28</v>
      </c>
      <c r="I76" s="62">
        <v>22</v>
      </c>
    </row>
    <row r="77" spans="1:11" hidden="1" x14ac:dyDescent="0.3">
      <c r="A77" t="s">
        <v>227</v>
      </c>
      <c r="B77" t="s">
        <v>1291</v>
      </c>
      <c r="C77" t="s">
        <v>1004</v>
      </c>
      <c r="D77" t="s">
        <v>11</v>
      </c>
      <c r="G77">
        <v>2</v>
      </c>
      <c r="H77">
        <f t="shared" si="2"/>
        <v>56</v>
      </c>
      <c r="K77" t="s">
        <v>1964</v>
      </c>
    </row>
    <row r="78" spans="1:11" hidden="1" x14ac:dyDescent="0.3">
      <c r="A78" t="s">
        <v>563</v>
      </c>
      <c r="B78" t="s">
        <v>1291</v>
      </c>
      <c r="C78" t="s">
        <v>1004</v>
      </c>
      <c r="D78" t="s">
        <v>11</v>
      </c>
      <c r="G78">
        <v>1</v>
      </c>
      <c r="H78">
        <f t="shared" si="2"/>
        <v>28</v>
      </c>
      <c r="K78" t="s">
        <v>1964</v>
      </c>
    </row>
    <row r="79" spans="1:11" x14ac:dyDescent="0.3">
      <c r="A79" t="s">
        <v>1276</v>
      </c>
      <c r="B79" t="s">
        <v>1291</v>
      </c>
      <c r="C79" t="s">
        <v>1004</v>
      </c>
      <c r="D79" t="s">
        <v>11</v>
      </c>
      <c r="G79">
        <v>2</v>
      </c>
      <c r="H79">
        <f t="shared" si="2"/>
        <v>56</v>
      </c>
      <c r="I79">
        <v>24</v>
      </c>
      <c r="K79" t="s">
        <v>2038</v>
      </c>
    </row>
    <row r="80" spans="1:11" hidden="1" x14ac:dyDescent="0.3">
      <c r="A80" t="s">
        <v>1277</v>
      </c>
      <c r="B80" t="s">
        <v>1291</v>
      </c>
      <c r="C80" t="s">
        <v>1004</v>
      </c>
      <c r="D80" t="s">
        <v>11</v>
      </c>
      <c r="G80">
        <v>2</v>
      </c>
      <c r="H80">
        <f t="shared" ref="H80:H139" si="3">G80*28</f>
        <v>56</v>
      </c>
      <c r="I80">
        <v>24</v>
      </c>
      <c r="K80" t="s">
        <v>1765</v>
      </c>
    </row>
    <row r="81" spans="1:11" hidden="1" x14ac:dyDescent="0.3">
      <c r="A81">
        <v>7198796290</v>
      </c>
      <c r="B81" t="s">
        <v>1291</v>
      </c>
      <c r="C81" t="s">
        <v>1004</v>
      </c>
      <c r="D81" t="s">
        <v>11</v>
      </c>
      <c r="E81">
        <v>1</v>
      </c>
      <c r="G81">
        <v>2</v>
      </c>
      <c r="H81">
        <f t="shared" si="3"/>
        <v>56</v>
      </c>
      <c r="I81" s="62">
        <v>19</v>
      </c>
    </row>
    <row r="82" spans="1:11" hidden="1" x14ac:dyDescent="0.3">
      <c r="A82">
        <v>71988082</v>
      </c>
      <c r="B82" t="s">
        <v>1291</v>
      </c>
      <c r="C82" t="s">
        <v>1004</v>
      </c>
      <c r="D82" t="s">
        <v>11</v>
      </c>
      <c r="E82">
        <v>1</v>
      </c>
      <c r="G82">
        <v>1</v>
      </c>
      <c r="H82">
        <f t="shared" si="3"/>
        <v>28</v>
      </c>
      <c r="I82" s="62">
        <v>19</v>
      </c>
      <c r="J82">
        <v>1</v>
      </c>
    </row>
    <row r="83" spans="1:11" hidden="1" x14ac:dyDescent="0.3">
      <c r="A83" t="s">
        <v>653</v>
      </c>
      <c r="B83" t="s">
        <v>1291</v>
      </c>
      <c r="C83" t="s">
        <v>1004</v>
      </c>
      <c r="D83" t="s">
        <v>11</v>
      </c>
      <c r="G83">
        <v>1</v>
      </c>
      <c r="H83">
        <f t="shared" si="3"/>
        <v>28</v>
      </c>
    </row>
    <row r="84" spans="1:11" hidden="1" x14ac:dyDescent="0.3">
      <c r="A84">
        <v>7198916130</v>
      </c>
      <c r="B84" t="s">
        <v>1291</v>
      </c>
      <c r="C84" t="s">
        <v>1004</v>
      </c>
      <c r="D84" t="s">
        <v>11</v>
      </c>
      <c r="E84">
        <v>1</v>
      </c>
      <c r="G84">
        <v>1</v>
      </c>
      <c r="H84">
        <f t="shared" si="3"/>
        <v>28</v>
      </c>
      <c r="I84" s="62">
        <v>22</v>
      </c>
    </row>
    <row r="85" spans="1:11" hidden="1" x14ac:dyDescent="0.3">
      <c r="A85">
        <v>71989162</v>
      </c>
      <c r="B85" t="s">
        <v>1291</v>
      </c>
      <c r="C85" t="s">
        <v>1004</v>
      </c>
      <c r="D85" t="s">
        <v>11</v>
      </c>
      <c r="E85">
        <v>1</v>
      </c>
      <c r="G85">
        <v>3</v>
      </c>
      <c r="H85">
        <f t="shared" si="3"/>
        <v>84</v>
      </c>
      <c r="I85" s="62">
        <v>19</v>
      </c>
      <c r="J85">
        <v>65</v>
      </c>
    </row>
    <row r="86" spans="1:11" hidden="1" x14ac:dyDescent="0.3">
      <c r="A86">
        <v>7198948560</v>
      </c>
      <c r="B86" t="s">
        <v>1291</v>
      </c>
      <c r="C86" t="s">
        <v>1004</v>
      </c>
      <c r="D86" t="s">
        <v>11</v>
      </c>
      <c r="E86">
        <v>1</v>
      </c>
      <c r="G86">
        <v>1</v>
      </c>
      <c r="H86">
        <f t="shared" si="3"/>
        <v>28</v>
      </c>
      <c r="I86" s="62">
        <v>19</v>
      </c>
    </row>
    <row r="87" spans="1:11" hidden="1" x14ac:dyDescent="0.3">
      <c r="A87">
        <v>7223686530</v>
      </c>
      <c r="B87" t="s">
        <v>1291</v>
      </c>
      <c r="C87" t="s">
        <v>1004</v>
      </c>
      <c r="D87" t="s">
        <v>11</v>
      </c>
      <c r="E87">
        <v>1</v>
      </c>
      <c r="G87">
        <v>1</v>
      </c>
      <c r="H87">
        <f t="shared" si="3"/>
        <v>28</v>
      </c>
      <c r="K87" t="s">
        <v>981</v>
      </c>
    </row>
    <row r="88" spans="1:11" hidden="1" x14ac:dyDescent="0.3">
      <c r="A88">
        <v>7235053630</v>
      </c>
      <c r="B88" t="s">
        <v>1291</v>
      </c>
      <c r="C88" t="s">
        <v>1294</v>
      </c>
      <c r="D88" t="s">
        <v>11</v>
      </c>
      <c r="G88">
        <v>1</v>
      </c>
      <c r="H88">
        <f t="shared" si="3"/>
        <v>28</v>
      </c>
      <c r="I88" s="62">
        <v>19</v>
      </c>
    </row>
    <row r="89" spans="1:11" hidden="1" x14ac:dyDescent="0.3">
      <c r="A89" t="s">
        <v>1278</v>
      </c>
      <c r="B89" t="s">
        <v>1291</v>
      </c>
      <c r="C89" t="s">
        <v>1296</v>
      </c>
      <c r="D89" t="s">
        <v>1293</v>
      </c>
      <c r="G89">
        <v>1</v>
      </c>
      <c r="H89">
        <f t="shared" si="3"/>
        <v>28</v>
      </c>
      <c r="I89" s="62">
        <v>20</v>
      </c>
    </row>
    <row r="90" spans="1:11" hidden="1" x14ac:dyDescent="0.3">
      <c r="A90" t="s">
        <v>1279</v>
      </c>
      <c r="B90" t="s">
        <v>1291</v>
      </c>
      <c r="C90" t="s">
        <v>1296</v>
      </c>
      <c r="D90" t="s">
        <v>1293</v>
      </c>
      <c r="G90">
        <v>1</v>
      </c>
      <c r="H90">
        <f t="shared" si="3"/>
        <v>28</v>
      </c>
      <c r="I90" s="62">
        <v>20</v>
      </c>
    </row>
    <row r="91" spans="1:11" hidden="1" x14ac:dyDescent="0.3">
      <c r="A91" t="s">
        <v>1280</v>
      </c>
      <c r="B91" t="s">
        <v>1291</v>
      </c>
      <c r="C91" t="s">
        <v>1296</v>
      </c>
      <c r="D91" t="s">
        <v>1293</v>
      </c>
      <c r="G91">
        <v>1</v>
      </c>
      <c r="H91">
        <f t="shared" si="3"/>
        <v>28</v>
      </c>
      <c r="I91" s="62">
        <v>20</v>
      </c>
    </row>
    <row r="92" spans="1:11" hidden="1" x14ac:dyDescent="0.3">
      <c r="A92">
        <v>7247781730</v>
      </c>
      <c r="B92" t="s">
        <v>1291</v>
      </c>
      <c r="C92" t="s">
        <v>1293</v>
      </c>
      <c r="D92" t="s">
        <v>1293</v>
      </c>
      <c r="G92">
        <v>2</v>
      </c>
      <c r="H92">
        <f t="shared" si="3"/>
        <v>56</v>
      </c>
      <c r="I92" s="62">
        <v>19</v>
      </c>
      <c r="J92">
        <v>5</v>
      </c>
    </row>
    <row r="93" spans="1:11" hidden="1" x14ac:dyDescent="0.3">
      <c r="A93" t="s">
        <v>1281</v>
      </c>
      <c r="B93" t="s">
        <v>1291</v>
      </c>
      <c r="C93" t="s">
        <v>1296</v>
      </c>
      <c r="D93" t="s">
        <v>1293</v>
      </c>
      <c r="G93">
        <v>1</v>
      </c>
      <c r="H93">
        <f t="shared" si="3"/>
        <v>28</v>
      </c>
      <c r="I93" s="62">
        <v>20</v>
      </c>
    </row>
    <row r="94" spans="1:11" hidden="1" x14ac:dyDescent="0.3">
      <c r="A94">
        <v>7252726530</v>
      </c>
      <c r="B94" t="s">
        <v>1291</v>
      </c>
      <c r="C94" t="s">
        <v>1293</v>
      </c>
      <c r="D94" t="s">
        <v>1293</v>
      </c>
      <c r="G94">
        <v>2</v>
      </c>
      <c r="H94">
        <f t="shared" si="3"/>
        <v>56</v>
      </c>
      <c r="I94" s="62">
        <v>19</v>
      </c>
      <c r="J94">
        <v>3</v>
      </c>
    </row>
    <row r="95" spans="1:11" hidden="1" x14ac:dyDescent="0.3">
      <c r="A95">
        <v>7252779130</v>
      </c>
      <c r="B95" t="s">
        <v>1291</v>
      </c>
      <c r="C95" t="s">
        <v>1293</v>
      </c>
      <c r="D95" t="s">
        <v>1293</v>
      </c>
      <c r="G95">
        <v>2</v>
      </c>
      <c r="H95">
        <f t="shared" si="3"/>
        <v>56</v>
      </c>
      <c r="I95" s="62">
        <v>19</v>
      </c>
      <c r="J95">
        <v>12</v>
      </c>
    </row>
    <row r="96" spans="1:11" hidden="1" x14ac:dyDescent="0.3">
      <c r="A96" t="s">
        <v>1282</v>
      </c>
      <c r="B96" t="s">
        <v>1291</v>
      </c>
      <c r="C96" t="s">
        <v>1296</v>
      </c>
      <c r="D96" t="s">
        <v>1293</v>
      </c>
      <c r="G96">
        <v>1</v>
      </c>
      <c r="H96">
        <f t="shared" si="3"/>
        <v>28</v>
      </c>
      <c r="I96" s="62">
        <v>20</v>
      </c>
    </row>
    <row r="97" spans="1:11" hidden="1" x14ac:dyDescent="0.3">
      <c r="A97" t="s">
        <v>1283</v>
      </c>
      <c r="B97" t="s">
        <v>1291</v>
      </c>
      <c r="C97" t="s">
        <v>1296</v>
      </c>
      <c r="D97" t="s">
        <v>1293</v>
      </c>
      <c r="G97">
        <v>1</v>
      </c>
      <c r="H97">
        <f t="shared" si="3"/>
        <v>28</v>
      </c>
      <c r="I97" s="62">
        <v>20</v>
      </c>
    </row>
    <row r="98" spans="1:11" hidden="1" x14ac:dyDescent="0.3">
      <c r="A98">
        <v>7252785330</v>
      </c>
      <c r="B98" t="s">
        <v>1291</v>
      </c>
      <c r="C98" t="s">
        <v>1293</v>
      </c>
      <c r="D98" t="s">
        <v>1293</v>
      </c>
      <c r="F98" s="60" t="s">
        <v>1416</v>
      </c>
      <c r="G98">
        <v>15</v>
      </c>
      <c r="H98">
        <f t="shared" si="3"/>
        <v>420</v>
      </c>
      <c r="I98" s="62">
        <v>19</v>
      </c>
      <c r="J98">
        <v>40</v>
      </c>
    </row>
    <row r="99" spans="1:11" ht="13.8" hidden="1" customHeight="1" x14ac:dyDescent="0.3">
      <c r="A99" t="s">
        <v>1284</v>
      </c>
      <c r="B99" t="s">
        <v>1291</v>
      </c>
      <c r="C99" t="s">
        <v>1296</v>
      </c>
      <c r="D99" t="s">
        <v>1293</v>
      </c>
      <c r="G99">
        <v>3</v>
      </c>
      <c r="H99">
        <f t="shared" si="3"/>
        <v>84</v>
      </c>
      <c r="I99" s="62">
        <v>20</v>
      </c>
    </row>
    <row r="100" spans="1:11" hidden="1" x14ac:dyDescent="0.3">
      <c r="A100" t="s">
        <v>1285</v>
      </c>
      <c r="B100" t="s">
        <v>1291</v>
      </c>
      <c r="C100" t="s">
        <v>1296</v>
      </c>
      <c r="D100" t="s">
        <v>1293</v>
      </c>
      <c r="G100">
        <v>1</v>
      </c>
      <c r="H100">
        <f t="shared" si="3"/>
        <v>28</v>
      </c>
      <c r="I100" s="62">
        <v>20</v>
      </c>
    </row>
    <row r="101" spans="1:11" hidden="1" x14ac:dyDescent="0.3">
      <c r="A101" t="s">
        <v>1286</v>
      </c>
      <c r="B101" t="s">
        <v>1291</v>
      </c>
      <c r="C101" t="s">
        <v>1296</v>
      </c>
      <c r="D101" t="s">
        <v>1293</v>
      </c>
      <c r="G101">
        <v>1</v>
      </c>
      <c r="H101">
        <f t="shared" si="3"/>
        <v>28</v>
      </c>
      <c r="I101" s="62">
        <v>20</v>
      </c>
    </row>
    <row r="102" spans="1:11" hidden="1" x14ac:dyDescent="0.3">
      <c r="A102">
        <v>7252815130</v>
      </c>
      <c r="B102" t="s">
        <v>1291</v>
      </c>
      <c r="C102" t="s">
        <v>1293</v>
      </c>
      <c r="D102" t="s">
        <v>1293</v>
      </c>
      <c r="G102">
        <v>12</v>
      </c>
      <c r="H102">
        <f t="shared" si="3"/>
        <v>336</v>
      </c>
      <c r="I102" s="62">
        <v>19</v>
      </c>
    </row>
    <row r="103" spans="1:11" hidden="1" x14ac:dyDescent="0.3">
      <c r="A103">
        <v>7271007030</v>
      </c>
      <c r="B103" t="s">
        <v>1291</v>
      </c>
      <c r="C103" t="s">
        <v>1004</v>
      </c>
      <c r="D103" t="s">
        <v>11</v>
      </c>
      <c r="G103">
        <v>1</v>
      </c>
      <c r="H103">
        <f t="shared" si="3"/>
        <v>28</v>
      </c>
      <c r="I103" s="62">
        <v>19</v>
      </c>
    </row>
    <row r="104" spans="1:11" hidden="1" x14ac:dyDescent="0.3">
      <c r="A104">
        <v>7271007230</v>
      </c>
      <c r="B104" t="s">
        <v>1291</v>
      </c>
      <c r="C104" t="s">
        <v>1004</v>
      </c>
      <c r="D104" t="s">
        <v>11</v>
      </c>
      <c r="G104">
        <v>1</v>
      </c>
      <c r="H104">
        <f t="shared" si="3"/>
        <v>28</v>
      </c>
      <c r="I104" s="62">
        <v>22</v>
      </c>
    </row>
    <row r="105" spans="1:11" hidden="1" x14ac:dyDescent="0.3">
      <c r="A105">
        <v>7278246930</v>
      </c>
      <c r="B105" t="s">
        <v>1291</v>
      </c>
      <c r="C105" t="s">
        <v>1004</v>
      </c>
      <c r="D105" t="s">
        <v>11</v>
      </c>
      <c r="E105">
        <v>1</v>
      </c>
      <c r="G105">
        <v>2</v>
      </c>
      <c r="H105">
        <f t="shared" si="3"/>
        <v>56</v>
      </c>
      <c r="K105" t="s">
        <v>981</v>
      </c>
    </row>
    <row r="106" spans="1:11" hidden="1" x14ac:dyDescent="0.3">
      <c r="A106">
        <v>7287547130</v>
      </c>
      <c r="B106" t="s">
        <v>1291</v>
      </c>
      <c r="C106" t="s">
        <v>1004</v>
      </c>
      <c r="D106" t="s">
        <v>11</v>
      </c>
      <c r="G106">
        <v>1</v>
      </c>
      <c r="H106">
        <f t="shared" si="3"/>
        <v>28</v>
      </c>
      <c r="I106" s="62">
        <v>22</v>
      </c>
    </row>
    <row r="107" spans="1:11" hidden="1" x14ac:dyDescent="0.3">
      <c r="A107">
        <v>7289405830</v>
      </c>
      <c r="B107" t="s">
        <v>1291</v>
      </c>
      <c r="C107" t="s">
        <v>1004</v>
      </c>
      <c r="D107" t="s">
        <v>11</v>
      </c>
      <c r="G107">
        <v>1</v>
      </c>
      <c r="H107">
        <f t="shared" si="3"/>
        <v>28</v>
      </c>
      <c r="I107" s="62">
        <v>22</v>
      </c>
      <c r="J107">
        <v>18</v>
      </c>
    </row>
    <row r="108" spans="1:11" hidden="1" x14ac:dyDescent="0.3">
      <c r="A108">
        <v>72897304</v>
      </c>
      <c r="B108" t="s">
        <v>1291</v>
      </c>
      <c r="C108" t="s">
        <v>1004</v>
      </c>
      <c r="D108" t="s">
        <v>11</v>
      </c>
      <c r="G108">
        <v>2</v>
      </c>
      <c r="H108">
        <f t="shared" si="3"/>
        <v>56</v>
      </c>
      <c r="I108" s="62">
        <v>19</v>
      </c>
    </row>
    <row r="109" spans="1:11" hidden="1" x14ac:dyDescent="0.3">
      <c r="A109" t="s">
        <v>1287</v>
      </c>
      <c r="B109" t="s">
        <v>1291</v>
      </c>
      <c r="C109" t="s">
        <v>1004</v>
      </c>
      <c r="D109" t="s">
        <v>11</v>
      </c>
      <c r="G109">
        <v>1</v>
      </c>
      <c r="H109">
        <f t="shared" si="3"/>
        <v>28</v>
      </c>
      <c r="K109" t="s">
        <v>1964</v>
      </c>
    </row>
    <row r="110" spans="1:11" hidden="1" x14ac:dyDescent="0.3">
      <c r="A110" t="s">
        <v>1288</v>
      </c>
      <c r="B110" t="s">
        <v>1291</v>
      </c>
      <c r="C110" t="s">
        <v>1004</v>
      </c>
      <c r="D110" t="s">
        <v>11</v>
      </c>
      <c r="G110">
        <v>1</v>
      </c>
      <c r="H110">
        <f t="shared" si="3"/>
        <v>28</v>
      </c>
      <c r="K110" t="s">
        <v>1964</v>
      </c>
    </row>
    <row r="111" spans="1:11" hidden="1" x14ac:dyDescent="0.3">
      <c r="A111" t="s">
        <v>861</v>
      </c>
      <c r="B111" t="s">
        <v>1291</v>
      </c>
      <c r="C111" t="s">
        <v>1004</v>
      </c>
      <c r="D111" t="s">
        <v>11</v>
      </c>
      <c r="G111">
        <v>1</v>
      </c>
      <c r="H111">
        <f t="shared" si="3"/>
        <v>28</v>
      </c>
      <c r="K111" t="s">
        <v>1964</v>
      </c>
    </row>
    <row r="112" spans="1:11" hidden="1" x14ac:dyDescent="0.3">
      <c r="A112">
        <v>7289896430</v>
      </c>
      <c r="B112" t="s">
        <v>1291</v>
      </c>
      <c r="C112" t="s">
        <v>1004</v>
      </c>
      <c r="D112" t="s">
        <v>11</v>
      </c>
      <c r="E112">
        <v>1</v>
      </c>
      <c r="G112">
        <v>1</v>
      </c>
      <c r="H112">
        <f t="shared" si="3"/>
        <v>28</v>
      </c>
      <c r="I112" s="62">
        <v>22</v>
      </c>
    </row>
    <row r="113" spans="1:11" hidden="1" x14ac:dyDescent="0.3">
      <c r="A113">
        <v>7289982670</v>
      </c>
      <c r="B113" t="s">
        <v>1291</v>
      </c>
      <c r="C113" t="s">
        <v>1004</v>
      </c>
      <c r="D113" t="s">
        <v>11</v>
      </c>
      <c r="G113">
        <v>1</v>
      </c>
      <c r="H113">
        <f t="shared" si="3"/>
        <v>28</v>
      </c>
      <c r="I113" s="62">
        <v>22</v>
      </c>
    </row>
    <row r="114" spans="1:11" hidden="1" x14ac:dyDescent="0.3">
      <c r="A114">
        <v>7297944190</v>
      </c>
      <c r="B114" t="s">
        <v>1291</v>
      </c>
      <c r="C114" t="s">
        <v>1004</v>
      </c>
      <c r="D114" t="s">
        <v>11</v>
      </c>
      <c r="E114">
        <v>1</v>
      </c>
      <c r="G114">
        <v>2</v>
      </c>
      <c r="H114">
        <f t="shared" si="3"/>
        <v>56</v>
      </c>
      <c r="I114" s="62">
        <v>19</v>
      </c>
    </row>
    <row r="115" spans="1:11" hidden="1" x14ac:dyDescent="0.3">
      <c r="A115">
        <v>7298948930</v>
      </c>
      <c r="B115" t="s">
        <v>1291</v>
      </c>
      <c r="C115" t="s">
        <v>1004</v>
      </c>
      <c r="D115" t="s">
        <v>11</v>
      </c>
      <c r="E115">
        <v>1</v>
      </c>
      <c r="G115">
        <v>1</v>
      </c>
      <c r="H115">
        <f t="shared" si="3"/>
        <v>28</v>
      </c>
      <c r="K115" t="s">
        <v>1764</v>
      </c>
    </row>
    <row r="116" spans="1:11" hidden="1" x14ac:dyDescent="0.3">
      <c r="A116">
        <v>7298949030</v>
      </c>
      <c r="B116" t="s">
        <v>1291</v>
      </c>
      <c r="C116" t="s">
        <v>1004</v>
      </c>
      <c r="D116" t="s">
        <v>11</v>
      </c>
      <c r="E116">
        <v>1</v>
      </c>
      <c r="G116">
        <v>1</v>
      </c>
      <c r="H116">
        <f t="shared" si="3"/>
        <v>28</v>
      </c>
      <c r="K116" t="s">
        <v>1764</v>
      </c>
    </row>
    <row r="117" spans="1:11" hidden="1" x14ac:dyDescent="0.3">
      <c r="A117" t="s">
        <v>234</v>
      </c>
      <c r="B117" t="s">
        <v>1291</v>
      </c>
      <c r="C117" t="s">
        <v>1004</v>
      </c>
      <c r="D117" t="s">
        <v>11</v>
      </c>
      <c r="G117">
        <v>4</v>
      </c>
      <c r="H117">
        <f t="shared" si="3"/>
        <v>112</v>
      </c>
      <c r="I117">
        <v>24</v>
      </c>
      <c r="J117" t="s">
        <v>2031</v>
      </c>
    </row>
    <row r="118" spans="1:11" hidden="1" x14ac:dyDescent="0.3">
      <c r="A118" t="s">
        <v>838</v>
      </c>
      <c r="B118" t="s">
        <v>1291</v>
      </c>
      <c r="C118" t="s">
        <v>1004</v>
      </c>
      <c r="D118" t="s">
        <v>11</v>
      </c>
      <c r="G118">
        <v>2</v>
      </c>
      <c r="H118">
        <f t="shared" si="3"/>
        <v>56</v>
      </c>
      <c r="I118">
        <v>24</v>
      </c>
    </row>
    <row r="119" spans="1:11" hidden="1" x14ac:dyDescent="0.3">
      <c r="A119" t="s">
        <v>1289</v>
      </c>
      <c r="B119" t="s">
        <v>1291</v>
      </c>
      <c r="C119" t="s">
        <v>1004</v>
      </c>
      <c r="D119" t="s">
        <v>11</v>
      </c>
      <c r="G119">
        <v>10</v>
      </c>
      <c r="H119">
        <f t="shared" si="3"/>
        <v>280</v>
      </c>
      <c r="I119" s="62">
        <v>19</v>
      </c>
      <c r="J119">
        <v>25</v>
      </c>
    </row>
    <row r="120" spans="1:11" hidden="1" x14ac:dyDescent="0.3">
      <c r="A120" t="s">
        <v>1234</v>
      </c>
      <c r="B120" t="s">
        <v>1291</v>
      </c>
      <c r="C120" t="s">
        <v>1004</v>
      </c>
      <c r="D120" t="s">
        <v>11</v>
      </c>
      <c r="G120">
        <v>0</v>
      </c>
      <c r="H120">
        <f t="shared" si="3"/>
        <v>0</v>
      </c>
      <c r="I120" t="s">
        <v>1297</v>
      </c>
    </row>
    <row r="121" spans="1:11" hidden="1" x14ac:dyDescent="0.3">
      <c r="A121" t="s">
        <v>238</v>
      </c>
      <c r="B121" t="s">
        <v>1291</v>
      </c>
      <c r="C121" t="s">
        <v>1004</v>
      </c>
      <c r="D121" t="s">
        <v>11</v>
      </c>
      <c r="G121">
        <v>1</v>
      </c>
      <c r="H121">
        <f t="shared" si="3"/>
        <v>28</v>
      </c>
      <c r="I121" s="62">
        <v>22</v>
      </c>
      <c r="J121">
        <v>2</v>
      </c>
    </row>
    <row r="122" spans="1:11" hidden="1" x14ac:dyDescent="0.3">
      <c r="A122" t="s">
        <v>597</v>
      </c>
      <c r="B122" t="s">
        <v>1291</v>
      </c>
      <c r="C122" t="s">
        <v>1004</v>
      </c>
      <c r="D122" t="s">
        <v>11</v>
      </c>
      <c r="E122">
        <v>1</v>
      </c>
      <c r="G122">
        <v>2</v>
      </c>
      <c r="H122">
        <f t="shared" si="3"/>
        <v>56</v>
      </c>
      <c r="I122" s="62">
        <v>19</v>
      </c>
      <c r="J122">
        <v>16</v>
      </c>
    </row>
    <row r="123" spans="1:11" hidden="1" x14ac:dyDescent="0.3">
      <c r="A123" t="s">
        <v>297</v>
      </c>
      <c r="B123" t="s">
        <v>1291</v>
      </c>
      <c r="C123" t="s">
        <v>1004</v>
      </c>
      <c r="D123" t="s">
        <v>11</v>
      </c>
      <c r="G123">
        <v>1</v>
      </c>
      <c r="H123">
        <f t="shared" si="3"/>
        <v>28</v>
      </c>
      <c r="I123" s="62">
        <v>22</v>
      </c>
      <c r="J123">
        <v>9</v>
      </c>
    </row>
    <row r="124" spans="1:11" hidden="1" x14ac:dyDescent="0.3">
      <c r="A124" t="s">
        <v>601</v>
      </c>
      <c r="B124" t="s">
        <v>1291</v>
      </c>
      <c r="C124" t="s">
        <v>1004</v>
      </c>
      <c r="D124" t="s">
        <v>11</v>
      </c>
      <c r="E124">
        <v>1</v>
      </c>
      <c r="G124">
        <v>1</v>
      </c>
      <c r="H124">
        <f t="shared" si="3"/>
        <v>28</v>
      </c>
      <c r="I124" s="62">
        <v>22</v>
      </c>
    </row>
    <row r="125" spans="1:11" hidden="1" x14ac:dyDescent="0.3">
      <c r="A125" t="s">
        <v>604</v>
      </c>
      <c r="B125" t="s">
        <v>1291</v>
      </c>
      <c r="C125" t="s">
        <v>1004</v>
      </c>
      <c r="D125" t="s">
        <v>11</v>
      </c>
      <c r="E125">
        <v>1</v>
      </c>
      <c r="G125">
        <v>1</v>
      </c>
      <c r="H125">
        <f t="shared" si="3"/>
        <v>28</v>
      </c>
      <c r="I125" s="62">
        <v>19</v>
      </c>
    </row>
    <row r="126" spans="1:11" hidden="1" x14ac:dyDescent="0.3">
      <c r="A126" t="s">
        <v>239</v>
      </c>
      <c r="B126" t="s">
        <v>1291</v>
      </c>
      <c r="C126" t="s">
        <v>1004</v>
      </c>
      <c r="D126" t="s">
        <v>11</v>
      </c>
      <c r="G126">
        <v>1</v>
      </c>
      <c r="H126">
        <f t="shared" si="3"/>
        <v>28</v>
      </c>
      <c r="I126" s="62">
        <v>22</v>
      </c>
      <c r="J126">
        <v>14</v>
      </c>
    </row>
    <row r="127" spans="1:11" hidden="1" x14ac:dyDescent="0.3">
      <c r="A127" t="s">
        <v>240</v>
      </c>
      <c r="B127" t="s">
        <v>1291</v>
      </c>
      <c r="C127" t="s">
        <v>1004</v>
      </c>
      <c r="D127" t="s">
        <v>11</v>
      </c>
      <c r="E127">
        <v>1</v>
      </c>
      <c r="G127">
        <v>1</v>
      </c>
      <c r="H127">
        <f t="shared" si="3"/>
        <v>28</v>
      </c>
      <c r="I127" s="62">
        <v>19</v>
      </c>
    </row>
    <row r="128" spans="1:11" hidden="1" x14ac:dyDescent="0.3">
      <c r="A128" t="s">
        <v>608</v>
      </c>
      <c r="B128" t="s">
        <v>1291</v>
      </c>
      <c r="C128" t="s">
        <v>1004</v>
      </c>
      <c r="D128" t="s">
        <v>11</v>
      </c>
      <c r="G128">
        <v>1</v>
      </c>
      <c r="H128">
        <f t="shared" si="3"/>
        <v>28</v>
      </c>
      <c r="I128" s="62">
        <v>19</v>
      </c>
      <c r="J128">
        <v>6</v>
      </c>
    </row>
    <row r="129" spans="1:11" hidden="1" x14ac:dyDescent="0.3">
      <c r="A129" t="s">
        <v>864</v>
      </c>
      <c r="B129" t="s">
        <v>1291</v>
      </c>
      <c r="C129" t="s">
        <v>1004</v>
      </c>
      <c r="D129" t="s">
        <v>11</v>
      </c>
      <c r="G129">
        <v>1</v>
      </c>
      <c r="H129">
        <f t="shared" si="3"/>
        <v>28</v>
      </c>
      <c r="I129" s="62">
        <v>22</v>
      </c>
    </row>
    <row r="130" spans="1:11" hidden="1" x14ac:dyDescent="0.3">
      <c r="A130" t="s">
        <v>862</v>
      </c>
      <c r="B130" t="s">
        <v>1291</v>
      </c>
      <c r="C130" t="s">
        <v>1004</v>
      </c>
      <c r="D130" t="s">
        <v>11</v>
      </c>
      <c r="G130">
        <v>2</v>
      </c>
      <c r="H130">
        <f t="shared" si="3"/>
        <v>56</v>
      </c>
      <c r="I130" s="62">
        <v>19</v>
      </c>
    </row>
    <row r="131" spans="1:11" hidden="1" x14ac:dyDescent="0.3">
      <c r="A131" t="s">
        <v>863</v>
      </c>
      <c r="B131" t="s">
        <v>1291</v>
      </c>
      <c r="C131" t="s">
        <v>1004</v>
      </c>
      <c r="D131" t="s">
        <v>11</v>
      </c>
      <c r="G131">
        <v>1</v>
      </c>
      <c r="H131">
        <f t="shared" si="3"/>
        <v>28</v>
      </c>
      <c r="I131" s="62">
        <v>19</v>
      </c>
    </row>
    <row r="132" spans="1:11" hidden="1" x14ac:dyDescent="0.3">
      <c r="A132" t="s">
        <v>241</v>
      </c>
      <c r="B132" t="s">
        <v>1291</v>
      </c>
      <c r="C132" t="s">
        <v>1004</v>
      </c>
      <c r="D132" t="s">
        <v>11</v>
      </c>
      <c r="G132">
        <v>2</v>
      </c>
      <c r="H132">
        <f t="shared" si="3"/>
        <v>56</v>
      </c>
      <c r="I132" s="62">
        <v>19</v>
      </c>
      <c r="J132">
        <v>2</v>
      </c>
    </row>
    <row r="133" spans="1:11" hidden="1" x14ac:dyDescent="0.3">
      <c r="A133" t="s">
        <v>242</v>
      </c>
      <c r="B133" t="s">
        <v>1291</v>
      </c>
      <c r="C133" t="s">
        <v>1004</v>
      </c>
      <c r="D133" t="s">
        <v>11</v>
      </c>
      <c r="G133">
        <v>1</v>
      </c>
      <c r="H133">
        <f t="shared" si="3"/>
        <v>28</v>
      </c>
      <c r="I133" s="62">
        <v>19</v>
      </c>
    </row>
    <row r="134" spans="1:11" hidden="1" x14ac:dyDescent="0.3">
      <c r="A134" t="s">
        <v>244</v>
      </c>
      <c r="B134" t="s">
        <v>1291</v>
      </c>
      <c r="C134" t="s">
        <v>1004</v>
      </c>
      <c r="D134" t="s">
        <v>11</v>
      </c>
      <c r="G134">
        <v>2</v>
      </c>
      <c r="H134">
        <f t="shared" si="3"/>
        <v>56</v>
      </c>
      <c r="I134" s="62">
        <v>19</v>
      </c>
    </row>
    <row r="135" spans="1:11" hidden="1" x14ac:dyDescent="0.3">
      <c r="A135" t="s">
        <v>245</v>
      </c>
      <c r="B135" t="s">
        <v>1291</v>
      </c>
      <c r="C135" t="s">
        <v>1004</v>
      </c>
      <c r="D135" t="s">
        <v>11</v>
      </c>
      <c r="G135">
        <v>1</v>
      </c>
      <c r="H135">
        <f t="shared" si="3"/>
        <v>28</v>
      </c>
      <c r="I135" s="62">
        <v>23</v>
      </c>
      <c r="K135" t="s">
        <v>1824</v>
      </c>
    </row>
    <row r="136" spans="1:11" hidden="1" x14ac:dyDescent="0.3">
      <c r="A136" t="s">
        <v>246</v>
      </c>
      <c r="B136" t="s">
        <v>1291</v>
      </c>
      <c r="C136" t="s">
        <v>1004</v>
      </c>
      <c r="D136" t="s">
        <v>11</v>
      </c>
      <c r="G136">
        <v>1</v>
      </c>
      <c r="H136">
        <f t="shared" si="3"/>
        <v>28</v>
      </c>
      <c r="I136" s="62">
        <v>19</v>
      </c>
    </row>
    <row r="137" spans="1:11" hidden="1" x14ac:dyDescent="0.3">
      <c r="A137" t="s">
        <v>247</v>
      </c>
      <c r="B137" t="s">
        <v>1291</v>
      </c>
      <c r="C137" t="s">
        <v>1004</v>
      </c>
      <c r="D137" t="s">
        <v>11</v>
      </c>
      <c r="G137">
        <v>1</v>
      </c>
      <c r="H137">
        <f t="shared" si="3"/>
        <v>28</v>
      </c>
      <c r="I137" s="62">
        <v>22</v>
      </c>
      <c r="J137">
        <v>1</v>
      </c>
    </row>
    <row r="138" spans="1:11" hidden="1" x14ac:dyDescent="0.3">
      <c r="A138" t="s">
        <v>248</v>
      </c>
      <c r="B138" t="s">
        <v>1291</v>
      </c>
      <c r="C138" t="s">
        <v>1004</v>
      </c>
      <c r="D138" t="s">
        <v>11</v>
      </c>
      <c r="E138">
        <v>1</v>
      </c>
      <c r="G138">
        <v>2</v>
      </c>
      <c r="H138">
        <f t="shared" si="3"/>
        <v>56</v>
      </c>
      <c r="I138" s="77">
        <v>24</v>
      </c>
    </row>
    <row r="139" spans="1:11" hidden="1" x14ac:dyDescent="0.3">
      <c r="A139" t="s">
        <v>249</v>
      </c>
      <c r="B139" t="s">
        <v>1291</v>
      </c>
      <c r="C139" t="s">
        <v>1004</v>
      </c>
      <c r="D139" t="s">
        <v>11</v>
      </c>
      <c r="E139">
        <v>1</v>
      </c>
      <c r="G139">
        <v>2</v>
      </c>
      <c r="H139">
        <f t="shared" si="3"/>
        <v>56</v>
      </c>
      <c r="I139" s="77">
        <v>24</v>
      </c>
    </row>
    <row r="140" spans="1:11" hidden="1" x14ac:dyDescent="0.3">
      <c r="A140" t="s">
        <v>251</v>
      </c>
      <c r="B140" t="s">
        <v>1291</v>
      </c>
      <c r="C140" t="s">
        <v>1004</v>
      </c>
      <c r="D140" t="s">
        <v>11</v>
      </c>
      <c r="G140">
        <v>4</v>
      </c>
      <c r="H140">
        <f t="shared" ref="H140:H151" si="4">G140*28</f>
        <v>112</v>
      </c>
      <c r="K140" t="s">
        <v>1764</v>
      </c>
    </row>
    <row r="141" spans="1:11" hidden="1" x14ac:dyDescent="0.3">
      <c r="A141" t="s">
        <v>662</v>
      </c>
      <c r="B141" t="s">
        <v>1291</v>
      </c>
      <c r="C141" t="s">
        <v>1004</v>
      </c>
      <c r="D141" t="s">
        <v>11</v>
      </c>
      <c r="G141">
        <v>1</v>
      </c>
      <c r="H141">
        <f t="shared" si="4"/>
        <v>28</v>
      </c>
      <c r="I141" s="62">
        <v>19</v>
      </c>
    </row>
    <row r="142" spans="1:11" hidden="1" x14ac:dyDescent="0.3">
      <c r="A142" t="s">
        <v>252</v>
      </c>
      <c r="B142" t="s">
        <v>1291</v>
      </c>
      <c r="C142" t="s">
        <v>1004</v>
      </c>
      <c r="D142" t="s">
        <v>11</v>
      </c>
      <c r="G142">
        <v>1</v>
      </c>
      <c r="H142">
        <f t="shared" si="4"/>
        <v>28</v>
      </c>
      <c r="I142" s="62">
        <v>22</v>
      </c>
    </row>
    <row r="143" spans="1:11" hidden="1" x14ac:dyDescent="0.3">
      <c r="A143" t="s">
        <v>632</v>
      </c>
      <c r="B143" t="s">
        <v>1291</v>
      </c>
      <c r="C143" t="s">
        <v>1004</v>
      </c>
      <c r="D143" t="s">
        <v>11</v>
      </c>
      <c r="G143">
        <v>1</v>
      </c>
      <c r="H143">
        <f t="shared" si="4"/>
        <v>28</v>
      </c>
      <c r="I143" s="62">
        <v>19</v>
      </c>
    </row>
    <row r="144" spans="1:11" hidden="1" x14ac:dyDescent="0.3">
      <c r="A144" t="s">
        <v>261</v>
      </c>
      <c r="B144" t="s">
        <v>1291</v>
      </c>
      <c r="C144" t="s">
        <v>1004</v>
      </c>
      <c r="D144" t="s">
        <v>11</v>
      </c>
      <c r="G144">
        <v>1</v>
      </c>
      <c r="H144">
        <f t="shared" si="4"/>
        <v>28</v>
      </c>
      <c r="I144" s="62">
        <v>22</v>
      </c>
    </row>
    <row r="145" spans="1:13" hidden="1" x14ac:dyDescent="0.3">
      <c r="A145" t="s">
        <v>267</v>
      </c>
      <c r="B145" t="s">
        <v>1291</v>
      </c>
      <c r="C145" t="s">
        <v>1004</v>
      </c>
      <c r="D145" t="s">
        <v>11</v>
      </c>
      <c r="E145">
        <v>1</v>
      </c>
      <c r="G145">
        <v>1</v>
      </c>
      <c r="H145">
        <f t="shared" si="4"/>
        <v>28</v>
      </c>
      <c r="I145" s="62">
        <v>22</v>
      </c>
      <c r="J145">
        <v>2</v>
      </c>
    </row>
    <row r="146" spans="1:13" hidden="1" x14ac:dyDescent="0.3">
      <c r="A146" t="s">
        <v>664</v>
      </c>
      <c r="B146" t="s">
        <v>1291</v>
      </c>
      <c r="C146" t="s">
        <v>1004</v>
      </c>
      <c r="D146" t="s">
        <v>11</v>
      </c>
      <c r="E146">
        <v>1</v>
      </c>
      <c r="G146">
        <v>4</v>
      </c>
      <c r="H146">
        <f t="shared" si="4"/>
        <v>112</v>
      </c>
      <c r="K146" t="s">
        <v>1764</v>
      </c>
    </row>
    <row r="147" spans="1:13" hidden="1" x14ac:dyDescent="0.3">
      <c r="A147" t="s">
        <v>1290</v>
      </c>
      <c r="B147" t="s">
        <v>1291</v>
      </c>
      <c r="C147" t="s">
        <v>1004</v>
      </c>
      <c r="D147" t="s">
        <v>11</v>
      </c>
      <c r="G147">
        <v>1</v>
      </c>
      <c r="H147">
        <f t="shared" si="4"/>
        <v>28</v>
      </c>
      <c r="I147" t="s">
        <v>1407</v>
      </c>
    </row>
    <row r="148" spans="1:13" hidden="1" x14ac:dyDescent="0.3">
      <c r="A148" t="s">
        <v>953</v>
      </c>
      <c r="B148" t="s">
        <v>1291</v>
      </c>
      <c r="C148" t="s">
        <v>1004</v>
      </c>
      <c r="D148" t="s">
        <v>11</v>
      </c>
      <c r="G148">
        <v>1</v>
      </c>
      <c r="H148">
        <f t="shared" si="4"/>
        <v>28</v>
      </c>
      <c r="I148" t="s">
        <v>1407</v>
      </c>
    </row>
    <row r="149" spans="1:13" hidden="1" x14ac:dyDescent="0.3">
      <c r="A149">
        <v>7198808890</v>
      </c>
      <c r="B149" t="s">
        <v>1291</v>
      </c>
      <c r="C149" t="s">
        <v>1004</v>
      </c>
      <c r="D149" t="s">
        <v>11</v>
      </c>
      <c r="G149">
        <v>1</v>
      </c>
      <c r="H149">
        <f t="shared" si="4"/>
        <v>28</v>
      </c>
      <c r="I149" t="s">
        <v>1298</v>
      </c>
    </row>
    <row r="150" spans="1:13" hidden="1" x14ac:dyDescent="0.3">
      <c r="A150">
        <v>71989158</v>
      </c>
      <c r="B150" t="s">
        <v>1291</v>
      </c>
      <c r="C150" t="s">
        <v>1004</v>
      </c>
      <c r="D150" t="s">
        <v>11</v>
      </c>
      <c r="G150">
        <v>1</v>
      </c>
      <c r="H150">
        <f t="shared" si="4"/>
        <v>28</v>
      </c>
      <c r="I150" t="s">
        <v>1298</v>
      </c>
    </row>
    <row r="151" spans="1:13" hidden="1" x14ac:dyDescent="0.3">
      <c r="A151">
        <v>7235952330</v>
      </c>
      <c r="B151" t="s">
        <v>1291</v>
      </c>
      <c r="C151" t="s">
        <v>1004</v>
      </c>
      <c r="D151" t="s">
        <v>11</v>
      </c>
      <c r="G151">
        <v>1</v>
      </c>
      <c r="H151">
        <f t="shared" si="4"/>
        <v>28</v>
      </c>
      <c r="I151">
        <v>23</v>
      </c>
      <c r="K151" t="s">
        <v>1825</v>
      </c>
      <c r="L151" t="s">
        <v>1842</v>
      </c>
      <c r="M151" t="s">
        <v>1843</v>
      </c>
    </row>
    <row r="152" spans="1:13" s="60" customFormat="1" x14ac:dyDescent="0.3"/>
    <row r="153" spans="1:13" x14ac:dyDescent="0.3">
      <c r="A153">
        <v>7075231930</v>
      </c>
    </row>
    <row r="154" spans="1:13" x14ac:dyDescent="0.3">
      <c r="A154">
        <v>7075244730</v>
      </c>
    </row>
    <row r="155" spans="1:13" x14ac:dyDescent="0.3">
      <c r="A155">
        <v>71186354</v>
      </c>
    </row>
    <row r="156" spans="1:13" x14ac:dyDescent="0.3">
      <c r="A156" t="s">
        <v>212</v>
      </c>
    </row>
    <row r="157" spans="1:13" x14ac:dyDescent="0.3">
      <c r="A157" t="s">
        <v>520</v>
      </c>
    </row>
    <row r="158" spans="1:13" x14ac:dyDescent="0.3">
      <c r="A158">
        <v>7118670020</v>
      </c>
    </row>
    <row r="159" spans="1:13" x14ac:dyDescent="0.3">
      <c r="A159" t="s">
        <v>1269</v>
      </c>
    </row>
    <row r="160" spans="1:13" x14ac:dyDescent="0.3">
      <c r="A160" t="s">
        <v>214</v>
      </c>
    </row>
    <row r="161" spans="1:1" x14ac:dyDescent="0.3">
      <c r="A161">
        <v>7119131530</v>
      </c>
    </row>
    <row r="162" spans="1:1" x14ac:dyDescent="0.3">
      <c r="A162" t="s">
        <v>526</v>
      </c>
    </row>
    <row r="163" spans="1:1" x14ac:dyDescent="0.3">
      <c r="A163">
        <v>7119146730</v>
      </c>
    </row>
    <row r="164" spans="1:1" x14ac:dyDescent="0.3">
      <c r="A164">
        <v>71191993</v>
      </c>
    </row>
    <row r="165" spans="1:1" x14ac:dyDescent="0.3">
      <c r="A165">
        <v>7119639830</v>
      </c>
    </row>
    <row r="166" spans="1:1" x14ac:dyDescent="0.3">
      <c r="A166">
        <v>71196401</v>
      </c>
    </row>
    <row r="167" spans="1:1" x14ac:dyDescent="0.3">
      <c r="A167">
        <v>7119641970</v>
      </c>
    </row>
    <row r="168" spans="1:1" x14ac:dyDescent="0.3">
      <c r="A168">
        <v>71196506</v>
      </c>
    </row>
    <row r="169" spans="1:1" x14ac:dyDescent="0.3">
      <c r="A169">
        <v>7119668820</v>
      </c>
    </row>
    <row r="170" spans="1:1" x14ac:dyDescent="0.3">
      <c r="A170" t="s">
        <v>217</v>
      </c>
    </row>
    <row r="171" spans="1:1" x14ac:dyDescent="0.3">
      <c r="A171">
        <v>71196714</v>
      </c>
    </row>
    <row r="172" spans="1:1" x14ac:dyDescent="0.3">
      <c r="A172" t="s">
        <v>218</v>
      </c>
    </row>
    <row r="173" spans="1:1" x14ac:dyDescent="0.3">
      <c r="A173" t="s">
        <v>219</v>
      </c>
    </row>
    <row r="174" spans="1:1" x14ac:dyDescent="0.3">
      <c r="A174" t="s">
        <v>552</v>
      </c>
    </row>
    <row r="175" spans="1:1" x14ac:dyDescent="0.3">
      <c r="A175" t="s">
        <v>221</v>
      </c>
    </row>
    <row r="176" spans="1:1" x14ac:dyDescent="0.3">
      <c r="A176">
        <v>7189663170</v>
      </c>
    </row>
    <row r="177" spans="1:1" x14ac:dyDescent="0.3">
      <c r="A177" t="s">
        <v>1274</v>
      </c>
    </row>
    <row r="178" spans="1:1" x14ac:dyDescent="0.3">
      <c r="A178">
        <v>71899503</v>
      </c>
    </row>
    <row r="179" spans="1:1" x14ac:dyDescent="0.3">
      <c r="A179">
        <v>7189982830</v>
      </c>
    </row>
    <row r="180" spans="1:1" x14ac:dyDescent="0.3">
      <c r="A180" t="s">
        <v>860</v>
      </c>
    </row>
    <row r="181" spans="1:1" x14ac:dyDescent="0.3">
      <c r="A181" t="s">
        <v>224</v>
      </c>
    </row>
    <row r="182" spans="1:1" x14ac:dyDescent="0.3">
      <c r="A182" t="s">
        <v>225</v>
      </c>
    </row>
    <row r="183" spans="1:1" x14ac:dyDescent="0.3">
      <c r="A183" t="s">
        <v>1275</v>
      </c>
    </row>
    <row r="184" spans="1:1" x14ac:dyDescent="0.3">
      <c r="A184">
        <v>71986562</v>
      </c>
    </row>
    <row r="185" spans="1:1" x14ac:dyDescent="0.3">
      <c r="A185" t="s">
        <v>227</v>
      </c>
    </row>
    <row r="186" spans="1:1" x14ac:dyDescent="0.3">
      <c r="A186" t="s">
        <v>1276</v>
      </c>
    </row>
    <row r="187" spans="1:1" x14ac:dyDescent="0.3">
      <c r="A187" t="s">
        <v>1277</v>
      </c>
    </row>
    <row r="188" spans="1:1" x14ac:dyDescent="0.3">
      <c r="A188">
        <v>7198796290</v>
      </c>
    </row>
    <row r="189" spans="1:1" x14ac:dyDescent="0.3">
      <c r="A189">
        <v>71988082</v>
      </c>
    </row>
    <row r="190" spans="1:1" x14ac:dyDescent="0.3">
      <c r="A190" t="s">
        <v>653</v>
      </c>
    </row>
    <row r="191" spans="1:1" x14ac:dyDescent="0.3">
      <c r="A191">
        <v>7198916130</v>
      </c>
    </row>
    <row r="192" spans="1:1" x14ac:dyDescent="0.3">
      <c r="A192">
        <v>71989162</v>
      </c>
    </row>
    <row r="193" spans="1:1" x14ac:dyDescent="0.3">
      <c r="A193">
        <v>7198948560</v>
      </c>
    </row>
    <row r="194" spans="1:1" x14ac:dyDescent="0.3">
      <c r="A194">
        <v>7223686530</v>
      </c>
    </row>
    <row r="195" spans="1:1" x14ac:dyDescent="0.3">
      <c r="A195">
        <v>7271007030</v>
      </c>
    </row>
    <row r="196" spans="1:1" x14ac:dyDescent="0.3">
      <c r="A196" t="s">
        <v>861</v>
      </c>
    </row>
    <row r="197" spans="1:1" x14ac:dyDescent="0.3">
      <c r="A197">
        <v>7278246930</v>
      </c>
    </row>
    <row r="198" spans="1:1" x14ac:dyDescent="0.3">
      <c r="A198" t="s">
        <v>1287</v>
      </c>
    </row>
    <row r="199" spans="1:1" x14ac:dyDescent="0.3">
      <c r="A199" t="s">
        <v>1288</v>
      </c>
    </row>
    <row r="200" spans="1:1" x14ac:dyDescent="0.3">
      <c r="A200">
        <v>7289896430</v>
      </c>
    </row>
    <row r="201" spans="1:1" x14ac:dyDescent="0.3">
      <c r="A201">
        <v>72897304</v>
      </c>
    </row>
    <row r="202" spans="1:1" x14ac:dyDescent="0.3">
      <c r="A202">
        <v>7297944190</v>
      </c>
    </row>
    <row r="203" spans="1:1" x14ac:dyDescent="0.3">
      <c r="A203" t="s">
        <v>234</v>
      </c>
    </row>
    <row r="204" spans="1:1" x14ac:dyDescent="0.3">
      <c r="A204" t="s">
        <v>1289</v>
      </c>
    </row>
    <row r="205" spans="1:1" x14ac:dyDescent="0.3">
      <c r="A205" t="s">
        <v>597</v>
      </c>
    </row>
    <row r="206" spans="1:1" x14ac:dyDescent="0.3">
      <c r="A206" t="s">
        <v>238</v>
      </c>
    </row>
    <row r="207" spans="1:1" x14ac:dyDescent="0.3">
      <c r="A207" t="s">
        <v>239</v>
      </c>
    </row>
    <row r="208" spans="1:1" x14ac:dyDescent="0.3">
      <c r="A208" t="s">
        <v>240</v>
      </c>
    </row>
    <row r="209" spans="1:1" x14ac:dyDescent="0.3">
      <c r="A209" t="s">
        <v>862</v>
      </c>
    </row>
    <row r="210" spans="1:1" x14ac:dyDescent="0.3">
      <c r="A210" t="s">
        <v>241</v>
      </c>
    </row>
    <row r="211" spans="1:1" x14ac:dyDescent="0.3">
      <c r="A211" t="s">
        <v>242</v>
      </c>
    </row>
    <row r="212" spans="1:1" x14ac:dyDescent="0.3">
      <c r="A212" t="s">
        <v>863</v>
      </c>
    </row>
    <row r="213" spans="1:1" x14ac:dyDescent="0.3">
      <c r="A213" t="s">
        <v>244</v>
      </c>
    </row>
    <row r="214" spans="1:1" x14ac:dyDescent="0.3">
      <c r="A214" t="s">
        <v>246</v>
      </c>
    </row>
    <row r="215" spans="1:1" x14ac:dyDescent="0.3">
      <c r="A215" t="s">
        <v>247</v>
      </c>
    </row>
    <row r="216" spans="1:1" x14ac:dyDescent="0.3">
      <c r="A216" t="s">
        <v>248</v>
      </c>
    </row>
    <row r="217" spans="1:1" x14ac:dyDescent="0.3">
      <c r="A217" t="s">
        <v>249</v>
      </c>
    </row>
    <row r="218" spans="1:1" x14ac:dyDescent="0.3">
      <c r="A218" t="s">
        <v>251</v>
      </c>
    </row>
    <row r="219" spans="1:1" x14ac:dyDescent="0.3">
      <c r="A219" t="s">
        <v>252</v>
      </c>
    </row>
    <row r="220" spans="1:1" x14ac:dyDescent="0.3">
      <c r="A220" t="s">
        <v>662</v>
      </c>
    </row>
    <row r="221" spans="1:1" x14ac:dyDescent="0.3">
      <c r="A221">
        <v>7178270480</v>
      </c>
    </row>
    <row r="222" spans="1:1" x14ac:dyDescent="0.3">
      <c r="A222" t="s">
        <v>601</v>
      </c>
    </row>
    <row r="223" spans="1:1" x14ac:dyDescent="0.3">
      <c r="A223" t="s">
        <v>256</v>
      </c>
    </row>
    <row r="224" spans="1:1" x14ac:dyDescent="0.3">
      <c r="A224" t="s">
        <v>632</v>
      </c>
    </row>
    <row r="225" spans="1:1" x14ac:dyDescent="0.3">
      <c r="A225" t="s">
        <v>261</v>
      </c>
    </row>
    <row r="226" spans="1:1" x14ac:dyDescent="0.3">
      <c r="A226">
        <v>7047186030</v>
      </c>
    </row>
    <row r="227" spans="1:1" x14ac:dyDescent="0.3">
      <c r="A227">
        <v>7147882430</v>
      </c>
    </row>
    <row r="228" spans="1:1" x14ac:dyDescent="0.3">
      <c r="A228">
        <v>7247781730</v>
      </c>
    </row>
    <row r="229" spans="1:1" x14ac:dyDescent="0.3">
      <c r="A229">
        <v>7252726530</v>
      </c>
    </row>
    <row r="230" spans="1:1" x14ac:dyDescent="0.3">
      <c r="A230">
        <v>7252779130</v>
      </c>
    </row>
    <row r="231" spans="1:1" x14ac:dyDescent="0.3">
      <c r="A231">
        <v>7252785330</v>
      </c>
    </row>
    <row r="232" spans="1:1" x14ac:dyDescent="0.3">
      <c r="A232">
        <v>7252815130</v>
      </c>
    </row>
    <row r="233" spans="1:1" x14ac:dyDescent="0.3">
      <c r="A233">
        <v>71781227</v>
      </c>
    </row>
    <row r="234" spans="1:1" x14ac:dyDescent="0.3">
      <c r="A234">
        <v>71979512</v>
      </c>
    </row>
    <row r="235" spans="1:1" x14ac:dyDescent="0.3">
      <c r="A235">
        <v>7183753630</v>
      </c>
    </row>
    <row r="236" spans="1:1" x14ac:dyDescent="0.3">
      <c r="A236" t="s">
        <v>1273</v>
      </c>
    </row>
    <row r="237" spans="1:1" x14ac:dyDescent="0.3">
      <c r="A237" t="s">
        <v>604</v>
      </c>
    </row>
    <row r="238" spans="1:1" x14ac:dyDescent="0.3">
      <c r="A238" t="s">
        <v>267</v>
      </c>
    </row>
    <row r="239" spans="1:1" x14ac:dyDescent="0.3">
      <c r="A239" t="s">
        <v>838</v>
      </c>
    </row>
    <row r="240" spans="1:1" x14ac:dyDescent="0.3">
      <c r="A240" t="s">
        <v>297</v>
      </c>
    </row>
    <row r="241" spans="1:1" x14ac:dyDescent="0.3">
      <c r="A241" t="s">
        <v>304</v>
      </c>
    </row>
    <row r="242" spans="1:1" x14ac:dyDescent="0.3">
      <c r="A242">
        <v>7271007230</v>
      </c>
    </row>
    <row r="243" spans="1:1" x14ac:dyDescent="0.3">
      <c r="A243">
        <v>7271007230</v>
      </c>
    </row>
    <row r="244" spans="1:1" x14ac:dyDescent="0.3">
      <c r="A244">
        <v>7271007230</v>
      </c>
    </row>
    <row r="245" spans="1:1" x14ac:dyDescent="0.3">
      <c r="A245">
        <v>7271007230</v>
      </c>
    </row>
    <row r="246" spans="1:1" x14ac:dyDescent="0.3">
      <c r="A246">
        <v>7271007230</v>
      </c>
    </row>
    <row r="247" spans="1:1" x14ac:dyDescent="0.3">
      <c r="A247">
        <v>7271007230</v>
      </c>
    </row>
    <row r="248" spans="1:1" x14ac:dyDescent="0.3">
      <c r="A248" t="s">
        <v>563</v>
      </c>
    </row>
    <row r="249" spans="1:1" x14ac:dyDescent="0.3">
      <c r="A249" t="s">
        <v>563</v>
      </c>
    </row>
    <row r="250" spans="1:1" x14ac:dyDescent="0.3">
      <c r="A250" t="s">
        <v>563</v>
      </c>
    </row>
    <row r="251" spans="1:1" x14ac:dyDescent="0.3">
      <c r="A251" t="s">
        <v>563</v>
      </c>
    </row>
    <row r="252" spans="1:1" x14ac:dyDescent="0.3">
      <c r="A252">
        <v>7289405830</v>
      </c>
    </row>
    <row r="253" spans="1:1" x14ac:dyDescent="0.3">
      <c r="A253">
        <v>7298948930</v>
      </c>
    </row>
    <row r="254" spans="1:1" x14ac:dyDescent="0.3">
      <c r="A254">
        <v>7298949030</v>
      </c>
    </row>
    <row r="255" spans="1:1" x14ac:dyDescent="0.3">
      <c r="A255">
        <v>7035964930</v>
      </c>
    </row>
    <row r="256" spans="1:1" x14ac:dyDescent="0.3">
      <c r="A256" t="s">
        <v>864</v>
      </c>
    </row>
    <row r="257" spans="1:1" x14ac:dyDescent="0.3">
      <c r="A257" t="s">
        <v>608</v>
      </c>
    </row>
    <row r="258" spans="1:1" x14ac:dyDescent="0.3">
      <c r="A258" t="s">
        <v>1234</v>
      </c>
    </row>
    <row r="259" spans="1:1" x14ac:dyDescent="0.3">
      <c r="A259">
        <v>7003756102</v>
      </c>
    </row>
    <row r="260" spans="1:1" x14ac:dyDescent="0.3">
      <c r="A260">
        <v>7119163630</v>
      </c>
    </row>
    <row r="261" spans="1:1" x14ac:dyDescent="0.3">
      <c r="A261">
        <v>7047186030</v>
      </c>
    </row>
    <row r="262" spans="1:1" x14ac:dyDescent="0.3">
      <c r="A262">
        <v>7047186030</v>
      </c>
    </row>
    <row r="263" spans="1:1" x14ac:dyDescent="0.3">
      <c r="A263">
        <v>7047186030</v>
      </c>
    </row>
    <row r="264" spans="1:1" x14ac:dyDescent="0.3">
      <c r="A264">
        <v>7119172930</v>
      </c>
    </row>
    <row r="265" spans="1:1" x14ac:dyDescent="0.3">
      <c r="A265">
        <v>71782472</v>
      </c>
    </row>
    <row r="266" spans="1:1" x14ac:dyDescent="0.3">
      <c r="A266">
        <v>71897277</v>
      </c>
    </row>
    <row r="267" spans="1:1" x14ac:dyDescent="0.3">
      <c r="A267">
        <v>7289982670</v>
      </c>
    </row>
    <row r="268" spans="1:1" x14ac:dyDescent="0.3">
      <c r="A268">
        <v>7075181330</v>
      </c>
    </row>
    <row r="269" spans="1:1" x14ac:dyDescent="0.3">
      <c r="A269">
        <v>7198599230</v>
      </c>
    </row>
    <row r="270" spans="1:1" x14ac:dyDescent="0.3">
      <c r="A270">
        <v>7235952330</v>
      </c>
    </row>
    <row r="271" spans="1:1" x14ac:dyDescent="0.3">
      <c r="A271">
        <v>7287547130</v>
      </c>
    </row>
    <row r="272" spans="1:1" x14ac:dyDescent="0.3">
      <c r="A272">
        <v>7147882430</v>
      </c>
    </row>
    <row r="273" spans="1:1" x14ac:dyDescent="0.3">
      <c r="A273">
        <v>7147882430</v>
      </c>
    </row>
    <row r="274" spans="1:1" x14ac:dyDescent="0.3">
      <c r="A274">
        <v>7147882430</v>
      </c>
    </row>
    <row r="275" spans="1:1" x14ac:dyDescent="0.3">
      <c r="A275">
        <v>7252779130</v>
      </c>
    </row>
    <row r="276" spans="1:1" x14ac:dyDescent="0.3">
      <c r="A276">
        <v>7252779130</v>
      </c>
    </row>
    <row r="277" spans="1:1" x14ac:dyDescent="0.3">
      <c r="A277">
        <v>7252779130</v>
      </c>
    </row>
    <row r="278" spans="1:1" x14ac:dyDescent="0.3">
      <c r="A278">
        <v>7252785330</v>
      </c>
    </row>
    <row r="279" spans="1:1" x14ac:dyDescent="0.3">
      <c r="A279">
        <v>7252785330</v>
      </c>
    </row>
    <row r="280" spans="1:1" x14ac:dyDescent="0.3">
      <c r="A280">
        <v>7252785330</v>
      </c>
    </row>
    <row r="281" spans="1:1" x14ac:dyDescent="0.3">
      <c r="A281" t="s">
        <v>304</v>
      </c>
    </row>
    <row r="282" spans="1:1" x14ac:dyDescent="0.3">
      <c r="A282" t="s">
        <v>953</v>
      </c>
    </row>
    <row r="283" spans="1:1" x14ac:dyDescent="0.3">
      <c r="A283" t="s">
        <v>1290</v>
      </c>
    </row>
    <row r="284" spans="1:1" x14ac:dyDescent="0.3">
      <c r="A284" t="s">
        <v>563</v>
      </c>
    </row>
    <row r="285" spans="1:1" x14ac:dyDescent="0.3">
      <c r="A285">
        <v>7223686530</v>
      </c>
    </row>
    <row r="286" spans="1:1" x14ac:dyDescent="0.3">
      <c r="A286">
        <v>7147882430</v>
      </c>
    </row>
    <row r="287" spans="1:1" x14ac:dyDescent="0.3">
      <c r="A287">
        <v>7147882430</v>
      </c>
    </row>
    <row r="288" spans="1:1" x14ac:dyDescent="0.3">
      <c r="A288" t="s">
        <v>811</v>
      </c>
    </row>
    <row r="289" spans="1:1" x14ac:dyDescent="0.3">
      <c r="A289">
        <v>7198808890</v>
      </c>
    </row>
    <row r="290" spans="1:1" x14ac:dyDescent="0.3">
      <c r="A290">
        <v>71989158</v>
      </c>
    </row>
  </sheetData>
  <autoFilter ref="A15:M151" xr:uid="{45BD9A51-7D02-4069-B9D5-5AC92DE0E874}">
    <filterColumn colId="0">
      <filters>
        <filter val="7198774930+7198947430+72742908"/>
      </filters>
    </filterColumn>
  </autoFilter>
  <phoneticPr fontId="1" type="noConversion"/>
  <conditionalFormatting sqref="A1:A1048576">
    <cfRule type="duplicateValues" dxfId="18" priority="2"/>
  </conditionalFormatting>
  <conditionalFormatting sqref="I16:I136 I138:I151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BF651-5667-4912-BA46-CC08ABC18B68}">
  <dimension ref="A1:B64"/>
  <sheetViews>
    <sheetView workbookViewId="0">
      <selection activeCell="L17" sqref="L17"/>
    </sheetView>
  </sheetViews>
  <sheetFormatPr defaultRowHeight="14.4" x14ac:dyDescent="0.3"/>
  <cols>
    <col min="1" max="1" width="12.21875" bestFit="1" customWidth="1"/>
  </cols>
  <sheetData>
    <row r="1" spans="1:2" x14ac:dyDescent="0.3">
      <c r="A1" t="s">
        <v>874</v>
      </c>
      <c r="B1">
        <v>1</v>
      </c>
    </row>
    <row r="2" spans="1:2" x14ac:dyDescent="0.3">
      <c r="A2" t="s">
        <v>969</v>
      </c>
      <c r="B2">
        <v>1</v>
      </c>
    </row>
    <row r="3" spans="1:2" x14ac:dyDescent="0.3">
      <c r="A3" t="s">
        <v>845</v>
      </c>
      <c r="B3">
        <v>2</v>
      </c>
    </row>
    <row r="4" spans="1:2" x14ac:dyDescent="0.3">
      <c r="A4" t="s">
        <v>987</v>
      </c>
      <c r="B4">
        <v>1</v>
      </c>
    </row>
    <row r="5" spans="1:2" x14ac:dyDescent="0.3">
      <c r="A5" t="s">
        <v>983</v>
      </c>
      <c r="B5">
        <v>1</v>
      </c>
    </row>
    <row r="6" spans="1:2" x14ac:dyDescent="0.3">
      <c r="A6" t="s">
        <v>75</v>
      </c>
      <c r="B6">
        <v>1</v>
      </c>
    </row>
    <row r="7" spans="1:2" x14ac:dyDescent="0.3">
      <c r="A7" t="s">
        <v>1813</v>
      </c>
      <c r="B7">
        <v>2</v>
      </c>
    </row>
    <row r="8" spans="1:2" x14ac:dyDescent="0.3">
      <c r="A8" t="s">
        <v>78</v>
      </c>
      <c r="B8">
        <v>2</v>
      </c>
    </row>
    <row r="9" spans="1:2" x14ac:dyDescent="0.3">
      <c r="A9" t="s">
        <v>80</v>
      </c>
      <c r="B9">
        <v>2</v>
      </c>
    </row>
    <row r="10" spans="1:2" x14ac:dyDescent="0.3">
      <c r="A10" t="s">
        <v>81</v>
      </c>
      <c r="B10">
        <v>2</v>
      </c>
    </row>
    <row r="11" spans="1:2" x14ac:dyDescent="0.3">
      <c r="A11" t="s">
        <v>1817</v>
      </c>
      <c r="B11">
        <v>1</v>
      </c>
    </row>
    <row r="12" spans="1:2" x14ac:dyDescent="0.3">
      <c r="A12" t="s">
        <v>84</v>
      </c>
      <c r="B12">
        <v>3</v>
      </c>
    </row>
    <row r="13" spans="1:2" x14ac:dyDescent="0.3">
      <c r="A13" t="s">
        <v>1826</v>
      </c>
      <c r="B13">
        <v>2</v>
      </c>
    </row>
    <row r="14" spans="1:2" x14ac:dyDescent="0.3">
      <c r="A14" t="s">
        <v>86</v>
      </c>
      <c r="B14">
        <v>1</v>
      </c>
    </row>
    <row r="15" spans="1:2" x14ac:dyDescent="0.3">
      <c r="A15" t="s">
        <v>87</v>
      </c>
      <c r="B15">
        <v>1</v>
      </c>
    </row>
    <row r="16" spans="1:2" x14ac:dyDescent="0.3">
      <c r="A16" t="s">
        <v>90</v>
      </c>
      <c r="B16">
        <v>1</v>
      </c>
    </row>
    <row r="17" spans="1:2" x14ac:dyDescent="0.3">
      <c r="A17" t="s">
        <v>91</v>
      </c>
      <c r="B17">
        <v>1</v>
      </c>
    </row>
    <row r="18" spans="1:2" x14ac:dyDescent="0.3">
      <c r="A18" t="s">
        <v>1830</v>
      </c>
      <c r="B18">
        <v>1</v>
      </c>
    </row>
    <row r="19" spans="1:2" x14ac:dyDescent="0.3">
      <c r="A19" t="s">
        <v>97</v>
      </c>
      <c r="B19">
        <v>1</v>
      </c>
    </row>
    <row r="20" spans="1:2" x14ac:dyDescent="0.3">
      <c r="A20" t="s">
        <v>201</v>
      </c>
      <c r="B20">
        <v>1</v>
      </c>
    </row>
    <row r="21" spans="1:2" x14ac:dyDescent="0.3">
      <c r="A21" t="s">
        <v>1006</v>
      </c>
      <c r="B21">
        <v>1</v>
      </c>
    </row>
    <row r="22" spans="1:2" x14ac:dyDescent="0.3">
      <c r="A22" t="s">
        <v>203</v>
      </c>
      <c r="B22">
        <v>1</v>
      </c>
    </row>
    <row r="23" spans="1:2" x14ac:dyDescent="0.3">
      <c r="A23" t="s">
        <v>103</v>
      </c>
      <c r="B23">
        <v>1</v>
      </c>
    </row>
    <row r="24" spans="1:2" x14ac:dyDescent="0.3">
      <c r="A24" t="s">
        <v>106</v>
      </c>
      <c r="B24">
        <v>2</v>
      </c>
    </row>
    <row r="25" spans="1:2" x14ac:dyDescent="0.3">
      <c r="A25" t="s">
        <v>984</v>
      </c>
      <c r="B25">
        <v>1</v>
      </c>
    </row>
    <row r="26" spans="1:2" x14ac:dyDescent="0.3">
      <c r="A26" t="s">
        <v>107</v>
      </c>
      <c r="B26">
        <v>2</v>
      </c>
    </row>
    <row r="27" spans="1:2" x14ac:dyDescent="0.3">
      <c r="A27" t="s">
        <v>108</v>
      </c>
      <c r="B27">
        <v>1</v>
      </c>
    </row>
    <row r="28" spans="1:2" x14ac:dyDescent="0.3">
      <c r="A28" t="s">
        <v>750</v>
      </c>
      <c r="B28">
        <v>1</v>
      </c>
    </row>
    <row r="29" spans="1:2" x14ac:dyDescent="0.3">
      <c r="A29" t="s">
        <v>117</v>
      </c>
      <c r="B29">
        <v>2</v>
      </c>
    </row>
    <row r="30" spans="1:2" x14ac:dyDescent="0.3">
      <c r="A30" t="s">
        <v>118</v>
      </c>
      <c r="B30">
        <v>1</v>
      </c>
    </row>
    <row r="31" spans="1:2" x14ac:dyDescent="0.3">
      <c r="A31" t="s">
        <v>121</v>
      </c>
      <c r="B31">
        <v>1</v>
      </c>
    </row>
    <row r="32" spans="1:2" x14ac:dyDescent="0.3">
      <c r="A32" t="s">
        <v>122</v>
      </c>
      <c r="B32">
        <v>3</v>
      </c>
    </row>
    <row r="33" spans="1:2" x14ac:dyDescent="0.3">
      <c r="A33" t="s">
        <v>123</v>
      </c>
      <c r="B33">
        <v>1</v>
      </c>
    </row>
    <row r="34" spans="1:2" x14ac:dyDescent="0.3">
      <c r="A34" t="s">
        <v>865</v>
      </c>
      <c r="B34">
        <v>1</v>
      </c>
    </row>
    <row r="35" spans="1:2" x14ac:dyDescent="0.3">
      <c r="A35" t="s">
        <v>1816</v>
      </c>
      <c r="B35">
        <v>1</v>
      </c>
    </row>
    <row r="36" spans="1:2" x14ac:dyDescent="0.3">
      <c r="A36" t="s">
        <v>125</v>
      </c>
      <c r="B36">
        <v>1</v>
      </c>
    </row>
    <row r="37" spans="1:2" x14ac:dyDescent="0.3">
      <c r="A37" t="s">
        <v>126</v>
      </c>
      <c r="B37">
        <v>1</v>
      </c>
    </row>
    <row r="38" spans="1:2" x14ac:dyDescent="0.3">
      <c r="A38" t="s">
        <v>1005</v>
      </c>
      <c r="B38">
        <v>1</v>
      </c>
    </row>
    <row r="39" spans="1:2" x14ac:dyDescent="0.3">
      <c r="A39" t="s">
        <v>785</v>
      </c>
      <c r="B39">
        <v>1</v>
      </c>
    </row>
    <row r="40" spans="1:2" x14ac:dyDescent="0.3">
      <c r="A40" t="s">
        <v>133</v>
      </c>
      <c r="B40">
        <v>2</v>
      </c>
    </row>
    <row r="41" spans="1:2" x14ac:dyDescent="0.3">
      <c r="A41" t="s">
        <v>132</v>
      </c>
      <c r="B41">
        <v>1</v>
      </c>
    </row>
    <row r="42" spans="1:2" x14ac:dyDescent="0.3">
      <c r="A42" t="s">
        <v>989</v>
      </c>
      <c r="B42">
        <v>1</v>
      </c>
    </row>
    <row r="43" spans="1:2" x14ac:dyDescent="0.3">
      <c r="A43" t="s">
        <v>134</v>
      </c>
      <c r="B43">
        <v>2</v>
      </c>
    </row>
    <row r="44" spans="1:2" x14ac:dyDescent="0.3">
      <c r="A44" t="s">
        <v>137</v>
      </c>
      <c r="B44">
        <v>9</v>
      </c>
    </row>
    <row r="45" spans="1:2" x14ac:dyDescent="0.3">
      <c r="A45" t="s">
        <v>139</v>
      </c>
      <c r="B45">
        <v>2</v>
      </c>
    </row>
    <row r="46" spans="1:2" x14ac:dyDescent="0.3">
      <c r="A46" t="s">
        <v>138</v>
      </c>
      <c r="B46">
        <v>2</v>
      </c>
    </row>
    <row r="47" spans="1:2" x14ac:dyDescent="0.3">
      <c r="A47" t="s">
        <v>161</v>
      </c>
      <c r="B47">
        <v>1</v>
      </c>
    </row>
    <row r="48" spans="1:2" x14ac:dyDescent="0.3">
      <c r="A48" t="s">
        <v>294</v>
      </c>
      <c r="B48">
        <v>1</v>
      </c>
    </row>
    <row r="49" spans="1:2" x14ac:dyDescent="0.3">
      <c r="A49" t="s">
        <v>141</v>
      </c>
      <c r="B49">
        <v>2</v>
      </c>
    </row>
    <row r="50" spans="1:2" x14ac:dyDescent="0.3">
      <c r="A50" t="s">
        <v>873</v>
      </c>
      <c r="B50">
        <v>1</v>
      </c>
    </row>
    <row r="51" spans="1:2" x14ac:dyDescent="0.3">
      <c r="A51" t="s">
        <v>1415</v>
      </c>
      <c r="B51">
        <v>1</v>
      </c>
    </row>
    <row r="52" spans="1:2" x14ac:dyDescent="0.3">
      <c r="A52" t="s">
        <v>142</v>
      </c>
      <c r="B52">
        <v>2</v>
      </c>
    </row>
    <row r="53" spans="1:2" x14ac:dyDescent="0.3">
      <c r="A53" t="s">
        <v>145</v>
      </c>
      <c r="B53">
        <v>1</v>
      </c>
    </row>
    <row r="54" spans="1:2" x14ac:dyDescent="0.3">
      <c r="A54" t="s">
        <v>143</v>
      </c>
      <c r="B54">
        <v>2</v>
      </c>
    </row>
    <row r="55" spans="1:2" x14ac:dyDescent="0.3">
      <c r="A55" t="s">
        <v>144</v>
      </c>
      <c r="B55">
        <v>1</v>
      </c>
    </row>
    <row r="56" spans="1:2" x14ac:dyDescent="0.3">
      <c r="A56" t="s">
        <v>147</v>
      </c>
      <c r="B56">
        <v>2</v>
      </c>
    </row>
    <row r="57" spans="1:2" x14ac:dyDescent="0.3">
      <c r="A57" t="s">
        <v>148</v>
      </c>
      <c r="B57">
        <v>1</v>
      </c>
    </row>
    <row r="58" spans="1:2" x14ac:dyDescent="0.3">
      <c r="A58" t="s">
        <v>149</v>
      </c>
      <c r="B58">
        <v>1</v>
      </c>
    </row>
    <row r="59" spans="1:2" x14ac:dyDescent="0.3">
      <c r="A59" t="s">
        <v>150</v>
      </c>
      <c r="B59">
        <v>1</v>
      </c>
    </row>
    <row r="60" spans="1:2" x14ac:dyDescent="0.3">
      <c r="A60" t="s">
        <v>156</v>
      </c>
      <c r="B60">
        <v>1</v>
      </c>
    </row>
    <row r="61" spans="1:2" x14ac:dyDescent="0.3">
      <c r="A61" t="s">
        <v>155</v>
      </c>
      <c r="B61">
        <v>1</v>
      </c>
    </row>
    <row r="62" spans="1:2" x14ac:dyDescent="0.3">
      <c r="A62" t="s">
        <v>169</v>
      </c>
      <c r="B62">
        <v>1</v>
      </c>
    </row>
    <row r="63" spans="1:2" x14ac:dyDescent="0.3">
      <c r="A63" t="s">
        <v>170</v>
      </c>
      <c r="B63">
        <v>1</v>
      </c>
    </row>
    <row r="64" spans="1:2" x14ac:dyDescent="0.3">
      <c r="A64" t="s">
        <v>207</v>
      </c>
      <c r="B6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E50"/>
  <sheetViews>
    <sheetView topLeftCell="A20" workbookViewId="0">
      <selection activeCell="E22" sqref="E22:E26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  <col min="4" max="4" width="13.33203125" bestFit="1" customWidth="1"/>
  </cols>
  <sheetData>
    <row r="1" spans="1:5" x14ac:dyDescent="0.3">
      <c r="A1" t="s">
        <v>22</v>
      </c>
      <c r="B1" t="s">
        <v>870</v>
      </c>
      <c r="C1" t="s">
        <v>31</v>
      </c>
      <c r="D1" t="s">
        <v>890</v>
      </c>
      <c r="E1" t="s">
        <v>1821</v>
      </c>
    </row>
    <row r="2" spans="1:5" x14ac:dyDescent="0.3">
      <c r="A2">
        <v>1</v>
      </c>
      <c r="B2" t="s">
        <v>971</v>
      </c>
      <c r="C2" t="b">
        <v>1</v>
      </c>
    </row>
    <row r="3" spans="1:5" x14ac:dyDescent="0.3">
      <c r="A3">
        <v>2</v>
      </c>
      <c r="B3" t="s">
        <v>971</v>
      </c>
      <c r="C3" t="b">
        <v>1</v>
      </c>
    </row>
    <row r="4" spans="1:5" x14ac:dyDescent="0.3">
      <c r="A4">
        <v>3</v>
      </c>
      <c r="B4" t="s">
        <v>971</v>
      </c>
      <c r="C4" t="b">
        <v>1</v>
      </c>
    </row>
    <row r="5" spans="1:5" x14ac:dyDescent="0.3">
      <c r="A5">
        <v>4</v>
      </c>
      <c r="B5" t="s">
        <v>971</v>
      </c>
      <c r="C5" t="b">
        <v>1</v>
      </c>
    </row>
    <row r="6" spans="1:5" x14ac:dyDescent="0.3">
      <c r="A6">
        <v>5</v>
      </c>
      <c r="B6" t="s">
        <v>971</v>
      </c>
      <c r="C6" t="b">
        <v>1</v>
      </c>
    </row>
    <row r="7" spans="1:5" x14ac:dyDescent="0.3">
      <c r="A7">
        <v>6</v>
      </c>
      <c r="B7" t="s">
        <v>971</v>
      </c>
      <c r="C7" t="b">
        <v>1</v>
      </c>
    </row>
    <row r="8" spans="1:5" x14ac:dyDescent="0.3">
      <c r="A8">
        <v>7</v>
      </c>
      <c r="B8" t="s">
        <v>886</v>
      </c>
      <c r="C8" t="b">
        <v>1</v>
      </c>
    </row>
    <row r="9" spans="1:5" x14ac:dyDescent="0.3">
      <c r="A9">
        <v>8</v>
      </c>
      <c r="B9" t="s">
        <v>872</v>
      </c>
      <c r="C9" t="b">
        <v>1</v>
      </c>
      <c r="D9" t="s">
        <v>896</v>
      </c>
    </row>
    <row r="10" spans="1:5" x14ac:dyDescent="0.3">
      <c r="A10">
        <v>9</v>
      </c>
      <c r="B10" t="s">
        <v>872</v>
      </c>
      <c r="C10" t="b">
        <v>1</v>
      </c>
      <c r="D10" t="s">
        <v>896</v>
      </c>
    </row>
    <row r="11" spans="1:5" x14ac:dyDescent="0.3">
      <c r="A11">
        <v>10</v>
      </c>
      <c r="B11" t="s">
        <v>871</v>
      </c>
      <c r="C11" t="b">
        <v>1</v>
      </c>
      <c r="D11" t="s">
        <v>897</v>
      </c>
    </row>
    <row r="12" spans="1:5" x14ac:dyDescent="0.3">
      <c r="A12">
        <v>11</v>
      </c>
      <c r="B12" t="s">
        <v>871</v>
      </c>
      <c r="C12" t="b">
        <v>1</v>
      </c>
      <c r="D12" t="s">
        <v>897</v>
      </c>
    </row>
    <row r="13" spans="1:5" x14ac:dyDescent="0.3">
      <c r="A13">
        <v>12</v>
      </c>
      <c r="B13" t="s">
        <v>871</v>
      </c>
      <c r="C13" t="b">
        <v>1</v>
      </c>
      <c r="D13" t="s">
        <v>897</v>
      </c>
    </row>
    <row r="14" spans="1:5" x14ac:dyDescent="0.3">
      <c r="A14">
        <v>13</v>
      </c>
      <c r="B14" t="s">
        <v>872</v>
      </c>
      <c r="C14" t="b">
        <v>1</v>
      </c>
    </row>
    <row r="15" spans="1:5" x14ac:dyDescent="0.3">
      <c r="A15">
        <v>14</v>
      </c>
      <c r="B15" t="s">
        <v>871</v>
      </c>
      <c r="C15" t="b">
        <v>1</v>
      </c>
      <c r="D15" t="s">
        <v>897</v>
      </c>
    </row>
    <row r="16" spans="1:5" x14ac:dyDescent="0.3">
      <c r="A16">
        <v>66</v>
      </c>
      <c r="B16" t="s">
        <v>968</v>
      </c>
    </row>
    <row r="17" spans="1:5" x14ac:dyDescent="0.3">
      <c r="A17">
        <v>15</v>
      </c>
      <c r="B17" t="s">
        <v>971</v>
      </c>
      <c r="C17" t="b">
        <v>1</v>
      </c>
      <c r="D17" t="s">
        <v>972</v>
      </c>
    </row>
    <row r="18" spans="1:5" x14ac:dyDescent="0.3">
      <c r="A18">
        <v>16</v>
      </c>
      <c r="B18" t="s">
        <v>971</v>
      </c>
      <c r="C18" t="b">
        <v>1</v>
      </c>
      <c r="D18" t="s">
        <v>972</v>
      </c>
    </row>
    <row r="19" spans="1:5" x14ac:dyDescent="0.3">
      <c r="A19">
        <v>17</v>
      </c>
      <c r="B19" t="s">
        <v>977</v>
      </c>
      <c r="C19" t="b">
        <v>1</v>
      </c>
      <c r="D19" t="s">
        <v>972</v>
      </c>
    </row>
    <row r="20" spans="1:5" x14ac:dyDescent="0.3">
      <c r="A20">
        <v>99</v>
      </c>
      <c r="B20" t="s">
        <v>968</v>
      </c>
      <c r="C20" t="b">
        <v>1</v>
      </c>
      <c r="D20" t="s">
        <v>1214</v>
      </c>
    </row>
    <row r="21" spans="1:5" x14ac:dyDescent="0.3">
      <c r="A21">
        <v>18</v>
      </c>
      <c r="B21" t="s">
        <v>1302</v>
      </c>
      <c r="C21" t="b">
        <v>1</v>
      </c>
      <c r="D21" t="s">
        <v>1347</v>
      </c>
    </row>
    <row r="22" spans="1:5" x14ac:dyDescent="0.3">
      <c r="A22">
        <v>19</v>
      </c>
      <c r="B22" t="s">
        <v>1303</v>
      </c>
      <c r="C22" t="b">
        <v>1</v>
      </c>
      <c r="D22" t="s">
        <v>1348</v>
      </c>
      <c r="E22" s="77"/>
    </row>
    <row r="23" spans="1:5" x14ac:dyDescent="0.3">
      <c r="A23">
        <v>20</v>
      </c>
      <c r="B23" t="s">
        <v>1303</v>
      </c>
      <c r="C23" t="b">
        <v>1</v>
      </c>
      <c r="D23" t="s">
        <v>1348</v>
      </c>
      <c r="E23" s="77"/>
    </row>
    <row r="24" spans="1:5" x14ac:dyDescent="0.3">
      <c r="A24">
        <v>21</v>
      </c>
      <c r="B24" t="s">
        <v>1745</v>
      </c>
      <c r="C24" t="b">
        <v>1</v>
      </c>
      <c r="D24" t="s">
        <v>1746</v>
      </c>
      <c r="E24" s="77"/>
    </row>
    <row r="25" spans="1:5" x14ac:dyDescent="0.3">
      <c r="A25">
        <v>22</v>
      </c>
      <c r="B25" t="s">
        <v>1303</v>
      </c>
      <c r="C25" t="b">
        <v>1</v>
      </c>
      <c r="D25" t="s">
        <v>1348</v>
      </c>
      <c r="E25" s="77"/>
    </row>
    <row r="26" spans="1:5" x14ac:dyDescent="0.3">
      <c r="A26">
        <v>23</v>
      </c>
      <c r="B26" t="s">
        <v>1303</v>
      </c>
      <c r="C26" t="b">
        <v>1</v>
      </c>
      <c r="D26" t="s">
        <v>1348</v>
      </c>
      <c r="E26" s="77"/>
    </row>
    <row r="27" spans="1:5" x14ac:dyDescent="0.3">
      <c r="A27">
        <v>24</v>
      </c>
      <c r="B27" t="s">
        <v>1303</v>
      </c>
      <c r="C27" t="b">
        <v>0</v>
      </c>
      <c r="D27" t="s">
        <v>1348</v>
      </c>
    </row>
    <row r="28" spans="1:5" x14ac:dyDescent="0.3">
      <c r="A28">
        <v>25</v>
      </c>
    </row>
    <row r="29" spans="1:5" x14ac:dyDescent="0.3">
      <c r="A29">
        <v>26</v>
      </c>
    </row>
    <row r="30" spans="1:5" x14ac:dyDescent="0.3">
      <c r="A30">
        <v>27</v>
      </c>
    </row>
    <row r="31" spans="1:5" x14ac:dyDescent="0.3">
      <c r="A31">
        <v>28</v>
      </c>
    </row>
    <row r="32" spans="1:5" x14ac:dyDescent="0.3">
      <c r="A32">
        <v>29</v>
      </c>
      <c r="E32" s="77"/>
    </row>
    <row r="33" spans="1:5" x14ac:dyDescent="0.3">
      <c r="A33">
        <v>30</v>
      </c>
      <c r="B33" t="s">
        <v>1819</v>
      </c>
      <c r="C33" t="b">
        <v>1</v>
      </c>
      <c r="D33" t="s">
        <v>1820</v>
      </c>
      <c r="E33" s="77"/>
    </row>
    <row r="34" spans="1:5" x14ac:dyDescent="0.3">
      <c r="A34">
        <v>31</v>
      </c>
      <c r="B34" t="s">
        <v>1819</v>
      </c>
      <c r="C34" t="b">
        <v>0</v>
      </c>
      <c r="D34" t="s">
        <v>1820</v>
      </c>
      <c r="E34" s="77"/>
    </row>
    <row r="35" spans="1:5" x14ac:dyDescent="0.3">
      <c r="A35">
        <v>32</v>
      </c>
      <c r="B35" t="s">
        <v>1819</v>
      </c>
      <c r="C35" t="b">
        <v>1</v>
      </c>
      <c r="D35" t="s">
        <v>1820</v>
      </c>
    </row>
    <row r="36" spans="1:5" x14ac:dyDescent="0.3">
      <c r="A36">
        <v>33</v>
      </c>
    </row>
    <row r="37" spans="1:5" x14ac:dyDescent="0.3">
      <c r="A37">
        <v>34</v>
      </c>
    </row>
    <row r="38" spans="1:5" x14ac:dyDescent="0.3">
      <c r="A38">
        <v>35</v>
      </c>
    </row>
    <row r="39" spans="1:5" x14ac:dyDescent="0.3">
      <c r="A39">
        <v>36</v>
      </c>
    </row>
    <row r="40" spans="1:5" x14ac:dyDescent="0.3">
      <c r="A40">
        <v>37</v>
      </c>
    </row>
    <row r="41" spans="1:5" x14ac:dyDescent="0.3">
      <c r="A41">
        <v>38</v>
      </c>
    </row>
    <row r="42" spans="1:5" x14ac:dyDescent="0.3">
      <c r="A42">
        <v>39</v>
      </c>
    </row>
    <row r="43" spans="1:5" x14ac:dyDescent="0.3">
      <c r="A43">
        <v>40</v>
      </c>
    </row>
    <row r="44" spans="1:5" x14ac:dyDescent="0.3">
      <c r="A44">
        <v>41</v>
      </c>
      <c r="B44" t="s">
        <v>1745</v>
      </c>
      <c r="C44" t="b">
        <v>1</v>
      </c>
      <c r="D44" t="s">
        <v>1746</v>
      </c>
    </row>
    <row r="45" spans="1:5" x14ac:dyDescent="0.3">
      <c r="A45">
        <v>42</v>
      </c>
      <c r="B45" t="s">
        <v>1745</v>
      </c>
      <c r="C45" t="b">
        <v>0</v>
      </c>
      <c r="D45" t="s">
        <v>1746</v>
      </c>
    </row>
    <row r="46" spans="1:5" x14ac:dyDescent="0.3">
      <c r="A46">
        <v>43</v>
      </c>
    </row>
    <row r="47" spans="1:5" x14ac:dyDescent="0.3">
      <c r="A47">
        <v>44</v>
      </c>
    </row>
    <row r="48" spans="1:5" x14ac:dyDescent="0.3">
      <c r="A48">
        <v>45</v>
      </c>
    </row>
    <row r="49" spans="1:1" x14ac:dyDescent="0.3">
      <c r="A49">
        <v>46</v>
      </c>
    </row>
    <row r="50" spans="1:1" x14ac:dyDescent="0.3">
      <c r="A50">
        <v>47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/>
  <dimension ref="A1:E31"/>
  <sheetViews>
    <sheetView workbookViewId="0">
      <selection activeCell="A8" sqref="A8:XFD8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74" t="s">
        <v>1385</v>
      </c>
      <c r="B1" s="74"/>
      <c r="C1" s="74"/>
      <c r="D1" s="74"/>
      <c r="E1" s="74"/>
    </row>
    <row r="2" spans="1:5" ht="18" x14ac:dyDescent="0.35">
      <c r="A2" s="63" t="s">
        <v>315</v>
      </c>
      <c r="B2" s="63" t="s">
        <v>1366</v>
      </c>
      <c r="C2" s="63" t="s">
        <v>1381</v>
      </c>
      <c r="D2" s="63" t="s">
        <v>1380</v>
      </c>
      <c r="E2" s="63" t="s">
        <v>1390</v>
      </c>
    </row>
    <row r="3" spans="1:5" ht="18" hidden="1" x14ac:dyDescent="0.35">
      <c r="A3" s="53" t="s">
        <v>1265</v>
      </c>
      <c r="B3" s="53">
        <v>2</v>
      </c>
      <c r="C3" s="63">
        <f>B3*28</f>
        <v>56</v>
      </c>
      <c r="D3" s="53" t="s">
        <v>1384</v>
      </c>
      <c r="E3" s="53"/>
    </row>
    <row r="4" spans="1:5" ht="18" hidden="1" x14ac:dyDescent="0.35">
      <c r="A4" s="53" t="s">
        <v>876</v>
      </c>
      <c r="B4" s="53">
        <v>1</v>
      </c>
      <c r="C4" s="63">
        <f>B4*28</f>
        <v>28</v>
      </c>
      <c r="D4" s="53" t="s">
        <v>1382</v>
      </c>
      <c r="E4" s="53"/>
    </row>
    <row r="5" spans="1:5" ht="18" x14ac:dyDescent="0.35">
      <c r="A5" s="53" t="s">
        <v>1367</v>
      </c>
      <c r="B5" s="53">
        <v>14</v>
      </c>
      <c r="C5" s="63">
        <f>B5*28</f>
        <v>392</v>
      </c>
      <c r="D5" s="53" t="s">
        <v>1384</v>
      </c>
      <c r="E5" s="53"/>
    </row>
    <row r="6" spans="1:5" ht="18" x14ac:dyDescent="0.35">
      <c r="A6" s="53" t="s">
        <v>881</v>
      </c>
      <c r="B6" s="53">
        <v>1</v>
      </c>
      <c r="C6" s="63">
        <f>B6*28</f>
        <v>28</v>
      </c>
      <c r="D6" s="53" t="s">
        <v>1384</v>
      </c>
      <c r="E6" s="53"/>
    </row>
    <row r="7" spans="1:5" ht="18" x14ac:dyDescent="0.35">
      <c r="A7" s="53" t="s">
        <v>1368</v>
      </c>
      <c r="B7" s="53">
        <v>15</v>
      </c>
      <c r="C7" s="63">
        <v>448</v>
      </c>
      <c r="D7" s="53" t="s">
        <v>1382</v>
      </c>
      <c r="E7" s="53"/>
    </row>
    <row r="8" spans="1:5" ht="18" x14ac:dyDescent="0.35">
      <c r="A8" s="53" t="s">
        <v>1266</v>
      </c>
      <c r="B8" s="53">
        <v>3</v>
      </c>
      <c r="C8" s="63">
        <f t="shared" ref="C8:C31" si="0">B8*28</f>
        <v>84</v>
      </c>
      <c r="D8" s="53" t="s">
        <v>1382</v>
      </c>
      <c r="E8" s="53"/>
    </row>
    <row r="9" spans="1:5" ht="18" x14ac:dyDescent="0.35">
      <c r="A9" s="53" t="s">
        <v>1267</v>
      </c>
      <c r="B9" s="53">
        <v>1</v>
      </c>
      <c r="C9" s="63">
        <f t="shared" si="0"/>
        <v>28</v>
      </c>
      <c r="D9" s="53" t="s">
        <v>1383</v>
      </c>
      <c r="E9" s="53"/>
    </row>
    <row r="10" spans="1:5" ht="18" hidden="1" x14ac:dyDescent="0.35">
      <c r="A10" s="53" t="s">
        <v>1268</v>
      </c>
      <c r="B10" s="53">
        <v>1</v>
      </c>
      <c r="C10" s="63">
        <f t="shared" si="0"/>
        <v>28</v>
      </c>
      <c r="D10" s="53" t="s">
        <v>1382</v>
      </c>
      <c r="E10" s="53"/>
    </row>
    <row r="11" spans="1:5" ht="18" hidden="1" x14ac:dyDescent="0.35">
      <c r="A11" s="53" t="s">
        <v>1369</v>
      </c>
      <c r="B11" s="53">
        <v>1</v>
      </c>
      <c r="C11" s="63">
        <f t="shared" si="0"/>
        <v>28</v>
      </c>
      <c r="D11" s="53" t="s">
        <v>1384</v>
      </c>
      <c r="E11" s="53"/>
    </row>
    <row r="12" spans="1:5" ht="18" hidden="1" x14ac:dyDescent="0.35">
      <c r="A12" s="53" t="s">
        <v>1026</v>
      </c>
      <c r="B12" s="53">
        <v>1</v>
      </c>
      <c r="C12" s="63">
        <f t="shared" si="0"/>
        <v>28</v>
      </c>
      <c r="D12" s="53" t="s">
        <v>1384</v>
      </c>
      <c r="E12" s="53"/>
    </row>
    <row r="13" spans="1:5" ht="18" hidden="1" x14ac:dyDescent="0.35">
      <c r="A13" s="53" t="s">
        <v>1370</v>
      </c>
      <c r="B13" s="53">
        <v>5</v>
      </c>
      <c r="C13" s="63">
        <f t="shared" si="0"/>
        <v>140</v>
      </c>
      <c r="D13" s="53" t="s">
        <v>1382</v>
      </c>
      <c r="E13" s="53"/>
    </row>
    <row r="14" spans="1:5" ht="18" hidden="1" x14ac:dyDescent="0.35">
      <c r="A14" s="53" t="s">
        <v>1278</v>
      </c>
      <c r="B14" s="53">
        <v>1</v>
      </c>
      <c r="C14" s="63">
        <f t="shared" si="0"/>
        <v>28</v>
      </c>
      <c r="D14" s="53" t="s">
        <v>1382</v>
      </c>
      <c r="E14" s="53"/>
    </row>
    <row r="15" spans="1:5" ht="18" hidden="1" x14ac:dyDescent="0.35">
      <c r="A15" s="53" t="s">
        <v>1279</v>
      </c>
      <c r="B15" s="53">
        <v>1</v>
      </c>
      <c r="C15" s="63">
        <f t="shared" si="0"/>
        <v>28</v>
      </c>
      <c r="D15" s="53" t="s">
        <v>1383</v>
      </c>
      <c r="E15" s="53"/>
    </row>
    <row r="16" spans="1:5" ht="18" hidden="1" x14ac:dyDescent="0.35">
      <c r="A16" s="53" t="s">
        <v>1280</v>
      </c>
      <c r="B16" s="53">
        <v>1</v>
      </c>
      <c r="C16" s="63">
        <f t="shared" si="0"/>
        <v>28</v>
      </c>
      <c r="D16" s="53" t="s">
        <v>1382</v>
      </c>
      <c r="E16" s="53"/>
    </row>
    <row r="17" spans="1:5" ht="18" hidden="1" x14ac:dyDescent="0.35">
      <c r="A17" s="53" t="s">
        <v>1371</v>
      </c>
      <c r="B17" s="53">
        <v>2</v>
      </c>
      <c r="C17" s="63">
        <f t="shared" si="0"/>
        <v>56</v>
      </c>
      <c r="D17" s="53" t="s">
        <v>1383</v>
      </c>
      <c r="E17" s="53"/>
    </row>
    <row r="18" spans="1:5" ht="18" hidden="1" x14ac:dyDescent="0.35">
      <c r="A18" s="53" t="s">
        <v>1281</v>
      </c>
      <c r="B18" s="53">
        <v>1</v>
      </c>
      <c r="C18" s="63">
        <f t="shared" si="0"/>
        <v>28</v>
      </c>
      <c r="D18" s="53" t="s">
        <v>1383</v>
      </c>
      <c r="E18" s="53"/>
    </row>
    <row r="19" spans="1:5" ht="18" hidden="1" x14ac:dyDescent="0.35">
      <c r="A19" s="53" t="s">
        <v>1372</v>
      </c>
      <c r="B19" s="53">
        <v>2</v>
      </c>
      <c r="C19" s="63">
        <f t="shared" si="0"/>
        <v>56</v>
      </c>
      <c r="D19" s="53" t="s">
        <v>1384</v>
      </c>
      <c r="E19" s="53"/>
    </row>
    <row r="20" spans="1:5" ht="18" hidden="1" x14ac:dyDescent="0.35">
      <c r="A20" s="53" t="s">
        <v>1373</v>
      </c>
      <c r="B20" s="53">
        <v>1</v>
      </c>
      <c r="C20" s="63">
        <f t="shared" si="0"/>
        <v>28</v>
      </c>
      <c r="D20" s="53" t="s">
        <v>1384</v>
      </c>
      <c r="E20" s="53"/>
    </row>
    <row r="21" spans="1:5" ht="18" hidden="1" x14ac:dyDescent="0.35">
      <c r="A21" s="53" t="s">
        <v>1282</v>
      </c>
      <c r="B21" s="53">
        <v>1</v>
      </c>
      <c r="C21" s="63">
        <f t="shared" si="0"/>
        <v>28</v>
      </c>
      <c r="D21" s="53" t="s">
        <v>1384</v>
      </c>
      <c r="E21" s="53"/>
    </row>
    <row r="22" spans="1:5" ht="18" hidden="1" x14ac:dyDescent="0.35">
      <c r="A22" s="53" t="s">
        <v>1374</v>
      </c>
      <c r="B22" s="53">
        <v>1</v>
      </c>
      <c r="C22" s="63">
        <f t="shared" si="0"/>
        <v>28</v>
      </c>
      <c r="D22" s="53" t="s">
        <v>1382</v>
      </c>
      <c r="E22" s="53"/>
    </row>
    <row r="23" spans="1:5" ht="18" hidden="1" x14ac:dyDescent="0.35">
      <c r="A23" s="53" t="s">
        <v>1283</v>
      </c>
      <c r="B23" s="53">
        <v>1</v>
      </c>
      <c r="C23" s="63">
        <f t="shared" si="0"/>
        <v>28</v>
      </c>
      <c r="D23" s="53" t="s">
        <v>1382</v>
      </c>
      <c r="E23" s="53"/>
    </row>
    <row r="24" spans="1:5" ht="18" hidden="1" x14ac:dyDescent="0.35">
      <c r="A24" s="53" t="s">
        <v>1375</v>
      </c>
      <c r="B24" s="53">
        <v>8</v>
      </c>
      <c r="C24" s="63">
        <f t="shared" si="0"/>
        <v>224</v>
      </c>
      <c r="D24" s="53" t="s">
        <v>1384</v>
      </c>
      <c r="E24" s="53"/>
    </row>
    <row r="25" spans="1:5" ht="18" hidden="1" x14ac:dyDescent="0.35">
      <c r="A25" s="53" t="s">
        <v>1284</v>
      </c>
      <c r="B25" s="53">
        <v>3</v>
      </c>
      <c r="C25" s="63">
        <f t="shared" si="0"/>
        <v>84</v>
      </c>
      <c r="D25" s="53" t="s">
        <v>1384</v>
      </c>
      <c r="E25" s="53"/>
    </row>
    <row r="26" spans="1:5" ht="18" hidden="1" x14ac:dyDescent="0.35">
      <c r="A26" s="53" t="s">
        <v>1376</v>
      </c>
      <c r="B26" s="53">
        <v>3</v>
      </c>
      <c r="C26" s="63">
        <f t="shared" si="0"/>
        <v>84</v>
      </c>
      <c r="D26" s="53" t="s">
        <v>1382</v>
      </c>
      <c r="E26" s="53"/>
    </row>
    <row r="27" spans="1:5" ht="18" hidden="1" x14ac:dyDescent="0.35">
      <c r="A27" s="53" t="s">
        <v>1285</v>
      </c>
      <c r="B27" s="53">
        <v>1</v>
      </c>
      <c r="C27" s="63">
        <f t="shared" si="0"/>
        <v>28</v>
      </c>
      <c r="D27" s="53" t="s">
        <v>1382</v>
      </c>
      <c r="E27" s="53"/>
    </row>
    <row r="28" spans="1:5" ht="18" hidden="1" x14ac:dyDescent="0.35">
      <c r="A28" s="53" t="s">
        <v>1377</v>
      </c>
      <c r="B28" s="53">
        <v>2</v>
      </c>
      <c r="C28" s="63">
        <f t="shared" si="0"/>
        <v>56</v>
      </c>
      <c r="D28" s="53" t="s">
        <v>1383</v>
      </c>
      <c r="E28" s="53"/>
    </row>
    <row r="29" spans="1:5" ht="18" hidden="1" x14ac:dyDescent="0.35">
      <c r="A29" s="53" t="s">
        <v>1286</v>
      </c>
      <c r="B29" s="53">
        <v>1</v>
      </c>
      <c r="C29" s="63">
        <f t="shared" si="0"/>
        <v>28</v>
      </c>
      <c r="D29" s="53" t="s">
        <v>1382</v>
      </c>
      <c r="E29" s="53"/>
    </row>
    <row r="30" spans="1:5" ht="18" hidden="1" x14ac:dyDescent="0.35">
      <c r="A30" s="53" t="s">
        <v>1378</v>
      </c>
      <c r="B30" s="53">
        <v>4</v>
      </c>
      <c r="C30" s="63">
        <f t="shared" si="0"/>
        <v>112</v>
      </c>
      <c r="D30" s="53" t="s">
        <v>1382</v>
      </c>
      <c r="E30" s="53"/>
    </row>
    <row r="31" spans="1:5" ht="18" hidden="1" x14ac:dyDescent="0.35">
      <c r="A31" s="53" t="s">
        <v>1379</v>
      </c>
      <c r="B31" s="53">
        <v>8</v>
      </c>
      <c r="C31" s="63">
        <f t="shared" si="0"/>
        <v>224</v>
      </c>
      <c r="D31" s="53" t="s">
        <v>1383</v>
      </c>
      <c r="E31" s="53"/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C17" sqref="C17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75" t="s">
        <v>1811</v>
      </c>
      <c r="B1" s="75"/>
      <c r="C1" s="75"/>
      <c r="D1" s="75"/>
      <c r="E1" s="75"/>
      <c r="F1" s="75"/>
      <c r="G1" s="76"/>
    </row>
    <row r="2" spans="1:7" ht="18" x14ac:dyDescent="0.35">
      <c r="A2" s="63" t="s">
        <v>1417</v>
      </c>
      <c r="B2" s="63" t="s">
        <v>997</v>
      </c>
      <c r="C2" s="63" t="s">
        <v>315</v>
      </c>
      <c r="D2" s="63" t="s">
        <v>1366</v>
      </c>
      <c r="E2" s="63" t="s">
        <v>1381</v>
      </c>
      <c r="F2" s="63" t="s">
        <v>1389</v>
      </c>
      <c r="G2" s="63" t="s">
        <v>1390</v>
      </c>
    </row>
    <row r="3" spans="1:7" ht="18" x14ac:dyDescent="0.35">
      <c r="A3" s="53" t="str">
        <f>IFERROR(VLOOKUP(C3,$M$44:$O$200, 2,FALSE), "Извън производство")</f>
        <v>262558</v>
      </c>
      <c r="B3" s="53" t="str">
        <f>IFERROR(VLOOKUP(C3,$M$44:$O$96, 3,FALSE), "")</f>
        <v>10.21.35131A</v>
      </c>
      <c r="C3" s="66">
        <v>71186354</v>
      </c>
      <c r="D3" s="53">
        <v>1</v>
      </c>
      <c r="E3" s="63">
        <f>Table2123[[#This Row],[qtyx1]]*28</f>
        <v>28</v>
      </c>
      <c r="F3" s="53" t="s">
        <v>1386</v>
      </c>
      <c r="G3" s="53"/>
    </row>
    <row r="4" spans="1:7" ht="18" x14ac:dyDescent="0.35">
      <c r="A4" s="53" t="str">
        <f t="shared" ref="A4:A42" si="0">IFERROR(VLOOKUP(C4,$M$44:$O$200, 2,FALSE), "Извън производство")</f>
        <v>Извън производство</v>
      </c>
      <c r="B4" s="53" t="str">
        <f t="shared" ref="B4:B42" si="1">IFERROR(VLOOKUP(C4,$M$44:$O$96, 3,FALSE), "")</f>
        <v/>
      </c>
      <c r="C4" s="66" t="s">
        <v>520</v>
      </c>
      <c r="D4" s="53">
        <v>2</v>
      </c>
      <c r="E4" s="63">
        <f>Table2123[[#This Row],[qtyx1]]*28</f>
        <v>56</v>
      </c>
      <c r="F4" s="53"/>
      <c r="G4" s="53"/>
    </row>
    <row r="5" spans="1:7" ht="18" x14ac:dyDescent="0.35">
      <c r="A5" s="53" t="str">
        <f t="shared" si="0"/>
        <v>262559</v>
      </c>
      <c r="B5" s="53" t="str">
        <f t="shared" si="1"/>
        <v>10.21.77121A</v>
      </c>
      <c r="C5" s="66">
        <v>7118670020</v>
      </c>
      <c r="D5" s="53">
        <v>1</v>
      </c>
      <c r="E5" s="63">
        <f>Table2123[[#This Row],[qtyx1]]*28</f>
        <v>28</v>
      </c>
      <c r="F5" s="53" t="s">
        <v>1388</v>
      </c>
      <c r="G5" s="53"/>
    </row>
    <row r="6" spans="1:7" ht="18" x14ac:dyDescent="0.35">
      <c r="A6" s="53" t="str">
        <f t="shared" si="0"/>
        <v>262560</v>
      </c>
      <c r="B6" s="53" t="str">
        <f t="shared" si="1"/>
        <v>10.21.54168C</v>
      </c>
      <c r="C6" s="66">
        <v>7119131530</v>
      </c>
      <c r="D6" s="53">
        <v>3</v>
      </c>
      <c r="E6" s="63">
        <f>Table2123[[#This Row],[qtyx1]]*28</f>
        <v>84</v>
      </c>
      <c r="F6" s="53"/>
      <c r="G6" s="53"/>
    </row>
    <row r="7" spans="1:7" ht="18" x14ac:dyDescent="0.35">
      <c r="A7" s="53">
        <f t="shared" si="0"/>
        <v>262706</v>
      </c>
      <c r="B7" s="53" t="str">
        <f t="shared" si="1"/>
        <v/>
      </c>
      <c r="C7" s="66">
        <v>7119146730</v>
      </c>
      <c r="D7" s="53">
        <v>1</v>
      </c>
      <c r="E7" s="63">
        <f>Table2123[[#This Row],[qtyx1]]*28</f>
        <v>28</v>
      </c>
      <c r="F7" s="53"/>
      <c r="G7" s="53"/>
    </row>
    <row r="8" spans="1:7" ht="18" x14ac:dyDescent="0.35">
      <c r="A8" s="53" t="str">
        <f t="shared" si="0"/>
        <v>Извън производство</v>
      </c>
      <c r="B8" s="53" t="str">
        <f t="shared" si="1"/>
        <v/>
      </c>
      <c r="C8" s="66">
        <v>7119163630</v>
      </c>
      <c r="D8" s="53">
        <v>4</v>
      </c>
      <c r="E8" s="63">
        <f>Table2123[[#This Row],[qtyx1]]*28</f>
        <v>112</v>
      </c>
      <c r="F8" s="53"/>
      <c r="G8" s="53"/>
    </row>
    <row r="9" spans="1:7" ht="18" x14ac:dyDescent="0.35">
      <c r="A9" s="53" t="str">
        <f t="shared" si="0"/>
        <v>Извън производство</v>
      </c>
      <c r="B9" s="53" t="str">
        <f t="shared" si="1"/>
        <v/>
      </c>
      <c r="C9" s="66">
        <v>7119172930</v>
      </c>
      <c r="D9" s="53">
        <v>1</v>
      </c>
      <c r="E9" s="63">
        <f>Table2123[[#This Row],[qtyx1]]*28</f>
        <v>28</v>
      </c>
      <c r="F9" s="53"/>
      <c r="G9" s="53"/>
    </row>
    <row r="10" spans="1:7" ht="18" x14ac:dyDescent="0.35">
      <c r="A10" s="53" t="str">
        <f t="shared" si="0"/>
        <v>262561</v>
      </c>
      <c r="B10" s="53" t="str">
        <f t="shared" si="1"/>
        <v>10.21.35003A</v>
      </c>
      <c r="C10" s="66">
        <v>71191993</v>
      </c>
      <c r="D10" s="53">
        <v>1</v>
      </c>
      <c r="E10" s="63">
        <f>Table2123[[#This Row],[qtyx1]]*28</f>
        <v>28</v>
      </c>
      <c r="F10" s="53"/>
      <c r="G10" s="53"/>
    </row>
    <row r="11" spans="1:7" ht="18" x14ac:dyDescent="0.35">
      <c r="A11" s="53" t="str">
        <f t="shared" si="0"/>
        <v>262707</v>
      </c>
      <c r="B11" s="53" t="str">
        <f t="shared" si="1"/>
        <v/>
      </c>
      <c r="C11" s="66">
        <v>7119639830</v>
      </c>
      <c r="D11" s="53">
        <v>1</v>
      </c>
      <c r="E11" s="63">
        <f>Table2123[[#This Row],[qtyx1]]*28</f>
        <v>28</v>
      </c>
      <c r="F11" s="53"/>
      <c r="G11" s="53"/>
    </row>
    <row r="12" spans="1:7" ht="18" x14ac:dyDescent="0.35">
      <c r="A12" s="53" t="str">
        <f t="shared" si="0"/>
        <v>262562</v>
      </c>
      <c r="B12" s="53" t="str">
        <f t="shared" si="1"/>
        <v>10.21.36271A</v>
      </c>
      <c r="C12" s="66">
        <v>71196401</v>
      </c>
      <c r="D12" s="53">
        <v>1</v>
      </c>
      <c r="E12" s="63">
        <f>Table2123[[#This Row],[qtyx1]]*28</f>
        <v>28</v>
      </c>
      <c r="F12" s="53"/>
      <c r="G12" s="53"/>
    </row>
    <row r="13" spans="1:7" ht="18" x14ac:dyDescent="0.35">
      <c r="A13" s="53" t="str">
        <f t="shared" si="0"/>
        <v>Извън производство</v>
      </c>
      <c r="B13" s="53" t="str">
        <f t="shared" si="1"/>
        <v/>
      </c>
      <c r="C13" s="66">
        <v>7119641970</v>
      </c>
      <c r="D13" s="53">
        <v>1</v>
      </c>
      <c r="E13" s="63">
        <f>Table2123[[#This Row],[qtyx1]]*28</f>
        <v>28</v>
      </c>
      <c r="F13" s="53"/>
      <c r="G13" s="53"/>
    </row>
    <row r="14" spans="1:7" ht="18" x14ac:dyDescent="0.35">
      <c r="A14" s="53" t="str">
        <f t="shared" si="0"/>
        <v>Извън производство</v>
      </c>
      <c r="B14" s="53" t="str">
        <f t="shared" si="1"/>
        <v/>
      </c>
      <c r="C14" s="66">
        <v>71196506</v>
      </c>
      <c r="D14" s="53">
        <v>1</v>
      </c>
      <c r="E14" s="63">
        <f>Table2123[[#This Row],[qtyx1]]*28</f>
        <v>28</v>
      </c>
      <c r="F14" s="53"/>
      <c r="G14" s="53"/>
    </row>
    <row r="15" spans="1:7" ht="18" x14ac:dyDescent="0.35">
      <c r="A15" s="53" t="str">
        <f t="shared" si="0"/>
        <v>Извън производство</v>
      </c>
      <c r="B15" s="53" t="str">
        <f t="shared" si="1"/>
        <v/>
      </c>
      <c r="C15" s="66">
        <v>7119668820</v>
      </c>
      <c r="D15" s="53">
        <v>1</v>
      </c>
      <c r="E15" s="63">
        <f>Table2123[[#This Row],[qtyx1]]*28</f>
        <v>28</v>
      </c>
      <c r="F15" s="53"/>
      <c r="G15" s="53"/>
    </row>
    <row r="16" spans="1:7" ht="18" x14ac:dyDescent="0.35">
      <c r="A16" s="53" t="str">
        <f t="shared" si="0"/>
        <v>262708</v>
      </c>
      <c r="B16" s="53" t="str">
        <f t="shared" si="1"/>
        <v>10.21.80748A</v>
      </c>
      <c r="C16" s="66">
        <v>71196714</v>
      </c>
      <c r="D16" s="53">
        <v>1</v>
      </c>
      <c r="E16" s="63">
        <f>Table2123[[#This Row],[qtyx1]]*28</f>
        <v>28</v>
      </c>
      <c r="F16" s="53"/>
      <c r="G16" s="53"/>
    </row>
    <row r="17" spans="1:7" ht="18" x14ac:dyDescent="0.35">
      <c r="A17" s="53" t="str">
        <f t="shared" si="0"/>
        <v>262720</v>
      </c>
      <c r="B17" s="53" t="str">
        <f t="shared" si="1"/>
        <v/>
      </c>
      <c r="C17" s="66">
        <v>71781227</v>
      </c>
      <c r="D17" s="53">
        <v>1</v>
      </c>
      <c r="E17" s="63">
        <f>Table2123[[#This Row],[qtyx1]]*28</f>
        <v>28</v>
      </c>
      <c r="F17" s="53"/>
      <c r="G17" s="53"/>
    </row>
    <row r="18" spans="1:7" ht="18" x14ac:dyDescent="0.35">
      <c r="A18" s="53" t="str">
        <f t="shared" si="0"/>
        <v>262727</v>
      </c>
      <c r="B18" s="53" t="str">
        <f t="shared" si="1"/>
        <v>10.21.96574A</v>
      </c>
      <c r="C18" s="66">
        <v>71782472</v>
      </c>
      <c r="D18" s="53">
        <v>1</v>
      </c>
      <c r="E18" s="63">
        <f>Table2123[[#This Row],[qtyx1]]*28</f>
        <v>28</v>
      </c>
      <c r="F18" s="53"/>
      <c r="G18" s="53"/>
    </row>
    <row r="19" spans="1:7" ht="18" x14ac:dyDescent="0.35">
      <c r="A19" s="53" t="str">
        <f t="shared" si="0"/>
        <v>262721</v>
      </c>
      <c r="B19" s="53" t="str">
        <f t="shared" si="1"/>
        <v/>
      </c>
      <c r="C19" s="66">
        <v>7183753630</v>
      </c>
      <c r="D19" s="53">
        <v>1</v>
      </c>
      <c r="E19" s="63">
        <f>Table2123[[#This Row],[qtyx1]]*28</f>
        <v>28</v>
      </c>
      <c r="F19" s="53"/>
      <c r="G19" s="53"/>
    </row>
    <row r="20" spans="1:7" ht="18" x14ac:dyDescent="0.35">
      <c r="A20" s="53" t="str">
        <f t="shared" si="0"/>
        <v>262563</v>
      </c>
      <c r="B20" s="53" t="str">
        <f t="shared" si="1"/>
        <v>10.21.72978A</v>
      </c>
      <c r="C20" s="66" t="s">
        <v>221</v>
      </c>
      <c r="D20" s="53">
        <v>1</v>
      </c>
      <c r="E20" s="63">
        <f>Table2123[[#This Row],[qtyx1]]*28</f>
        <v>28</v>
      </c>
      <c r="F20" s="53"/>
      <c r="G20" s="53"/>
    </row>
    <row r="21" spans="1:7" ht="18" x14ac:dyDescent="0.35">
      <c r="A21" s="53" t="str">
        <f t="shared" si="0"/>
        <v>262596</v>
      </c>
      <c r="B21" s="53" t="str">
        <f t="shared" si="1"/>
        <v/>
      </c>
      <c r="C21" s="66">
        <v>71897277</v>
      </c>
      <c r="D21" s="53">
        <v>1</v>
      </c>
      <c r="E21" s="63">
        <f>Table2123[[#This Row],[qtyx1]]*28</f>
        <v>28</v>
      </c>
      <c r="F21" s="53"/>
      <c r="G21" s="53"/>
    </row>
    <row r="22" spans="1:7" ht="18" x14ac:dyDescent="0.35">
      <c r="A22" s="53" t="str">
        <f t="shared" si="0"/>
        <v>262564</v>
      </c>
      <c r="B22" s="53" t="str">
        <f t="shared" si="1"/>
        <v/>
      </c>
      <c r="C22" s="66">
        <v>71899503</v>
      </c>
      <c r="D22" s="53">
        <v>2</v>
      </c>
      <c r="E22" s="63">
        <f>Table2123[[#This Row],[qtyx1]]*28</f>
        <v>56</v>
      </c>
      <c r="F22" s="53"/>
      <c r="G22" s="53"/>
    </row>
    <row r="23" spans="1:7" ht="18" x14ac:dyDescent="0.35">
      <c r="A23" s="53" t="str">
        <f t="shared" si="0"/>
        <v>262710</v>
      </c>
      <c r="B23" s="53" t="str">
        <f t="shared" si="1"/>
        <v/>
      </c>
      <c r="C23" s="66">
        <v>7189982830</v>
      </c>
      <c r="D23" s="53">
        <v>1</v>
      </c>
      <c r="E23" s="63">
        <f>Table2123[[#This Row],[qtyx1]]*28</f>
        <v>28</v>
      </c>
      <c r="F23" s="53"/>
      <c r="G23" s="53"/>
    </row>
    <row r="24" spans="1:7" ht="18" x14ac:dyDescent="0.35">
      <c r="A24" s="53" t="str">
        <f t="shared" si="0"/>
        <v>262565</v>
      </c>
      <c r="B24" s="53" t="str">
        <f t="shared" si="1"/>
        <v>10.21.73031A</v>
      </c>
      <c r="C24" s="66">
        <v>7198796290</v>
      </c>
      <c r="D24" s="53">
        <v>2</v>
      </c>
      <c r="E24" s="63">
        <f>Table2123[[#This Row],[qtyx1]]*28</f>
        <v>56</v>
      </c>
      <c r="F24" s="53"/>
      <c r="G24" s="53"/>
    </row>
    <row r="25" spans="1:7" ht="18" x14ac:dyDescent="0.35">
      <c r="A25" s="53" t="str">
        <f t="shared" si="0"/>
        <v>262566</v>
      </c>
      <c r="B25" s="53" t="str">
        <f t="shared" si="1"/>
        <v>10.21.72982A</v>
      </c>
      <c r="C25" s="66">
        <v>71988082</v>
      </c>
      <c r="D25" s="53">
        <v>1</v>
      </c>
      <c r="E25" s="63">
        <f>Table2123[[#This Row],[qtyx1]]*28</f>
        <v>28</v>
      </c>
      <c r="F25" s="53"/>
      <c r="G25" s="53"/>
    </row>
    <row r="26" spans="1:7" ht="18" x14ac:dyDescent="0.35">
      <c r="A26" s="53" t="str">
        <f t="shared" si="0"/>
        <v>262712</v>
      </c>
      <c r="B26" s="53" t="str">
        <f t="shared" si="1"/>
        <v>10.21.77054A</v>
      </c>
      <c r="C26" s="66">
        <v>7198916130</v>
      </c>
      <c r="D26" s="53">
        <v>1</v>
      </c>
      <c r="E26" s="63">
        <f>Table2123[[#This Row],[qtyx1]]*28</f>
        <v>28</v>
      </c>
      <c r="F26" s="53"/>
      <c r="G26" s="53"/>
    </row>
    <row r="27" spans="1:7" ht="18" x14ac:dyDescent="0.35">
      <c r="A27" s="53" t="str">
        <f t="shared" si="0"/>
        <v>262567</v>
      </c>
      <c r="B27" s="53" t="str">
        <f t="shared" si="1"/>
        <v>10.21.77084A</v>
      </c>
      <c r="C27" s="66">
        <v>71989162</v>
      </c>
      <c r="D27" s="53">
        <v>3</v>
      </c>
      <c r="E27" s="63">
        <f>Table2123[[#This Row],[qtyx1]]*28</f>
        <v>84</v>
      </c>
      <c r="F27" s="53"/>
      <c r="G27" s="53"/>
    </row>
    <row r="28" spans="1:7" ht="18" x14ac:dyDescent="0.35">
      <c r="A28" s="53" t="str">
        <f t="shared" si="0"/>
        <v>262568</v>
      </c>
      <c r="B28" s="53" t="str">
        <f t="shared" si="1"/>
        <v/>
      </c>
      <c r="C28" s="66">
        <v>7198948560</v>
      </c>
      <c r="D28" s="53">
        <v>1</v>
      </c>
      <c r="E28" s="63">
        <f>Table2123[[#This Row],[qtyx1]]*28</f>
        <v>28</v>
      </c>
      <c r="F28" s="53"/>
      <c r="G28" s="53"/>
    </row>
    <row r="29" spans="1:7" ht="18" x14ac:dyDescent="0.35">
      <c r="A29" s="53" t="str">
        <f t="shared" si="0"/>
        <v>Извън производство</v>
      </c>
      <c r="B29" s="53" t="str">
        <f t="shared" si="1"/>
        <v/>
      </c>
      <c r="C29" s="66">
        <v>7223686530</v>
      </c>
      <c r="D29" s="53">
        <v>1</v>
      </c>
      <c r="E29" s="63">
        <f>Table2123[[#This Row],[qtyx1]]*28</f>
        <v>28</v>
      </c>
      <c r="F29" s="53"/>
      <c r="G29" s="53"/>
    </row>
    <row r="30" spans="1:7" ht="18" x14ac:dyDescent="0.35">
      <c r="A30" s="53" t="str">
        <f t="shared" si="0"/>
        <v>Извън производство</v>
      </c>
      <c r="B30" s="53" t="str">
        <f t="shared" si="1"/>
        <v/>
      </c>
      <c r="C30" s="66">
        <v>7278246930</v>
      </c>
      <c r="D30" s="53">
        <v>2</v>
      </c>
      <c r="E30" s="63">
        <f>Table2123[[#This Row],[qtyx1]]*28</f>
        <v>56</v>
      </c>
      <c r="F30" s="53"/>
      <c r="G30" s="53"/>
    </row>
    <row r="31" spans="1:7" ht="18" x14ac:dyDescent="0.35">
      <c r="A31" s="53" t="str">
        <f t="shared" si="0"/>
        <v>262713</v>
      </c>
      <c r="B31" s="53" t="str">
        <f t="shared" si="1"/>
        <v>10.21.47195A</v>
      </c>
      <c r="C31" s="66">
        <v>7289896430</v>
      </c>
      <c r="D31" s="53">
        <v>1</v>
      </c>
      <c r="E31" s="63">
        <f>Table2123[[#This Row],[qtyx1]]*28</f>
        <v>28</v>
      </c>
      <c r="F31" s="53"/>
      <c r="G31" s="53"/>
    </row>
    <row r="32" spans="1:7" ht="18" x14ac:dyDescent="0.35">
      <c r="A32" s="53" t="str">
        <f t="shared" si="0"/>
        <v>262571</v>
      </c>
      <c r="B32" s="53" t="str">
        <f t="shared" si="1"/>
        <v>10.21.76981A</v>
      </c>
      <c r="C32" s="66">
        <v>7297944190</v>
      </c>
      <c r="D32" s="53">
        <v>2</v>
      </c>
      <c r="E32" s="63">
        <f>Table2123[[#This Row],[qtyx1]]*28</f>
        <v>56</v>
      </c>
      <c r="F32" s="53"/>
      <c r="G32" s="53"/>
    </row>
    <row r="33" spans="1:15" ht="18" x14ac:dyDescent="0.35">
      <c r="A33" s="53" t="str">
        <f t="shared" si="0"/>
        <v>Извън производство</v>
      </c>
      <c r="B33" s="53" t="str">
        <f t="shared" si="1"/>
        <v/>
      </c>
      <c r="C33" s="66">
        <v>7298948930</v>
      </c>
      <c r="D33" s="53">
        <v>1</v>
      </c>
      <c r="E33" s="63">
        <f>Table2123[[#This Row],[qtyx1]]*28</f>
        <v>28</v>
      </c>
      <c r="F33" s="53"/>
      <c r="G33" s="53"/>
    </row>
    <row r="34" spans="1:15" ht="18" x14ac:dyDescent="0.35">
      <c r="A34" s="53" t="str">
        <f t="shared" si="0"/>
        <v>Извън производство</v>
      </c>
      <c r="B34" s="53" t="str">
        <f t="shared" si="1"/>
        <v/>
      </c>
      <c r="C34" s="66">
        <v>7298949030</v>
      </c>
      <c r="D34" s="53">
        <v>1</v>
      </c>
      <c r="E34" s="63">
        <f>Table2123[[#This Row],[qtyx1]]*28</f>
        <v>28</v>
      </c>
      <c r="F34" s="53"/>
      <c r="G34" s="53"/>
    </row>
    <row r="35" spans="1:15" ht="18" x14ac:dyDescent="0.35">
      <c r="A35" s="53" t="str">
        <f t="shared" si="0"/>
        <v>262573</v>
      </c>
      <c r="B35" s="53" t="str">
        <f t="shared" si="1"/>
        <v/>
      </c>
      <c r="C35" s="66" t="s">
        <v>597</v>
      </c>
      <c r="D35" s="53">
        <v>2</v>
      </c>
      <c r="E35" s="63">
        <f>Table2123[[#This Row],[qtyx1]]*28</f>
        <v>56</v>
      </c>
      <c r="F35" s="53"/>
      <c r="G35" s="53"/>
    </row>
    <row r="36" spans="1:15" ht="18" x14ac:dyDescent="0.35">
      <c r="A36" s="53" t="str">
        <f t="shared" si="0"/>
        <v>Извън производство</v>
      </c>
      <c r="B36" s="53" t="str">
        <f t="shared" si="1"/>
        <v/>
      </c>
      <c r="C36" s="66" t="s">
        <v>255</v>
      </c>
      <c r="D36" s="53">
        <v>1</v>
      </c>
      <c r="E36" s="63">
        <f>Table2123[[#This Row],[qtyx1]]*28</f>
        <v>28</v>
      </c>
      <c r="F36" s="53"/>
      <c r="G36" s="53"/>
    </row>
    <row r="37" spans="1:15" ht="18" x14ac:dyDescent="0.35">
      <c r="A37" s="53" t="str">
        <f t="shared" si="0"/>
        <v>262590</v>
      </c>
      <c r="B37" s="53" t="str">
        <f t="shared" si="1"/>
        <v>10.21.36176A</v>
      </c>
      <c r="C37" s="66" t="s">
        <v>604</v>
      </c>
      <c r="D37" s="53">
        <v>1</v>
      </c>
      <c r="E37" s="63">
        <f>Table2123[[#This Row],[qtyx1]]*28</f>
        <v>28</v>
      </c>
      <c r="F37" s="53"/>
      <c r="G37" s="53"/>
    </row>
    <row r="38" spans="1:15" ht="18" x14ac:dyDescent="0.35">
      <c r="A38" s="53" t="str">
        <f t="shared" si="0"/>
        <v>262574</v>
      </c>
      <c r="B38" s="53" t="str">
        <f t="shared" si="1"/>
        <v>10.21.27982A</v>
      </c>
      <c r="C38" s="66" t="s">
        <v>240</v>
      </c>
      <c r="D38" s="53">
        <v>1</v>
      </c>
      <c r="E38" s="63">
        <f>Table2123[[#This Row],[qtyx1]]*28</f>
        <v>28</v>
      </c>
      <c r="F38" s="53"/>
      <c r="G38" s="53"/>
    </row>
    <row r="39" spans="1:15" ht="18" x14ac:dyDescent="0.35">
      <c r="A39" s="53" t="str">
        <f t="shared" si="0"/>
        <v>Извън производство</v>
      </c>
      <c r="B39" s="53" t="str">
        <f t="shared" si="1"/>
        <v/>
      </c>
      <c r="C39" s="66" t="s">
        <v>248</v>
      </c>
      <c r="D39" s="53">
        <v>2</v>
      </c>
      <c r="E39" s="63">
        <f>Table2123[[#This Row],[qtyx1]]*28</f>
        <v>56</v>
      </c>
      <c r="F39" s="53"/>
      <c r="G39" s="53"/>
    </row>
    <row r="40" spans="1:15" ht="18" x14ac:dyDescent="0.35">
      <c r="A40" s="53" t="str">
        <f t="shared" si="0"/>
        <v>Извън производство</v>
      </c>
      <c r="B40" s="53" t="str">
        <f t="shared" si="1"/>
        <v/>
      </c>
      <c r="C40" s="66" t="s">
        <v>249</v>
      </c>
      <c r="D40" s="53">
        <v>2</v>
      </c>
      <c r="E40" s="63">
        <f>Table2123[[#This Row],[qtyx1]]*28</f>
        <v>56</v>
      </c>
      <c r="F40" s="53"/>
      <c r="G40" s="53"/>
    </row>
    <row r="41" spans="1:15" ht="18" x14ac:dyDescent="0.35">
      <c r="A41" s="53" t="str">
        <f t="shared" si="0"/>
        <v>262722</v>
      </c>
      <c r="B41" s="53" t="str">
        <f t="shared" si="1"/>
        <v/>
      </c>
      <c r="C41" s="66" t="s">
        <v>267</v>
      </c>
      <c r="D41" s="53">
        <v>1</v>
      </c>
      <c r="E41" s="63">
        <f>Table2123[[#This Row],[qtyx1]]*28</f>
        <v>28</v>
      </c>
      <c r="F41" s="53"/>
      <c r="G41" s="53"/>
    </row>
    <row r="42" spans="1:15" ht="36" x14ac:dyDescent="0.35">
      <c r="A42" s="53" t="str">
        <f t="shared" si="0"/>
        <v>Извън производство</v>
      </c>
      <c r="B42" s="53" t="str">
        <f t="shared" si="1"/>
        <v/>
      </c>
      <c r="C42" s="66" t="s">
        <v>664</v>
      </c>
      <c r="D42" s="53">
        <v>4</v>
      </c>
      <c r="E42" s="63">
        <f>Table2123[[#This Row],[qtyx1]]*28</f>
        <v>112</v>
      </c>
      <c r="F42" s="53"/>
      <c r="G42" s="53"/>
    </row>
    <row r="44" spans="1:15" x14ac:dyDescent="0.3">
      <c r="M44" s="19">
        <v>7289405830</v>
      </c>
      <c r="N44" s="65" t="s">
        <v>1771</v>
      </c>
      <c r="O44" s="19" t="s">
        <v>785</v>
      </c>
    </row>
    <row r="45" spans="1:15" x14ac:dyDescent="0.3">
      <c r="M45" s="64">
        <v>7252785330</v>
      </c>
      <c r="N45" s="55" t="s">
        <v>1349</v>
      </c>
      <c r="O45" s="64" t="s">
        <v>192</v>
      </c>
    </row>
    <row r="46" spans="1:15" x14ac:dyDescent="0.3">
      <c r="M46" s="19" t="s">
        <v>863</v>
      </c>
      <c r="N46" s="19" t="s">
        <v>1336</v>
      </c>
      <c r="O46" s="19" t="s">
        <v>145</v>
      </c>
    </row>
    <row r="47" spans="1:15" x14ac:dyDescent="0.3">
      <c r="M47" s="64">
        <v>72897304</v>
      </c>
      <c r="N47" s="64" t="s">
        <v>1327</v>
      </c>
      <c r="O47" s="64" t="s">
        <v>133</v>
      </c>
    </row>
    <row r="48" spans="1:15" x14ac:dyDescent="0.3">
      <c r="M48" s="19">
        <v>7235053630</v>
      </c>
      <c r="N48" s="19" t="s">
        <v>1355</v>
      </c>
      <c r="O48" s="19" t="s">
        <v>865</v>
      </c>
    </row>
    <row r="49" spans="13:15" x14ac:dyDescent="0.3">
      <c r="M49" s="64">
        <v>7247760930</v>
      </c>
      <c r="N49" s="64" t="s">
        <v>1402</v>
      </c>
      <c r="O49" s="64" t="s">
        <v>956</v>
      </c>
    </row>
    <row r="50" spans="13:15" x14ac:dyDescent="0.3">
      <c r="M50" s="19" t="s">
        <v>662</v>
      </c>
      <c r="N50" s="19" t="s">
        <v>1339</v>
      </c>
      <c r="O50" s="19" t="s">
        <v>156</v>
      </c>
    </row>
    <row r="51" spans="13:15" x14ac:dyDescent="0.3">
      <c r="M51" s="64">
        <v>71782472</v>
      </c>
      <c r="N51" s="64" t="s">
        <v>1773</v>
      </c>
      <c r="O51" s="64" t="s">
        <v>1006</v>
      </c>
    </row>
    <row r="52" spans="13:15" x14ac:dyDescent="0.3">
      <c r="M52" s="19">
        <v>7252815130</v>
      </c>
      <c r="N52" s="19" t="s">
        <v>1352</v>
      </c>
      <c r="O52" s="19" t="s">
        <v>191</v>
      </c>
    </row>
    <row r="53" spans="13:15" x14ac:dyDescent="0.3">
      <c r="M53" s="64">
        <v>7271007230</v>
      </c>
      <c r="N53" s="64" t="s">
        <v>1775</v>
      </c>
      <c r="O53" s="64" t="s">
        <v>126</v>
      </c>
    </row>
    <row r="54" spans="13:15" x14ac:dyDescent="0.3">
      <c r="M54" s="19" t="s">
        <v>239</v>
      </c>
      <c r="N54" s="19" t="s">
        <v>1776</v>
      </c>
      <c r="O54" s="19" t="s">
        <v>140</v>
      </c>
    </row>
    <row r="55" spans="13:15" x14ac:dyDescent="0.3">
      <c r="M55" s="64" t="s">
        <v>240</v>
      </c>
      <c r="N55" s="64" t="s">
        <v>1332</v>
      </c>
      <c r="O55" s="64" t="s">
        <v>141</v>
      </c>
    </row>
    <row r="56" spans="13:15" x14ac:dyDescent="0.3">
      <c r="M56" s="19">
        <v>7247781230</v>
      </c>
      <c r="N56" s="19" t="s">
        <v>1403</v>
      </c>
      <c r="O56" s="19" t="s">
        <v>965</v>
      </c>
    </row>
    <row r="57" spans="13:15" x14ac:dyDescent="0.3">
      <c r="M57" s="64" t="s">
        <v>608</v>
      </c>
      <c r="N57" s="64" t="s">
        <v>1360</v>
      </c>
      <c r="O57" s="64" t="s">
        <v>873</v>
      </c>
    </row>
    <row r="58" spans="13:15" x14ac:dyDescent="0.3">
      <c r="M58" s="19">
        <v>7198916130</v>
      </c>
      <c r="N58" s="19" t="s">
        <v>1777</v>
      </c>
      <c r="O58" s="19" t="s">
        <v>121</v>
      </c>
    </row>
    <row r="59" spans="13:15" x14ac:dyDescent="0.3">
      <c r="M59" s="64">
        <v>7035990930</v>
      </c>
      <c r="N59" s="64" t="s">
        <v>1350</v>
      </c>
      <c r="O59" s="64" t="s">
        <v>987</v>
      </c>
    </row>
    <row r="60" spans="13:15" x14ac:dyDescent="0.3">
      <c r="M60" s="19">
        <v>7252726530</v>
      </c>
      <c r="N60" s="19" t="s">
        <v>1345</v>
      </c>
      <c r="O60" s="19" t="s">
        <v>190</v>
      </c>
    </row>
    <row r="61" spans="13:15" x14ac:dyDescent="0.3">
      <c r="M61" s="64">
        <v>7252809330</v>
      </c>
      <c r="N61" s="64" t="s">
        <v>1405</v>
      </c>
      <c r="O61" s="64" t="s">
        <v>998</v>
      </c>
    </row>
    <row r="62" spans="13:15" x14ac:dyDescent="0.3">
      <c r="M62" s="19">
        <v>71196401</v>
      </c>
      <c r="N62" s="19" t="s">
        <v>1313</v>
      </c>
      <c r="O62" s="19" t="s">
        <v>91</v>
      </c>
    </row>
    <row r="63" spans="13:15" x14ac:dyDescent="0.3">
      <c r="M63" s="64">
        <v>7118670020</v>
      </c>
      <c r="N63" s="64" t="s">
        <v>1308</v>
      </c>
      <c r="O63" s="64" t="s">
        <v>81</v>
      </c>
    </row>
    <row r="64" spans="13:15" x14ac:dyDescent="0.3">
      <c r="M64" s="19">
        <v>7119131530</v>
      </c>
      <c r="N64" s="19" t="s">
        <v>1310</v>
      </c>
      <c r="O64" s="19" t="s">
        <v>84</v>
      </c>
    </row>
    <row r="65" spans="13:15" x14ac:dyDescent="0.3">
      <c r="M65" s="64">
        <v>7252779130</v>
      </c>
      <c r="N65" s="64" t="s">
        <v>1394</v>
      </c>
      <c r="O65" s="64" t="s">
        <v>962</v>
      </c>
    </row>
    <row r="66" spans="13:15" x14ac:dyDescent="0.3">
      <c r="M66" s="19">
        <v>71989162</v>
      </c>
      <c r="N66" s="19" t="s">
        <v>1322</v>
      </c>
      <c r="O66" s="19" t="s">
        <v>122</v>
      </c>
    </row>
    <row r="67" spans="13:15" x14ac:dyDescent="0.3">
      <c r="M67" s="64" t="s">
        <v>632</v>
      </c>
      <c r="N67" s="64" t="s">
        <v>1340</v>
      </c>
      <c r="O67" s="64" t="s">
        <v>169</v>
      </c>
    </row>
    <row r="68" spans="13:15" x14ac:dyDescent="0.3">
      <c r="M68" s="19">
        <v>7075231930</v>
      </c>
      <c r="N68" s="19" t="s">
        <v>1305</v>
      </c>
      <c r="O68" s="19" t="s">
        <v>75</v>
      </c>
    </row>
    <row r="69" spans="13:15" x14ac:dyDescent="0.3">
      <c r="M69" s="64">
        <v>7247781730</v>
      </c>
      <c r="N69" s="64" t="s">
        <v>1343</v>
      </c>
      <c r="O69" s="64" t="s">
        <v>187</v>
      </c>
    </row>
    <row r="70" spans="13:15" x14ac:dyDescent="0.3">
      <c r="M70" s="19">
        <v>71186354</v>
      </c>
      <c r="N70" s="19" t="s">
        <v>1306</v>
      </c>
      <c r="O70" s="19" t="s">
        <v>78</v>
      </c>
    </row>
    <row r="71" spans="13:15" x14ac:dyDescent="0.3">
      <c r="M71" s="64" t="s">
        <v>601</v>
      </c>
      <c r="N71" s="64" t="s">
        <v>1779</v>
      </c>
      <c r="O71" s="64" t="s">
        <v>161</v>
      </c>
    </row>
    <row r="72" spans="13:15" x14ac:dyDescent="0.3">
      <c r="M72" s="19">
        <v>7047052330</v>
      </c>
      <c r="N72" s="19" t="s">
        <v>1398</v>
      </c>
      <c r="O72" s="19" t="s">
        <v>1001</v>
      </c>
    </row>
    <row r="73" spans="13:15" x14ac:dyDescent="0.3">
      <c r="M73" s="64">
        <v>71191993</v>
      </c>
      <c r="N73" s="64" t="s">
        <v>1312</v>
      </c>
      <c r="O73" s="64" t="s">
        <v>87</v>
      </c>
    </row>
    <row r="74" spans="13:15" x14ac:dyDescent="0.3">
      <c r="M74" s="19">
        <v>7289896430</v>
      </c>
      <c r="N74" s="19" t="s">
        <v>1780</v>
      </c>
      <c r="O74" s="19" t="s">
        <v>132</v>
      </c>
    </row>
    <row r="75" spans="13:15" x14ac:dyDescent="0.3">
      <c r="M75" s="64">
        <v>7289982670</v>
      </c>
      <c r="N75" s="64" t="s">
        <v>1782</v>
      </c>
      <c r="O75" s="64" t="s">
        <v>989</v>
      </c>
    </row>
    <row r="76" spans="13:15" x14ac:dyDescent="0.3">
      <c r="M76" s="19" t="s">
        <v>238</v>
      </c>
      <c r="N76" s="19" t="s">
        <v>1784</v>
      </c>
      <c r="O76" s="19" t="s">
        <v>139</v>
      </c>
    </row>
    <row r="77" spans="13:15" x14ac:dyDescent="0.3">
      <c r="M77" s="64">
        <v>71196714</v>
      </c>
      <c r="N77" s="64" t="s">
        <v>1785</v>
      </c>
      <c r="O77" s="64" t="s">
        <v>97</v>
      </c>
    </row>
    <row r="78" spans="13:15" x14ac:dyDescent="0.3">
      <c r="M78" s="19">
        <v>71988082</v>
      </c>
      <c r="N78" s="19" t="s">
        <v>1320</v>
      </c>
      <c r="O78" s="19" t="s">
        <v>118</v>
      </c>
    </row>
    <row r="79" spans="13:15" x14ac:dyDescent="0.3">
      <c r="M79" s="64" t="s">
        <v>221</v>
      </c>
      <c r="N79" s="64" t="s">
        <v>1315</v>
      </c>
      <c r="O79" s="64" t="s">
        <v>103</v>
      </c>
    </row>
    <row r="80" spans="13:15" x14ac:dyDescent="0.3">
      <c r="M80" s="19" t="s">
        <v>604</v>
      </c>
      <c r="N80" s="19" t="s">
        <v>1358</v>
      </c>
      <c r="O80" s="19" t="s">
        <v>294</v>
      </c>
    </row>
    <row r="81" spans="13:15" x14ac:dyDescent="0.3">
      <c r="M81" s="64">
        <v>7252779130</v>
      </c>
      <c r="N81" s="64" t="s">
        <v>1356</v>
      </c>
      <c r="O81" s="64" t="s">
        <v>289</v>
      </c>
    </row>
    <row r="82" spans="13:15" x14ac:dyDescent="0.3">
      <c r="M82" s="19">
        <v>71986562</v>
      </c>
      <c r="N82" s="19" t="s">
        <v>1786</v>
      </c>
      <c r="O82" s="19" t="s">
        <v>750</v>
      </c>
    </row>
    <row r="83" spans="13:15" x14ac:dyDescent="0.3">
      <c r="M83" s="64">
        <v>7297944190</v>
      </c>
      <c r="N83" s="64" t="s">
        <v>1328</v>
      </c>
      <c r="O83" s="64" t="s">
        <v>134</v>
      </c>
    </row>
    <row r="84" spans="13:15" x14ac:dyDescent="0.3">
      <c r="M84" s="19" t="s">
        <v>247</v>
      </c>
      <c r="N84" s="19" t="s">
        <v>1787</v>
      </c>
      <c r="O84" s="19" t="s">
        <v>150</v>
      </c>
    </row>
    <row r="85" spans="13:15" x14ac:dyDescent="0.3">
      <c r="M85" s="64">
        <v>7252785330</v>
      </c>
      <c r="N85" s="64" t="s">
        <v>1393</v>
      </c>
      <c r="O85" s="64" t="s">
        <v>973</v>
      </c>
    </row>
    <row r="86" spans="13:15" x14ac:dyDescent="0.3">
      <c r="M86" s="19">
        <v>7075181330</v>
      </c>
      <c r="N86" s="19" t="s">
        <v>1788</v>
      </c>
      <c r="O86" s="19" t="s">
        <v>983</v>
      </c>
    </row>
    <row r="87" spans="13:15" x14ac:dyDescent="0.3">
      <c r="M87" s="64" t="s">
        <v>261</v>
      </c>
      <c r="N87" s="64" t="s">
        <v>1790</v>
      </c>
      <c r="O87" s="64" t="s">
        <v>170</v>
      </c>
    </row>
    <row r="88" spans="13:15" x14ac:dyDescent="0.3">
      <c r="M88" s="19">
        <v>7035990430</v>
      </c>
      <c r="N88" s="19" t="s">
        <v>1359</v>
      </c>
      <c r="O88" s="19" t="s">
        <v>845</v>
      </c>
    </row>
    <row r="89" spans="13:15" x14ac:dyDescent="0.3">
      <c r="M89" s="64">
        <v>7047186030</v>
      </c>
      <c r="N89" s="64" t="s">
        <v>1341</v>
      </c>
      <c r="O89" s="64" t="s">
        <v>172</v>
      </c>
    </row>
    <row r="90" spans="13:15" x14ac:dyDescent="0.3">
      <c r="M90" s="19">
        <v>7198796290</v>
      </c>
      <c r="N90" s="19" t="s">
        <v>1318</v>
      </c>
      <c r="O90" s="19" t="s">
        <v>117</v>
      </c>
    </row>
    <row r="91" spans="13:15" x14ac:dyDescent="0.3">
      <c r="M91" s="64">
        <v>7052161430</v>
      </c>
      <c r="N91" s="64" t="s">
        <v>1397</v>
      </c>
      <c r="O91" s="64" t="s">
        <v>992</v>
      </c>
    </row>
    <row r="92" spans="13:15" x14ac:dyDescent="0.3">
      <c r="M92" s="19" t="s">
        <v>241</v>
      </c>
      <c r="N92" s="19" t="s">
        <v>1334</v>
      </c>
      <c r="O92" s="19" t="s">
        <v>143</v>
      </c>
    </row>
    <row r="93" spans="13:15" x14ac:dyDescent="0.3">
      <c r="M93" s="64">
        <v>7287547130</v>
      </c>
      <c r="N93" s="64" t="s">
        <v>1791</v>
      </c>
      <c r="O93" s="64" t="s">
        <v>1005</v>
      </c>
    </row>
    <row r="94" spans="13:15" x14ac:dyDescent="0.3">
      <c r="M94" s="19">
        <v>7003756102</v>
      </c>
      <c r="N94" s="19" t="s">
        <v>1361</v>
      </c>
      <c r="O94" s="19" t="s">
        <v>874</v>
      </c>
    </row>
    <row r="95" spans="13:15" x14ac:dyDescent="0.3">
      <c r="M95" s="64" t="s">
        <v>614</v>
      </c>
      <c r="N95" s="64" t="s">
        <v>1793</v>
      </c>
      <c r="O95" s="64" t="s">
        <v>1415</v>
      </c>
    </row>
    <row r="96" spans="13:15" x14ac:dyDescent="0.3">
      <c r="M96" s="19" t="s">
        <v>1289</v>
      </c>
      <c r="N96" s="19" t="s">
        <v>1330</v>
      </c>
      <c r="O96" s="19" t="s">
        <v>137</v>
      </c>
    </row>
    <row r="97" spans="13:15" x14ac:dyDescent="0.3">
      <c r="M97">
        <v>7235053630</v>
      </c>
      <c r="N97" t="s">
        <v>1353</v>
      </c>
      <c r="O97" t="s">
        <v>867</v>
      </c>
    </row>
    <row r="98" spans="13:15" x14ac:dyDescent="0.3">
      <c r="M98">
        <v>7198599230</v>
      </c>
      <c r="N98" t="s">
        <v>1794</v>
      </c>
      <c r="O98" t="s">
        <v>1217</v>
      </c>
    </row>
    <row r="99" spans="13:15" x14ac:dyDescent="0.3">
      <c r="M99">
        <v>7119639830</v>
      </c>
      <c r="N99" t="s">
        <v>1796</v>
      </c>
      <c r="O99" t="s">
        <v>90</v>
      </c>
    </row>
    <row r="100" spans="13:15" x14ac:dyDescent="0.3">
      <c r="M100">
        <v>7047186030</v>
      </c>
      <c r="N100" t="s">
        <v>1396</v>
      </c>
      <c r="O100" t="s">
        <v>882</v>
      </c>
    </row>
    <row r="101" spans="13:15" x14ac:dyDescent="0.3">
      <c r="M101">
        <v>72478572</v>
      </c>
      <c r="N101" t="s">
        <v>1401</v>
      </c>
      <c r="O101" t="s">
        <v>1023</v>
      </c>
    </row>
    <row r="102" spans="13:15" x14ac:dyDescent="0.3">
      <c r="M102" t="s">
        <v>862</v>
      </c>
      <c r="N102" t="s">
        <v>1333</v>
      </c>
      <c r="O102" t="s">
        <v>142</v>
      </c>
    </row>
    <row r="103" spans="13:15" x14ac:dyDescent="0.3">
      <c r="M103">
        <v>7183753630</v>
      </c>
      <c r="N103" t="s">
        <v>1797</v>
      </c>
      <c r="O103" t="s">
        <v>203</v>
      </c>
    </row>
    <row r="104" spans="13:15" x14ac:dyDescent="0.3">
      <c r="M104">
        <v>7147882430</v>
      </c>
      <c r="N104" t="s">
        <v>1342</v>
      </c>
      <c r="O104" t="s">
        <v>177</v>
      </c>
    </row>
    <row r="105" spans="13:15" x14ac:dyDescent="0.3">
      <c r="M105">
        <v>7189663170</v>
      </c>
      <c r="N105" t="s">
        <v>1799</v>
      </c>
      <c r="O105" t="s">
        <v>106</v>
      </c>
    </row>
    <row r="106" spans="13:15" x14ac:dyDescent="0.3">
      <c r="M106">
        <v>7247761330</v>
      </c>
      <c r="N106" t="s">
        <v>1400</v>
      </c>
      <c r="O106" t="s">
        <v>959</v>
      </c>
    </row>
    <row r="107" spans="13:15" x14ac:dyDescent="0.3">
      <c r="M107">
        <v>7198948560</v>
      </c>
      <c r="N107" t="s">
        <v>1324</v>
      </c>
      <c r="O107" t="s">
        <v>123</v>
      </c>
    </row>
    <row r="108" spans="13:15" x14ac:dyDescent="0.3">
      <c r="M108" t="s">
        <v>597</v>
      </c>
      <c r="N108" t="s">
        <v>1331</v>
      </c>
      <c r="O108" t="s">
        <v>138</v>
      </c>
    </row>
    <row r="109" spans="13:15" x14ac:dyDescent="0.3">
      <c r="M109" t="s">
        <v>244</v>
      </c>
      <c r="N109" t="s">
        <v>1337</v>
      </c>
      <c r="O109" t="s">
        <v>147</v>
      </c>
    </row>
    <row r="110" spans="13:15" x14ac:dyDescent="0.3">
      <c r="M110">
        <v>71897277</v>
      </c>
      <c r="N110" t="s">
        <v>1357</v>
      </c>
      <c r="O110" t="s">
        <v>984</v>
      </c>
    </row>
    <row r="111" spans="13:15" x14ac:dyDescent="0.3">
      <c r="M111">
        <v>71899503</v>
      </c>
      <c r="N111" t="s">
        <v>1316</v>
      </c>
      <c r="O111" t="s">
        <v>107</v>
      </c>
    </row>
    <row r="112" spans="13:15" x14ac:dyDescent="0.3">
      <c r="M112">
        <v>7189982830</v>
      </c>
      <c r="N112" t="s">
        <v>1801</v>
      </c>
      <c r="O112" t="s">
        <v>108</v>
      </c>
    </row>
    <row r="113" spans="13:15" x14ac:dyDescent="0.3">
      <c r="M113" t="s">
        <v>252</v>
      </c>
      <c r="N113" t="s">
        <v>1803</v>
      </c>
      <c r="O113" t="s">
        <v>155</v>
      </c>
    </row>
    <row r="114" spans="13:15" x14ac:dyDescent="0.3">
      <c r="M114">
        <v>7271007030</v>
      </c>
      <c r="N114" t="s">
        <v>1326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1335</v>
      </c>
      <c r="O116" t="s">
        <v>144</v>
      </c>
    </row>
    <row r="117" spans="13:15" x14ac:dyDescent="0.3">
      <c r="M117">
        <v>7047135830</v>
      </c>
      <c r="N117" t="s">
        <v>1395</v>
      </c>
      <c r="O117" t="s">
        <v>878</v>
      </c>
    </row>
    <row r="118" spans="13:15" x14ac:dyDescent="0.3">
      <c r="M118">
        <v>71781227</v>
      </c>
      <c r="N118" t="s">
        <v>1805</v>
      </c>
      <c r="O118" t="s">
        <v>201</v>
      </c>
    </row>
    <row r="119" spans="13:15" x14ac:dyDescent="0.3">
      <c r="M119" t="s">
        <v>297</v>
      </c>
      <c r="N119" t="s">
        <v>1807</v>
      </c>
      <c r="O119" t="s">
        <v>302</v>
      </c>
    </row>
    <row r="120" spans="13:15" x14ac:dyDescent="0.3">
      <c r="M120" t="s">
        <v>246</v>
      </c>
      <c r="N120" t="s">
        <v>1338</v>
      </c>
      <c r="O120" t="s">
        <v>149</v>
      </c>
    </row>
    <row r="121" spans="13:15" x14ac:dyDescent="0.3">
      <c r="M121" t="s">
        <v>267</v>
      </c>
      <c r="N121" t="s">
        <v>1808</v>
      </c>
      <c r="O121" t="s">
        <v>207</v>
      </c>
    </row>
    <row r="122" spans="13:15" x14ac:dyDescent="0.3">
      <c r="M122">
        <v>7147882430</v>
      </c>
      <c r="N122" t="s">
        <v>1404</v>
      </c>
      <c r="O122" t="s">
        <v>892</v>
      </c>
    </row>
  </sheetData>
  <mergeCells count="1">
    <mergeCell ref="A1:G1"/>
  </mergeCells>
  <pageMargins left="0.7" right="0.7" top="0.75" bottom="0.75" header="0.3" footer="0.3"/>
  <pageSetup paperSize="9" scale="37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K69"/>
  <sheetViews>
    <sheetView topLeftCell="B1" workbookViewId="0">
      <selection activeCell="D15" sqref="D1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1559</v>
      </c>
      <c r="B2" t="s">
        <v>1851</v>
      </c>
      <c r="C2" t="s">
        <v>1429</v>
      </c>
      <c r="D2" t="s">
        <v>369</v>
      </c>
      <c r="E2">
        <v>30</v>
      </c>
      <c r="F2">
        <v>21</v>
      </c>
      <c r="G2">
        <v>1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1607</v>
      </c>
      <c r="B3" t="s">
        <v>1852</v>
      </c>
      <c r="C3" t="s">
        <v>1676</v>
      </c>
      <c r="D3" t="s">
        <v>1677</v>
      </c>
      <c r="E3">
        <v>8</v>
      </c>
      <c r="F3">
        <v>21</v>
      </c>
      <c r="G3">
        <v>1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1556</v>
      </c>
      <c r="B4" t="s">
        <v>1853</v>
      </c>
      <c r="C4" t="s">
        <v>1418</v>
      </c>
      <c r="D4" t="s">
        <v>1836</v>
      </c>
      <c r="E4">
        <v>8</v>
      </c>
      <c r="F4">
        <v>21</v>
      </c>
      <c r="G4">
        <v>1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1622</v>
      </c>
      <c r="B5" t="s">
        <v>1854</v>
      </c>
      <c r="C5" t="s">
        <v>1760</v>
      </c>
      <c r="D5" t="s">
        <v>1351</v>
      </c>
      <c r="E5">
        <v>8</v>
      </c>
      <c r="F5">
        <v>21</v>
      </c>
      <c r="G5">
        <v>1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1599</v>
      </c>
      <c r="B6" t="s">
        <v>1855</v>
      </c>
      <c r="C6" t="s">
        <v>484</v>
      </c>
      <c r="D6" t="s">
        <v>1046</v>
      </c>
      <c r="E6">
        <v>8</v>
      </c>
      <c r="F6">
        <v>21</v>
      </c>
      <c r="G6">
        <v>1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1595</v>
      </c>
      <c r="B7" t="s">
        <v>1856</v>
      </c>
      <c r="C7" t="s">
        <v>1591</v>
      </c>
      <c r="D7" t="s">
        <v>1406</v>
      </c>
      <c r="E7">
        <v>30</v>
      </c>
      <c r="F7">
        <v>21</v>
      </c>
      <c r="G7">
        <v>3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1584</v>
      </c>
      <c r="B8" t="s">
        <v>1857</v>
      </c>
      <c r="C8" t="s">
        <v>474</v>
      </c>
      <c r="D8" t="s">
        <v>1556</v>
      </c>
      <c r="E8">
        <v>8</v>
      </c>
      <c r="F8">
        <v>21</v>
      </c>
      <c r="G8">
        <v>1</v>
      </c>
      <c r="H8" t="s">
        <v>858</v>
      </c>
      <c r="I8" t="s">
        <v>858</v>
      </c>
      <c r="J8" t="s">
        <v>858</v>
      </c>
      <c r="K8" t="s">
        <v>858</v>
      </c>
    </row>
    <row r="9" spans="1:11" x14ac:dyDescent="0.3">
      <c r="A9">
        <v>1610</v>
      </c>
      <c r="B9" t="s">
        <v>1858</v>
      </c>
      <c r="C9" t="s">
        <v>714</v>
      </c>
      <c r="D9" t="s">
        <v>1084</v>
      </c>
      <c r="E9">
        <v>8</v>
      </c>
      <c r="F9">
        <v>21</v>
      </c>
      <c r="G9">
        <v>1</v>
      </c>
      <c r="H9" t="s">
        <v>858</v>
      </c>
      <c r="I9" t="s">
        <v>858</v>
      </c>
      <c r="J9" t="s">
        <v>858</v>
      </c>
      <c r="K9" t="s">
        <v>859</v>
      </c>
    </row>
    <row r="10" spans="1:11" x14ac:dyDescent="0.3">
      <c r="A10">
        <v>1591</v>
      </c>
      <c r="B10" t="s">
        <v>1859</v>
      </c>
      <c r="C10" t="s">
        <v>1205</v>
      </c>
      <c r="D10" t="s">
        <v>1860</v>
      </c>
      <c r="E10">
        <v>30</v>
      </c>
      <c r="F10">
        <v>21</v>
      </c>
      <c r="G10">
        <v>1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1565</v>
      </c>
      <c r="B11" t="s">
        <v>1861</v>
      </c>
      <c r="C11" t="s">
        <v>1749</v>
      </c>
      <c r="D11" t="s">
        <v>1789</v>
      </c>
      <c r="E11">
        <v>8</v>
      </c>
      <c r="F11">
        <v>21</v>
      </c>
      <c r="G11">
        <v>1</v>
      </c>
      <c r="H11" t="s">
        <v>858</v>
      </c>
      <c r="I11" t="s">
        <v>858</v>
      </c>
      <c r="J11" t="s">
        <v>858</v>
      </c>
      <c r="K11" t="s">
        <v>859</v>
      </c>
    </row>
    <row r="12" spans="1:11" x14ac:dyDescent="0.3">
      <c r="A12">
        <v>1557</v>
      </c>
      <c r="B12" t="s">
        <v>1862</v>
      </c>
      <c r="C12" t="s">
        <v>1421</v>
      </c>
      <c r="D12" t="s">
        <v>1863</v>
      </c>
      <c r="E12">
        <v>30</v>
      </c>
      <c r="F12">
        <v>21</v>
      </c>
      <c r="G12">
        <v>1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1570</v>
      </c>
      <c r="B13" t="s">
        <v>1865</v>
      </c>
      <c r="C13" t="s">
        <v>1140</v>
      </c>
      <c r="D13" t="s">
        <v>1039</v>
      </c>
      <c r="E13">
        <v>8</v>
      </c>
      <c r="F13">
        <v>21</v>
      </c>
      <c r="G13">
        <v>2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1581</v>
      </c>
      <c r="B14" t="s">
        <v>1864</v>
      </c>
      <c r="C14" t="s">
        <v>468</v>
      </c>
      <c r="D14" t="s">
        <v>1076</v>
      </c>
      <c r="E14">
        <v>8</v>
      </c>
      <c r="F14">
        <v>21</v>
      </c>
      <c r="G14">
        <v>2</v>
      </c>
      <c r="H14" t="s">
        <v>858</v>
      </c>
      <c r="I14" t="s">
        <v>858</v>
      </c>
      <c r="J14" t="s">
        <v>858</v>
      </c>
      <c r="K14" t="s">
        <v>858</v>
      </c>
    </row>
    <row r="15" spans="1:11" x14ac:dyDescent="0.3">
      <c r="A15">
        <v>1604</v>
      </c>
      <c r="B15" t="s">
        <v>1866</v>
      </c>
      <c r="C15" t="s">
        <v>490</v>
      </c>
      <c r="D15" t="s">
        <v>1074</v>
      </c>
      <c r="E15">
        <v>8</v>
      </c>
      <c r="F15">
        <v>21</v>
      </c>
      <c r="G15">
        <v>1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1620</v>
      </c>
      <c r="B16" t="s">
        <v>1867</v>
      </c>
      <c r="C16" t="s">
        <v>1744</v>
      </c>
      <c r="D16" t="s">
        <v>1743</v>
      </c>
      <c r="E16">
        <v>8</v>
      </c>
      <c r="F16">
        <v>21</v>
      </c>
      <c r="G16">
        <v>1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1578</v>
      </c>
      <c r="B17" t="s">
        <v>1870</v>
      </c>
      <c r="C17" t="s">
        <v>1511</v>
      </c>
      <c r="D17" t="s">
        <v>1512</v>
      </c>
      <c r="E17">
        <v>8</v>
      </c>
      <c r="F17">
        <v>21</v>
      </c>
      <c r="G17">
        <v>1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1586</v>
      </c>
      <c r="B18" t="s">
        <v>1868</v>
      </c>
      <c r="C18" t="s">
        <v>1029</v>
      </c>
      <c r="D18" t="s">
        <v>1869</v>
      </c>
      <c r="E18">
        <v>30</v>
      </c>
      <c r="F18">
        <v>21</v>
      </c>
      <c r="G18">
        <v>2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1600</v>
      </c>
      <c r="B19" t="s">
        <v>1871</v>
      </c>
      <c r="C19" t="s">
        <v>485</v>
      </c>
      <c r="D19" t="s">
        <v>1040</v>
      </c>
      <c r="E19">
        <v>8</v>
      </c>
      <c r="F19">
        <v>21</v>
      </c>
      <c r="G19">
        <v>1</v>
      </c>
      <c r="H19" t="s">
        <v>858</v>
      </c>
      <c r="I19" t="s">
        <v>858</v>
      </c>
      <c r="J19" t="s">
        <v>858</v>
      </c>
      <c r="K19" t="s">
        <v>859</v>
      </c>
    </row>
    <row r="20" spans="1:11" x14ac:dyDescent="0.3">
      <c r="A20">
        <v>1567</v>
      </c>
      <c r="B20" t="s">
        <v>1872</v>
      </c>
      <c r="C20" t="s">
        <v>451</v>
      </c>
      <c r="D20" t="s">
        <v>1873</v>
      </c>
      <c r="E20">
        <v>8</v>
      </c>
      <c r="F20">
        <v>21</v>
      </c>
      <c r="G20">
        <v>1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1601</v>
      </c>
      <c r="B21" t="s">
        <v>1874</v>
      </c>
      <c r="C21" t="s">
        <v>486</v>
      </c>
      <c r="D21" t="s">
        <v>1632</v>
      </c>
      <c r="E21">
        <v>8</v>
      </c>
      <c r="F21">
        <v>21</v>
      </c>
      <c r="G21">
        <v>2</v>
      </c>
      <c r="H21" t="s">
        <v>858</v>
      </c>
      <c r="I21" t="s">
        <v>858</v>
      </c>
      <c r="J21" t="s">
        <v>858</v>
      </c>
      <c r="K21" t="s">
        <v>859</v>
      </c>
    </row>
    <row r="22" spans="1:11" x14ac:dyDescent="0.3">
      <c r="A22">
        <v>1573</v>
      </c>
      <c r="B22" t="s">
        <v>1875</v>
      </c>
      <c r="C22" t="s">
        <v>459</v>
      </c>
      <c r="D22" t="s">
        <v>1480</v>
      </c>
      <c r="E22">
        <v>8</v>
      </c>
      <c r="F22">
        <v>21</v>
      </c>
      <c r="G22">
        <v>1</v>
      </c>
      <c r="H22" t="s">
        <v>858</v>
      </c>
      <c r="I22" t="s">
        <v>858</v>
      </c>
      <c r="J22" t="s">
        <v>858</v>
      </c>
      <c r="K22" t="s">
        <v>858</v>
      </c>
    </row>
    <row r="23" spans="1:11" x14ac:dyDescent="0.3">
      <c r="A23">
        <v>1611</v>
      </c>
      <c r="B23" t="s">
        <v>1877</v>
      </c>
      <c r="C23" t="s">
        <v>504</v>
      </c>
      <c r="D23" t="s">
        <v>1080</v>
      </c>
      <c r="E23">
        <v>8</v>
      </c>
      <c r="F23">
        <v>21</v>
      </c>
      <c r="G23">
        <v>1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1618</v>
      </c>
      <c r="B24" t="s">
        <v>1876</v>
      </c>
      <c r="C24" t="s">
        <v>607</v>
      </c>
      <c r="D24" t="s">
        <v>1097</v>
      </c>
      <c r="E24">
        <v>8</v>
      </c>
      <c r="F24">
        <v>21</v>
      </c>
      <c r="G24">
        <v>1</v>
      </c>
      <c r="H24" t="s">
        <v>858</v>
      </c>
      <c r="I24" t="s">
        <v>858</v>
      </c>
      <c r="J24" t="s">
        <v>858</v>
      </c>
      <c r="K24" t="s">
        <v>859</v>
      </c>
    </row>
    <row r="25" spans="1:11" x14ac:dyDescent="0.3">
      <c r="A25">
        <v>1564</v>
      </c>
      <c r="B25" t="s">
        <v>1878</v>
      </c>
      <c r="C25" t="s">
        <v>738</v>
      </c>
      <c r="D25" t="s">
        <v>375</v>
      </c>
      <c r="E25">
        <v>30</v>
      </c>
      <c r="F25">
        <v>21</v>
      </c>
      <c r="G25">
        <v>1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1589</v>
      </c>
      <c r="B26" t="s">
        <v>1879</v>
      </c>
      <c r="C26" t="s">
        <v>476</v>
      </c>
      <c r="D26" t="s">
        <v>386</v>
      </c>
      <c r="E26">
        <v>30</v>
      </c>
      <c r="F26">
        <v>21</v>
      </c>
      <c r="G26">
        <v>1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1576</v>
      </c>
      <c r="B27" t="s">
        <v>1880</v>
      </c>
      <c r="C27" t="s">
        <v>730</v>
      </c>
      <c r="D27" t="s">
        <v>1493</v>
      </c>
      <c r="E27">
        <v>8</v>
      </c>
      <c r="F27">
        <v>21</v>
      </c>
      <c r="G27">
        <v>1</v>
      </c>
      <c r="H27" t="s">
        <v>858</v>
      </c>
      <c r="I27" t="s">
        <v>858</v>
      </c>
      <c r="J27" t="s">
        <v>858</v>
      </c>
      <c r="K27" t="s">
        <v>859</v>
      </c>
    </row>
    <row r="28" spans="1:11" x14ac:dyDescent="0.3">
      <c r="A28">
        <v>1602</v>
      </c>
      <c r="B28" t="s">
        <v>1881</v>
      </c>
      <c r="C28" t="s">
        <v>1639</v>
      </c>
      <c r="D28" t="s">
        <v>1640</v>
      </c>
      <c r="E28">
        <v>8</v>
      </c>
      <c r="F28">
        <v>21</v>
      </c>
      <c r="G28">
        <v>1</v>
      </c>
      <c r="H28" t="s">
        <v>858</v>
      </c>
      <c r="I28" t="s">
        <v>858</v>
      </c>
      <c r="J28" t="s">
        <v>858</v>
      </c>
      <c r="K28" t="s">
        <v>858</v>
      </c>
    </row>
    <row r="29" spans="1:11" x14ac:dyDescent="0.3">
      <c r="A29">
        <v>1572</v>
      </c>
      <c r="B29" t="s">
        <v>1882</v>
      </c>
      <c r="C29" t="s">
        <v>429</v>
      </c>
      <c r="D29" t="s">
        <v>1047</v>
      </c>
      <c r="E29">
        <v>8</v>
      </c>
      <c r="F29">
        <v>21</v>
      </c>
      <c r="G29">
        <v>1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1575</v>
      </c>
      <c r="B30" t="s">
        <v>1883</v>
      </c>
      <c r="C30" t="s">
        <v>1215</v>
      </c>
      <c r="D30" t="s">
        <v>378</v>
      </c>
      <c r="E30">
        <v>30</v>
      </c>
      <c r="F30">
        <v>21</v>
      </c>
      <c r="G30">
        <v>2</v>
      </c>
      <c r="H30" t="s">
        <v>858</v>
      </c>
      <c r="I30" t="s">
        <v>858</v>
      </c>
      <c r="J30" t="s">
        <v>858</v>
      </c>
      <c r="K30" t="s">
        <v>858</v>
      </c>
    </row>
    <row r="31" spans="1:11" x14ac:dyDescent="0.3">
      <c r="A31">
        <v>1562</v>
      </c>
      <c r="B31" t="s">
        <v>1884</v>
      </c>
      <c r="C31" t="s">
        <v>1758</v>
      </c>
      <c r="D31" t="s">
        <v>1885</v>
      </c>
      <c r="E31">
        <v>30</v>
      </c>
      <c r="F31">
        <v>21</v>
      </c>
      <c r="G31">
        <v>2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1568</v>
      </c>
      <c r="B32" t="s">
        <v>1886</v>
      </c>
      <c r="C32" t="s">
        <v>453</v>
      </c>
      <c r="D32" t="s">
        <v>1445</v>
      </c>
      <c r="E32">
        <v>8</v>
      </c>
      <c r="F32">
        <v>21</v>
      </c>
      <c r="G32">
        <v>1</v>
      </c>
      <c r="H32" t="s">
        <v>858</v>
      </c>
      <c r="I32" t="s">
        <v>858</v>
      </c>
      <c r="J32" t="s">
        <v>858</v>
      </c>
      <c r="K32" t="s">
        <v>859</v>
      </c>
    </row>
    <row r="33" spans="1:11" x14ac:dyDescent="0.3">
      <c r="A33">
        <v>1580</v>
      </c>
      <c r="B33" t="s">
        <v>1887</v>
      </c>
      <c r="C33" t="s">
        <v>566</v>
      </c>
      <c r="D33" t="s">
        <v>1526</v>
      </c>
      <c r="E33">
        <v>8</v>
      </c>
      <c r="F33">
        <v>21</v>
      </c>
      <c r="G33">
        <v>1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1560</v>
      </c>
      <c r="B34" t="s">
        <v>1889</v>
      </c>
      <c r="C34" t="s">
        <v>1434</v>
      </c>
      <c r="D34" t="s">
        <v>371</v>
      </c>
      <c r="E34">
        <v>30</v>
      </c>
      <c r="F34">
        <v>21</v>
      </c>
      <c r="G34">
        <v>15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1617</v>
      </c>
      <c r="B35" t="s">
        <v>1888</v>
      </c>
      <c r="C35" t="s">
        <v>1723</v>
      </c>
      <c r="D35" t="s">
        <v>1724</v>
      </c>
      <c r="E35">
        <v>8</v>
      </c>
      <c r="F35">
        <v>21</v>
      </c>
      <c r="G35">
        <v>1</v>
      </c>
      <c r="H35" t="s">
        <v>858</v>
      </c>
      <c r="I35" t="s">
        <v>858</v>
      </c>
      <c r="J35" t="s">
        <v>858</v>
      </c>
      <c r="K35" t="s">
        <v>859</v>
      </c>
    </row>
    <row r="36" spans="1:11" x14ac:dyDescent="0.3">
      <c r="A36">
        <v>1563</v>
      </c>
      <c r="B36" t="s">
        <v>1890</v>
      </c>
      <c r="C36" t="s">
        <v>1439</v>
      </c>
      <c r="D36" t="s">
        <v>1110</v>
      </c>
      <c r="E36">
        <v>30</v>
      </c>
      <c r="F36">
        <v>21</v>
      </c>
      <c r="G36">
        <v>1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1616</v>
      </c>
      <c r="B37" t="s">
        <v>1891</v>
      </c>
      <c r="C37" t="s">
        <v>1747</v>
      </c>
      <c r="D37" t="s">
        <v>1234</v>
      </c>
      <c r="E37">
        <v>8</v>
      </c>
      <c r="F37">
        <v>21</v>
      </c>
      <c r="G37">
        <v>14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1587</v>
      </c>
      <c r="B38" t="s">
        <v>1892</v>
      </c>
      <c r="C38" t="s">
        <v>1893</v>
      </c>
      <c r="D38" t="s">
        <v>1894</v>
      </c>
      <c r="E38">
        <v>30</v>
      </c>
      <c r="F38">
        <v>21</v>
      </c>
      <c r="G38">
        <v>5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1588</v>
      </c>
      <c r="B39" t="s">
        <v>1896</v>
      </c>
      <c r="C39" t="s">
        <v>1566</v>
      </c>
      <c r="D39" t="s">
        <v>384</v>
      </c>
      <c r="E39">
        <v>30</v>
      </c>
      <c r="F39">
        <v>21</v>
      </c>
      <c r="G39">
        <v>1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1612</v>
      </c>
      <c r="B40" t="s">
        <v>1895</v>
      </c>
      <c r="C40" t="s">
        <v>716</v>
      </c>
      <c r="D40" t="s">
        <v>1088</v>
      </c>
      <c r="E40">
        <v>8</v>
      </c>
      <c r="F40">
        <v>21</v>
      </c>
      <c r="G40">
        <v>1</v>
      </c>
      <c r="H40" t="s">
        <v>858</v>
      </c>
      <c r="I40" t="s">
        <v>858</v>
      </c>
      <c r="J40" t="s">
        <v>858</v>
      </c>
      <c r="K40" t="s">
        <v>859</v>
      </c>
    </row>
    <row r="41" spans="1:11" x14ac:dyDescent="0.3">
      <c r="A41">
        <v>1597</v>
      </c>
      <c r="B41" t="s">
        <v>1897</v>
      </c>
      <c r="C41" t="s">
        <v>482</v>
      </c>
      <c r="D41" t="s">
        <v>1036</v>
      </c>
      <c r="E41">
        <v>8</v>
      </c>
      <c r="F41">
        <v>21</v>
      </c>
      <c r="G41">
        <v>1</v>
      </c>
      <c r="H41" t="s">
        <v>858</v>
      </c>
      <c r="I41" t="s">
        <v>858</v>
      </c>
      <c r="J41" t="s">
        <v>858</v>
      </c>
      <c r="K41" t="s">
        <v>859</v>
      </c>
    </row>
    <row r="42" spans="1:11" x14ac:dyDescent="0.3">
      <c r="A42">
        <v>1657</v>
      </c>
      <c r="B42" t="s">
        <v>1944</v>
      </c>
      <c r="C42" t="s">
        <v>1939</v>
      </c>
      <c r="D42" t="s">
        <v>1354</v>
      </c>
      <c r="E42">
        <v>8</v>
      </c>
      <c r="F42">
        <v>41</v>
      </c>
      <c r="G42">
        <v>2</v>
      </c>
      <c r="H42" t="s">
        <v>858</v>
      </c>
      <c r="I42" t="s">
        <v>858</v>
      </c>
      <c r="J42" t="s">
        <v>858</v>
      </c>
      <c r="K42" t="s">
        <v>858</v>
      </c>
    </row>
    <row r="43" spans="1:11" x14ac:dyDescent="0.3">
      <c r="A43">
        <v>1585</v>
      </c>
      <c r="B43" t="s">
        <v>1898</v>
      </c>
      <c r="C43" t="s">
        <v>1755</v>
      </c>
      <c r="D43" t="s">
        <v>1354</v>
      </c>
      <c r="E43">
        <v>8</v>
      </c>
      <c r="F43">
        <v>21</v>
      </c>
      <c r="G43">
        <v>2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1571</v>
      </c>
      <c r="B44" t="s">
        <v>1900</v>
      </c>
      <c r="C44" t="s">
        <v>455</v>
      </c>
      <c r="D44" t="s">
        <v>1467</v>
      </c>
      <c r="E44">
        <v>8</v>
      </c>
      <c r="F44">
        <v>21</v>
      </c>
      <c r="G44">
        <v>1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1577</v>
      </c>
      <c r="B45" t="s">
        <v>1899</v>
      </c>
      <c r="C45" t="s">
        <v>438</v>
      </c>
      <c r="D45" t="s">
        <v>1501</v>
      </c>
      <c r="E45">
        <v>8</v>
      </c>
      <c r="F45">
        <v>21</v>
      </c>
      <c r="G45">
        <v>1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1590</v>
      </c>
      <c r="B46" t="s">
        <v>1901</v>
      </c>
      <c r="C46" t="s">
        <v>1575</v>
      </c>
      <c r="D46" t="s">
        <v>1902</v>
      </c>
      <c r="E46">
        <v>30</v>
      </c>
      <c r="F46">
        <v>21</v>
      </c>
      <c r="G46">
        <v>1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1569</v>
      </c>
      <c r="B47" t="s">
        <v>1903</v>
      </c>
      <c r="C47" t="s">
        <v>454</v>
      </c>
      <c r="D47" t="s">
        <v>1048</v>
      </c>
      <c r="E47">
        <v>8</v>
      </c>
      <c r="F47">
        <v>21</v>
      </c>
      <c r="G47">
        <v>2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1583</v>
      </c>
      <c r="B48" t="s">
        <v>1904</v>
      </c>
      <c r="C48" t="s">
        <v>472</v>
      </c>
      <c r="D48" t="s">
        <v>1072</v>
      </c>
      <c r="E48">
        <v>8</v>
      </c>
      <c r="F48">
        <v>21</v>
      </c>
      <c r="G48">
        <v>1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1566</v>
      </c>
      <c r="B49" t="s">
        <v>1905</v>
      </c>
      <c r="C49" t="s">
        <v>518</v>
      </c>
      <c r="D49" t="s">
        <v>1442</v>
      </c>
      <c r="E49">
        <v>8</v>
      </c>
      <c r="F49">
        <v>21</v>
      </c>
      <c r="G49">
        <v>1</v>
      </c>
      <c r="H49" t="s">
        <v>858</v>
      </c>
      <c r="I49" t="s">
        <v>858</v>
      </c>
      <c r="J49" t="s">
        <v>858</v>
      </c>
      <c r="K49" t="s">
        <v>859</v>
      </c>
    </row>
    <row r="50" spans="1:11" x14ac:dyDescent="0.3">
      <c r="A50">
        <v>1582</v>
      </c>
      <c r="B50" t="s">
        <v>1906</v>
      </c>
      <c r="C50" t="s">
        <v>470</v>
      </c>
      <c r="D50" t="s">
        <v>1041</v>
      </c>
      <c r="E50">
        <v>8</v>
      </c>
      <c r="F50">
        <v>21</v>
      </c>
      <c r="G50">
        <v>2</v>
      </c>
      <c r="H50" t="s">
        <v>858</v>
      </c>
      <c r="I50" t="s">
        <v>858</v>
      </c>
      <c r="J50" t="s">
        <v>858</v>
      </c>
      <c r="K50" t="s">
        <v>859</v>
      </c>
    </row>
    <row r="51" spans="1:11" x14ac:dyDescent="0.3">
      <c r="A51">
        <v>1598</v>
      </c>
      <c r="B51" t="s">
        <v>1907</v>
      </c>
      <c r="C51" t="s">
        <v>706</v>
      </c>
      <c r="D51" t="s">
        <v>1610</v>
      </c>
      <c r="E51">
        <v>8</v>
      </c>
      <c r="F51">
        <v>21</v>
      </c>
      <c r="G51">
        <v>1</v>
      </c>
      <c r="H51" t="s">
        <v>858</v>
      </c>
      <c r="I51" t="s">
        <v>858</v>
      </c>
      <c r="J51" t="s">
        <v>858</v>
      </c>
      <c r="K51" t="s">
        <v>859</v>
      </c>
    </row>
    <row r="52" spans="1:11" x14ac:dyDescent="0.3">
      <c r="A52">
        <v>1603</v>
      </c>
      <c r="B52" t="s">
        <v>1908</v>
      </c>
      <c r="C52" t="s">
        <v>487</v>
      </c>
      <c r="D52" t="s">
        <v>1070</v>
      </c>
      <c r="E52">
        <v>8</v>
      </c>
      <c r="F52">
        <v>21</v>
      </c>
      <c r="G52">
        <v>1</v>
      </c>
      <c r="H52" t="s">
        <v>858</v>
      </c>
      <c r="I52" t="s">
        <v>858</v>
      </c>
      <c r="J52" t="s">
        <v>858</v>
      </c>
      <c r="K52" t="s">
        <v>858</v>
      </c>
    </row>
    <row r="53" spans="1:11" x14ac:dyDescent="0.3">
      <c r="A53">
        <v>1619</v>
      </c>
      <c r="B53" t="s">
        <v>1909</v>
      </c>
      <c r="C53" t="s">
        <v>723</v>
      </c>
      <c r="D53" t="s">
        <v>1105</v>
      </c>
      <c r="E53">
        <v>8</v>
      </c>
      <c r="F53">
        <v>21</v>
      </c>
      <c r="G53">
        <v>1</v>
      </c>
      <c r="H53" t="s">
        <v>858</v>
      </c>
      <c r="I53" t="s">
        <v>858</v>
      </c>
      <c r="J53" t="s">
        <v>858</v>
      </c>
      <c r="K53" t="s">
        <v>859</v>
      </c>
    </row>
    <row r="54" spans="1:11" x14ac:dyDescent="0.3">
      <c r="A54">
        <v>1606</v>
      </c>
      <c r="B54" t="s">
        <v>1910</v>
      </c>
      <c r="C54" t="s">
        <v>710</v>
      </c>
      <c r="D54" t="s">
        <v>1083</v>
      </c>
      <c r="E54">
        <v>8</v>
      </c>
      <c r="F54">
        <v>21</v>
      </c>
      <c r="G54">
        <v>1</v>
      </c>
      <c r="H54" t="s">
        <v>858</v>
      </c>
      <c r="I54" t="s">
        <v>858</v>
      </c>
      <c r="J54" t="s">
        <v>858</v>
      </c>
      <c r="K54" t="s">
        <v>858</v>
      </c>
    </row>
    <row r="55" spans="1:11" x14ac:dyDescent="0.3">
      <c r="A55">
        <v>1579</v>
      </c>
      <c r="B55" t="s">
        <v>1911</v>
      </c>
      <c r="C55" t="s">
        <v>467</v>
      </c>
      <c r="D55" t="s">
        <v>1077</v>
      </c>
      <c r="E55">
        <v>8</v>
      </c>
      <c r="F55">
        <v>21</v>
      </c>
      <c r="G55">
        <v>1</v>
      </c>
      <c r="H55" t="s">
        <v>858</v>
      </c>
      <c r="I55" t="s">
        <v>858</v>
      </c>
      <c r="J55" t="s">
        <v>858</v>
      </c>
      <c r="K55" t="s">
        <v>859</v>
      </c>
    </row>
    <row r="56" spans="1:11" x14ac:dyDescent="0.3">
      <c r="A56">
        <v>1614</v>
      </c>
      <c r="B56" t="s">
        <v>1912</v>
      </c>
      <c r="C56" t="s">
        <v>1751</v>
      </c>
      <c r="D56" t="s">
        <v>1715</v>
      </c>
      <c r="E56">
        <v>8</v>
      </c>
      <c r="F56">
        <v>21</v>
      </c>
      <c r="G56">
        <v>1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1609</v>
      </c>
      <c r="B57" t="s">
        <v>1913</v>
      </c>
      <c r="C57" t="s">
        <v>498</v>
      </c>
      <c r="D57" t="s">
        <v>1691</v>
      </c>
      <c r="E57">
        <v>8</v>
      </c>
      <c r="F57">
        <v>21</v>
      </c>
      <c r="G57">
        <v>1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1593</v>
      </c>
      <c r="B58" t="s">
        <v>1915</v>
      </c>
      <c r="C58" t="s">
        <v>1588</v>
      </c>
      <c r="D58" t="s">
        <v>400</v>
      </c>
      <c r="E58">
        <v>30</v>
      </c>
      <c r="F58">
        <v>21</v>
      </c>
      <c r="G58">
        <v>18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1613</v>
      </c>
      <c r="B59" t="s">
        <v>1914</v>
      </c>
      <c r="C59" t="s">
        <v>1208</v>
      </c>
      <c r="D59" t="s">
        <v>1209</v>
      </c>
      <c r="E59">
        <v>8</v>
      </c>
      <c r="F59">
        <v>21</v>
      </c>
      <c r="G59">
        <v>2</v>
      </c>
      <c r="H59" t="s">
        <v>858</v>
      </c>
      <c r="I59" t="s">
        <v>858</v>
      </c>
      <c r="J59" t="s">
        <v>858</v>
      </c>
      <c r="K59" t="s">
        <v>859</v>
      </c>
    </row>
    <row r="60" spans="1:11" x14ac:dyDescent="0.3">
      <c r="A60">
        <v>1621</v>
      </c>
      <c r="B60" t="s">
        <v>1916</v>
      </c>
      <c r="C60" t="s">
        <v>1759</v>
      </c>
      <c r="D60" t="s">
        <v>851</v>
      </c>
      <c r="E60">
        <v>8</v>
      </c>
      <c r="F60">
        <v>21</v>
      </c>
      <c r="G60">
        <v>2</v>
      </c>
      <c r="H60" t="s">
        <v>858</v>
      </c>
      <c r="I60" t="s">
        <v>858</v>
      </c>
      <c r="J60" t="s">
        <v>858</v>
      </c>
      <c r="K60" t="s">
        <v>858</v>
      </c>
    </row>
    <row r="61" spans="1:11" x14ac:dyDescent="0.3">
      <c r="A61">
        <v>1596</v>
      </c>
      <c r="B61" t="s">
        <v>1917</v>
      </c>
      <c r="C61" t="s">
        <v>1594</v>
      </c>
      <c r="D61" t="s">
        <v>1595</v>
      </c>
      <c r="E61">
        <v>8</v>
      </c>
      <c r="F61">
        <v>21</v>
      </c>
      <c r="G61">
        <v>1</v>
      </c>
      <c r="H61" t="s">
        <v>858</v>
      </c>
      <c r="I61" t="s">
        <v>858</v>
      </c>
      <c r="J61" t="s">
        <v>858</v>
      </c>
      <c r="K61" t="s">
        <v>859</v>
      </c>
    </row>
    <row r="62" spans="1:11" x14ac:dyDescent="0.3">
      <c r="A62">
        <v>1574</v>
      </c>
      <c r="B62" t="s">
        <v>1918</v>
      </c>
      <c r="C62" t="s">
        <v>1030</v>
      </c>
      <c r="D62" t="s">
        <v>1919</v>
      </c>
      <c r="E62">
        <v>30</v>
      </c>
      <c r="F62">
        <v>21</v>
      </c>
      <c r="G62">
        <v>1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1592</v>
      </c>
      <c r="B63" t="s">
        <v>1920</v>
      </c>
      <c r="C63" t="s">
        <v>1585</v>
      </c>
      <c r="D63" t="s">
        <v>1921</v>
      </c>
      <c r="E63">
        <v>30</v>
      </c>
      <c r="F63">
        <v>21</v>
      </c>
      <c r="G63">
        <v>5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1615</v>
      </c>
      <c r="B64" t="s">
        <v>1923</v>
      </c>
      <c r="C64" t="s">
        <v>718</v>
      </c>
      <c r="D64" t="s">
        <v>1104</v>
      </c>
      <c r="E64">
        <v>8</v>
      </c>
      <c r="F64">
        <v>21</v>
      </c>
      <c r="G64">
        <v>2</v>
      </c>
      <c r="H64" t="s">
        <v>858</v>
      </c>
      <c r="I64" t="s">
        <v>858</v>
      </c>
      <c r="J64" t="s">
        <v>858</v>
      </c>
      <c r="K64" t="s">
        <v>858</v>
      </c>
    </row>
    <row r="65" spans="1:11" x14ac:dyDescent="0.3">
      <c r="A65">
        <v>1558</v>
      </c>
      <c r="B65" t="s">
        <v>1922</v>
      </c>
      <c r="C65" t="s">
        <v>678</v>
      </c>
      <c r="D65" t="s">
        <v>1399</v>
      </c>
      <c r="E65">
        <v>30</v>
      </c>
      <c r="F65">
        <v>21</v>
      </c>
      <c r="G65">
        <v>1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1561</v>
      </c>
      <c r="B66" t="s">
        <v>1924</v>
      </c>
      <c r="C66" t="s">
        <v>1436</v>
      </c>
      <c r="D66" t="s">
        <v>1925</v>
      </c>
      <c r="E66">
        <v>30</v>
      </c>
      <c r="F66">
        <v>21</v>
      </c>
      <c r="G66">
        <v>2</v>
      </c>
      <c r="H66" t="s">
        <v>858</v>
      </c>
      <c r="I66" t="s">
        <v>858</v>
      </c>
      <c r="J66" t="s">
        <v>858</v>
      </c>
      <c r="K66" t="s">
        <v>858</v>
      </c>
    </row>
    <row r="67" spans="1:11" x14ac:dyDescent="0.3">
      <c r="A67">
        <v>1594</v>
      </c>
      <c r="B67" t="s">
        <v>1926</v>
      </c>
      <c r="C67" t="s">
        <v>1590</v>
      </c>
      <c r="D67" t="s">
        <v>402</v>
      </c>
      <c r="E67">
        <v>30</v>
      </c>
      <c r="F67">
        <v>21</v>
      </c>
      <c r="G67">
        <v>47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1608</v>
      </c>
      <c r="B68" t="s">
        <v>1927</v>
      </c>
      <c r="C68" t="s">
        <v>497</v>
      </c>
      <c r="D68" t="s">
        <v>1079</v>
      </c>
      <c r="E68">
        <v>8</v>
      </c>
      <c r="F68">
        <v>21</v>
      </c>
      <c r="G68">
        <v>1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1605</v>
      </c>
      <c r="B69" t="s">
        <v>1928</v>
      </c>
      <c r="C69" t="s">
        <v>1661</v>
      </c>
      <c r="D69" t="s">
        <v>1662</v>
      </c>
      <c r="E69">
        <v>8</v>
      </c>
      <c r="F69">
        <v>21</v>
      </c>
      <c r="G69">
        <v>1</v>
      </c>
      <c r="H69" t="s">
        <v>858</v>
      </c>
      <c r="I69" t="s">
        <v>858</v>
      </c>
      <c r="J69" t="s">
        <v>858</v>
      </c>
      <c r="K69" t="s">
        <v>858</v>
      </c>
    </row>
  </sheetData>
  <conditionalFormatting sqref="C1:C1048576">
    <cfRule type="duplicateValues" dxfId="17" priority="2"/>
  </conditionalFormatting>
  <conditionalFormatting sqref="D1:D1048576">
    <cfRule type="duplicateValues" dxfId="16" priority="3"/>
  </conditionalFormatting>
  <conditionalFormatting sqref="K1:K1048576">
    <cfRule type="cellIs" dxfId="15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pageSetUpPr fitToPage="1"/>
  </sheetPr>
  <dimension ref="A1:K88"/>
  <sheetViews>
    <sheetView topLeftCell="B13" workbookViewId="0">
      <selection activeCell="L14" sqref="L14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1642</v>
      </c>
      <c r="B2" t="s">
        <v>1771</v>
      </c>
      <c r="C2" t="s">
        <v>785</v>
      </c>
      <c r="D2" t="s">
        <v>1772</v>
      </c>
      <c r="E2">
        <v>7</v>
      </c>
      <c r="F2">
        <v>22</v>
      </c>
      <c r="G2">
        <v>28</v>
      </c>
      <c r="H2" t="s">
        <v>858</v>
      </c>
      <c r="I2" t="s">
        <v>858</v>
      </c>
      <c r="J2" t="s">
        <v>858</v>
      </c>
      <c r="K2" t="s">
        <v>858</v>
      </c>
    </row>
    <row r="3" spans="1:11" hidden="1" x14ac:dyDescent="0.3">
      <c r="A3">
        <v>1454</v>
      </c>
      <c r="B3" t="s">
        <v>1349</v>
      </c>
      <c r="C3" t="s">
        <v>192</v>
      </c>
      <c r="D3" t="s">
        <v>402</v>
      </c>
      <c r="E3">
        <v>25</v>
      </c>
      <c r="F3">
        <v>19</v>
      </c>
      <c r="G3">
        <v>420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1444</v>
      </c>
      <c r="B4" t="s">
        <v>1336</v>
      </c>
      <c r="C4" t="s">
        <v>145</v>
      </c>
      <c r="D4" t="s">
        <v>863</v>
      </c>
      <c r="E4">
        <v>7</v>
      </c>
      <c r="F4">
        <v>19</v>
      </c>
      <c r="G4">
        <v>28</v>
      </c>
      <c r="H4" t="s">
        <v>858</v>
      </c>
      <c r="I4" t="s">
        <v>858</v>
      </c>
      <c r="J4" t="s">
        <v>858</v>
      </c>
      <c r="K4" t="s">
        <v>859</v>
      </c>
    </row>
    <row r="5" spans="1:11" x14ac:dyDescent="0.3">
      <c r="A5">
        <v>1436</v>
      </c>
      <c r="B5" t="s">
        <v>1327</v>
      </c>
      <c r="C5" t="s">
        <v>133</v>
      </c>
      <c r="D5" t="s">
        <v>1304</v>
      </c>
      <c r="E5">
        <v>7</v>
      </c>
      <c r="F5">
        <v>19</v>
      </c>
      <c r="G5">
        <v>56</v>
      </c>
      <c r="H5" t="s">
        <v>858</v>
      </c>
      <c r="I5" t="s">
        <v>858</v>
      </c>
      <c r="J5" t="s">
        <v>858</v>
      </c>
      <c r="K5" t="s">
        <v>859</v>
      </c>
    </row>
    <row r="6" spans="1:11" x14ac:dyDescent="0.3">
      <c r="A6">
        <v>1458</v>
      </c>
      <c r="B6" t="s">
        <v>1355</v>
      </c>
      <c r="C6" t="s">
        <v>865</v>
      </c>
      <c r="D6" t="s">
        <v>1354</v>
      </c>
      <c r="E6">
        <v>7</v>
      </c>
      <c r="F6">
        <v>19</v>
      </c>
      <c r="G6">
        <v>28</v>
      </c>
      <c r="H6" t="s">
        <v>858</v>
      </c>
      <c r="I6" t="s">
        <v>858</v>
      </c>
      <c r="J6" t="s">
        <v>858</v>
      </c>
      <c r="K6" t="s">
        <v>859</v>
      </c>
    </row>
    <row r="7" spans="1:11" x14ac:dyDescent="0.3">
      <c r="A7">
        <v>1656</v>
      </c>
      <c r="B7" t="s">
        <v>1831</v>
      </c>
      <c r="C7" t="s">
        <v>1830</v>
      </c>
      <c r="D7" t="s">
        <v>1832</v>
      </c>
      <c r="E7">
        <v>7</v>
      </c>
      <c r="F7">
        <v>23</v>
      </c>
      <c r="G7">
        <v>28</v>
      </c>
      <c r="H7" t="s">
        <v>858</v>
      </c>
      <c r="I7" t="s">
        <v>858</v>
      </c>
      <c r="J7" t="s">
        <v>858</v>
      </c>
      <c r="K7" t="s">
        <v>858</v>
      </c>
    </row>
    <row r="8" spans="1:11" hidden="1" x14ac:dyDescent="0.3">
      <c r="A8">
        <v>1471</v>
      </c>
      <c r="B8" t="s">
        <v>1402</v>
      </c>
      <c r="C8" t="s">
        <v>956</v>
      </c>
      <c r="D8" t="s">
        <v>384</v>
      </c>
      <c r="E8">
        <v>25</v>
      </c>
      <c r="F8">
        <v>20</v>
      </c>
      <c r="G8">
        <v>28</v>
      </c>
      <c r="H8" t="s">
        <v>858</v>
      </c>
      <c r="I8" t="s">
        <v>858</v>
      </c>
      <c r="J8" t="s">
        <v>858</v>
      </c>
      <c r="K8" t="s">
        <v>858</v>
      </c>
    </row>
    <row r="9" spans="1:11" x14ac:dyDescent="0.3">
      <c r="A9">
        <v>1447</v>
      </c>
      <c r="B9" t="s">
        <v>1339</v>
      </c>
      <c r="C9" t="s">
        <v>156</v>
      </c>
      <c r="D9" t="s">
        <v>662</v>
      </c>
      <c r="E9">
        <v>7</v>
      </c>
      <c r="F9">
        <v>19</v>
      </c>
      <c r="G9">
        <v>28</v>
      </c>
      <c r="H9" t="s">
        <v>858</v>
      </c>
      <c r="I9" t="s">
        <v>858</v>
      </c>
      <c r="J9" t="s">
        <v>858</v>
      </c>
      <c r="K9" t="s">
        <v>858</v>
      </c>
    </row>
    <row r="10" spans="1:11" x14ac:dyDescent="0.3">
      <c r="A10">
        <v>1644</v>
      </c>
      <c r="B10" t="s">
        <v>1773</v>
      </c>
      <c r="C10" t="s">
        <v>1006</v>
      </c>
      <c r="D10" t="s">
        <v>1774</v>
      </c>
      <c r="E10">
        <v>7</v>
      </c>
      <c r="F10">
        <v>22</v>
      </c>
      <c r="G10">
        <v>28</v>
      </c>
      <c r="H10" t="s">
        <v>858</v>
      </c>
      <c r="I10" t="s">
        <v>858</v>
      </c>
      <c r="J10" t="s">
        <v>858</v>
      </c>
      <c r="K10" t="s">
        <v>858</v>
      </c>
    </row>
    <row r="11" spans="1:11" hidden="1" x14ac:dyDescent="0.3">
      <c r="A11">
        <v>1455</v>
      </c>
      <c r="B11" t="s">
        <v>1352</v>
      </c>
      <c r="C11" t="s">
        <v>191</v>
      </c>
      <c r="D11" t="s">
        <v>404</v>
      </c>
      <c r="E11">
        <v>25</v>
      </c>
      <c r="F11">
        <v>19</v>
      </c>
      <c r="G11">
        <v>336</v>
      </c>
      <c r="H11" t="s">
        <v>858</v>
      </c>
      <c r="I11" t="s">
        <v>858</v>
      </c>
      <c r="J11" t="s">
        <v>858</v>
      </c>
      <c r="K11" t="s">
        <v>858</v>
      </c>
    </row>
    <row r="12" spans="1:11" x14ac:dyDescent="0.3">
      <c r="A12">
        <v>1641</v>
      </c>
      <c r="B12" t="s">
        <v>1775</v>
      </c>
      <c r="C12" t="s">
        <v>126</v>
      </c>
      <c r="D12" t="s">
        <v>347</v>
      </c>
      <c r="E12">
        <v>7</v>
      </c>
      <c r="F12">
        <v>22</v>
      </c>
      <c r="G12">
        <v>28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1632</v>
      </c>
      <c r="B13" t="s">
        <v>1776</v>
      </c>
      <c r="C13" t="s">
        <v>140</v>
      </c>
      <c r="D13" t="s">
        <v>239</v>
      </c>
      <c r="E13">
        <v>7</v>
      </c>
      <c r="F13">
        <v>22</v>
      </c>
      <c r="G13">
        <v>28</v>
      </c>
      <c r="H13" t="s">
        <v>858</v>
      </c>
      <c r="I13" t="s">
        <v>858</v>
      </c>
      <c r="J13" t="s">
        <v>858</v>
      </c>
      <c r="K13" t="s">
        <v>859</v>
      </c>
    </row>
    <row r="14" spans="1:11" x14ac:dyDescent="0.3">
      <c r="A14">
        <v>1440</v>
      </c>
      <c r="B14" t="s">
        <v>1332</v>
      </c>
      <c r="C14" t="s">
        <v>141</v>
      </c>
      <c r="D14" t="s">
        <v>240</v>
      </c>
      <c r="E14">
        <v>7</v>
      </c>
      <c r="F14">
        <v>19</v>
      </c>
      <c r="G14">
        <v>28</v>
      </c>
      <c r="H14" t="s">
        <v>858</v>
      </c>
      <c r="I14" t="s">
        <v>858</v>
      </c>
      <c r="J14" t="s">
        <v>858</v>
      </c>
      <c r="K14" t="s">
        <v>859</v>
      </c>
    </row>
    <row r="15" spans="1:11" hidden="1" x14ac:dyDescent="0.3">
      <c r="A15">
        <v>1473</v>
      </c>
      <c r="B15" t="s">
        <v>1403</v>
      </c>
      <c r="C15" t="s">
        <v>965</v>
      </c>
      <c r="D15" t="s">
        <v>389</v>
      </c>
      <c r="E15">
        <v>25</v>
      </c>
      <c r="F15">
        <v>20</v>
      </c>
      <c r="G15">
        <v>28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1460</v>
      </c>
      <c r="B16" t="s">
        <v>1360</v>
      </c>
      <c r="C16" t="s">
        <v>873</v>
      </c>
      <c r="D16" t="s">
        <v>608</v>
      </c>
      <c r="E16">
        <v>7</v>
      </c>
      <c r="F16">
        <v>19</v>
      </c>
      <c r="G16">
        <v>28</v>
      </c>
      <c r="H16" t="s">
        <v>858</v>
      </c>
      <c r="I16" t="s">
        <v>858</v>
      </c>
      <c r="J16" t="s">
        <v>858</v>
      </c>
      <c r="K16" t="s">
        <v>859</v>
      </c>
    </row>
    <row r="17" spans="1:11" x14ac:dyDescent="0.3">
      <c r="A17">
        <v>1629</v>
      </c>
      <c r="B17" t="s">
        <v>1777</v>
      </c>
      <c r="C17" t="s">
        <v>121</v>
      </c>
      <c r="D17" t="s">
        <v>1778</v>
      </c>
      <c r="E17">
        <v>7</v>
      </c>
      <c r="F17">
        <v>22</v>
      </c>
      <c r="G17">
        <v>28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1463</v>
      </c>
      <c r="B18" t="s">
        <v>1350</v>
      </c>
      <c r="C18" t="s">
        <v>987</v>
      </c>
      <c r="D18" t="s">
        <v>1351</v>
      </c>
      <c r="E18">
        <v>7</v>
      </c>
      <c r="F18">
        <v>19</v>
      </c>
      <c r="G18">
        <v>28</v>
      </c>
      <c r="H18" t="s">
        <v>858</v>
      </c>
      <c r="I18" t="s">
        <v>858</v>
      </c>
      <c r="J18" t="s">
        <v>858</v>
      </c>
      <c r="K18" t="s">
        <v>858</v>
      </c>
    </row>
    <row r="19" spans="1:11" hidden="1" x14ac:dyDescent="0.3">
      <c r="A19">
        <v>1452</v>
      </c>
      <c r="B19" t="s">
        <v>1345</v>
      </c>
      <c r="C19" t="s">
        <v>190</v>
      </c>
      <c r="D19" t="s">
        <v>396</v>
      </c>
      <c r="E19">
        <v>25</v>
      </c>
      <c r="F19">
        <v>19</v>
      </c>
      <c r="G19">
        <v>56</v>
      </c>
      <c r="H19" t="s">
        <v>858</v>
      </c>
      <c r="I19" t="s">
        <v>858</v>
      </c>
      <c r="J19" t="s">
        <v>858</v>
      </c>
      <c r="K19" t="s">
        <v>859</v>
      </c>
    </row>
    <row r="20" spans="1:11" hidden="1" x14ac:dyDescent="0.3">
      <c r="A20">
        <v>1467</v>
      </c>
      <c r="B20" t="s">
        <v>1405</v>
      </c>
      <c r="C20" t="s">
        <v>998</v>
      </c>
      <c r="D20" t="s">
        <v>1406</v>
      </c>
      <c r="E20">
        <v>25</v>
      </c>
      <c r="F20">
        <v>20</v>
      </c>
      <c r="G20">
        <v>28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1428</v>
      </c>
      <c r="B21" t="s">
        <v>1313</v>
      </c>
      <c r="C21" t="s">
        <v>91</v>
      </c>
      <c r="D21" t="s">
        <v>1314</v>
      </c>
      <c r="E21">
        <v>7</v>
      </c>
      <c r="F21">
        <v>19</v>
      </c>
      <c r="G21">
        <v>28</v>
      </c>
      <c r="H21" t="s">
        <v>858</v>
      </c>
      <c r="I21" t="s">
        <v>858</v>
      </c>
      <c r="J21" t="s">
        <v>858</v>
      </c>
      <c r="K21" t="s">
        <v>859</v>
      </c>
    </row>
    <row r="22" spans="1:11" x14ac:dyDescent="0.3">
      <c r="A22">
        <v>1425</v>
      </c>
      <c r="B22" t="s">
        <v>1308</v>
      </c>
      <c r="C22" t="s">
        <v>81</v>
      </c>
      <c r="D22" t="s">
        <v>1309</v>
      </c>
      <c r="E22">
        <v>7</v>
      </c>
      <c r="F22">
        <v>19</v>
      </c>
      <c r="G22">
        <v>56</v>
      </c>
      <c r="H22" t="s">
        <v>858</v>
      </c>
      <c r="I22" t="s">
        <v>858</v>
      </c>
      <c r="J22" t="s">
        <v>858</v>
      </c>
      <c r="K22" t="s">
        <v>859</v>
      </c>
    </row>
    <row r="23" spans="1:11" x14ac:dyDescent="0.3">
      <c r="A23">
        <v>1426</v>
      </c>
      <c r="B23" t="s">
        <v>1310</v>
      </c>
      <c r="C23" t="s">
        <v>84</v>
      </c>
      <c r="D23" t="s">
        <v>1311</v>
      </c>
      <c r="E23">
        <v>7</v>
      </c>
      <c r="F23">
        <v>19</v>
      </c>
      <c r="G23">
        <v>84</v>
      </c>
      <c r="H23" t="s">
        <v>858</v>
      </c>
      <c r="I23" t="s">
        <v>858</v>
      </c>
      <c r="J23" t="s">
        <v>858</v>
      </c>
      <c r="K23" t="s">
        <v>859</v>
      </c>
    </row>
    <row r="24" spans="1:11" hidden="1" x14ac:dyDescent="0.3">
      <c r="A24">
        <v>1475</v>
      </c>
      <c r="B24" t="s">
        <v>1394</v>
      </c>
      <c r="C24" t="s">
        <v>962</v>
      </c>
      <c r="D24" t="s">
        <v>400</v>
      </c>
      <c r="E24">
        <v>25</v>
      </c>
      <c r="F24">
        <v>20</v>
      </c>
      <c r="G24">
        <v>56</v>
      </c>
      <c r="H24" t="s">
        <v>858</v>
      </c>
      <c r="I24" t="s">
        <v>858</v>
      </c>
      <c r="J24" t="s">
        <v>858</v>
      </c>
      <c r="K24" t="s">
        <v>858</v>
      </c>
    </row>
    <row r="25" spans="1:11" x14ac:dyDescent="0.3">
      <c r="A25">
        <v>1433</v>
      </c>
      <c r="B25" t="s">
        <v>1322</v>
      </c>
      <c r="C25" t="s">
        <v>122</v>
      </c>
      <c r="D25" t="s">
        <v>1323</v>
      </c>
      <c r="E25">
        <v>7</v>
      </c>
      <c r="F25">
        <v>19</v>
      </c>
      <c r="G25">
        <v>84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1448</v>
      </c>
      <c r="B26" t="s">
        <v>1340</v>
      </c>
      <c r="C26" t="s">
        <v>169</v>
      </c>
      <c r="D26" t="s">
        <v>632</v>
      </c>
      <c r="E26">
        <v>7</v>
      </c>
      <c r="F26">
        <v>19</v>
      </c>
      <c r="G26">
        <v>28</v>
      </c>
      <c r="H26" t="s">
        <v>858</v>
      </c>
      <c r="I26" t="s">
        <v>858</v>
      </c>
      <c r="J26" t="s">
        <v>858</v>
      </c>
      <c r="K26" t="s">
        <v>859</v>
      </c>
    </row>
    <row r="27" spans="1:11" x14ac:dyDescent="0.3">
      <c r="A27">
        <v>1652</v>
      </c>
      <c r="B27" t="s">
        <v>1833</v>
      </c>
      <c r="C27" t="s">
        <v>1816</v>
      </c>
      <c r="D27" t="s">
        <v>1834</v>
      </c>
      <c r="E27">
        <v>7</v>
      </c>
      <c r="F27">
        <v>23</v>
      </c>
      <c r="G27">
        <v>28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1651</v>
      </c>
      <c r="B28" t="s">
        <v>1835</v>
      </c>
      <c r="C28" t="s">
        <v>969</v>
      </c>
      <c r="D28" t="s">
        <v>1836</v>
      </c>
      <c r="E28">
        <v>7</v>
      </c>
      <c r="F28">
        <v>23</v>
      </c>
      <c r="G28">
        <v>28</v>
      </c>
      <c r="H28" t="s">
        <v>858</v>
      </c>
      <c r="I28" t="s">
        <v>858</v>
      </c>
      <c r="J28" t="s">
        <v>858</v>
      </c>
      <c r="K28" t="s">
        <v>858</v>
      </c>
    </row>
    <row r="29" spans="1:11" x14ac:dyDescent="0.3">
      <c r="A29">
        <v>1423</v>
      </c>
      <c r="B29" t="s">
        <v>1305</v>
      </c>
      <c r="C29" t="s">
        <v>75</v>
      </c>
      <c r="D29" t="s">
        <v>852</v>
      </c>
      <c r="E29">
        <v>7</v>
      </c>
      <c r="F29">
        <v>19</v>
      </c>
      <c r="G29">
        <v>28</v>
      </c>
      <c r="H29" t="s">
        <v>858</v>
      </c>
      <c r="I29" t="s">
        <v>858</v>
      </c>
      <c r="J29" t="s">
        <v>858</v>
      </c>
      <c r="K29" t="s">
        <v>858</v>
      </c>
    </row>
    <row r="30" spans="1:11" hidden="1" x14ac:dyDescent="0.3">
      <c r="A30">
        <v>1451</v>
      </c>
      <c r="B30" t="s">
        <v>1343</v>
      </c>
      <c r="C30" t="s">
        <v>187</v>
      </c>
      <c r="D30" t="s">
        <v>391</v>
      </c>
      <c r="E30">
        <v>25</v>
      </c>
      <c r="F30">
        <v>19</v>
      </c>
      <c r="G30">
        <v>56</v>
      </c>
      <c r="H30" t="s">
        <v>858</v>
      </c>
      <c r="I30" t="s">
        <v>858</v>
      </c>
      <c r="J30" t="s">
        <v>858</v>
      </c>
      <c r="K30" t="s">
        <v>858</v>
      </c>
    </row>
    <row r="31" spans="1:11" x14ac:dyDescent="0.3">
      <c r="A31">
        <v>1424</v>
      </c>
      <c r="B31" t="s">
        <v>1306</v>
      </c>
      <c r="C31" t="s">
        <v>78</v>
      </c>
      <c r="D31" t="s">
        <v>1307</v>
      </c>
      <c r="E31">
        <v>7</v>
      </c>
      <c r="F31">
        <v>19</v>
      </c>
      <c r="G31">
        <v>56</v>
      </c>
      <c r="H31" t="s">
        <v>858</v>
      </c>
      <c r="I31" t="s">
        <v>858</v>
      </c>
      <c r="J31" t="s">
        <v>858</v>
      </c>
      <c r="K31" t="s">
        <v>859</v>
      </c>
    </row>
    <row r="32" spans="1:11" x14ac:dyDescent="0.3">
      <c r="A32">
        <v>1635</v>
      </c>
      <c r="B32" t="s">
        <v>1779</v>
      </c>
      <c r="C32" t="s">
        <v>161</v>
      </c>
      <c r="D32" t="s">
        <v>601</v>
      </c>
      <c r="E32">
        <v>7</v>
      </c>
      <c r="F32">
        <v>22</v>
      </c>
      <c r="G32">
        <v>28</v>
      </c>
      <c r="H32" t="s">
        <v>858</v>
      </c>
      <c r="I32" t="s">
        <v>858</v>
      </c>
      <c r="J32" t="s">
        <v>858</v>
      </c>
      <c r="K32" t="s">
        <v>859</v>
      </c>
    </row>
    <row r="33" spans="1:11" hidden="1" x14ac:dyDescent="0.3">
      <c r="A33">
        <v>1468</v>
      </c>
      <c r="B33" t="s">
        <v>1398</v>
      </c>
      <c r="C33" t="s">
        <v>1001</v>
      </c>
      <c r="D33" t="s">
        <v>1399</v>
      </c>
      <c r="E33">
        <v>25</v>
      </c>
      <c r="F33">
        <v>20</v>
      </c>
      <c r="G33">
        <v>56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1427</v>
      </c>
      <c r="B34" t="s">
        <v>1312</v>
      </c>
      <c r="C34" t="s">
        <v>87</v>
      </c>
      <c r="D34" t="s">
        <v>869</v>
      </c>
      <c r="E34">
        <v>7</v>
      </c>
      <c r="F34">
        <v>19</v>
      </c>
      <c r="G34">
        <v>28</v>
      </c>
      <c r="H34" t="s">
        <v>858</v>
      </c>
      <c r="I34" t="s">
        <v>858</v>
      </c>
      <c r="J34" t="s">
        <v>858</v>
      </c>
      <c r="K34" t="s">
        <v>859</v>
      </c>
    </row>
    <row r="35" spans="1:11" x14ac:dyDescent="0.3">
      <c r="A35">
        <v>1630</v>
      </c>
      <c r="B35" t="s">
        <v>1780</v>
      </c>
      <c r="C35" t="s">
        <v>132</v>
      </c>
      <c r="D35" t="s">
        <v>1781</v>
      </c>
      <c r="E35">
        <v>7</v>
      </c>
      <c r="F35">
        <v>22</v>
      </c>
      <c r="G35">
        <v>28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1645</v>
      </c>
      <c r="B36" t="s">
        <v>1782</v>
      </c>
      <c r="C36" t="s">
        <v>989</v>
      </c>
      <c r="D36" t="s">
        <v>1783</v>
      </c>
      <c r="E36">
        <v>7</v>
      </c>
      <c r="F36">
        <v>22</v>
      </c>
      <c r="G36">
        <v>28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1650</v>
      </c>
      <c r="B37" t="s">
        <v>1837</v>
      </c>
      <c r="C37" t="s">
        <v>148</v>
      </c>
      <c r="D37" t="s">
        <v>245</v>
      </c>
      <c r="E37">
        <v>7</v>
      </c>
      <c r="F37">
        <v>23</v>
      </c>
      <c r="G37">
        <v>28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1631</v>
      </c>
      <c r="B38" t="s">
        <v>1784</v>
      </c>
      <c r="C38" t="s">
        <v>139</v>
      </c>
      <c r="D38" t="s">
        <v>238</v>
      </c>
      <c r="E38">
        <v>7</v>
      </c>
      <c r="F38">
        <v>22</v>
      </c>
      <c r="G38">
        <v>28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1625</v>
      </c>
      <c r="B39" t="s">
        <v>1785</v>
      </c>
      <c r="C39" t="s">
        <v>97</v>
      </c>
      <c r="D39" t="s">
        <v>328</v>
      </c>
      <c r="E39">
        <v>7</v>
      </c>
      <c r="F39">
        <v>22</v>
      </c>
      <c r="G39">
        <v>28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1432</v>
      </c>
      <c r="B40" t="s">
        <v>1320</v>
      </c>
      <c r="C40" t="s">
        <v>118</v>
      </c>
      <c r="D40" t="s">
        <v>1321</v>
      </c>
      <c r="E40">
        <v>7</v>
      </c>
      <c r="F40">
        <v>19</v>
      </c>
      <c r="G40">
        <v>28</v>
      </c>
      <c r="H40" t="s">
        <v>858</v>
      </c>
      <c r="I40" t="s">
        <v>858</v>
      </c>
      <c r="J40" t="s">
        <v>858</v>
      </c>
      <c r="K40" t="s">
        <v>859</v>
      </c>
    </row>
    <row r="41" spans="1:11" x14ac:dyDescent="0.3">
      <c r="A41">
        <v>1429</v>
      </c>
      <c r="B41" t="s">
        <v>1315</v>
      </c>
      <c r="C41" t="s">
        <v>103</v>
      </c>
      <c r="D41" t="s">
        <v>221</v>
      </c>
      <c r="E41">
        <v>7</v>
      </c>
      <c r="F41">
        <v>19</v>
      </c>
      <c r="G41">
        <v>28</v>
      </c>
      <c r="H41" t="s">
        <v>858</v>
      </c>
      <c r="I41" t="s">
        <v>858</v>
      </c>
      <c r="J41" t="s">
        <v>858</v>
      </c>
      <c r="K41" t="s">
        <v>858</v>
      </c>
    </row>
    <row r="42" spans="1:11" x14ac:dyDescent="0.3">
      <c r="A42">
        <v>1456</v>
      </c>
      <c r="B42" t="s">
        <v>1358</v>
      </c>
      <c r="C42" t="s">
        <v>294</v>
      </c>
      <c r="D42" t="s">
        <v>604</v>
      </c>
      <c r="E42">
        <v>7</v>
      </c>
      <c r="F42">
        <v>19</v>
      </c>
      <c r="G42">
        <v>28</v>
      </c>
      <c r="H42" t="s">
        <v>858</v>
      </c>
      <c r="I42" t="s">
        <v>858</v>
      </c>
      <c r="J42" t="s">
        <v>858</v>
      </c>
      <c r="K42" t="s">
        <v>859</v>
      </c>
    </row>
    <row r="43" spans="1:11" hidden="1" x14ac:dyDescent="0.3">
      <c r="A43">
        <v>1453</v>
      </c>
      <c r="B43" t="s">
        <v>1356</v>
      </c>
      <c r="C43" t="s">
        <v>289</v>
      </c>
      <c r="D43" t="s">
        <v>400</v>
      </c>
      <c r="E43">
        <v>25</v>
      </c>
      <c r="F43">
        <v>19</v>
      </c>
      <c r="G43">
        <v>56</v>
      </c>
      <c r="H43" t="s">
        <v>858</v>
      </c>
      <c r="I43" t="s">
        <v>858</v>
      </c>
      <c r="J43" t="s">
        <v>858</v>
      </c>
      <c r="K43" t="s">
        <v>859</v>
      </c>
    </row>
    <row r="44" spans="1:11" x14ac:dyDescent="0.3">
      <c r="A44">
        <v>1628</v>
      </c>
      <c r="B44" t="s">
        <v>1786</v>
      </c>
      <c r="C44" t="s">
        <v>750</v>
      </c>
      <c r="D44" t="s">
        <v>340</v>
      </c>
      <c r="E44">
        <v>7</v>
      </c>
      <c r="F44">
        <v>22</v>
      </c>
      <c r="G44">
        <v>28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1437</v>
      </c>
      <c r="B45" t="s">
        <v>1328</v>
      </c>
      <c r="C45" t="s">
        <v>134</v>
      </c>
      <c r="D45" t="s">
        <v>1329</v>
      </c>
      <c r="E45">
        <v>7</v>
      </c>
      <c r="F45">
        <v>19</v>
      </c>
      <c r="G45">
        <v>56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1633</v>
      </c>
      <c r="B46" t="s">
        <v>1787</v>
      </c>
      <c r="C46" t="s">
        <v>150</v>
      </c>
      <c r="D46" t="s">
        <v>247</v>
      </c>
      <c r="E46">
        <v>7</v>
      </c>
      <c r="F46">
        <v>22</v>
      </c>
      <c r="G46">
        <v>28</v>
      </c>
      <c r="H46" t="s">
        <v>858</v>
      </c>
      <c r="I46" t="s">
        <v>858</v>
      </c>
      <c r="J46" t="s">
        <v>858</v>
      </c>
      <c r="K46" t="s">
        <v>858</v>
      </c>
    </row>
    <row r="47" spans="1:11" hidden="1" x14ac:dyDescent="0.3">
      <c r="A47">
        <v>1476</v>
      </c>
      <c r="B47" t="s">
        <v>1393</v>
      </c>
      <c r="C47" t="s">
        <v>973</v>
      </c>
      <c r="D47" t="s">
        <v>402</v>
      </c>
      <c r="E47">
        <v>25</v>
      </c>
      <c r="F47">
        <v>20</v>
      </c>
      <c r="G47">
        <v>112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1646</v>
      </c>
      <c r="B48" t="s">
        <v>1788</v>
      </c>
      <c r="C48" t="s">
        <v>983</v>
      </c>
      <c r="D48" t="s">
        <v>1789</v>
      </c>
      <c r="E48">
        <v>7</v>
      </c>
      <c r="F48">
        <v>22</v>
      </c>
      <c r="G48">
        <v>28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1636</v>
      </c>
      <c r="B49" t="s">
        <v>1790</v>
      </c>
      <c r="C49" t="s">
        <v>170</v>
      </c>
      <c r="D49" t="s">
        <v>261</v>
      </c>
      <c r="E49">
        <v>7</v>
      </c>
      <c r="F49">
        <v>22</v>
      </c>
      <c r="G49">
        <v>28</v>
      </c>
      <c r="H49" t="s">
        <v>858</v>
      </c>
      <c r="I49" t="s">
        <v>858</v>
      </c>
      <c r="J49" t="s">
        <v>858</v>
      </c>
      <c r="K49" t="s">
        <v>858</v>
      </c>
    </row>
    <row r="50" spans="1:11" x14ac:dyDescent="0.3">
      <c r="A50">
        <v>1457</v>
      </c>
      <c r="B50" t="s">
        <v>1359</v>
      </c>
      <c r="C50" t="s">
        <v>845</v>
      </c>
      <c r="D50" t="s">
        <v>851</v>
      </c>
      <c r="E50">
        <v>7</v>
      </c>
      <c r="F50">
        <v>19</v>
      </c>
      <c r="G50">
        <v>56</v>
      </c>
      <c r="H50" t="s">
        <v>858</v>
      </c>
      <c r="I50" t="s">
        <v>858</v>
      </c>
      <c r="J50" t="s">
        <v>858</v>
      </c>
      <c r="K50" t="s">
        <v>859</v>
      </c>
    </row>
    <row r="51" spans="1:11" hidden="1" x14ac:dyDescent="0.3">
      <c r="A51">
        <v>1449</v>
      </c>
      <c r="B51" t="s">
        <v>1341</v>
      </c>
      <c r="C51" t="s">
        <v>172</v>
      </c>
      <c r="D51" t="s">
        <v>371</v>
      </c>
      <c r="E51">
        <v>25</v>
      </c>
      <c r="F51">
        <v>19</v>
      </c>
      <c r="G51">
        <v>840</v>
      </c>
      <c r="H51" t="s">
        <v>858</v>
      </c>
      <c r="I51" t="s">
        <v>858</v>
      </c>
      <c r="J51" t="s">
        <v>858</v>
      </c>
      <c r="K51" t="s">
        <v>858</v>
      </c>
    </row>
    <row r="52" spans="1:11" x14ac:dyDescent="0.3">
      <c r="A52">
        <v>1431</v>
      </c>
      <c r="B52" t="s">
        <v>1318</v>
      </c>
      <c r="C52" t="s">
        <v>117</v>
      </c>
      <c r="D52" t="s">
        <v>1319</v>
      </c>
      <c r="E52">
        <v>7</v>
      </c>
      <c r="F52">
        <v>19</v>
      </c>
      <c r="G52">
        <v>56</v>
      </c>
      <c r="H52" t="s">
        <v>858</v>
      </c>
      <c r="I52" t="s">
        <v>858</v>
      </c>
      <c r="J52" t="s">
        <v>858</v>
      </c>
      <c r="K52" t="s">
        <v>859</v>
      </c>
    </row>
    <row r="53" spans="1:11" hidden="1" x14ac:dyDescent="0.3">
      <c r="A53">
        <v>1469</v>
      </c>
      <c r="B53" t="s">
        <v>1397</v>
      </c>
      <c r="C53" t="s">
        <v>992</v>
      </c>
      <c r="D53" t="s">
        <v>375</v>
      </c>
      <c r="E53">
        <v>25</v>
      </c>
      <c r="F53">
        <v>20</v>
      </c>
      <c r="G53">
        <v>28</v>
      </c>
      <c r="H53" t="s">
        <v>858</v>
      </c>
      <c r="I53" t="s">
        <v>858</v>
      </c>
      <c r="J53" t="s">
        <v>858</v>
      </c>
      <c r="K53" t="s">
        <v>858</v>
      </c>
    </row>
    <row r="54" spans="1:11" x14ac:dyDescent="0.3">
      <c r="A54">
        <v>1442</v>
      </c>
      <c r="B54" t="s">
        <v>1334</v>
      </c>
      <c r="C54" t="s">
        <v>143</v>
      </c>
      <c r="D54" t="s">
        <v>241</v>
      </c>
      <c r="E54">
        <v>7</v>
      </c>
      <c r="F54">
        <v>19</v>
      </c>
      <c r="G54">
        <v>56</v>
      </c>
      <c r="H54" t="s">
        <v>858</v>
      </c>
      <c r="I54" t="s">
        <v>858</v>
      </c>
      <c r="J54" t="s">
        <v>858</v>
      </c>
      <c r="K54" t="s">
        <v>859</v>
      </c>
    </row>
    <row r="55" spans="1:11" x14ac:dyDescent="0.3">
      <c r="A55">
        <v>1648</v>
      </c>
      <c r="B55" t="s">
        <v>1791</v>
      </c>
      <c r="C55" t="s">
        <v>1005</v>
      </c>
      <c r="D55" t="s">
        <v>1792</v>
      </c>
      <c r="E55">
        <v>7</v>
      </c>
      <c r="F55">
        <v>22</v>
      </c>
      <c r="G55">
        <v>28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1461</v>
      </c>
      <c r="B56" t="s">
        <v>1361</v>
      </c>
      <c r="C56" t="s">
        <v>874</v>
      </c>
      <c r="D56" t="s">
        <v>1344</v>
      </c>
      <c r="E56">
        <v>7</v>
      </c>
      <c r="F56">
        <v>19</v>
      </c>
      <c r="G56">
        <v>28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1654</v>
      </c>
      <c r="B57" t="s">
        <v>1838</v>
      </c>
      <c r="C57" t="s">
        <v>1817</v>
      </c>
      <c r="D57" t="s">
        <v>1269</v>
      </c>
      <c r="E57">
        <v>7</v>
      </c>
      <c r="F57">
        <v>23</v>
      </c>
      <c r="G57">
        <v>28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1649</v>
      </c>
      <c r="B58" t="s">
        <v>1839</v>
      </c>
      <c r="C58" t="s">
        <v>80</v>
      </c>
      <c r="D58" t="s">
        <v>520</v>
      </c>
      <c r="E58">
        <v>7</v>
      </c>
      <c r="F58">
        <v>23</v>
      </c>
      <c r="G58">
        <v>56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1643</v>
      </c>
      <c r="B59" t="s">
        <v>1793</v>
      </c>
      <c r="C59" t="s">
        <v>1415</v>
      </c>
      <c r="D59" t="s">
        <v>614</v>
      </c>
      <c r="E59">
        <v>7</v>
      </c>
      <c r="F59">
        <v>22</v>
      </c>
      <c r="G59">
        <v>28</v>
      </c>
      <c r="H59" t="s">
        <v>858</v>
      </c>
      <c r="I59" t="s">
        <v>858</v>
      </c>
      <c r="J59" t="s">
        <v>858</v>
      </c>
      <c r="K59" t="s">
        <v>859</v>
      </c>
    </row>
    <row r="60" spans="1:11" x14ac:dyDescent="0.3">
      <c r="A60">
        <v>1438</v>
      </c>
      <c r="B60" t="s">
        <v>1330</v>
      </c>
      <c r="C60" t="s">
        <v>137</v>
      </c>
      <c r="D60" t="s">
        <v>1289</v>
      </c>
      <c r="E60">
        <v>7</v>
      </c>
      <c r="F60">
        <v>19</v>
      </c>
      <c r="G60">
        <v>280</v>
      </c>
      <c r="H60" t="s">
        <v>858</v>
      </c>
      <c r="I60" t="s">
        <v>858</v>
      </c>
      <c r="J60" t="s">
        <v>858</v>
      </c>
      <c r="K60" t="s">
        <v>858</v>
      </c>
    </row>
    <row r="61" spans="1:11" x14ac:dyDescent="0.3">
      <c r="A61">
        <v>1459</v>
      </c>
      <c r="B61" t="s">
        <v>1353</v>
      </c>
      <c r="C61" t="s">
        <v>867</v>
      </c>
      <c r="D61" t="s">
        <v>1354</v>
      </c>
      <c r="E61">
        <v>7</v>
      </c>
      <c r="F61">
        <v>19</v>
      </c>
      <c r="G61">
        <v>28</v>
      </c>
      <c r="H61" t="s">
        <v>858</v>
      </c>
      <c r="I61" t="s">
        <v>858</v>
      </c>
      <c r="J61" t="s">
        <v>858</v>
      </c>
      <c r="K61" t="s">
        <v>859</v>
      </c>
    </row>
    <row r="62" spans="1:11" x14ac:dyDescent="0.3">
      <c r="A62">
        <v>1647</v>
      </c>
      <c r="B62" t="s">
        <v>1794</v>
      </c>
      <c r="C62" t="s">
        <v>1217</v>
      </c>
      <c r="D62" t="s">
        <v>1795</v>
      </c>
      <c r="E62">
        <v>7</v>
      </c>
      <c r="F62">
        <v>22</v>
      </c>
      <c r="G62">
        <v>28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1624</v>
      </c>
      <c r="B63" t="s">
        <v>1796</v>
      </c>
      <c r="C63" t="s">
        <v>90</v>
      </c>
      <c r="D63" t="s">
        <v>323</v>
      </c>
      <c r="E63">
        <v>7</v>
      </c>
      <c r="F63">
        <v>22</v>
      </c>
      <c r="G63">
        <v>28</v>
      </c>
      <c r="H63" t="s">
        <v>858</v>
      </c>
      <c r="I63" t="s">
        <v>858</v>
      </c>
      <c r="J63" t="s">
        <v>858</v>
      </c>
      <c r="K63" t="s">
        <v>858</v>
      </c>
    </row>
    <row r="64" spans="1:11" hidden="1" x14ac:dyDescent="0.3">
      <c r="A64">
        <v>1466</v>
      </c>
      <c r="B64" t="s">
        <v>1396</v>
      </c>
      <c r="C64" t="s">
        <v>882</v>
      </c>
      <c r="D64" t="s">
        <v>371</v>
      </c>
      <c r="E64">
        <v>25</v>
      </c>
      <c r="F64">
        <v>20</v>
      </c>
      <c r="G64">
        <v>140</v>
      </c>
      <c r="H64" t="s">
        <v>858</v>
      </c>
      <c r="I64" t="s">
        <v>858</v>
      </c>
      <c r="J64" t="s">
        <v>858</v>
      </c>
      <c r="K64" t="s">
        <v>858</v>
      </c>
    </row>
    <row r="65" spans="1:11" hidden="1" x14ac:dyDescent="0.3">
      <c r="A65">
        <v>1474</v>
      </c>
      <c r="B65" t="s">
        <v>1401</v>
      </c>
      <c r="C65" t="s">
        <v>1023</v>
      </c>
      <c r="D65" t="s">
        <v>394</v>
      </c>
      <c r="E65">
        <v>25</v>
      </c>
      <c r="F65">
        <v>20</v>
      </c>
      <c r="G65">
        <v>28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1441</v>
      </c>
      <c r="B66" t="s">
        <v>1333</v>
      </c>
      <c r="C66" t="s">
        <v>142</v>
      </c>
      <c r="D66" t="s">
        <v>862</v>
      </c>
      <c r="E66">
        <v>7</v>
      </c>
      <c r="F66">
        <v>19</v>
      </c>
      <c r="G66">
        <v>56</v>
      </c>
      <c r="H66" t="s">
        <v>858</v>
      </c>
      <c r="I66" t="s">
        <v>858</v>
      </c>
      <c r="J66" t="s">
        <v>858</v>
      </c>
      <c r="K66" t="s">
        <v>859</v>
      </c>
    </row>
    <row r="67" spans="1:11" x14ac:dyDescent="0.3">
      <c r="A67">
        <v>1653</v>
      </c>
      <c r="B67" t="s">
        <v>1840</v>
      </c>
      <c r="C67" t="s">
        <v>1813</v>
      </c>
      <c r="D67" t="s">
        <v>811</v>
      </c>
      <c r="E67">
        <v>7</v>
      </c>
      <c r="F67">
        <v>23</v>
      </c>
      <c r="G67">
        <v>56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1638</v>
      </c>
      <c r="B68" t="s">
        <v>1797</v>
      </c>
      <c r="C68" t="s">
        <v>203</v>
      </c>
      <c r="D68" t="s">
        <v>1798</v>
      </c>
      <c r="E68">
        <v>7</v>
      </c>
      <c r="F68">
        <v>22</v>
      </c>
      <c r="G68">
        <v>28</v>
      </c>
      <c r="H68" t="s">
        <v>858</v>
      </c>
      <c r="I68" t="s">
        <v>858</v>
      </c>
      <c r="J68" t="s">
        <v>858</v>
      </c>
      <c r="K68" t="s">
        <v>858</v>
      </c>
    </row>
    <row r="69" spans="1:11" hidden="1" x14ac:dyDescent="0.3">
      <c r="A69">
        <v>1450</v>
      </c>
      <c r="B69" t="s">
        <v>1342</v>
      </c>
      <c r="C69" t="s">
        <v>177</v>
      </c>
      <c r="D69" t="s">
        <v>378</v>
      </c>
      <c r="E69">
        <v>25</v>
      </c>
      <c r="F69">
        <v>19</v>
      </c>
      <c r="G69">
        <v>168</v>
      </c>
      <c r="H69" t="s">
        <v>858</v>
      </c>
      <c r="I69" t="s">
        <v>858</v>
      </c>
      <c r="J69" t="s">
        <v>858</v>
      </c>
      <c r="K69" t="s">
        <v>859</v>
      </c>
    </row>
    <row r="70" spans="1:11" x14ac:dyDescent="0.3">
      <c r="A70">
        <v>1626</v>
      </c>
      <c r="B70" t="s">
        <v>1799</v>
      </c>
      <c r="C70" t="s">
        <v>106</v>
      </c>
      <c r="D70" t="s">
        <v>1800</v>
      </c>
      <c r="E70">
        <v>7</v>
      </c>
      <c r="F70">
        <v>22</v>
      </c>
      <c r="G70">
        <v>56</v>
      </c>
      <c r="H70" t="s">
        <v>858</v>
      </c>
      <c r="I70" t="s">
        <v>858</v>
      </c>
      <c r="J70" t="s">
        <v>858</v>
      </c>
      <c r="K70" t="s">
        <v>858</v>
      </c>
    </row>
    <row r="71" spans="1:11" hidden="1" x14ac:dyDescent="0.3">
      <c r="A71">
        <v>1472</v>
      </c>
      <c r="B71" t="s">
        <v>1400</v>
      </c>
      <c r="C71" t="s">
        <v>959</v>
      </c>
      <c r="D71" t="s">
        <v>386</v>
      </c>
      <c r="E71">
        <v>25</v>
      </c>
      <c r="F71">
        <v>20</v>
      </c>
      <c r="G71">
        <v>28</v>
      </c>
      <c r="H71" t="s">
        <v>858</v>
      </c>
      <c r="I71" t="s">
        <v>858</v>
      </c>
      <c r="J71" t="s">
        <v>858</v>
      </c>
      <c r="K71" t="s">
        <v>858</v>
      </c>
    </row>
    <row r="72" spans="1:11" x14ac:dyDescent="0.3">
      <c r="A72">
        <v>1434</v>
      </c>
      <c r="B72" t="s">
        <v>1324</v>
      </c>
      <c r="C72" t="s">
        <v>123</v>
      </c>
      <c r="D72" t="s">
        <v>1325</v>
      </c>
      <c r="E72">
        <v>7</v>
      </c>
      <c r="F72">
        <v>19</v>
      </c>
      <c r="G72">
        <v>28</v>
      </c>
      <c r="H72" t="s">
        <v>858</v>
      </c>
      <c r="I72" t="s">
        <v>858</v>
      </c>
      <c r="J72" t="s">
        <v>858</v>
      </c>
      <c r="K72" t="s">
        <v>859</v>
      </c>
    </row>
    <row r="73" spans="1:11" x14ac:dyDescent="0.3">
      <c r="A73">
        <v>1439</v>
      </c>
      <c r="B73" t="s">
        <v>1331</v>
      </c>
      <c r="C73" t="s">
        <v>138</v>
      </c>
      <c r="D73" t="s">
        <v>597</v>
      </c>
      <c r="E73">
        <v>7</v>
      </c>
      <c r="F73">
        <v>19</v>
      </c>
      <c r="G73">
        <v>56</v>
      </c>
      <c r="H73" t="s">
        <v>858</v>
      </c>
      <c r="I73" t="s">
        <v>858</v>
      </c>
      <c r="J73" t="s">
        <v>858</v>
      </c>
      <c r="K73" t="s">
        <v>859</v>
      </c>
    </row>
    <row r="74" spans="1:11" x14ac:dyDescent="0.3">
      <c r="A74">
        <v>1445</v>
      </c>
      <c r="B74" t="s">
        <v>1337</v>
      </c>
      <c r="C74" t="s">
        <v>147</v>
      </c>
      <c r="D74" t="s">
        <v>244</v>
      </c>
      <c r="E74">
        <v>7</v>
      </c>
      <c r="F74">
        <v>19</v>
      </c>
      <c r="G74">
        <v>56</v>
      </c>
      <c r="H74" t="s">
        <v>858</v>
      </c>
      <c r="I74" t="s">
        <v>858</v>
      </c>
      <c r="J74" t="s">
        <v>858</v>
      </c>
      <c r="K74" t="s">
        <v>858</v>
      </c>
    </row>
    <row r="75" spans="1:11" x14ac:dyDescent="0.3">
      <c r="A75">
        <v>1462</v>
      </c>
      <c r="B75" t="s">
        <v>1357</v>
      </c>
      <c r="C75" t="s">
        <v>984</v>
      </c>
      <c r="D75" t="s">
        <v>887</v>
      </c>
      <c r="E75">
        <v>7</v>
      </c>
      <c r="F75">
        <v>19</v>
      </c>
      <c r="G75">
        <v>28</v>
      </c>
      <c r="H75" t="s">
        <v>858</v>
      </c>
      <c r="I75" t="s">
        <v>858</v>
      </c>
      <c r="J75" t="s">
        <v>858</v>
      </c>
      <c r="K75" t="s">
        <v>859</v>
      </c>
    </row>
    <row r="76" spans="1:11" x14ac:dyDescent="0.3">
      <c r="A76">
        <v>1430</v>
      </c>
      <c r="B76" t="s">
        <v>1316</v>
      </c>
      <c r="C76" t="s">
        <v>107</v>
      </c>
      <c r="D76" t="s">
        <v>1317</v>
      </c>
      <c r="E76">
        <v>7</v>
      </c>
      <c r="F76">
        <v>19</v>
      </c>
      <c r="G76">
        <v>56</v>
      </c>
      <c r="H76" t="s">
        <v>858</v>
      </c>
      <c r="I76" t="s">
        <v>858</v>
      </c>
      <c r="J76" t="s">
        <v>858</v>
      </c>
      <c r="K76" t="s">
        <v>858</v>
      </c>
    </row>
    <row r="77" spans="1:11" x14ac:dyDescent="0.3">
      <c r="A77">
        <v>1627</v>
      </c>
      <c r="B77" t="s">
        <v>1801</v>
      </c>
      <c r="C77" t="s">
        <v>108</v>
      </c>
      <c r="D77" t="s">
        <v>1802</v>
      </c>
      <c r="E77">
        <v>7</v>
      </c>
      <c r="F77">
        <v>22</v>
      </c>
      <c r="G77">
        <v>28</v>
      </c>
      <c r="H77" t="s">
        <v>858</v>
      </c>
      <c r="I77" t="s">
        <v>858</v>
      </c>
      <c r="J77" t="s">
        <v>858</v>
      </c>
      <c r="K77" t="s">
        <v>858</v>
      </c>
    </row>
    <row r="78" spans="1:11" x14ac:dyDescent="0.3">
      <c r="A78">
        <v>1634</v>
      </c>
      <c r="B78" t="s">
        <v>1803</v>
      </c>
      <c r="C78" t="s">
        <v>155</v>
      </c>
      <c r="D78" t="s">
        <v>252</v>
      </c>
      <c r="E78">
        <v>7</v>
      </c>
      <c r="F78">
        <v>22</v>
      </c>
      <c r="G78">
        <v>28</v>
      </c>
      <c r="H78" t="s">
        <v>858</v>
      </c>
      <c r="I78" t="s">
        <v>858</v>
      </c>
      <c r="J78" t="s">
        <v>858</v>
      </c>
      <c r="K78" t="s">
        <v>858</v>
      </c>
    </row>
    <row r="79" spans="1:11" x14ac:dyDescent="0.3">
      <c r="A79">
        <v>1435</v>
      </c>
      <c r="B79" t="s">
        <v>1326</v>
      </c>
      <c r="C79" t="s">
        <v>125</v>
      </c>
      <c r="D79" t="s">
        <v>827</v>
      </c>
      <c r="E79">
        <v>7</v>
      </c>
      <c r="F79">
        <v>19</v>
      </c>
      <c r="G79">
        <v>28</v>
      </c>
      <c r="H79" t="s">
        <v>858</v>
      </c>
      <c r="I79" t="s">
        <v>858</v>
      </c>
      <c r="J79" t="s">
        <v>858</v>
      </c>
      <c r="K79" t="s">
        <v>858</v>
      </c>
    </row>
    <row r="80" spans="1:11" x14ac:dyDescent="0.3">
      <c r="A80">
        <v>1623</v>
      </c>
      <c r="B80" t="s">
        <v>1818</v>
      </c>
      <c r="C80" t="s">
        <v>86</v>
      </c>
      <c r="D80" t="s">
        <v>1804</v>
      </c>
      <c r="E80">
        <v>7</v>
      </c>
      <c r="F80">
        <v>22</v>
      </c>
      <c r="G80">
        <v>28</v>
      </c>
      <c r="H80" t="s">
        <v>858</v>
      </c>
      <c r="I80" t="s">
        <v>858</v>
      </c>
      <c r="J80" t="s">
        <v>858</v>
      </c>
      <c r="K80" t="s">
        <v>858</v>
      </c>
    </row>
    <row r="81" spans="1:11" x14ac:dyDescent="0.3">
      <c r="A81">
        <v>1443</v>
      </c>
      <c r="B81" t="s">
        <v>1335</v>
      </c>
      <c r="C81" t="s">
        <v>144</v>
      </c>
      <c r="D81" t="s">
        <v>242</v>
      </c>
      <c r="E81">
        <v>7</v>
      </c>
      <c r="F81">
        <v>19</v>
      </c>
      <c r="G81">
        <v>28</v>
      </c>
      <c r="H81" t="s">
        <v>858</v>
      </c>
      <c r="I81" t="s">
        <v>858</v>
      </c>
      <c r="J81" t="s">
        <v>858</v>
      </c>
      <c r="K81" t="s">
        <v>859</v>
      </c>
    </row>
    <row r="82" spans="1:11" hidden="1" x14ac:dyDescent="0.3">
      <c r="A82">
        <v>1465</v>
      </c>
      <c r="B82" t="s">
        <v>1395</v>
      </c>
      <c r="C82" t="s">
        <v>878</v>
      </c>
      <c r="D82" t="s">
        <v>369</v>
      </c>
      <c r="E82">
        <v>25</v>
      </c>
      <c r="F82">
        <v>20</v>
      </c>
      <c r="G82">
        <v>28</v>
      </c>
      <c r="H82" t="s">
        <v>858</v>
      </c>
      <c r="I82" t="s">
        <v>858</v>
      </c>
      <c r="J82" t="s">
        <v>858</v>
      </c>
      <c r="K82" t="s">
        <v>858</v>
      </c>
    </row>
    <row r="83" spans="1:11" x14ac:dyDescent="0.3">
      <c r="A83">
        <v>1655</v>
      </c>
      <c r="B83" t="s">
        <v>1841</v>
      </c>
      <c r="C83" t="s">
        <v>1826</v>
      </c>
      <c r="D83" t="s">
        <v>526</v>
      </c>
      <c r="E83">
        <v>7</v>
      </c>
      <c r="F83">
        <v>23</v>
      </c>
      <c r="G83">
        <v>56</v>
      </c>
      <c r="H83" t="s">
        <v>858</v>
      </c>
      <c r="I83" t="s">
        <v>858</v>
      </c>
      <c r="J83" t="s">
        <v>858</v>
      </c>
      <c r="K83" t="s">
        <v>858</v>
      </c>
    </row>
    <row r="84" spans="1:11" x14ac:dyDescent="0.3">
      <c r="A84">
        <v>1637</v>
      </c>
      <c r="B84" t="s">
        <v>1805</v>
      </c>
      <c r="C84" t="s">
        <v>201</v>
      </c>
      <c r="D84" t="s">
        <v>1806</v>
      </c>
      <c r="E84">
        <v>7</v>
      </c>
      <c r="F84">
        <v>22</v>
      </c>
      <c r="G84">
        <v>28</v>
      </c>
      <c r="H84" t="s">
        <v>858</v>
      </c>
      <c r="I84" t="s">
        <v>858</v>
      </c>
      <c r="J84" t="s">
        <v>858</v>
      </c>
      <c r="K84" t="s">
        <v>858</v>
      </c>
    </row>
    <row r="85" spans="1:11" x14ac:dyDescent="0.3">
      <c r="A85">
        <v>1640</v>
      </c>
      <c r="B85" t="s">
        <v>1807</v>
      </c>
      <c r="C85" t="s">
        <v>302</v>
      </c>
      <c r="D85" t="s">
        <v>297</v>
      </c>
      <c r="E85">
        <v>7</v>
      </c>
      <c r="F85">
        <v>22</v>
      </c>
      <c r="G85">
        <v>28</v>
      </c>
      <c r="H85" t="s">
        <v>858</v>
      </c>
      <c r="I85" t="s">
        <v>858</v>
      </c>
      <c r="J85" t="s">
        <v>858</v>
      </c>
      <c r="K85" t="s">
        <v>858</v>
      </c>
    </row>
    <row r="86" spans="1:11" x14ac:dyDescent="0.3">
      <c r="A86">
        <v>1446</v>
      </c>
      <c r="B86" t="s">
        <v>1338</v>
      </c>
      <c r="C86" t="s">
        <v>149</v>
      </c>
      <c r="D86" t="s">
        <v>246</v>
      </c>
      <c r="E86">
        <v>7</v>
      </c>
      <c r="F86">
        <v>19</v>
      </c>
      <c r="G86">
        <v>28</v>
      </c>
      <c r="H86" t="s">
        <v>858</v>
      </c>
      <c r="I86" t="s">
        <v>858</v>
      </c>
      <c r="J86" t="s">
        <v>858</v>
      </c>
      <c r="K86" t="s">
        <v>859</v>
      </c>
    </row>
    <row r="87" spans="1:11" x14ac:dyDescent="0.3">
      <c r="A87">
        <v>1639</v>
      </c>
      <c r="B87" t="s">
        <v>1808</v>
      </c>
      <c r="C87" t="s">
        <v>207</v>
      </c>
      <c r="D87" t="s">
        <v>267</v>
      </c>
      <c r="E87">
        <v>7</v>
      </c>
      <c r="F87">
        <v>22</v>
      </c>
      <c r="G87">
        <v>28</v>
      </c>
      <c r="H87" t="s">
        <v>858</v>
      </c>
      <c r="I87" t="s">
        <v>858</v>
      </c>
      <c r="J87" t="s">
        <v>858</v>
      </c>
      <c r="K87" t="s">
        <v>859</v>
      </c>
    </row>
    <row r="88" spans="1:11" hidden="1" x14ac:dyDescent="0.3">
      <c r="A88">
        <v>1470</v>
      </c>
      <c r="B88" t="s">
        <v>1404</v>
      </c>
      <c r="C88" t="s">
        <v>892</v>
      </c>
      <c r="D88" t="s">
        <v>378</v>
      </c>
      <c r="E88">
        <v>25</v>
      </c>
      <c r="F88">
        <v>20</v>
      </c>
      <c r="G88">
        <v>28</v>
      </c>
      <c r="H88" t="s">
        <v>858</v>
      </c>
      <c r="I88" t="s">
        <v>858</v>
      </c>
      <c r="J88" t="s">
        <v>858</v>
      </c>
      <c r="K88" t="s">
        <v>858</v>
      </c>
    </row>
  </sheetData>
  <conditionalFormatting sqref="C1:C1048576">
    <cfRule type="duplicateValues" dxfId="14" priority="2"/>
  </conditionalFormatting>
  <conditionalFormatting sqref="D1:D1048576">
    <cfRule type="duplicateValues" dxfId="13" priority="3"/>
  </conditionalFormatting>
  <conditionalFormatting sqref="K1:K1048576">
    <cfRule type="cellIs" dxfId="12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pageSetUpPr fitToPage="1"/>
  </sheetPr>
  <dimension ref="A1:K64"/>
  <sheetViews>
    <sheetView topLeftCell="B43" workbookViewId="0">
      <selection activeCell="E66" sqref="E6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1658</v>
      </c>
      <c r="B2" t="s">
        <v>1968</v>
      </c>
      <c r="C2" t="s">
        <v>75</v>
      </c>
      <c r="D2" t="s">
        <v>852</v>
      </c>
      <c r="E2">
        <v>7</v>
      </c>
      <c r="F2">
        <v>30</v>
      </c>
      <c r="G2">
        <v>17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1659</v>
      </c>
      <c r="B3" t="s">
        <v>1969</v>
      </c>
      <c r="C3" t="s">
        <v>78</v>
      </c>
      <c r="D3" t="s">
        <v>1307</v>
      </c>
      <c r="E3">
        <v>7</v>
      </c>
      <c r="F3">
        <v>30</v>
      </c>
      <c r="G3">
        <v>34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1660</v>
      </c>
      <c r="B4" t="s">
        <v>1970</v>
      </c>
      <c r="C4" t="s">
        <v>80</v>
      </c>
      <c r="D4" t="s">
        <v>520</v>
      </c>
      <c r="E4">
        <v>7</v>
      </c>
      <c r="F4">
        <v>30</v>
      </c>
      <c r="G4">
        <v>34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1661</v>
      </c>
      <c r="B5" t="s">
        <v>1971</v>
      </c>
      <c r="C5" t="s">
        <v>81</v>
      </c>
      <c r="D5" t="s">
        <v>1309</v>
      </c>
      <c r="E5">
        <v>7</v>
      </c>
      <c r="F5">
        <v>30</v>
      </c>
      <c r="G5">
        <v>34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1662</v>
      </c>
      <c r="B6" t="s">
        <v>1972</v>
      </c>
      <c r="C6" t="s">
        <v>84</v>
      </c>
      <c r="D6" t="s">
        <v>1311</v>
      </c>
      <c r="E6">
        <v>7</v>
      </c>
      <c r="F6">
        <v>30</v>
      </c>
      <c r="G6">
        <v>51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1663</v>
      </c>
      <c r="B7" t="s">
        <v>1973</v>
      </c>
      <c r="C7" t="s">
        <v>86</v>
      </c>
      <c r="D7" t="s">
        <v>1804</v>
      </c>
      <c r="E7">
        <v>7</v>
      </c>
      <c r="F7">
        <v>30</v>
      </c>
      <c r="G7">
        <v>17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1664</v>
      </c>
      <c r="B8" t="s">
        <v>1974</v>
      </c>
      <c r="C8" t="s">
        <v>87</v>
      </c>
      <c r="D8" t="s">
        <v>869</v>
      </c>
      <c r="E8">
        <v>7</v>
      </c>
      <c r="F8">
        <v>30</v>
      </c>
      <c r="G8">
        <v>17</v>
      </c>
      <c r="H8" t="s">
        <v>858</v>
      </c>
      <c r="I8" t="s">
        <v>858</v>
      </c>
      <c r="J8" t="s">
        <v>858</v>
      </c>
      <c r="K8" t="s">
        <v>858</v>
      </c>
    </row>
    <row r="9" spans="1:11" x14ac:dyDescent="0.3">
      <c r="A9">
        <v>1665</v>
      </c>
      <c r="B9" t="s">
        <v>1975</v>
      </c>
      <c r="C9" t="s">
        <v>90</v>
      </c>
      <c r="D9" t="s">
        <v>323</v>
      </c>
      <c r="E9">
        <v>7</v>
      </c>
      <c r="F9">
        <v>30</v>
      </c>
      <c r="G9">
        <v>17</v>
      </c>
      <c r="H9" t="s">
        <v>858</v>
      </c>
      <c r="I9" t="s">
        <v>858</v>
      </c>
      <c r="J9" t="s">
        <v>858</v>
      </c>
      <c r="K9" t="s">
        <v>858</v>
      </c>
    </row>
    <row r="10" spans="1:11" x14ac:dyDescent="0.3">
      <c r="A10">
        <v>1666</v>
      </c>
      <c r="B10" t="s">
        <v>1976</v>
      </c>
      <c r="C10" t="s">
        <v>91</v>
      </c>
      <c r="D10" t="s">
        <v>1314</v>
      </c>
      <c r="E10">
        <v>7</v>
      </c>
      <c r="F10">
        <v>30</v>
      </c>
      <c r="G10">
        <v>17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1667</v>
      </c>
      <c r="B11" t="s">
        <v>1977</v>
      </c>
      <c r="C11" t="s">
        <v>97</v>
      </c>
      <c r="D11" t="s">
        <v>328</v>
      </c>
      <c r="E11">
        <v>7</v>
      </c>
      <c r="F11">
        <v>30</v>
      </c>
      <c r="G11">
        <v>17</v>
      </c>
      <c r="H11" t="s">
        <v>858</v>
      </c>
      <c r="I11" t="s">
        <v>858</v>
      </c>
      <c r="J11" t="s">
        <v>858</v>
      </c>
      <c r="K11" t="s">
        <v>858</v>
      </c>
    </row>
    <row r="12" spans="1:11" x14ac:dyDescent="0.3">
      <c r="A12">
        <v>1668</v>
      </c>
      <c r="B12" t="s">
        <v>1978</v>
      </c>
      <c r="C12" t="s">
        <v>103</v>
      </c>
      <c r="D12" t="s">
        <v>221</v>
      </c>
      <c r="E12">
        <v>7</v>
      </c>
      <c r="F12">
        <v>30</v>
      </c>
      <c r="G12">
        <v>17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1669</v>
      </c>
      <c r="B13" t="s">
        <v>1979</v>
      </c>
      <c r="C13" t="s">
        <v>106</v>
      </c>
      <c r="D13" t="s">
        <v>1800</v>
      </c>
      <c r="E13">
        <v>7</v>
      </c>
      <c r="F13">
        <v>30</v>
      </c>
      <c r="G13">
        <v>34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1670</v>
      </c>
      <c r="B14" t="s">
        <v>1980</v>
      </c>
      <c r="C14" t="s">
        <v>107</v>
      </c>
      <c r="D14" t="s">
        <v>1317</v>
      </c>
      <c r="E14">
        <v>7</v>
      </c>
      <c r="F14">
        <v>30</v>
      </c>
      <c r="G14">
        <v>34</v>
      </c>
      <c r="H14" t="s">
        <v>858</v>
      </c>
      <c r="I14" t="s">
        <v>858</v>
      </c>
      <c r="J14" t="s">
        <v>858</v>
      </c>
      <c r="K14" t="s">
        <v>858</v>
      </c>
    </row>
    <row r="15" spans="1:11" x14ac:dyDescent="0.3">
      <c r="A15">
        <v>1671</v>
      </c>
      <c r="B15" t="s">
        <v>1981</v>
      </c>
      <c r="C15" t="s">
        <v>108</v>
      </c>
      <c r="D15" t="s">
        <v>1802</v>
      </c>
      <c r="E15">
        <v>7</v>
      </c>
      <c r="F15">
        <v>30</v>
      </c>
      <c r="G15">
        <v>17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1672</v>
      </c>
      <c r="B16" t="s">
        <v>1982</v>
      </c>
      <c r="C16" t="s">
        <v>750</v>
      </c>
      <c r="D16" t="s">
        <v>340</v>
      </c>
      <c r="E16">
        <v>7</v>
      </c>
      <c r="F16">
        <v>30</v>
      </c>
      <c r="G16">
        <v>17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1673</v>
      </c>
      <c r="B17" t="s">
        <v>1983</v>
      </c>
      <c r="C17" t="s">
        <v>117</v>
      </c>
      <c r="D17" t="s">
        <v>1319</v>
      </c>
      <c r="E17">
        <v>7</v>
      </c>
      <c r="F17">
        <v>30</v>
      </c>
      <c r="G17">
        <v>34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1674</v>
      </c>
      <c r="B18" t="s">
        <v>1984</v>
      </c>
      <c r="C18" t="s">
        <v>118</v>
      </c>
      <c r="D18" t="s">
        <v>1321</v>
      </c>
      <c r="E18">
        <v>7</v>
      </c>
      <c r="F18">
        <v>30</v>
      </c>
      <c r="G18">
        <v>17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1675</v>
      </c>
      <c r="B19" t="s">
        <v>1985</v>
      </c>
      <c r="C19" t="s">
        <v>121</v>
      </c>
      <c r="D19" t="s">
        <v>1778</v>
      </c>
      <c r="E19">
        <v>7</v>
      </c>
      <c r="F19">
        <v>30</v>
      </c>
      <c r="G19">
        <v>17</v>
      </c>
      <c r="H19" t="s">
        <v>858</v>
      </c>
      <c r="I19" t="s">
        <v>858</v>
      </c>
      <c r="J19" t="s">
        <v>858</v>
      </c>
      <c r="K19" t="s">
        <v>858</v>
      </c>
    </row>
    <row r="20" spans="1:11" x14ac:dyDescent="0.3">
      <c r="A20">
        <v>1676</v>
      </c>
      <c r="B20" t="s">
        <v>1986</v>
      </c>
      <c r="C20" t="s">
        <v>122</v>
      </c>
      <c r="D20" t="s">
        <v>1323</v>
      </c>
      <c r="E20">
        <v>7</v>
      </c>
      <c r="F20">
        <v>30</v>
      </c>
      <c r="G20">
        <v>51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1677</v>
      </c>
      <c r="B21" t="s">
        <v>1987</v>
      </c>
      <c r="C21" t="s">
        <v>123</v>
      </c>
      <c r="D21" t="s">
        <v>1325</v>
      </c>
      <c r="E21">
        <v>7</v>
      </c>
      <c r="F21">
        <v>30</v>
      </c>
      <c r="G21">
        <v>17</v>
      </c>
      <c r="H21" t="s">
        <v>858</v>
      </c>
      <c r="I21" t="s">
        <v>858</v>
      </c>
      <c r="J21" t="s">
        <v>858</v>
      </c>
      <c r="K21" t="s">
        <v>858</v>
      </c>
    </row>
    <row r="22" spans="1:11" x14ac:dyDescent="0.3">
      <c r="A22">
        <v>1678</v>
      </c>
      <c r="B22" t="s">
        <v>1988</v>
      </c>
      <c r="C22" t="s">
        <v>125</v>
      </c>
      <c r="D22" t="s">
        <v>827</v>
      </c>
      <c r="E22">
        <v>7</v>
      </c>
      <c r="F22">
        <v>30</v>
      </c>
      <c r="G22">
        <v>17</v>
      </c>
      <c r="H22" t="s">
        <v>858</v>
      </c>
      <c r="I22" t="s">
        <v>858</v>
      </c>
      <c r="J22" t="s">
        <v>858</v>
      </c>
      <c r="K22" t="s">
        <v>858</v>
      </c>
    </row>
    <row r="23" spans="1:11" x14ac:dyDescent="0.3">
      <c r="A23">
        <v>1679</v>
      </c>
      <c r="B23" t="s">
        <v>1989</v>
      </c>
      <c r="C23" t="s">
        <v>132</v>
      </c>
      <c r="D23" t="s">
        <v>1781</v>
      </c>
      <c r="E23">
        <v>7</v>
      </c>
      <c r="F23">
        <v>30</v>
      </c>
      <c r="G23">
        <v>17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1680</v>
      </c>
      <c r="B24" t="s">
        <v>1990</v>
      </c>
      <c r="C24" t="s">
        <v>133</v>
      </c>
      <c r="D24" t="s">
        <v>1304</v>
      </c>
      <c r="E24">
        <v>7</v>
      </c>
      <c r="F24">
        <v>30</v>
      </c>
      <c r="G24">
        <v>34</v>
      </c>
      <c r="H24" t="s">
        <v>858</v>
      </c>
      <c r="I24" t="s">
        <v>858</v>
      </c>
      <c r="J24" t="s">
        <v>858</v>
      </c>
      <c r="K24" t="s">
        <v>858</v>
      </c>
    </row>
    <row r="25" spans="1:11" x14ac:dyDescent="0.3">
      <c r="A25">
        <v>1681</v>
      </c>
      <c r="B25" t="s">
        <v>1991</v>
      </c>
      <c r="C25" t="s">
        <v>134</v>
      </c>
      <c r="D25" t="s">
        <v>1329</v>
      </c>
      <c r="E25">
        <v>7</v>
      </c>
      <c r="F25">
        <v>30</v>
      </c>
      <c r="G25">
        <v>34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1682</v>
      </c>
      <c r="B26" t="s">
        <v>1992</v>
      </c>
      <c r="C26" t="s">
        <v>138</v>
      </c>
      <c r="D26" t="s">
        <v>597</v>
      </c>
      <c r="E26">
        <v>7</v>
      </c>
      <c r="F26">
        <v>30</v>
      </c>
      <c r="G26">
        <v>34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1683</v>
      </c>
      <c r="B27" t="s">
        <v>1993</v>
      </c>
      <c r="C27" t="s">
        <v>139</v>
      </c>
      <c r="D27" t="s">
        <v>238</v>
      </c>
      <c r="E27">
        <v>7</v>
      </c>
      <c r="F27">
        <v>30</v>
      </c>
      <c r="G27">
        <v>34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1684</v>
      </c>
      <c r="B28" t="s">
        <v>1994</v>
      </c>
      <c r="C28" t="s">
        <v>141</v>
      </c>
      <c r="D28" t="s">
        <v>240</v>
      </c>
      <c r="E28">
        <v>7</v>
      </c>
      <c r="F28">
        <v>30</v>
      </c>
      <c r="G28">
        <v>34</v>
      </c>
      <c r="H28" t="s">
        <v>858</v>
      </c>
      <c r="I28" t="s">
        <v>858</v>
      </c>
      <c r="J28" t="s">
        <v>858</v>
      </c>
      <c r="K28" t="s">
        <v>858</v>
      </c>
    </row>
    <row r="29" spans="1:11" x14ac:dyDescent="0.3">
      <c r="A29">
        <v>1685</v>
      </c>
      <c r="B29" t="s">
        <v>1995</v>
      </c>
      <c r="C29" t="s">
        <v>142</v>
      </c>
      <c r="D29" t="s">
        <v>862</v>
      </c>
      <c r="E29">
        <v>7</v>
      </c>
      <c r="F29">
        <v>30</v>
      </c>
      <c r="G29">
        <v>34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1686</v>
      </c>
      <c r="B30" t="s">
        <v>1996</v>
      </c>
      <c r="C30" t="s">
        <v>143</v>
      </c>
      <c r="D30" t="s">
        <v>241</v>
      </c>
      <c r="E30">
        <v>7</v>
      </c>
      <c r="F30">
        <v>30</v>
      </c>
      <c r="G30">
        <v>34</v>
      </c>
      <c r="H30" t="s">
        <v>858</v>
      </c>
      <c r="I30" t="s">
        <v>858</v>
      </c>
      <c r="J30" t="s">
        <v>858</v>
      </c>
      <c r="K30" t="s">
        <v>858</v>
      </c>
    </row>
    <row r="31" spans="1:11" x14ac:dyDescent="0.3">
      <c r="A31">
        <v>1687</v>
      </c>
      <c r="B31" t="s">
        <v>1997</v>
      </c>
      <c r="C31" t="s">
        <v>144</v>
      </c>
      <c r="D31" t="s">
        <v>242</v>
      </c>
      <c r="E31">
        <v>7</v>
      </c>
      <c r="F31">
        <v>30</v>
      </c>
      <c r="G31">
        <v>17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1688</v>
      </c>
      <c r="B32" t="s">
        <v>1998</v>
      </c>
      <c r="C32" t="s">
        <v>145</v>
      </c>
      <c r="D32" t="s">
        <v>863</v>
      </c>
      <c r="E32">
        <v>7</v>
      </c>
      <c r="F32">
        <v>30</v>
      </c>
      <c r="G32">
        <v>17</v>
      </c>
      <c r="H32" t="s">
        <v>858</v>
      </c>
      <c r="I32" t="s">
        <v>858</v>
      </c>
      <c r="J32" t="s">
        <v>858</v>
      </c>
      <c r="K32" t="s">
        <v>858</v>
      </c>
    </row>
    <row r="33" spans="1:11" x14ac:dyDescent="0.3">
      <c r="A33">
        <v>1689</v>
      </c>
      <c r="B33" t="s">
        <v>1999</v>
      </c>
      <c r="C33" t="s">
        <v>147</v>
      </c>
      <c r="D33" t="s">
        <v>244</v>
      </c>
      <c r="E33">
        <v>7</v>
      </c>
      <c r="F33">
        <v>30</v>
      </c>
      <c r="G33">
        <v>34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1690</v>
      </c>
      <c r="B34" t="s">
        <v>2000</v>
      </c>
      <c r="C34" t="s">
        <v>148</v>
      </c>
      <c r="D34" t="s">
        <v>245</v>
      </c>
      <c r="E34">
        <v>7</v>
      </c>
      <c r="F34">
        <v>30</v>
      </c>
      <c r="G34">
        <v>17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1691</v>
      </c>
      <c r="B35" t="s">
        <v>2001</v>
      </c>
      <c r="C35" t="s">
        <v>149</v>
      </c>
      <c r="D35" t="s">
        <v>246</v>
      </c>
      <c r="E35">
        <v>7</v>
      </c>
      <c r="F35">
        <v>30</v>
      </c>
      <c r="G35">
        <v>17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1692</v>
      </c>
      <c r="B36" t="s">
        <v>2002</v>
      </c>
      <c r="C36" t="s">
        <v>150</v>
      </c>
      <c r="D36" t="s">
        <v>247</v>
      </c>
      <c r="E36">
        <v>7</v>
      </c>
      <c r="F36">
        <v>30</v>
      </c>
      <c r="G36">
        <v>17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1693</v>
      </c>
      <c r="B37" t="s">
        <v>2003</v>
      </c>
      <c r="C37" t="s">
        <v>155</v>
      </c>
      <c r="D37" t="s">
        <v>252</v>
      </c>
      <c r="E37">
        <v>7</v>
      </c>
      <c r="F37">
        <v>30</v>
      </c>
      <c r="G37">
        <v>17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1694</v>
      </c>
      <c r="B38" t="s">
        <v>2004</v>
      </c>
      <c r="C38" t="s">
        <v>156</v>
      </c>
      <c r="D38" t="s">
        <v>662</v>
      </c>
      <c r="E38">
        <v>7</v>
      </c>
      <c r="F38">
        <v>30</v>
      </c>
      <c r="G38">
        <v>17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1695</v>
      </c>
      <c r="B39" t="s">
        <v>2005</v>
      </c>
      <c r="C39" t="s">
        <v>161</v>
      </c>
      <c r="D39" t="s">
        <v>601</v>
      </c>
      <c r="E39">
        <v>7</v>
      </c>
      <c r="F39">
        <v>30</v>
      </c>
      <c r="G39">
        <v>17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1696</v>
      </c>
      <c r="B40" t="s">
        <v>2006</v>
      </c>
      <c r="C40" t="s">
        <v>169</v>
      </c>
      <c r="D40" t="s">
        <v>632</v>
      </c>
      <c r="E40">
        <v>7</v>
      </c>
      <c r="F40">
        <v>30</v>
      </c>
      <c r="G40">
        <v>17</v>
      </c>
      <c r="H40" t="s">
        <v>858</v>
      </c>
      <c r="I40" t="s">
        <v>858</v>
      </c>
      <c r="J40" t="s">
        <v>858</v>
      </c>
      <c r="K40" t="s">
        <v>858</v>
      </c>
    </row>
    <row r="41" spans="1:11" x14ac:dyDescent="0.3">
      <c r="A41">
        <v>1697</v>
      </c>
      <c r="B41" t="s">
        <v>2007</v>
      </c>
      <c r="C41" t="s">
        <v>170</v>
      </c>
      <c r="D41" t="s">
        <v>261</v>
      </c>
      <c r="E41">
        <v>7</v>
      </c>
      <c r="F41">
        <v>30</v>
      </c>
      <c r="G41">
        <v>17</v>
      </c>
      <c r="H41" t="s">
        <v>858</v>
      </c>
      <c r="I41" t="s">
        <v>858</v>
      </c>
      <c r="J41" t="s">
        <v>858</v>
      </c>
      <c r="K41" t="s">
        <v>858</v>
      </c>
    </row>
    <row r="42" spans="1:11" x14ac:dyDescent="0.3">
      <c r="A42">
        <v>1698</v>
      </c>
      <c r="B42" t="s">
        <v>2008</v>
      </c>
      <c r="C42" t="s">
        <v>201</v>
      </c>
      <c r="D42" t="s">
        <v>1806</v>
      </c>
      <c r="E42">
        <v>7</v>
      </c>
      <c r="F42">
        <v>30</v>
      </c>
      <c r="G42">
        <v>17</v>
      </c>
      <c r="H42" t="s">
        <v>858</v>
      </c>
      <c r="I42" t="s">
        <v>858</v>
      </c>
      <c r="J42" t="s">
        <v>858</v>
      </c>
      <c r="K42" t="s">
        <v>858</v>
      </c>
    </row>
    <row r="43" spans="1:11" x14ac:dyDescent="0.3">
      <c r="A43">
        <v>1699</v>
      </c>
      <c r="B43" t="s">
        <v>2009</v>
      </c>
      <c r="C43" t="s">
        <v>203</v>
      </c>
      <c r="D43" t="s">
        <v>1798</v>
      </c>
      <c r="E43">
        <v>7</v>
      </c>
      <c r="F43">
        <v>30</v>
      </c>
      <c r="G43">
        <v>17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1700</v>
      </c>
      <c r="B44" t="s">
        <v>2010</v>
      </c>
      <c r="C44" t="s">
        <v>294</v>
      </c>
      <c r="D44" t="s">
        <v>604</v>
      </c>
      <c r="E44">
        <v>7</v>
      </c>
      <c r="F44">
        <v>30</v>
      </c>
      <c r="G44">
        <v>17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1701</v>
      </c>
      <c r="B45" t="s">
        <v>2011</v>
      </c>
      <c r="C45" t="s">
        <v>207</v>
      </c>
      <c r="D45" t="s">
        <v>267</v>
      </c>
      <c r="E45">
        <v>7</v>
      </c>
      <c r="F45">
        <v>30</v>
      </c>
      <c r="G45">
        <v>17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1702</v>
      </c>
      <c r="B46" t="s">
        <v>2012</v>
      </c>
      <c r="C46" t="s">
        <v>126</v>
      </c>
      <c r="D46" t="s">
        <v>347</v>
      </c>
      <c r="E46">
        <v>7</v>
      </c>
      <c r="F46">
        <v>30</v>
      </c>
      <c r="G46">
        <v>17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1703</v>
      </c>
      <c r="B47" t="s">
        <v>2013</v>
      </c>
      <c r="C47" t="s">
        <v>785</v>
      </c>
      <c r="D47" t="s">
        <v>1772</v>
      </c>
      <c r="E47">
        <v>7</v>
      </c>
      <c r="F47">
        <v>30</v>
      </c>
      <c r="G47">
        <v>17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1704</v>
      </c>
      <c r="B48" t="s">
        <v>2014</v>
      </c>
      <c r="C48" t="s">
        <v>969</v>
      </c>
      <c r="D48" t="s">
        <v>1836</v>
      </c>
      <c r="E48">
        <v>7</v>
      </c>
      <c r="F48">
        <v>30</v>
      </c>
      <c r="G48">
        <v>17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1705</v>
      </c>
      <c r="B49" t="s">
        <v>2015</v>
      </c>
      <c r="C49" t="s">
        <v>845</v>
      </c>
      <c r="D49" t="s">
        <v>851</v>
      </c>
      <c r="E49">
        <v>7</v>
      </c>
      <c r="F49">
        <v>30</v>
      </c>
      <c r="G49">
        <v>34</v>
      </c>
      <c r="H49" t="s">
        <v>858</v>
      </c>
      <c r="I49" t="s">
        <v>858</v>
      </c>
      <c r="J49" t="s">
        <v>858</v>
      </c>
      <c r="K49" t="s">
        <v>858</v>
      </c>
    </row>
    <row r="50" spans="1:11" x14ac:dyDescent="0.3">
      <c r="A50">
        <v>1706</v>
      </c>
      <c r="B50" t="s">
        <v>2016</v>
      </c>
      <c r="C50" t="s">
        <v>1415</v>
      </c>
      <c r="D50" t="s">
        <v>614</v>
      </c>
      <c r="E50">
        <v>7</v>
      </c>
      <c r="F50">
        <v>30</v>
      </c>
      <c r="G50">
        <v>17</v>
      </c>
      <c r="H50" t="s">
        <v>858</v>
      </c>
      <c r="I50" t="s">
        <v>858</v>
      </c>
      <c r="J50" t="s">
        <v>858</v>
      </c>
      <c r="K50" t="s">
        <v>858</v>
      </c>
    </row>
    <row r="51" spans="1:11" x14ac:dyDescent="0.3">
      <c r="A51">
        <v>1707</v>
      </c>
      <c r="B51" t="s">
        <v>2017</v>
      </c>
      <c r="C51" t="s">
        <v>865</v>
      </c>
      <c r="D51" t="s">
        <v>1354</v>
      </c>
      <c r="E51">
        <v>7</v>
      </c>
      <c r="F51">
        <v>30</v>
      </c>
      <c r="G51">
        <v>17</v>
      </c>
      <c r="H51" t="s">
        <v>858</v>
      </c>
      <c r="I51" t="s">
        <v>858</v>
      </c>
      <c r="J51" t="s">
        <v>858</v>
      </c>
      <c r="K51" t="s">
        <v>858</v>
      </c>
    </row>
    <row r="52" spans="1:11" x14ac:dyDescent="0.3">
      <c r="A52">
        <v>1708</v>
      </c>
      <c r="B52" t="s">
        <v>2018</v>
      </c>
      <c r="C52" t="s">
        <v>873</v>
      </c>
      <c r="D52" t="s">
        <v>608</v>
      </c>
      <c r="E52">
        <v>7</v>
      </c>
      <c r="F52">
        <v>30</v>
      </c>
      <c r="G52">
        <v>17</v>
      </c>
      <c r="H52" t="s">
        <v>858</v>
      </c>
      <c r="I52" t="s">
        <v>858</v>
      </c>
      <c r="J52" t="s">
        <v>858</v>
      </c>
      <c r="K52" t="s">
        <v>858</v>
      </c>
    </row>
    <row r="53" spans="1:11" x14ac:dyDescent="0.3">
      <c r="A53">
        <v>1709</v>
      </c>
      <c r="B53" t="s">
        <v>2019</v>
      </c>
      <c r="C53" t="s">
        <v>874</v>
      </c>
      <c r="D53" t="s">
        <v>1344</v>
      </c>
      <c r="E53">
        <v>7</v>
      </c>
      <c r="F53">
        <v>30</v>
      </c>
      <c r="G53">
        <v>17</v>
      </c>
      <c r="H53" t="s">
        <v>858</v>
      </c>
      <c r="I53" t="s">
        <v>858</v>
      </c>
      <c r="J53" t="s">
        <v>858</v>
      </c>
      <c r="K53" t="s">
        <v>858</v>
      </c>
    </row>
    <row r="54" spans="1:11" x14ac:dyDescent="0.3">
      <c r="A54">
        <v>1710</v>
      </c>
      <c r="B54" t="s">
        <v>2020</v>
      </c>
      <c r="C54" t="s">
        <v>1006</v>
      </c>
      <c r="D54">
        <v>71782472</v>
      </c>
      <c r="E54">
        <v>7</v>
      </c>
      <c r="F54">
        <v>30</v>
      </c>
      <c r="G54">
        <v>17</v>
      </c>
      <c r="H54" t="s">
        <v>858</v>
      </c>
      <c r="I54" t="s">
        <v>858</v>
      </c>
      <c r="J54" t="s">
        <v>858</v>
      </c>
      <c r="K54" t="s">
        <v>858</v>
      </c>
    </row>
    <row r="55" spans="1:11" x14ac:dyDescent="0.3">
      <c r="A55">
        <v>1711</v>
      </c>
      <c r="B55" t="s">
        <v>2021</v>
      </c>
      <c r="C55" t="s">
        <v>984</v>
      </c>
      <c r="D55" t="s">
        <v>887</v>
      </c>
      <c r="E55">
        <v>7</v>
      </c>
      <c r="F55">
        <v>30</v>
      </c>
      <c r="G55">
        <v>17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1712</v>
      </c>
      <c r="B56" t="s">
        <v>2022</v>
      </c>
      <c r="C56" t="s">
        <v>989</v>
      </c>
      <c r="D56" t="s">
        <v>1783</v>
      </c>
      <c r="E56">
        <v>7</v>
      </c>
      <c r="F56">
        <v>30</v>
      </c>
      <c r="G56">
        <v>17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1713</v>
      </c>
      <c r="B57" t="s">
        <v>2023</v>
      </c>
      <c r="C57" t="s">
        <v>987</v>
      </c>
      <c r="D57" t="s">
        <v>1351</v>
      </c>
      <c r="E57">
        <v>7</v>
      </c>
      <c r="F57">
        <v>30</v>
      </c>
      <c r="G57">
        <v>17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1714</v>
      </c>
      <c r="B58" t="s">
        <v>2024</v>
      </c>
      <c r="C58" t="s">
        <v>983</v>
      </c>
      <c r="D58" t="s">
        <v>1789</v>
      </c>
      <c r="E58">
        <v>7</v>
      </c>
      <c r="F58">
        <v>30</v>
      </c>
      <c r="G58">
        <v>17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1715</v>
      </c>
      <c r="B59" t="s">
        <v>2025</v>
      </c>
      <c r="C59" t="s">
        <v>1816</v>
      </c>
      <c r="D59" t="s">
        <v>1834</v>
      </c>
      <c r="E59">
        <v>7</v>
      </c>
      <c r="F59">
        <v>30</v>
      </c>
      <c r="G59">
        <v>17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1716</v>
      </c>
      <c r="B60" t="s">
        <v>2026</v>
      </c>
      <c r="C60" t="s">
        <v>1005</v>
      </c>
      <c r="D60" t="s">
        <v>1792</v>
      </c>
      <c r="E60">
        <v>7</v>
      </c>
      <c r="F60">
        <v>30</v>
      </c>
      <c r="G60">
        <v>17</v>
      </c>
      <c r="H60" t="s">
        <v>858</v>
      </c>
      <c r="I60" t="s">
        <v>858</v>
      </c>
      <c r="J60" t="s">
        <v>858</v>
      </c>
      <c r="K60" t="s">
        <v>858</v>
      </c>
    </row>
    <row r="61" spans="1:11" x14ac:dyDescent="0.3">
      <c r="A61">
        <v>1717</v>
      </c>
      <c r="B61" t="s">
        <v>2027</v>
      </c>
      <c r="C61" t="s">
        <v>1813</v>
      </c>
      <c r="D61" t="s">
        <v>811</v>
      </c>
      <c r="E61">
        <v>7</v>
      </c>
      <c r="F61">
        <v>30</v>
      </c>
      <c r="G61">
        <v>34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1718</v>
      </c>
      <c r="B62" t="s">
        <v>2028</v>
      </c>
      <c r="C62" t="s">
        <v>1817</v>
      </c>
      <c r="D62" t="s">
        <v>1269</v>
      </c>
      <c r="E62">
        <v>7</v>
      </c>
      <c r="F62">
        <v>30</v>
      </c>
      <c r="G62">
        <v>17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1719</v>
      </c>
      <c r="B63" t="s">
        <v>2029</v>
      </c>
      <c r="C63" t="s">
        <v>1826</v>
      </c>
      <c r="D63" t="s">
        <v>526</v>
      </c>
      <c r="E63">
        <v>7</v>
      </c>
      <c r="F63">
        <v>30</v>
      </c>
      <c r="G63">
        <v>34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1720</v>
      </c>
      <c r="B64" t="s">
        <v>2030</v>
      </c>
      <c r="C64" t="s">
        <v>1830</v>
      </c>
      <c r="D64" t="s">
        <v>1832</v>
      </c>
      <c r="E64">
        <v>7</v>
      </c>
      <c r="F64">
        <v>30</v>
      </c>
      <c r="G64">
        <v>17</v>
      </c>
      <c r="H64" t="s">
        <v>858</v>
      </c>
      <c r="I64" t="s">
        <v>858</v>
      </c>
      <c r="J64" t="s">
        <v>858</v>
      </c>
      <c r="K64" t="s">
        <v>858</v>
      </c>
    </row>
  </sheetData>
  <conditionalFormatting sqref="C1:C1048576">
    <cfRule type="duplicateValues" dxfId="11" priority="2"/>
  </conditionalFormatting>
  <conditionalFormatting sqref="D1:D1048576">
    <cfRule type="duplicateValues" dxfId="10" priority="3"/>
  </conditionalFormatting>
  <conditionalFormatting sqref="K1:K1048576">
    <cfRule type="cellIs" dxfId="9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A4D0-D2C2-4D8A-9793-85613DF37581}">
  <sheetPr codeName="Sheet14"/>
  <dimension ref="A1:E31"/>
  <sheetViews>
    <sheetView workbookViewId="0">
      <selection activeCell="C2" sqref="C2"/>
    </sheetView>
  </sheetViews>
  <sheetFormatPr defaultRowHeight="14.4" x14ac:dyDescent="0.3"/>
  <cols>
    <col min="2" max="2" width="19.5546875" bestFit="1" customWidth="1"/>
    <col min="3" max="3" width="30.33203125" bestFit="1" customWidth="1"/>
    <col min="4" max="4" width="14.109375" bestFit="1" customWidth="1"/>
  </cols>
  <sheetData>
    <row r="1" spans="1:5" x14ac:dyDescent="0.3">
      <c r="A1" t="s">
        <v>1255</v>
      </c>
      <c r="B1" t="s">
        <v>276</v>
      </c>
      <c r="C1" t="s">
        <v>315</v>
      </c>
      <c r="D1" t="s">
        <v>1256</v>
      </c>
      <c r="E1" t="s">
        <v>23</v>
      </c>
    </row>
    <row r="2" spans="1:5" x14ac:dyDescent="0.3">
      <c r="A2" t="s">
        <v>1232</v>
      </c>
      <c r="B2" t="s">
        <v>1233</v>
      </c>
      <c r="C2" s="59" t="s">
        <v>1234</v>
      </c>
      <c r="E2">
        <v>10</v>
      </c>
    </row>
    <row r="3" spans="1:5" hidden="1" x14ac:dyDescent="0.3">
      <c r="A3" t="s">
        <v>1232</v>
      </c>
      <c r="B3" t="s">
        <v>1233</v>
      </c>
      <c r="C3" s="59" t="s">
        <v>1235</v>
      </c>
      <c r="D3" t="s">
        <v>1230</v>
      </c>
      <c r="E3">
        <v>6</v>
      </c>
    </row>
    <row r="4" spans="1:5" hidden="1" x14ac:dyDescent="0.3">
      <c r="A4" t="s">
        <v>1232</v>
      </c>
      <c r="B4" t="s">
        <v>1233</v>
      </c>
      <c r="C4" s="59" t="s">
        <v>1236</v>
      </c>
      <c r="E4">
        <v>1</v>
      </c>
    </row>
    <row r="5" spans="1:5" hidden="1" x14ac:dyDescent="0.3">
      <c r="A5" t="s">
        <v>1232</v>
      </c>
      <c r="B5" t="s">
        <v>1233</v>
      </c>
      <c r="C5" s="59" t="s">
        <v>1237</v>
      </c>
      <c r="E5">
        <v>1</v>
      </c>
    </row>
    <row r="6" spans="1:5" hidden="1" x14ac:dyDescent="0.3">
      <c r="A6" t="s">
        <v>1232</v>
      </c>
      <c r="B6" t="s">
        <v>1233</v>
      </c>
      <c r="C6" s="59" t="s">
        <v>1238</v>
      </c>
      <c r="E6">
        <v>2</v>
      </c>
    </row>
    <row r="7" spans="1:5" hidden="1" x14ac:dyDescent="0.3">
      <c r="A7" t="s">
        <v>1232</v>
      </c>
      <c r="B7" t="s">
        <v>1233</v>
      </c>
      <c r="C7" s="59" t="s">
        <v>1239</v>
      </c>
      <c r="E7">
        <v>3</v>
      </c>
    </row>
    <row r="8" spans="1:5" hidden="1" x14ac:dyDescent="0.3">
      <c r="A8" t="s">
        <v>1232</v>
      </c>
      <c r="B8" t="s">
        <v>1233</v>
      </c>
      <c r="C8" s="59" t="s">
        <v>1240</v>
      </c>
      <c r="E8">
        <v>1</v>
      </c>
    </row>
    <row r="9" spans="1:5" hidden="1" x14ac:dyDescent="0.3">
      <c r="A9" t="s">
        <v>1232</v>
      </c>
      <c r="B9" t="s">
        <v>1233</v>
      </c>
      <c r="C9" s="59" t="s">
        <v>1241</v>
      </c>
      <c r="E9">
        <v>2</v>
      </c>
    </row>
    <row r="10" spans="1:5" hidden="1" x14ac:dyDescent="0.3">
      <c r="A10" t="s">
        <v>1232</v>
      </c>
      <c r="B10" t="s">
        <v>1233</v>
      </c>
      <c r="C10" s="59" t="s">
        <v>1228</v>
      </c>
      <c r="E10">
        <v>2</v>
      </c>
    </row>
    <row r="11" spans="1:5" hidden="1" x14ac:dyDescent="0.3">
      <c r="A11" t="s">
        <v>1232</v>
      </c>
      <c r="B11" t="s">
        <v>1233</v>
      </c>
      <c r="C11" s="59" t="s">
        <v>1242</v>
      </c>
      <c r="D11" t="s">
        <v>1230</v>
      </c>
      <c r="E11">
        <v>4</v>
      </c>
    </row>
    <row r="12" spans="1:5" hidden="1" x14ac:dyDescent="0.3">
      <c r="A12" t="s">
        <v>1243</v>
      </c>
      <c r="B12" t="s">
        <v>1244</v>
      </c>
      <c r="C12" s="59" t="s">
        <v>1245</v>
      </c>
      <c r="E12">
        <v>2</v>
      </c>
    </row>
    <row r="13" spans="1:5" hidden="1" x14ac:dyDescent="0.3">
      <c r="A13" t="s">
        <v>1243</v>
      </c>
      <c r="B13" t="s">
        <v>1244</v>
      </c>
      <c r="C13" s="59" t="s">
        <v>1246</v>
      </c>
      <c r="E13">
        <v>3</v>
      </c>
    </row>
    <row r="14" spans="1:5" hidden="1" x14ac:dyDescent="0.3">
      <c r="A14" t="s">
        <v>1243</v>
      </c>
      <c r="B14" t="s">
        <v>1244</v>
      </c>
      <c r="C14" s="59" t="s">
        <v>1247</v>
      </c>
      <c r="E14">
        <v>2</v>
      </c>
    </row>
    <row r="15" spans="1:5" hidden="1" x14ac:dyDescent="0.3">
      <c r="A15" t="s">
        <v>1243</v>
      </c>
      <c r="B15" t="s">
        <v>1244</v>
      </c>
      <c r="C15" s="59" t="s">
        <v>1248</v>
      </c>
      <c r="E15">
        <v>1</v>
      </c>
    </row>
    <row r="16" spans="1:5" hidden="1" x14ac:dyDescent="0.3">
      <c r="A16" t="s">
        <v>1243</v>
      </c>
      <c r="B16" t="s">
        <v>1244</v>
      </c>
      <c r="C16" s="59" t="s">
        <v>1249</v>
      </c>
      <c r="E16">
        <v>6</v>
      </c>
    </row>
    <row r="17" spans="1:5" hidden="1" x14ac:dyDescent="0.3">
      <c r="A17" t="s">
        <v>1243</v>
      </c>
      <c r="B17" t="s">
        <v>1244</v>
      </c>
      <c r="C17" s="59" t="s">
        <v>1229</v>
      </c>
      <c r="E17">
        <v>1</v>
      </c>
    </row>
    <row r="18" spans="1:5" hidden="1" x14ac:dyDescent="0.3">
      <c r="A18" t="s">
        <v>1243</v>
      </c>
      <c r="B18" t="s">
        <v>1244</v>
      </c>
      <c r="C18" s="59" t="s">
        <v>1250</v>
      </c>
      <c r="E18">
        <v>1</v>
      </c>
    </row>
    <row r="19" spans="1:5" hidden="1" x14ac:dyDescent="0.3">
      <c r="A19" t="s">
        <v>1243</v>
      </c>
      <c r="B19" t="s">
        <v>1244</v>
      </c>
      <c r="C19" s="59" t="s">
        <v>1227</v>
      </c>
      <c r="E19">
        <v>1</v>
      </c>
    </row>
    <row r="20" spans="1:5" hidden="1" x14ac:dyDescent="0.3">
      <c r="A20" t="s">
        <v>1243</v>
      </c>
      <c r="B20" t="s">
        <v>1244</v>
      </c>
      <c r="C20" s="59" t="s">
        <v>1251</v>
      </c>
      <c r="E20">
        <v>1</v>
      </c>
    </row>
    <row r="21" spans="1:5" hidden="1" x14ac:dyDescent="0.3">
      <c r="A21" t="s">
        <v>1243</v>
      </c>
      <c r="B21" t="s">
        <v>1244</v>
      </c>
      <c r="C21" s="59" t="s">
        <v>847</v>
      </c>
      <c r="D21" t="s">
        <v>792</v>
      </c>
      <c r="E21">
        <v>1</v>
      </c>
    </row>
    <row r="22" spans="1:5" hidden="1" x14ac:dyDescent="0.3">
      <c r="A22" t="s">
        <v>1243</v>
      </c>
      <c r="B22" t="s">
        <v>1244</v>
      </c>
      <c r="C22" s="59" t="s">
        <v>850</v>
      </c>
      <c r="D22" t="s">
        <v>815</v>
      </c>
      <c r="E22">
        <v>1</v>
      </c>
    </row>
    <row r="23" spans="1:5" hidden="1" x14ac:dyDescent="0.3">
      <c r="A23" t="s">
        <v>1243</v>
      </c>
      <c r="B23" t="s">
        <v>1244</v>
      </c>
      <c r="C23" s="59" t="s">
        <v>848</v>
      </c>
      <c r="D23" t="s">
        <v>837</v>
      </c>
      <c r="E23">
        <v>1</v>
      </c>
    </row>
    <row r="24" spans="1:5" hidden="1" x14ac:dyDescent="0.3">
      <c r="A24" t="s">
        <v>1243</v>
      </c>
      <c r="B24" t="s">
        <v>1244</v>
      </c>
      <c r="C24" s="59" t="s">
        <v>594</v>
      </c>
      <c r="D24" t="s">
        <v>798</v>
      </c>
      <c r="E24">
        <v>2</v>
      </c>
    </row>
    <row r="25" spans="1:5" hidden="1" x14ac:dyDescent="0.3">
      <c r="A25" t="s">
        <v>1243</v>
      </c>
      <c r="B25" t="s">
        <v>1244</v>
      </c>
      <c r="C25" s="59">
        <v>7297913630</v>
      </c>
      <c r="E25">
        <v>1</v>
      </c>
    </row>
    <row r="26" spans="1:5" hidden="1" x14ac:dyDescent="0.3">
      <c r="A26" t="s">
        <v>1243</v>
      </c>
      <c r="B26" t="s">
        <v>1244</v>
      </c>
      <c r="C26" s="59" t="s">
        <v>849</v>
      </c>
      <c r="D26" t="s">
        <v>796</v>
      </c>
      <c r="E26">
        <v>1</v>
      </c>
    </row>
    <row r="27" spans="1:5" hidden="1" x14ac:dyDescent="0.3">
      <c r="A27" t="s">
        <v>1243</v>
      </c>
      <c r="B27" t="s">
        <v>1244</v>
      </c>
      <c r="C27" s="59" t="s">
        <v>1252</v>
      </c>
      <c r="E27">
        <v>1</v>
      </c>
    </row>
    <row r="28" spans="1:5" hidden="1" x14ac:dyDescent="0.3">
      <c r="A28" t="s">
        <v>1254</v>
      </c>
      <c r="B28" t="s">
        <v>1253</v>
      </c>
      <c r="C28" s="59" t="s">
        <v>1228</v>
      </c>
      <c r="E28">
        <v>1</v>
      </c>
    </row>
    <row r="29" spans="1:5" hidden="1" x14ac:dyDescent="0.3">
      <c r="A29" t="s">
        <v>1254</v>
      </c>
      <c r="B29" t="s">
        <v>1253</v>
      </c>
      <c r="C29" s="59" t="s">
        <v>1229</v>
      </c>
      <c r="D29" t="s">
        <v>1231</v>
      </c>
      <c r="E29">
        <v>1</v>
      </c>
    </row>
    <row r="30" spans="1:5" x14ac:dyDescent="0.3">
      <c r="A30" t="s">
        <v>1254</v>
      </c>
      <c r="B30" t="s">
        <v>1253</v>
      </c>
      <c r="C30" s="59" t="s">
        <v>1234</v>
      </c>
      <c r="E30">
        <v>4</v>
      </c>
    </row>
    <row r="31" spans="1:5" hidden="1" x14ac:dyDescent="0.3">
      <c r="A31" t="s">
        <v>1254</v>
      </c>
      <c r="B31" t="s">
        <v>1253</v>
      </c>
      <c r="C31" s="59" t="s">
        <v>1246</v>
      </c>
      <c r="E31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120D-5425-4AFC-9F4A-70C1A2D0A64D}">
  <sheetPr codeName="Sheet15"/>
  <dimension ref="F27:K55"/>
  <sheetViews>
    <sheetView topLeftCell="E23" workbookViewId="0">
      <selection activeCell="R32" sqref="R32"/>
    </sheetView>
  </sheetViews>
  <sheetFormatPr defaultRowHeight="14.4" x14ac:dyDescent="0.3"/>
  <cols>
    <col min="6" max="6" width="12.21875" bestFit="1" customWidth="1"/>
    <col min="7" max="7" width="30.33203125" bestFit="1" customWidth="1"/>
    <col min="8" max="8" width="15.5546875" bestFit="1" customWidth="1"/>
    <col min="9" max="10" width="6.5546875" bestFit="1" customWidth="1"/>
    <col min="11" max="11" width="10.77734375" bestFit="1" customWidth="1"/>
    <col min="12" max="12" width="10.21875" bestFit="1" customWidth="1"/>
    <col min="13" max="13" width="12.88671875" bestFit="1" customWidth="1"/>
    <col min="14" max="14" width="10.77734375" bestFit="1" customWidth="1"/>
  </cols>
  <sheetData>
    <row r="27" spans="6:11" x14ac:dyDescent="0.3">
      <c r="F27" s="51"/>
      <c r="G27" s="57" t="s">
        <v>1259</v>
      </c>
      <c r="H27" s="57" t="s">
        <v>1260</v>
      </c>
    </row>
    <row r="28" spans="6:11" x14ac:dyDescent="0.3">
      <c r="F28" s="58" t="s">
        <v>1256</v>
      </c>
      <c r="G28" s="61" t="s">
        <v>1257</v>
      </c>
      <c r="H28" s="51" t="s">
        <v>1232</v>
      </c>
      <c r="I28" s="51" t="s">
        <v>1243</v>
      </c>
      <c r="J28" s="51" t="s">
        <v>1254</v>
      </c>
      <c r="K28" s="51" t="s">
        <v>1258</v>
      </c>
    </row>
    <row r="29" spans="6:11" x14ac:dyDescent="0.3">
      <c r="F29" s="51"/>
      <c r="G29" s="52" t="s">
        <v>1248</v>
      </c>
      <c r="H29" s="78"/>
      <c r="I29" s="78">
        <v>1</v>
      </c>
      <c r="J29" s="78"/>
      <c r="K29" s="78">
        <v>1</v>
      </c>
    </row>
    <row r="30" spans="6:11" x14ac:dyDescent="0.3">
      <c r="F30" s="51"/>
      <c r="G30" s="52" t="s">
        <v>1251</v>
      </c>
      <c r="H30" s="78"/>
      <c r="I30" s="78">
        <v>1</v>
      </c>
      <c r="J30" s="78"/>
      <c r="K30" s="78">
        <v>1</v>
      </c>
    </row>
    <row r="31" spans="6:11" x14ac:dyDescent="0.3">
      <c r="F31" s="51"/>
      <c r="G31" s="52" t="s">
        <v>1247</v>
      </c>
      <c r="H31" s="78"/>
      <c r="I31" s="78">
        <v>2</v>
      </c>
      <c r="J31" s="78"/>
      <c r="K31" s="78">
        <v>2</v>
      </c>
    </row>
    <row r="32" spans="6:11" x14ac:dyDescent="0.3">
      <c r="F32" s="51"/>
      <c r="G32" s="52" t="s">
        <v>1245</v>
      </c>
      <c r="H32" s="78"/>
      <c r="I32" s="78">
        <v>2</v>
      </c>
      <c r="J32" s="78"/>
      <c r="K32" s="78">
        <v>2</v>
      </c>
    </row>
    <row r="33" spans="6:11" x14ac:dyDescent="0.3">
      <c r="F33" s="51"/>
      <c r="G33" s="52" t="s">
        <v>1246</v>
      </c>
      <c r="H33" s="78"/>
      <c r="I33" s="78">
        <v>3</v>
      </c>
      <c r="J33" s="78">
        <v>1</v>
      </c>
      <c r="K33" s="78">
        <v>4</v>
      </c>
    </row>
    <row r="34" spans="6:11" x14ac:dyDescent="0.3">
      <c r="F34" s="51"/>
      <c r="G34" s="52" t="s">
        <v>1250</v>
      </c>
      <c r="H34" s="78"/>
      <c r="I34" s="78">
        <v>1</v>
      </c>
      <c r="J34" s="78"/>
      <c r="K34" s="78">
        <v>1</v>
      </c>
    </row>
    <row r="35" spans="6:11" x14ac:dyDescent="0.3">
      <c r="F35" s="55" t="s">
        <v>1261</v>
      </c>
      <c r="G35" s="52" t="s">
        <v>1252</v>
      </c>
      <c r="H35" s="78"/>
      <c r="I35" s="78">
        <v>1</v>
      </c>
      <c r="J35" s="78"/>
      <c r="K35" s="78">
        <v>1</v>
      </c>
    </row>
    <row r="36" spans="6:11" x14ac:dyDescent="0.3">
      <c r="F36" s="51" t="s">
        <v>792</v>
      </c>
      <c r="G36" s="52" t="s">
        <v>847</v>
      </c>
      <c r="H36" s="78"/>
      <c r="I36" s="78">
        <v>1</v>
      </c>
      <c r="J36" s="78"/>
      <c r="K36" s="78">
        <v>1</v>
      </c>
    </row>
    <row r="37" spans="6:11" x14ac:dyDescent="0.3">
      <c r="F37" s="51" t="s">
        <v>837</v>
      </c>
      <c r="G37" s="52" t="s">
        <v>848</v>
      </c>
      <c r="H37" s="78"/>
      <c r="I37" s="78">
        <v>1</v>
      </c>
      <c r="J37" s="78"/>
      <c r="K37" s="78">
        <v>1</v>
      </c>
    </row>
    <row r="38" spans="6:11" x14ac:dyDescent="0.3">
      <c r="F38" s="51" t="s">
        <v>796</v>
      </c>
      <c r="G38" s="52" t="s">
        <v>849</v>
      </c>
      <c r="H38" s="78"/>
      <c r="I38" s="78">
        <v>1</v>
      </c>
      <c r="J38" s="78"/>
      <c r="K38" s="78">
        <v>1</v>
      </c>
    </row>
    <row r="39" spans="6:11" x14ac:dyDescent="0.3">
      <c r="F39" s="51" t="s">
        <v>815</v>
      </c>
      <c r="G39" s="52" t="s">
        <v>850</v>
      </c>
      <c r="H39" s="78"/>
      <c r="I39" s="78">
        <v>1</v>
      </c>
      <c r="J39" s="78"/>
      <c r="K39" s="78">
        <v>1</v>
      </c>
    </row>
    <row r="40" spans="6:11" x14ac:dyDescent="0.3">
      <c r="F40" s="51" t="s">
        <v>798</v>
      </c>
      <c r="G40" s="52" t="s">
        <v>594</v>
      </c>
      <c r="H40" s="78"/>
      <c r="I40" s="78">
        <v>2</v>
      </c>
      <c r="J40" s="78"/>
      <c r="K40" s="78">
        <v>2</v>
      </c>
    </row>
    <row r="41" spans="6:11" x14ac:dyDescent="0.3">
      <c r="F41" s="51" t="s">
        <v>1263</v>
      </c>
      <c r="G41" s="52" t="s">
        <v>1234</v>
      </c>
      <c r="H41" s="78">
        <v>10</v>
      </c>
      <c r="I41" s="78"/>
      <c r="J41" s="78">
        <v>4</v>
      </c>
      <c r="K41" s="78">
        <v>14</v>
      </c>
    </row>
    <row r="42" spans="6:11" x14ac:dyDescent="0.3">
      <c r="F42" s="51"/>
      <c r="G42" s="52" t="s">
        <v>1227</v>
      </c>
      <c r="H42" s="78"/>
      <c r="I42" s="78">
        <v>1</v>
      </c>
      <c r="J42" s="78"/>
      <c r="K42" s="78">
        <v>1</v>
      </c>
    </row>
    <row r="43" spans="6:11" x14ac:dyDescent="0.3">
      <c r="F43" s="51"/>
      <c r="G43" s="52" t="s">
        <v>1228</v>
      </c>
      <c r="H43" s="78">
        <v>2</v>
      </c>
      <c r="I43" s="78"/>
      <c r="J43" s="78">
        <v>1</v>
      </c>
      <c r="K43" s="78">
        <v>3</v>
      </c>
    </row>
    <row r="44" spans="6:11" x14ac:dyDescent="0.3">
      <c r="F44" s="51"/>
      <c r="G44" s="52" t="s">
        <v>1237</v>
      </c>
      <c r="H44" s="78">
        <v>1</v>
      </c>
      <c r="I44" s="78"/>
      <c r="J44" s="78"/>
      <c r="K44" s="78">
        <v>1</v>
      </c>
    </row>
    <row r="45" spans="6:11" x14ac:dyDescent="0.3">
      <c r="F45" s="51"/>
      <c r="G45" s="52" t="s">
        <v>1240</v>
      </c>
      <c r="H45" s="78">
        <v>1</v>
      </c>
      <c r="I45" s="78"/>
      <c r="J45" s="78"/>
      <c r="K45" s="78">
        <v>1</v>
      </c>
    </row>
    <row r="46" spans="6:11" x14ac:dyDescent="0.3">
      <c r="F46" s="51"/>
      <c r="G46" s="52" t="s">
        <v>1241</v>
      </c>
      <c r="H46" s="78">
        <v>2</v>
      </c>
      <c r="I46" s="78"/>
      <c r="J46" s="78"/>
      <c r="K46" s="78">
        <v>2</v>
      </c>
    </row>
    <row r="47" spans="6:11" x14ac:dyDescent="0.3">
      <c r="F47" s="51"/>
      <c r="G47" s="52" t="s">
        <v>1236</v>
      </c>
      <c r="H47" s="78">
        <v>1</v>
      </c>
      <c r="I47" s="78"/>
      <c r="J47" s="78"/>
      <c r="K47" s="78">
        <v>1</v>
      </c>
    </row>
    <row r="48" spans="6:11" x14ac:dyDescent="0.3">
      <c r="F48" s="51"/>
      <c r="G48" s="52" t="s">
        <v>1238</v>
      </c>
      <c r="H48" s="78">
        <v>2</v>
      </c>
      <c r="I48" s="78"/>
      <c r="J48" s="78"/>
      <c r="K48" s="78">
        <v>2</v>
      </c>
    </row>
    <row r="49" spans="6:11" x14ac:dyDescent="0.3">
      <c r="F49" s="51"/>
      <c r="G49" s="52" t="s">
        <v>1239</v>
      </c>
      <c r="H49" s="78">
        <v>3</v>
      </c>
      <c r="I49" s="78"/>
      <c r="J49" s="78"/>
      <c r="K49" s="78">
        <v>3</v>
      </c>
    </row>
    <row r="50" spans="6:11" x14ac:dyDescent="0.3">
      <c r="F50" s="51"/>
      <c r="G50" s="52" t="s">
        <v>1249</v>
      </c>
      <c r="H50" s="78"/>
      <c r="I50" s="78">
        <v>6</v>
      </c>
      <c r="J50" s="78"/>
      <c r="K50" s="78">
        <v>6</v>
      </c>
    </row>
    <row r="51" spans="6:11" x14ac:dyDescent="0.3">
      <c r="F51" s="51"/>
      <c r="G51" s="52" t="s">
        <v>1235</v>
      </c>
      <c r="H51" s="78">
        <v>6</v>
      </c>
      <c r="I51" s="78"/>
      <c r="J51" s="78"/>
      <c r="K51" s="78">
        <v>6</v>
      </c>
    </row>
    <row r="52" spans="6:11" x14ac:dyDescent="0.3">
      <c r="F52" s="51"/>
      <c r="G52" s="52" t="s">
        <v>1242</v>
      </c>
      <c r="H52" s="78">
        <v>4</v>
      </c>
      <c r="I52" s="78"/>
      <c r="J52" s="78"/>
      <c r="K52" s="78">
        <v>4</v>
      </c>
    </row>
    <row r="53" spans="6:11" x14ac:dyDescent="0.3">
      <c r="F53" s="51" t="s">
        <v>1231</v>
      </c>
      <c r="G53" s="52" t="s">
        <v>1229</v>
      </c>
      <c r="H53" s="78"/>
      <c r="I53" s="78">
        <v>1</v>
      </c>
      <c r="J53" s="78">
        <v>1</v>
      </c>
      <c r="K53" s="78">
        <v>2</v>
      </c>
    </row>
    <row r="54" spans="6:11" x14ac:dyDescent="0.3">
      <c r="F54" s="51" t="s">
        <v>1262</v>
      </c>
      <c r="G54" s="52">
        <v>7297913630</v>
      </c>
      <c r="H54" s="78"/>
      <c r="I54" s="78">
        <v>1</v>
      </c>
      <c r="J54" s="78"/>
      <c r="K54" s="78">
        <v>1</v>
      </c>
    </row>
    <row r="55" spans="6:11" x14ac:dyDescent="0.3">
      <c r="F55" s="51"/>
      <c r="G55" s="52" t="s">
        <v>1258</v>
      </c>
      <c r="H55" s="78">
        <v>32</v>
      </c>
      <c r="I55" s="78">
        <v>26</v>
      </c>
      <c r="J55" s="78">
        <v>7</v>
      </c>
      <c r="K55" s="78">
        <v>65</v>
      </c>
    </row>
  </sheetData>
  <conditionalFormatting sqref="F35">
    <cfRule type="duplicateValues" dxfId="8" priority="1"/>
    <cfRule type="duplicateValues" dxfId="7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280</v>
      </c>
      <c r="B2" t="s">
        <v>19</v>
      </c>
    </row>
    <row r="3" spans="1:6" x14ac:dyDescent="0.3">
      <c r="A3" t="s">
        <v>281</v>
      </c>
      <c r="B3" t="s">
        <v>20</v>
      </c>
    </row>
    <row r="4" spans="1:6" x14ac:dyDescent="0.3">
      <c r="A4" t="s">
        <v>282</v>
      </c>
      <c r="B4" t="s">
        <v>21</v>
      </c>
    </row>
    <row r="5" spans="1:6" x14ac:dyDescent="0.3">
      <c r="A5" t="s">
        <v>283</v>
      </c>
      <c r="B5" t="s">
        <v>284</v>
      </c>
    </row>
    <row r="6" spans="1:6" x14ac:dyDescent="0.3">
      <c r="A6" t="s">
        <v>1206</v>
      </c>
      <c r="B6" t="s">
        <v>1207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7"/>
  <sheetViews>
    <sheetView workbookViewId="0">
      <selection activeCell="E15" sqref="E15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269</v>
      </c>
    </row>
    <row r="3" spans="1:4" x14ac:dyDescent="0.3">
      <c r="A3" t="s">
        <v>758</v>
      </c>
    </row>
    <row r="4" spans="1:4" x14ac:dyDescent="0.3">
      <c r="A4" t="s">
        <v>1347</v>
      </c>
    </row>
    <row r="5" spans="1:4" x14ac:dyDescent="0.3">
      <c r="A5" t="s">
        <v>1348</v>
      </c>
    </row>
    <row r="6" spans="1:4" x14ac:dyDescent="0.3">
      <c r="A6" t="s">
        <v>1763</v>
      </c>
    </row>
    <row r="7" spans="1:4" x14ac:dyDescent="0.3">
      <c r="A7" t="s">
        <v>1820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1031</v>
      </c>
      <c r="B9" t="s">
        <v>1032</v>
      </c>
      <c r="C9" t="s">
        <v>1033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421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8"/>
  <sheetViews>
    <sheetView workbookViewId="0">
      <selection activeCell="F14" sqref="F14"/>
    </sheetView>
  </sheetViews>
  <sheetFormatPr defaultRowHeight="14.4" x14ac:dyDescent="0.3"/>
  <cols>
    <col min="1" max="1" width="9.109375" bestFit="1" customWidth="1"/>
    <col min="2" max="2" width="27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72" t="s">
        <v>1947</v>
      </c>
      <c r="B1" s="72" t="s">
        <v>1948</v>
      </c>
      <c r="C1" s="72" t="s">
        <v>1949</v>
      </c>
      <c r="D1" s="72" t="s">
        <v>1950</v>
      </c>
      <c r="E1" s="72" t="s">
        <v>1951</v>
      </c>
      <c r="F1" s="72" t="s">
        <v>1952</v>
      </c>
    </row>
    <row r="2" spans="1:6" ht="60.6" thickBot="1" x14ac:dyDescent="0.35">
      <c r="A2" s="71">
        <v>1</v>
      </c>
      <c r="B2" s="69">
        <v>7000496318</v>
      </c>
      <c r="C2" s="68" t="s">
        <v>1945</v>
      </c>
      <c r="D2" s="73" t="s">
        <v>1946</v>
      </c>
      <c r="E2" s="70" t="s">
        <v>1953</v>
      </c>
      <c r="F2" s="70">
        <v>10000</v>
      </c>
    </row>
    <row r="3" spans="1:6" ht="16.2" thickBot="1" x14ac:dyDescent="0.35">
      <c r="A3" s="71"/>
      <c r="B3" s="69"/>
      <c r="C3" s="68"/>
      <c r="D3" s="70"/>
      <c r="E3" s="70"/>
      <c r="F3" s="70"/>
    </row>
    <row r="4" spans="1:6" ht="16.2" thickBot="1" x14ac:dyDescent="0.35">
      <c r="A4" s="71"/>
      <c r="B4" s="69"/>
      <c r="C4" s="68"/>
      <c r="D4" s="70"/>
      <c r="E4" s="70"/>
      <c r="F4" s="70"/>
    </row>
    <row r="5" spans="1:6" ht="16.2" thickBot="1" x14ac:dyDescent="0.35">
      <c r="A5" s="71"/>
      <c r="B5" s="69"/>
      <c r="C5" s="68"/>
      <c r="D5" s="70"/>
      <c r="E5" s="70"/>
      <c r="F5" s="70"/>
    </row>
    <row r="6" spans="1:6" ht="16.2" thickBot="1" x14ac:dyDescent="0.35">
      <c r="A6" s="71"/>
      <c r="B6" s="69"/>
      <c r="C6" s="68"/>
      <c r="D6" s="70"/>
      <c r="E6" s="70"/>
      <c r="F6" s="70"/>
    </row>
    <row r="7" spans="1:6" ht="16.2" thickBot="1" x14ac:dyDescent="0.35">
      <c r="A7" s="71"/>
      <c r="B7" s="69"/>
      <c r="C7" s="68"/>
      <c r="D7" s="70"/>
      <c r="E7" s="70"/>
      <c r="F7" s="70"/>
    </row>
    <row r="8" spans="1:6" ht="16.2" thickBot="1" x14ac:dyDescent="0.35">
      <c r="A8" s="71"/>
      <c r="B8" s="69"/>
      <c r="C8" s="68"/>
      <c r="D8" s="70"/>
      <c r="E8" s="70"/>
      <c r="F8" s="70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762</v>
      </c>
      <c r="B1" t="s">
        <v>763</v>
      </c>
    </row>
    <row r="2" spans="1:2" x14ac:dyDescent="0.3">
      <c r="A2" s="14" t="s">
        <v>74</v>
      </c>
      <c r="B2" s="13" t="s">
        <v>759</v>
      </c>
    </row>
    <row r="3" spans="1:2" x14ac:dyDescent="0.3">
      <c r="A3" s="14" t="s">
        <v>75</v>
      </c>
      <c r="B3" s="13" t="s">
        <v>759</v>
      </c>
    </row>
    <row r="4" spans="1:2" x14ac:dyDescent="0.3">
      <c r="A4" s="14" t="s">
        <v>76</v>
      </c>
      <c r="B4" s="13" t="s">
        <v>759</v>
      </c>
    </row>
    <row r="5" spans="1:2" x14ac:dyDescent="0.3">
      <c r="A5" s="14" t="s">
        <v>77</v>
      </c>
      <c r="B5" s="13" t="s">
        <v>759</v>
      </c>
    </row>
    <row r="6" spans="1:2" x14ac:dyDescent="0.3">
      <c r="A6" s="14" t="s">
        <v>78</v>
      </c>
      <c r="B6" s="13" t="s">
        <v>759</v>
      </c>
    </row>
    <row r="7" spans="1:2" x14ac:dyDescent="0.3">
      <c r="A7" s="14" t="s">
        <v>79</v>
      </c>
      <c r="B7" s="13" t="s">
        <v>759</v>
      </c>
    </row>
    <row r="8" spans="1:2" x14ac:dyDescent="0.3">
      <c r="A8" s="14" t="s">
        <v>80</v>
      </c>
      <c r="B8" s="13" t="s">
        <v>759</v>
      </c>
    </row>
    <row r="9" spans="1:2" x14ac:dyDescent="0.3">
      <c r="A9" s="14" t="s">
        <v>81</v>
      </c>
      <c r="B9" s="13" t="s">
        <v>759</v>
      </c>
    </row>
    <row r="10" spans="1:2" x14ac:dyDescent="0.3">
      <c r="A10" s="14" t="s">
        <v>82</v>
      </c>
      <c r="B10" s="13" t="s">
        <v>759</v>
      </c>
    </row>
    <row r="11" spans="1:2" x14ac:dyDescent="0.3">
      <c r="A11" s="14" t="s">
        <v>83</v>
      </c>
      <c r="B11" s="13" t="s">
        <v>759</v>
      </c>
    </row>
    <row r="12" spans="1:2" x14ac:dyDescent="0.3">
      <c r="A12" s="14" t="s">
        <v>84</v>
      </c>
      <c r="B12" s="13" t="s">
        <v>759</v>
      </c>
    </row>
    <row r="13" spans="1:2" x14ac:dyDescent="0.3">
      <c r="A13" s="14" t="s">
        <v>85</v>
      </c>
      <c r="B13" s="13" t="s">
        <v>759</v>
      </c>
    </row>
    <row r="14" spans="1:2" x14ac:dyDescent="0.3">
      <c r="A14" s="14" t="s">
        <v>86</v>
      </c>
      <c r="B14" s="13" t="s">
        <v>759</v>
      </c>
    </row>
    <row r="15" spans="1:2" x14ac:dyDescent="0.3">
      <c r="A15" s="14" t="s">
        <v>87</v>
      </c>
      <c r="B15" s="13" t="s">
        <v>759</v>
      </c>
    </row>
    <row r="16" spans="1:2" x14ac:dyDescent="0.3">
      <c r="A16" s="14" t="s">
        <v>88</v>
      </c>
      <c r="B16" s="13" t="s">
        <v>759</v>
      </c>
    </row>
    <row r="17" spans="1:2" x14ac:dyDescent="0.3">
      <c r="A17" s="14" t="s">
        <v>89</v>
      </c>
      <c r="B17" s="13" t="s">
        <v>759</v>
      </c>
    </row>
    <row r="18" spans="1:2" x14ac:dyDescent="0.3">
      <c r="A18" s="14" t="s">
        <v>90</v>
      </c>
      <c r="B18" s="13" t="s">
        <v>759</v>
      </c>
    </row>
    <row r="19" spans="1:2" x14ac:dyDescent="0.3">
      <c r="A19" s="14" t="s">
        <v>91</v>
      </c>
      <c r="B19" s="13" t="s">
        <v>759</v>
      </c>
    </row>
    <row r="20" spans="1:2" x14ac:dyDescent="0.3">
      <c r="A20" s="14" t="s">
        <v>92</v>
      </c>
      <c r="B20" s="13" t="s">
        <v>759</v>
      </c>
    </row>
    <row r="21" spans="1:2" x14ac:dyDescent="0.3">
      <c r="A21" s="14" t="s">
        <v>93</v>
      </c>
      <c r="B21" s="13" t="s">
        <v>759</v>
      </c>
    </row>
    <row r="22" spans="1:2" x14ac:dyDescent="0.3">
      <c r="A22" s="14" t="s">
        <v>94</v>
      </c>
      <c r="B22" s="13" t="s">
        <v>759</v>
      </c>
    </row>
    <row r="23" spans="1:2" x14ac:dyDescent="0.3">
      <c r="A23" s="14" t="s">
        <v>95</v>
      </c>
      <c r="B23" s="13" t="s">
        <v>759</v>
      </c>
    </row>
    <row r="24" spans="1:2" x14ac:dyDescent="0.3">
      <c r="A24" s="14" t="s">
        <v>96</v>
      </c>
      <c r="B24" s="13" t="s">
        <v>759</v>
      </c>
    </row>
    <row r="25" spans="1:2" x14ac:dyDescent="0.3">
      <c r="A25" s="14" t="s">
        <v>97</v>
      </c>
      <c r="B25" s="13" t="s">
        <v>759</v>
      </c>
    </row>
    <row r="26" spans="1:2" x14ac:dyDescent="0.3">
      <c r="A26" s="14" t="s">
        <v>98</v>
      </c>
      <c r="B26" s="13" t="s">
        <v>759</v>
      </c>
    </row>
    <row r="27" spans="1:2" x14ac:dyDescent="0.3">
      <c r="A27" s="14" t="s">
        <v>99</v>
      </c>
      <c r="B27" s="13" t="s">
        <v>759</v>
      </c>
    </row>
    <row r="28" spans="1:2" x14ac:dyDescent="0.3">
      <c r="A28" s="14" t="s">
        <v>100</v>
      </c>
      <c r="B28" s="13" t="s">
        <v>759</v>
      </c>
    </row>
    <row r="29" spans="1:2" x14ac:dyDescent="0.3">
      <c r="A29" s="14" t="s">
        <v>101</v>
      </c>
      <c r="B29" s="13" t="s">
        <v>759</v>
      </c>
    </row>
    <row r="30" spans="1:2" x14ac:dyDescent="0.3">
      <c r="A30" s="14" t="s">
        <v>102</v>
      </c>
      <c r="B30" s="13" t="s">
        <v>759</v>
      </c>
    </row>
    <row r="31" spans="1:2" x14ac:dyDescent="0.3">
      <c r="A31" s="14" t="s">
        <v>103</v>
      </c>
      <c r="B31" s="13" t="s">
        <v>759</v>
      </c>
    </row>
    <row r="32" spans="1:2" x14ac:dyDescent="0.3">
      <c r="A32" s="14" t="s">
        <v>104</v>
      </c>
      <c r="B32" s="13" t="s">
        <v>759</v>
      </c>
    </row>
    <row r="33" spans="1:2" x14ac:dyDescent="0.3">
      <c r="A33" s="14" t="s">
        <v>105</v>
      </c>
      <c r="B33" s="13" t="s">
        <v>759</v>
      </c>
    </row>
    <row r="34" spans="1:2" x14ac:dyDescent="0.3">
      <c r="A34" s="14" t="s">
        <v>106</v>
      </c>
      <c r="B34" s="13" t="s">
        <v>759</v>
      </c>
    </row>
    <row r="35" spans="1:2" x14ac:dyDescent="0.3">
      <c r="A35" s="14" t="s">
        <v>751</v>
      </c>
      <c r="B35" s="13" t="s">
        <v>759</v>
      </c>
    </row>
    <row r="36" spans="1:2" x14ac:dyDescent="0.3">
      <c r="A36" s="14" t="s">
        <v>107</v>
      </c>
      <c r="B36" s="13" t="s">
        <v>759</v>
      </c>
    </row>
    <row r="37" spans="1:2" x14ac:dyDescent="0.3">
      <c r="A37" s="14" t="s">
        <v>108</v>
      </c>
      <c r="B37" s="13" t="s">
        <v>759</v>
      </c>
    </row>
    <row r="38" spans="1:2" x14ac:dyDescent="0.3">
      <c r="A38" s="14" t="s">
        <v>109</v>
      </c>
      <c r="B38" s="13" t="s">
        <v>759</v>
      </c>
    </row>
    <row r="39" spans="1:2" x14ac:dyDescent="0.3">
      <c r="A39" s="14" t="s">
        <v>110</v>
      </c>
      <c r="B39" s="13" t="s">
        <v>759</v>
      </c>
    </row>
    <row r="40" spans="1:2" x14ac:dyDescent="0.3">
      <c r="A40" s="14" t="s">
        <v>111</v>
      </c>
      <c r="B40" s="13" t="s">
        <v>759</v>
      </c>
    </row>
    <row r="41" spans="1:2" x14ac:dyDescent="0.3">
      <c r="A41" s="14" t="s">
        <v>112</v>
      </c>
      <c r="B41" s="13" t="s">
        <v>759</v>
      </c>
    </row>
    <row r="42" spans="1:2" x14ac:dyDescent="0.3">
      <c r="A42" s="14" t="s">
        <v>113</v>
      </c>
      <c r="B42" s="13" t="s">
        <v>759</v>
      </c>
    </row>
    <row r="43" spans="1:2" x14ac:dyDescent="0.3">
      <c r="A43" s="14" t="s">
        <v>750</v>
      </c>
      <c r="B43" s="13" t="s">
        <v>759</v>
      </c>
    </row>
    <row r="44" spans="1:2" x14ac:dyDescent="0.3">
      <c r="A44" s="14" t="s">
        <v>114</v>
      </c>
      <c r="B44" s="13" t="s">
        <v>759</v>
      </c>
    </row>
    <row r="45" spans="1:2" x14ac:dyDescent="0.3">
      <c r="A45" s="14" t="s">
        <v>115</v>
      </c>
      <c r="B45" s="13" t="s">
        <v>759</v>
      </c>
    </row>
    <row r="46" spans="1:2" x14ac:dyDescent="0.3">
      <c r="A46" s="14" t="s">
        <v>116</v>
      </c>
      <c r="B46" s="13" t="s">
        <v>759</v>
      </c>
    </row>
    <row r="47" spans="1:2" x14ac:dyDescent="0.3">
      <c r="A47" s="14" t="s">
        <v>117</v>
      </c>
      <c r="B47" s="13" t="s">
        <v>759</v>
      </c>
    </row>
    <row r="48" spans="1:2" x14ac:dyDescent="0.3">
      <c r="A48" s="14" t="s">
        <v>118</v>
      </c>
      <c r="B48" s="13" t="s">
        <v>759</v>
      </c>
    </row>
    <row r="49" spans="1:2" x14ac:dyDescent="0.3">
      <c r="A49" s="14" t="s">
        <v>119</v>
      </c>
      <c r="B49" s="13" t="s">
        <v>759</v>
      </c>
    </row>
    <row r="50" spans="1:2" x14ac:dyDescent="0.3">
      <c r="A50" s="14" t="s">
        <v>120</v>
      </c>
      <c r="B50" s="13" t="s">
        <v>759</v>
      </c>
    </row>
    <row r="51" spans="1:2" x14ac:dyDescent="0.3">
      <c r="A51" s="14" t="s">
        <v>121</v>
      </c>
      <c r="B51" s="13" t="s">
        <v>759</v>
      </c>
    </row>
    <row r="52" spans="1:2" x14ac:dyDescent="0.3">
      <c r="A52" s="14" t="s">
        <v>122</v>
      </c>
      <c r="B52" s="13" t="s">
        <v>759</v>
      </c>
    </row>
    <row r="53" spans="1:2" x14ac:dyDescent="0.3">
      <c r="A53" s="14" t="s">
        <v>123</v>
      </c>
      <c r="B53" s="13" t="s">
        <v>759</v>
      </c>
    </row>
    <row r="54" spans="1:2" x14ac:dyDescent="0.3">
      <c r="A54" s="14" t="s">
        <v>124</v>
      </c>
      <c r="B54" s="13" t="s">
        <v>759</v>
      </c>
    </row>
    <row r="55" spans="1:2" x14ac:dyDescent="0.3">
      <c r="A55" s="14" t="s">
        <v>125</v>
      </c>
      <c r="B55" s="13" t="s">
        <v>759</v>
      </c>
    </row>
    <row r="56" spans="1:2" x14ac:dyDescent="0.3">
      <c r="A56" s="14" t="s">
        <v>127</v>
      </c>
      <c r="B56" s="13" t="s">
        <v>759</v>
      </c>
    </row>
    <row r="57" spans="1:2" x14ac:dyDescent="0.3">
      <c r="A57" s="14" t="s">
        <v>128</v>
      </c>
      <c r="B57" s="13" t="s">
        <v>759</v>
      </c>
    </row>
    <row r="58" spans="1:2" x14ac:dyDescent="0.3">
      <c r="A58" s="14" t="s">
        <v>129</v>
      </c>
      <c r="B58" s="13" t="s">
        <v>759</v>
      </c>
    </row>
    <row r="59" spans="1:2" x14ac:dyDescent="0.3">
      <c r="A59" s="14" t="s">
        <v>130</v>
      </c>
      <c r="B59" s="13" t="s">
        <v>759</v>
      </c>
    </row>
    <row r="60" spans="1:2" x14ac:dyDescent="0.3">
      <c r="A60" s="14" t="s">
        <v>131</v>
      </c>
      <c r="B60" s="13" t="s">
        <v>759</v>
      </c>
    </row>
    <row r="61" spans="1:2" x14ac:dyDescent="0.3">
      <c r="A61" s="14" t="s">
        <v>132</v>
      </c>
      <c r="B61" s="13" t="s">
        <v>759</v>
      </c>
    </row>
    <row r="62" spans="1:2" x14ac:dyDescent="0.3">
      <c r="A62" s="14" t="s">
        <v>133</v>
      </c>
      <c r="B62" s="13" t="s">
        <v>759</v>
      </c>
    </row>
    <row r="63" spans="1:2" x14ac:dyDescent="0.3">
      <c r="A63" s="14" t="s">
        <v>134</v>
      </c>
      <c r="B63" s="13" t="s">
        <v>759</v>
      </c>
    </row>
    <row r="64" spans="1:2" x14ac:dyDescent="0.3">
      <c r="A64" s="14" t="s">
        <v>295</v>
      </c>
      <c r="B64" s="13" t="s">
        <v>759</v>
      </c>
    </row>
    <row r="65" spans="1:2" x14ac:dyDescent="0.3">
      <c r="A65" s="14" t="s">
        <v>135</v>
      </c>
      <c r="B65" s="13" t="s">
        <v>759</v>
      </c>
    </row>
    <row r="66" spans="1:2" x14ac:dyDescent="0.3">
      <c r="A66" s="14" t="s">
        <v>291</v>
      </c>
      <c r="B66" s="13" t="s">
        <v>759</v>
      </c>
    </row>
    <row r="67" spans="1:2" x14ac:dyDescent="0.3">
      <c r="A67" s="14" t="s">
        <v>136</v>
      </c>
      <c r="B67" s="13" t="s">
        <v>759</v>
      </c>
    </row>
    <row r="68" spans="1:2" x14ac:dyDescent="0.3">
      <c r="A68" s="14" t="s">
        <v>137</v>
      </c>
      <c r="B68" s="13" t="s">
        <v>759</v>
      </c>
    </row>
    <row r="69" spans="1:2" x14ac:dyDescent="0.3">
      <c r="A69" s="14" t="s">
        <v>138</v>
      </c>
      <c r="B69" s="13" t="s">
        <v>759</v>
      </c>
    </row>
    <row r="70" spans="1:2" x14ac:dyDescent="0.3">
      <c r="A70" s="14" t="s">
        <v>139</v>
      </c>
      <c r="B70" s="13" t="s">
        <v>759</v>
      </c>
    </row>
    <row r="71" spans="1:2" x14ac:dyDescent="0.3">
      <c r="A71" s="14" t="s">
        <v>140</v>
      </c>
      <c r="B71" s="13" t="s">
        <v>759</v>
      </c>
    </row>
    <row r="72" spans="1:2" x14ac:dyDescent="0.3">
      <c r="A72" s="14" t="s">
        <v>141</v>
      </c>
      <c r="B72" s="13" t="s">
        <v>759</v>
      </c>
    </row>
    <row r="73" spans="1:2" x14ac:dyDescent="0.3">
      <c r="A73" s="14" t="s">
        <v>142</v>
      </c>
      <c r="B73" s="13" t="s">
        <v>759</v>
      </c>
    </row>
    <row r="74" spans="1:2" x14ac:dyDescent="0.3">
      <c r="A74" s="14" t="s">
        <v>143</v>
      </c>
      <c r="B74" s="13" t="s">
        <v>759</v>
      </c>
    </row>
    <row r="75" spans="1:2" x14ac:dyDescent="0.3">
      <c r="A75" s="14" t="s">
        <v>144</v>
      </c>
      <c r="B75" s="13" t="s">
        <v>759</v>
      </c>
    </row>
    <row r="76" spans="1:2" x14ac:dyDescent="0.3">
      <c r="A76" s="14" t="s">
        <v>145</v>
      </c>
      <c r="B76" s="13" t="s">
        <v>759</v>
      </c>
    </row>
    <row r="77" spans="1:2" x14ac:dyDescent="0.3">
      <c r="A77" s="14" t="s">
        <v>146</v>
      </c>
      <c r="B77" s="13" t="s">
        <v>759</v>
      </c>
    </row>
    <row r="78" spans="1:2" x14ac:dyDescent="0.3">
      <c r="A78" s="14" t="s">
        <v>147</v>
      </c>
      <c r="B78" s="13" t="s">
        <v>759</v>
      </c>
    </row>
    <row r="79" spans="1:2" x14ac:dyDescent="0.3">
      <c r="A79" s="14" t="s">
        <v>148</v>
      </c>
      <c r="B79" s="13" t="s">
        <v>759</v>
      </c>
    </row>
    <row r="80" spans="1:2" x14ac:dyDescent="0.3">
      <c r="A80" s="14" t="s">
        <v>149</v>
      </c>
      <c r="B80" s="13" t="s">
        <v>759</v>
      </c>
    </row>
    <row r="81" spans="1:2" x14ac:dyDescent="0.3">
      <c r="A81" s="14" t="s">
        <v>150</v>
      </c>
      <c r="B81" s="13" t="s">
        <v>759</v>
      </c>
    </row>
    <row r="82" spans="1:2" x14ac:dyDescent="0.3">
      <c r="A82" s="14" t="s">
        <v>151</v>
      </c>
      <c r="B82" s="13" t="s">
        <v>759</v>
      </c>
    </row>
    <row r="83" spans="1:2" x14ac:dyDescent="0.3">
      <c r="A83" s="14" t="s">
        <v>152</v>
      </c>
      <c r="B83" s="13" t="s">
        <v>759</v>
      </c>
    </row>
    <row r="84" spans="1:2" x14ac:dyDescent="0.3">
      <c r="A84" s="14" t="s">
        <v>153</v>
      </c>
      <c r="B84" s="13" t="s">
        <v>759</v>
      </c>
    </row>
    <row r="85" spans="1:2" x14ac:dyDescent="0.3">
      <c r="A85" s="14" t="s">
        <v>154</v>
      </c>
      <c r="B85" s="13" t="s">
        <v>759</v>
      </c>
    </row>
    <row r="86" spans="1:2" x14ac:dyDescent="0.3">
      <c r="A86" s="14" t="s">
        <v>155</v>
      </c>
      <c r="B86" s="13" t="s">
        <v>759</v>
      </c>
    </row>
    <row r="87" spans="1:2" x14ac:dyDescent="0.3">
      <c r="A87" s="14" t="s">
        <v>156</v>
      </c>
      <c r="B87" s="13" t="s">
        <v>759</v>
      </c>
    </row>
    <row r="88" spans="1:2" x14ac:dyDescent="0.3">
      <c r="A88" s="14" t="s">
        <v>157</v>
      </c>
      <c r="B88" s="13" t="s">
        <v>759</v>
      </c>
    </row>
    <row r="89" spans="1:2" x14ac:dyDescent="0.3">
      <c r="A89" s="14" t="s">
        <v>158</v>
      </c>
      <c r="B89" s="13" t="s">
        <v>759</v>
      </c>
    </row>
    <row r="90" spans="1:2" x14ac:dyDescent="0.3">
      <c r="A90" s="14" t="s">
        <v>159</v>
      </c>
      <c r="B90" s="13" t="s">
        <v>759</v>
      </c>
    </row>
    <row r="91" spans="1:2" x14ac:dyDescent="0.3">
      <c r="A91" s="14" t="s">
        <v>160</v>
      </c>
      <c r="B91" s="13" t="s">
        <v>759</v>
      </c>
    </row>
    <row r="92" spans="1:2" x14ac:dyDescent="0.3">
      <c r="A92" s="14" t="s">
        <v>161</v>
      </c>
      <c r="B92" s="13" t="s">
        <v>759</v>
      </c>
    </row>
    <row r="93" spans="1:2" x14ac:dyDescent="0.3">
      <c r="A93" s="14" t="s">
        <v>162</v>
      </c>
      <c r="B93" s="13" t="s">
        <v>759</v>
      </c>
    </row>
    <row r="94" spans="1:2" x14ac:dyDescent="0.3">
      <c r="A94" s="14" t="s">
        <v>163</v>
      </c>
      <c r="B94" s="13" t="s">
        <v>759</v>
      </c>
    </row>
    <row r="95" spans="1:2" x14ac:dyDescent="0.3">
      <c r="A95" s="14" t="s">
        <v>164</v>
      </c>
      <c r="B95" s="13" t="s">
        <v>759</v>
      </c>
    </row>
    <row r="96" spans="1:2" x14ac:dyDescent="0.3">
      <c r="A96" s="14" t="s">
        <v>293</v>
      </c>
      <c r="B96" s="13" t="s">
        <v>759</v>
      </c>
    </row>
    <row r="97" spans="1:2" x14ac:dyDescent="0.3">
      <c r="A97" s="14" t="s">
        <v>165</v>
      </c>
      <c r="B97" s="13" t="s">
        <v>759</v>
      </c>
    </row>
    <row r="98" spans="1:2" x14ac:dyDescent="0.3">
      <c r="A98" s="14" t="s">
        <v>166</v>
      </c>
      <c r="B98" s="13" t="s">
        <v>759</v>
      </c>
    </row>
    <row r="99" spans="1:2" x14ac:dyDescent="0.3">
      <c r="A99" s="14" t="s">
        <v>167</v>
      </c>
      <c r="B99" s="13" t="s">
        <v>759</v>
      </c>
    </row>
    <row r="100" spans="1:2" x14ac:dyDescent="0.3">
      <c r="A100" s="14" t="s">
        <v>168</v>
      </c>
      <c r="B100" s="13" t="s">
        <v>759</v>
      </c>
    </row>
    <row r="101" spans="1:2" x14ac:dyDescent="0.3">
      <c r="A101" s="14" t="s">
        <v>169</v>
      </c>
      <c r="B101" s="13" t="s">
        <v>759</v>
      </c>
    </row>
    <row r="102" spans="1:2" x14ac:dyDescent="0.3">
      <c r="A102" s="14" t="s">
        <v>170</v>
      </c>
      <c r="B102" s="13" t="s">
        <v>759</v>
      </c>
    </row>
    <row r="103" spans="1:2" x14ac:dyDescent="0.3">
      <c r="A103" s="14" t="s">
        <v>171</v>
      </c>
      <c r="B103" s="13" t="s">
        <v>759</v>
      </c>
    </row>
    <row r="104" spans="1:2" x14ac:dyDescent="0.3">
      <c r="A104" s="14" t="s">
        <v>172</v>
      </c>
      <c r="B104" s="13" t="s">
        <v>759</v>
      </c>
    </row>
    <row r="105" spans="1:2" x14ac:dyDescent="0.3">
      <c r="A105" s="14" t="s">
        <v>173</v>
      </c>
      <c r="B105" s="13" t="s">
        <v>759</v>
      </c>
    </row>
    <row r="106" spans="1:2" x14ac:dyDescent="0.3">
      <c r="A106" s="14" t="s">
        <v>174</v>
      </c>
      <c r="B106" s="13" t="s">
        <v>759</v>
      </c>
    </row>
    <row r="107" spans="1:2" x14ac:dyDescent="0.3">
      <c r="A107" s="14" t="s">
        <v>175</v>
      </c>
      <c r="B107" s="13" t="s">
        <v>759</v>
      </c>
    </row>
    <row r="108" spans="1:2" x14ac:dyDescent="0.3">
      <c r="A108" s="14" t="s">
        <v>176</v>
      </c>
      <c r="B108" s="13" t="s">
        <v>759</v>
      </c>
    </row>
    <row r="109" spans="1:2" x14ac:dyDescent="0.3">
      <c r="A109" s="14" t="s">
        <v>177</v>
      </c>
      <c r="B109" s="13" t="s">
        <v>759</v>
      </c>
    </row>
    <row r="110" spans="1:2" x14ac:dyDescent="0.3">
      <c r="A110" s="14" t="s">
        <v>178</v>
      </c>
      <c r="B110" s="13" t="s">
        <v>759</v>
      </c>
    </row>
    <row r="111" spans="1:2" x14ac:dyDescent="0.3">
      <c r="A111" s="14" t="s">
        <v>179</v>
      </c>
      <c r="B111" s="13" t="s">
        <v>759</v>
      </c>
    </row>
    <row r="112" spans="1:2" x14ac:dyDescent="0.3">
      <c r="A112" s="14" t="s">
        <v>180</v>
      </c>
      <c r="B112" s="13" t="s">
        <v>759</v>
      </c>
    </row>
    <row r="113" spans="1:2" x14ac:dyDescent="0.3">
      <c r="A113" s="14" t="s">
        <v>181</v>
      </c>
      <c r="B113" s="13" t="s">
        <v>759</v>
      </c>
    </row>
    <row r="114" spans="1:2" x14ac:dyDescent="0.3">
      <c r="A114" s="14" t="s">
        <v>182</v>
      </c>
      <c r="B114" s="13" t="s">
        <v>759</v>
      </c>
    </row>
    <row r="115" spans="1:2" x14ac:dyDescent="0.3">
      <c r="A115" s="14" t="s">
        <v>183</v>
      </c>
      <c r="B115" s="13" t="s">
        <v>759</v>
      </c>
    </row>
    <row r="116" spans="1:2" x14ac:dyDescent="0.3">
      <c r="A116" s="14" t="s">
        <v>184</v>
      </c>
      <c r="B116" s="13" t="s">
        <v>759</v>
      </c>
    </row>
    <row r="117" spans="1:2" x14ac:dyDescent="0.3">
      <c r="A117" s="14" t="s">
        <v>185</v>
      </c>
      <c r="B117" s="13" t="s">
        <v>759</v>
      </c>
    </row>
    <row r="118" spans="1:2" x14ac:dyDescent="0.3">
      <c r="A118" s="14" t="s">
        <v>186</v>
      </c>
      <c r="B118" s="13" t="s">
        <v>759</v>
      </c>
    </row>
    <row r="119" spans="1:2" x14ac:dyDescent="0.3">
      <c r="A119" s="14" t="s">
        <v>187</v>
      </c>
      <c r="B119" s="13" t="s">
        <v>759</v>
      </c>
    </row>
    <row r="120" spans="1:2" x14ac:dyDescent="0.3">
      <c r="A120" s="14" t="s">
        <v>188</v>
      </c>
      <c r="B120" s="13" t="s">
        <v>759</v>
      </c>
    </row>
    <row r="121" spans="1:2" x14ac:dyDescent="0.3">
      <c r="A121" s="14" t="s">
        <v>189</v>
      </c>
      <c r="B121" s="13" t="s">
        <v>759</v>
      </c>
    </row>
    <row r="122" spans="1:2" x14ac:dyDescent="0.3">
      <c r="A122" s="14" t="s">
        <v>190</v>
      </c>
      <c r="B122" s="13" t="s">
        <v>759</v>
      </c>
    </row>
    <row r="123" spans="1:2" x14ac:dyDescent="0.3">
      <c r="A123" s="14" t="s">
        <v>301</v>
      </c>
      <c r="B123" s="13" t="s">
        <v>759</v>
      </c>
    </row>
    <row r="124" spans="1:2" x14ac:dyDescent="0.3">
      <c r="A124" s="14" t="s">
        <v>289</v>
      </c>
      <c r="B124" s="13" t="s">
        <v>759</v>
      </c>
    </row>
    <row r="125" spans="1:2" x14ac:dyDescent="0.3">
      <c r="A125" s="14" t="s">
        <v>192</v>
      </c>
      <c r="B125" s="13" t="s">
        <v>759</v>
      </c>
    </row>
    <row r="126" spans="1:2" x14ac:dyDescent="0.3">
      <c r="A126" s="14" t="s">
        <v>191</v>
      </c>
      <c r="B126" s="13" t="s">
        <v>759</v>
      </c>
    </row>
    <row r="127" spans="1:2" x14ac:dyDescent="0.3">
      <c r="A127" s="14" t="s">
        <v>193</v>
      </c>
      <c r="B127" s="13" t="s">
        <v>759</v>
      </c>
    </row>
    <row r="128" spans="1:2" x14ac:dyDescent="0.3">
      <c r="A128" s="14" t="s">
        <v>194</v>
      </c>
      <c r="B128" s="13" t="s">
        <v>759</v>
      </c>
    </row>
    <row r="129" spans="1:2" x14ac:dyDescent="0.3">
      <c r="A129" s="14" t="s">
        <v>195</v>
      </c>
      <c r="B129" s="13" t="s">
        <v>759</v>
      </c>
    </row>
    <row r="130" spans="1:2" x14ac:dyDescent="0.3">
      <c r="A130" s="14" t="s">
        <v>196</v>
      </c>
      <c r="B130" s="13" t="s">
        <v>759</v>
      </c>
    </row>
    <row r="131" spans="1:2" x14ac:dyDescent="0.3">
      <c r="A131" s="14" t="s">
        <v>290</v>
      </c>
      <c r="B131" s="13" t="s">
        <v>759</v>
      </c>
    </row>
    <row r="132" spans="1:2" x14ac:dyDescent="0.3">
      <c r="A132" s="14" t="s">
        <v>199</v>
      </c>
      <c r="B132" s="13" t="s">
        <v>759</v>
      </c>
    </row>
    <row r="133" spans="1:2" x14ac:dyDescent="0.3">
      <c r="A133" s="14" t="s">
        <v>200</v>
      </c>
      <c r="B133" s="13" t="s">
        <v>759</v>
      </c>
    </row>
    <row r="134" spans="1:2" x14ac:dyDescent="0.3">
      <c r="A134" s="14" t="s">
        <v>197</v>
      </c>
      <c r="B134" s="13" t="s">
        <v>759</v>
      </c>
    </row>
    <row r="135" spans="1:2" x14ac:dyDescent="0.3">
      <c r="A135" s="14" t="s">
        <v>292</v>
      </c>
      <c r="B135" s="13" t="s">
        <v>759</v>
      </c>
    </row>
    <row r="136" spans="1:2" x14ac:dyDescent="0.3">
      <c r="A136" s="14" t="s">
        <v>201</v>
      </c>
      <c r="B136" s="13" t="s">
        <v>759</v>
      </c>
    </row>
    <row r="137" spans="1:2" x14ac:dyDescent="0.3">
      <c r="A137" s="14" t="s">
        <v>202</v>
      </c>
      <c r="B137" s="13" t="s">
        <v>759</v>
      </c>
    </row>
    <row r="138" spans="1:2" x14ac:dyDescent="0.3">
      <c r="A138" s="14" t="s">
        <v>203</v>
      </c>
      <c r="B138" s="13" t="s">
        <v>759</v>
      </c>
    </row>
    <row r="139" spans="1:2" x14ac:dyDescent="0.3">
      <c r="A139" s="14" t="s">
        <v>204</v>
      </c>
      <c r="B139" s="13" t="s">
        <v>759</v>
      </c>
    </row>
    <row r="140" spans="1:2" x14ac:dyDescent="0.3">
      <c r="A140" s="14" t="s">
        <v>205</v>
      </c>
      <c r="B140" s="13" t="s">
        <v>759</v>
      </c>
    </row>
    <row r="141" spans="1:2" x14ac:dyDescent="0.3">
      <c r="A141" s="14" t="s">
        <v>206</v>
      </c>
      <c r="B141" s="13" t="s">
        <v>759</v>
      </c>
    </row>
    <row r="142" spans="1:2" x14ac:dyDescent="0.3">
      <c r="A142" s="14" t="s">
        <v>294</v>
      </c>
      <c r="B142" s="13" t="s">
        <v>759</v>
      </c>
    </row>
    <row r="143" spans="1:2" x14ac:dyDescent="0.3">
      <c r="A143" s="14" t="s">
        <v>207</v>
      </c>
      <c r="B143" s="13" t="s">
        <v>759</v>
      </c>
    </row>
    <row r="144" spans="1:2" x14ac:dyDescent="0.3">
      <c r="A144" s="14" t="s">
        <v>208</v>
      </c>
      <c r="B144" s="13" t="s">
        <v>759</v>
      </c>
    </row>
    <row r="145" spans="1:2" x14ac:dyDescent="0.3">
      <c r="A145" s="14" t="s">
        <v>209</v>
      </c>
      <c r="B145" s="13" t="s">
        <v>759</v>
      </c>
    </row>
    <row r="146" spans="1:2" x14ac:dyDescent="0.3">
      <c r="A146" s="14" t="s">
        <v>210</v>
      </c>
      <c r="B146" s="13" t="s">
        <v>759</v>
      </c>
    </row>
    <row r="147" spans="1:2" x14ac:dyDescent="0.3">
      <c r="A147" s="14" t="s">
        <v>277</v>
      </c>
      <c r="B147" s="13" t="s">
        <v>759</v>
      </c>
    </row>
    <row r="148" spans="1:2" x14ac:dyDescent="0.3">
      <c r="A148" s="14" t="s">
        <v>198</v>
      </c>
      <c r="B148" s="13" t="s">
        <v>759</v>
      </c>
    </row>
    <row r="149" spans="1:2" x14ac:dyDescent="0.3">
      <c r="A149" s="14" t="s">
        <v>302</v>
      </c>
      <c r="B149" s="13" t="s">
        <v>759</v>
      </c>
    </row>
    <row r="150" spans="1:2" x14ac:dyDescent="0.3">
      <c r="A150" s="14" t="s">
        <v>305</v>
      </c>
      <c r="B150" s="13" t="s">
        <v>759</v>
      </c>
    </row>
    <row r="151" spans="1:2" x14ac:dyDescent="0.3">
      <c r="A151" s="14" t="s">
        <v>278</v>
      </c>
      <c r="B151" s="13" t="s">
        <v>759</v>
      </c>
    </row>
    <row r="152" spans="1:2" x14ac:dyDescent="0.3">
      <c r="A152" s="14" t="s">
        <v>298</v>
      </c>
      <c r="B152" s="13" t="s">
        <v>759</v>
      </c>
    </row>
    <row r="153" spans="1:2" x14ac:dyDescent="0.3">
      <c r="A153" s="14" t="s">
        <v>303</v>
      </c>
      <c r="B153" s="13" t="s">
        <v>759</v>
      </c>
    </row>
    <row r="154" spans="1:2" x14ac:dyDescent="0.3">
      <c r="A154" s="14" t="s">
        <v>279</v>
      </c>
      <c r="B154" s="13" t="s">
        <v>759</v>
      </c>
    </row>
    <row r="155" spans="1:2" x14ac:dyDescent="0.3">
      <c r="A155" s="14" t="s">
        <v>126</v>
      </c>
      <c r="B155" s="13" t="s">
        <v>759</v>
      </c>
    </row>
    <row r="156" spans="1:2" x14ac:dyDescent="0.3">
      <c r="A156" s="14" t="s">
        <v>300</v>
      </c>
      <c r="B156" s="13" t="s">
        <v>759</v>
      </c>
    </row>
    <row r="157" spans="1:2" x14ac:dyDescent="0.3">
      <c r="A157" s="14" t="s">
        <v>765</v>
      </c>
      <c r="B157" s="13" t="s">
        <v>759</v>
      </c>
    </row>
    <row r="158" spans="1:2" x14ac:dyDescent="0.3">
      <c r="A158" s="14" t="s">
        <v>766</v>
      </c>
      <c r="B158" s="13" t="s">
        <v>759</v>
      </c>
    </row>
    <row r="159" spans="1:2" x14ac:dyDescent="0.3">
      <c r="A159" s="14" t="s">
        <v>767</v>
      </c>
      <c r="B159" s="13" t="s">
        <v>759</v>
      </c>
    </row>
    <row r="160" spans="1:2" x14ac:dyDescent="0.3">
      <c r="A160" s="14" t="s">
        <v>768</v>
      </c>
      <c r="B160" s="13" t="s">
        <v>759</v>
      </c>
    </row>
    <row r="161" spans="1:2" x14ac:dyDescent="0.3">
      <c r="A161" s="14" t="s">
        <v>769</v>
      </c>
      <c r="B161" s="13" t="s">
        <v>759</v>
      </c>
    </row>
    <row r="162" spans="1:2" x14ac:dyDescent="0.3">
      <c r="A162" s="14" t="s">
        <v>770</v>
      </c>
      <c r="B162" s="13" t="s">
        <v>759</v>
      </c>
    </row>
    <row r="163" spans="1:2" x14ac:dyDescent="0.3">
      <c r="A163" s="14" t="s">
        <v>771</v>
      </c>
      <c r="B163" s="13" t="s">
        <v>759</v>
      </c>
    </row>
    <row r="164" spans="1:2" x14ac:dyDescent="0.3">
      <c r="A164" s="14" t="s">
        <v>772</v>
      </c>
      <c r="B164" s="13" t="s">
        <v>759</v>
      </c>
    </row>
    <row r="165" spans="1:2" x14ac:dyDescent="0.3">
      <c r="A165" s="14" t="s">
        <v>773</v>
      </c>
      <c r="B165" s="13" t="s">
        <v>759</v>
      </c>
    </row>
    <row r="166" spans="1:2" x14ac:dyDescent="0.3">
      <c r="A166" s="14" t="s">
        <v>774</v>
      </c>
      <c r="B166" s="13" t="s">
        <v>759</v>
      </c>
    </row>
    <row r="167" spans="1:2" x14ac:dyDescent="0.3">
      <c r="A167" s="14" t="s">
        <v>775</v>
      </c>
      <c r="B167" s="13" t="s">
        <v>759</v>
      </c>
    </row>
    <row r="168" spans="1:2" x14ac:dyDescent="0.3">
      <c r="A168" s="14" t="s">
        <v>776</v>
      </c>
      <c r="B168" s="13" t="s">
        <v>759</v>
      </c>
    </row>
    <row r="169" spans="1:2" x14ac:dyDescent="0.3">
      <c r="A169" s="14" t="s">
        <v>777</v>
      </c>
      <c r="B169" s="13" t="s">
        <v>759</v>
      </c>
    </row>
    <row r="170" spans="1:2" x14ac:dyDescent="0.3">
      <c r="A170" s="14" t="s">
        <v>802</v>
      </c>
      <c r="B170" s="13" t="s">
        <v>759</v>
      </c>
    </row>
    <row r="171" spans="1:2" x14ac:dyDescent="0.3">
      <c r="A171" s="14" t="s">
        <v>778</v>
      </c>
      <c r="B171" s="13" t="s">
        <v>759</v>
      </c>
    </row>
    <row r="172" spans="1:2" x14ac:dyDescent="0.3">
      <c r="A172" s="14" t="s">
        <v>779</v>
      </c>
      <c r="B172" s="13" t="s">
        <v>759</v>
      </c>
    </row>
    <row r="173" spans="1:2" x14ac:dyDescent="0.3">
      <c r="A173" s="14" t="s">
        <v>803</v>
      </c>
      <c r="B173" s="13" t="s">
        <v>759</v>
      </c>
    </row>
    <row r="174" spans="1:2" x14ac:dyDescent="0.3">
      <c r="A174" s="14" t="s">
        <v>780</v>
      </c>
      <c r="B174" s="13" t="s">
        <v>759</v>
      </c>
    </row>
    <row r="175" spans="1:2" x14ac:dyDescent="0.3">
      <c r="A175" s="14" t="s">
        <v>781</v>
      </c>
      <c r="B175" s="13" t="s">
        <v>759</v>
      </c>
    </row>
    <row r="176" spans="1:2" x14ac:dyDescent="0.3">
      <c r="A176" s="14" t="s">
        <v>809</v>
      </c>
      <c r="B176" s="13" t="s">
        <v>759</v>
      </c>
    </row>
    <row r="177" spans="1:2" x14ac:dyDescent="0.3">
      <c r="A177" s="14" t="s">
        <v>782</v>
      </c>
      <c r="B177" s="13" t="s">
        <v>759</v>
      </c>
    </row>
    <row r="178" spans="1:2" x14ac:dyDescent="0.3">
      <c r="A178" s="14" t="s">
        <v>783</v>
      </c>
      <c r="B178" s="13" t="s">
        <v>759</v>
      </c>
    </row>
    <row r="179" spans="1:2" x14ac:dyDescent="0.3">
      <c r="A179" s="14" t="s">
        <v>784</v>
      </c>
      <c r="B179" s="13" t="s">
        <v>759</v>
      </c>
    </row>
    <row r="180" spans="1:2" x14ac:dyDescent="0.3">
      <c r="A180" s="14" t="s">
        <v>785</v>
      </c>
      <c r="B180" s="13" t="s">
        <v>759</v>
      </c>
    </row>
    <row r="181" spans="1:2" x14ac:dyDescent="0.3">
      <c r="A181" s="14" t="s">
        <v>786</v>
      </c>
      <c r="B181" s="13" t="s">
        <v>759</v>
      </c>
    </row>
    <row r="182" spans="1:2" x14ac:dyDescent="0.3">
      <c r="A182" s="14" t="s">
        <v>787</v>
      </c>
      <c r="B182" s="13" t="s">
        <v>759</v>
      </c>
    </row>
    <row r="183" spans="1:2" x14ac:dyDescent="0.3">
      <c r="A183" s="14" t="s">
        <v>788</v>
      </c>
      <c r="B183" s="13" t="s">
        <v>759</v>
      </c>
    </row>
    <row r="184" spans="1:2" x14ac:dyDescent="0.3">
      <c r="A184" s="14" t="s">
        <v>789</v>
      </c>
      <c r="B184" s="13" t="s">
        <v>759</v>
      </c>
    </row>
    <row r="185" spans="1:2" x14ac:dyDescent="0.3">
      <c r="A185" s="14" t="s">
        <v>790</v>
      </c>
      <c r="B185" s="13" t="s">
        <v>759</v>
      </c>
    </row>
    <row r="186" spans="1:2" x14ac:dyDescent="0.3">
      <c r="A186" s="14" t="s">
        <v>791</v>
      </c>
      <c r="B186" s="13" t="s">
        <v>759</v>
      </c>
    </row>
    <row r="187" spans="1:2" x14ac:dyDescent="0.3">
      <c r="A187" s="14" t="s">
        <v>792</v>
      </c>
      <c r="B187" s="13" t="s">
        <v>759</v>
      </c>
    </row>
    <row r="188" spans="1:2" x14ac:dyDescent="0.3">
      <c r="A188" s="14" t="s">
        <v>793</v>
      </c>
      <c r="B188" s="13" t="s">
        <v>759</v>
      </c>
    </row>
    <row r="189" spans="1:2" x14ac:dyDescent="0.3">
      <c r="A189" s="14" t="s">
        <v>794</v>
      </c>
      <c r="B189" s="13" t="s">
        <v>759</v>
      </c>
    </row>
    <row r="190" spans="1:2" x14ac:dyDescent="0.3">
      <c r="A190" s="14" t="s">
        <v>795</v>
      </c>
      <c r="B190" s="13" t="s">
        <v>759</v>
      </c>
    </row>
    <row r="191" spans="1:2" x14ac:dyDescent="0.3">
      <c r="A191" s="14" t="s">
        <v>796</v>
      </c>
      <c r="B191" s="13" t="s">
        <v>759</v>
      </c>
    </row>
    <row r="192" spans="1:2" x14ac:dyDescent="0.3">
      <c r="A192" s="14" t="s">
        <v>797</v>
      </c>
      <c r="B192" s="13" t="s">
        <v>759</v>
      </c>
    </row>
    <row r="193" spans="1:2" x14ac:dyDescent="0.3">
      <c r="A193" s="14" t="s">
        <v>798</v>
      </c>
      <c r="B193" s="13" t="s">
        <v>759</v>
      </c>
    </row>
    <row r="194" spans="1:2" x14ac:dyDescent="0.3">
      <c r="A194" s="14" t="s">
        <v>799</v>
      </c>
      <c r="B194" s="13" t="s">
        <v>759</v>
      </c>
    </row>
    <row r="195" spans="1:2" x14ac:dyDescent="0.3">
      <c r="A195" s="14" t="s">
        <v>801</v>
      </c>
      <c r="B195" s="13" t="s">
        <v>759</v>
      </c>
    </row>
    <row r="196" spans="1:2" x14ac:dyDescent="0.3">
      <c r="A196" s="14" t="s">
        <v>810</v>
      </c>
      <c r="B196" s="13" t="s">
        <v>759</v>
      </c>
    </row>
    <row r="197" spans="1:2" x14ac:dyDescent="0.3">
      <c r="A197" s="14" t="s">
        <v>813</v>
      </c>
      <c r="B197" s="13" t="s">
        <v>759</v>
      </c>
    </row>
    <row r="198" spans="1:2" x14ac:dyDescent="0.3">
      <c r="A198" s="14" t="s">
        <v>816</v>
      </c>
      <c r="B198" s="13" t="s">
        <v>759</v>
      </c>
    </row>
    <row r="199" spans="1:2" x14ac:dyDescent="0.3">
      <c r="A199" s="14" t="s">
        <v>817</v>
      </c>
      <c r="B199" s="13" t="s">
        <v>759</v>
      </c>
    </row>
    <row r="200" spans="1:2" x14ac:dyDescent="0.3">
      <c r="A200" s="14" t="s">
        <v>818</v>
      </c>
      <c r="B200" s="13" t="s">
        <v>759</v>
      </c>
    </row>
    <row r="201" spans="1:2" x14ac:dyDescent="0.3">
      <c r="A201" s="14" t="s">
        <v>819</v>
      </c>
      <c r="B201" s="13" t="s">
        <v>759</v>
      </c>
    </row>
    <row r="202" spans="1:2" x14ac:dyDescent="0.3">
      <c r="A202" s="14" t="s">
        <v>820</v>
      </c>
      <c r="B202" s="13" t="s">
        <v>759</v>
      </c>
    </row>
    <row r="203" spans="1:2" x14ac:dyDescent="0.3">
      <c r="A203" s="14" t="s">
        <v>821</v>
      </c>
      <c r="B203" s="13" t="s">
        <v>759</v>
      </c>
    </row>
    <row r="204" spans="1:2" x14ac:dyDescent="0.3">
      <c r="A204" s="14" t="s">
        <v>822</v>
      </c>
      <c r="B204" s="13" t="s">
        <v>759</v>
      </c>
    </row>
    <row r="205" spans="1:2" x14ac:dyDescent="0.3">
      <c r="A205" s="14" t="s">
        <v>823</v>
      </c>
      <c r="B205" s="13" t="s">
        <v>759</v>
      </c>
    </row>
    <row r="206" spans="1:2" x14ac:dyDescent="0.3">
      <c r="A206" s="14" t="s">
        <v>824</v>
      </c>
      <c r="B206" s="13" t="s">
        <v>759</v>
      </c>
    </row>
    <row r="207" spans="1:2" x14ac:dyDescent="0.3">
      <c r="A207" s="14" t="s">
        <v>825</v>
      </c>
      <c r="B207" s="13" t="s">
        <v>759</v>
      </c>
    </row>
  </sheetData>
  <conditionalFormatting sqref="A1:A1048576">
    <cfRule type="duplicateValues" dxfId="6" priority="1"/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762</v>
      </c>
      <c r="B1" t="s">
        <v>764</v>
      </c>
    </row>
    <row r="2" spans="1:2" x14ac:dyDescent="0.3">
      <c r="A2" t="s">
        <v>74</v>
      </c>
      <c r="B2" t="s">
        <v>760</v>
      </c>
    </row>
    <row r="3" spans="1:2" x14ac:dyDescent="0.3">
      <c r="A3" t="s">
        <v>75</v>
      </c>
      <c r="B3" t="s">
        <v>760</v>
      </c>
    </row>
    <row r="4" spans="1:2" x14ac:dyDescent="0.3">
      <c r="A4" t="s">
        <v>76</v>
      </c>
      <c r="B4" t="s">
        <v>760</v>
      </c>
    </row>
    <row r="5" spans="1:2" x14ac:dyDescent="0.3">
      <c r="A5" t="s">
        <v>77</v>
      </c>
      <c r="B5" t="s">
        <v>760</v>
      </c>
    </row>
    <row r="6" spans="1:2" x14ac:dyDescent="0.3">
      <c r="A6" t="s">
        <v>78</v>
      </c>
      <c r="B6" t="s">
        <v>760</v>
      </c>
    </row>
    <row r="7" spans="1:2" x14ac:dyDescent="0.3">
      <c r="A7" t="s">
        <v>79</v>
      </c>
      <c r="B7" t="s">
        <v>760</v>
      </c>
    </row>
    <row r="8" spans="1:2" x14ac:dyDescent="0.3">
      <c r="A8" t="s">
        <v>80</v>
      </c>
      <c r="B8" t="s">
        <v>760</v>
      </c>
    </row>
    <row r="9" spans="1:2" x14ac:dyDescent="0.3">
      <c r="A9" t="s">
        <v>81</v>
      </c>
      <c r="B9" t="s">
        <v>760</v>
      </c>
    </row>
    <row r="10" spans="1:2" x14ac:dyDescent="0.3">
      <c r="A10" t="s">
        <v>82</v>
      </c>
      <c r="B10" t="s">
        <v>760</v>
      </c>
    </row>
    <row r="11" spans="1:2" x14ac:dyDescent="0.3">
      <c r="A11" t="s">
        <v>83</v>
      </c>
      <c r="B11" t="s">
        <v>760</v>
      </c>
    </row>
    <row r="12" spans="1:2" x14ac:dyDescent="0.3">
      <c r="A12" t="s">
        <v>84</v>
      </c>
      <c r="B12" t="s">
        <v>760</v>
      </c>
    </row>
    <row r="13" spans="1:2" x14ac:dyDescent="0.3">
      <c r="A13" t="s">
        <v>85</v>
      </c>
      <c r="B13" t="s">
        <v>760</v>
      </c>
    </row>
    <row r="14" spans="1:2" x14ac:dyDescent="0.3">
      <c r="A14" t="s">
        <v>86</v>
      </c>
      <c r="B14" t="s">
        <v>760</v>
      </c>
    </row>
    <row r="15" spans="1:2" x14ac:dyDescent="0.3">
      <c r="A15" t="s">
        <v>87</v>
      </c>
      <c r="B15" t="s">
        <v>760</v>
      </c>
    </row>
    <row r="16" spans="1:2" x14ac:dyDescent="0.3">
      <c r="A16" t="s">
        <v>88</v>
      </c>
      <c r="B16" t="s">
        <v>760</v>
      </c>
    </row>
    <row r="17" spans="1:2" x14ac:dyDescent="0.3">
      <c r="A17" t="s">
        <v>89</v>
      </c>
      <c r="B17" t="s">
        <v>760</v>
      </c>
    </row>
    <row r="18" spans="1:2" x14ac:dyDescent="0.3">
      <c r="A18" t="s">
        <v>90</v>
      </c>
      <c r="B18" t="s">
        <v>760</v>
      </c>
    </row>
    <row r="19" spans="1:2" x14ac:dyDescent="0.3">
      <c r="A19" t="s">
        <v>91</v>
      </c>
      <c r="B19" t="s">
        <v>760</v>
      </c>
    </row>
    <row r="20" spans="1:2" x14ac:dyDescent="0.3">
      <c r="A20" t="s">
        <v>92</v>
      </c>
      <c r="B20" t="s">
        <v>760</v>
      </c>
    </row>
    <row r="21" spans="1:2" x14ac:dyDescent="0.3">
      <c r="A21" t="s">
        <v>93</v>
      </c>
      <c r="B21" t="s">
        <v>760</v>
      </c>
    </row>
    <row r="22" spans="1:2" x14ac:dyDescent="0.3">
      <c r="A22" t="s">
        <v>94</v>
      </c>
      <c r="B22" t="s">
        <v>760</v>
      </c>
    </row>
    <row r="23" spans="1:2" x14ac:dyDescent="0.3">
      <c r="A23" t="s">
        <v>95</v>
      </c>
      <c r="B23" t="s">
        <v>760</v>
      </c>
    </row>
    <row r="24" spans="1:2" x14ac:dyDescent="0.3">
      <c r="A24" t="s">
        <v>96</v>
      </c>
      <c r="B24" t="s">
        <v>760</v>
      </c>
    </row>
    <row r="25" spans="1:2" x14ac:dyDescent="0.3">
      <c r="A25" t="s">
        <v>97</v>
      </c>
      <c r="B25" t="s">
        <v>760</v>
      </c>
    </row>
    <row r="26" spans="1:2" x14ac:dyDescent="0.3">
      <c r="A26" t="s">
        <v>98</v>
      </c>
      <c r="B26" t="s">
        <v>760</v>
      </c>
    </row>
    <row r="27" spans="1:2" x14ac:dyDescent="0.3">
      <c r="A27" t="s">
        <v>99</v>
      </c>
      <c r="B27" t="s">
        <v>760</v>
      </c>
    </row>
    <row r="28" spans="1:2" x14ac:dyDescent="0.3">
      <c r="A28" t="s">
        <v>100</v>
      </c>
      <c r="B28" t="s">
        <v>760</v>
      </c>
    </row>
    <row r="29" spans="1:2" x14ac:dyDescent="0.3">
      <c r="A29" t="s">
        <v>101</v>
      </c>
      <c r="B29" t="s">
        <v>760</v>
      </c>
    </row>
    <row r="30" spans="1:2" x14ac:dyDescent="0.3">
      <c r="A30" t="s">
        <v>102</v>
      </c>
      <c r="B30" t="s">
        <v>760</v>
      </c>
    </row>
    <row r="31" spans="1:2" x14ac:dyDescent="0.3">
      <c r="A31" t="s">
        <v>103</v>
      </c>
      <c r="B31" t="s">
        <v>760</v>
      </c>
    </row>
    <row r="32" spans="1:2" x14ac:dyDescent="0.3">
      <c r="A32" t="s">
        <v>104</v>
      </c>
      <c r="B32" t="s">
        <v>760</v>
      </c>
    </row>
    <row r="33" spans="1:2" x14ac:dyDescent="0.3">
      <c r="A33" t="s">
        <v>105</v>
      </c>
      <c r="B33" t="s">
        <v>760</v>
      </c>
    </row>
    <row r="34" spans="1:2" x14ac:dyDescent="0.3">
      <c r="A34" t="s">
        <v>106</v>
      </c>
      <c r="B34" t="s">
        <v>760</v>
      </c>
    </row>
    <row r="35" spans="1:2" x14ac:dyDescent="0.3">
      <c r="A35" t="s">
        <v>751</v>
      </c>
      <c r="B35" t="s">
        <v>760</v>
      </c>
    </row>
    <row r="36" spans="1:2" x14ac:dyDescent="0.3">
      <c r="A36" t="s">
        <v>107</v>
      </c>
      <c r="B36" t="s">
        <v>760</v>
      </c>
    </row>
    <row r="37" spans="1:2" x14ac:dyDescent="0.3">
      <c r="A37" t="s">
        <v>108</v>
      </c>
      <c r="B37" t="s">
        <v>760</v>
      </c>
    </row>
    <row r="38" spans="1:2" x14ac:dyDescent="0.3">
      <c r="A38" t="s">
        <v>109</v>
      </c>
      <c r="B38" t="s">
        <v>760</v>
      </c>
    </row>
    <row r="39" spans="1:2" x14ac:dyDescent="0.3">
      <c r="A39" t="s">
        <v>110</v>
      </c>
      <c r="B39" t="s">
        <v>760</v>
      </c>
    </row>
    <row r="40" spans="1:2" x14ac:dyDescent="0.3">
      <c r="A40" t="s">
        <v>111</v>
      </c>
      <c r="B40" t="s">
        <v>760</v>
      </c>
    </row>
    <row r="41" spans="1:2" x14ac:dyDescent="0.3">
      <c r="A41" t="s">
        <v>112</v>
      </c>
      <c r="B41" t="s">
        <v>760</v>
      </c>
    </row>
    <row r="42" spans="1:2" x14ac:dyDescent="0.3">
      <c r="A42" t="s">
        <v>113</v>
      </c>
      <c r="B42" t="s">
        <v>760</v>
      </c>
    </row>
    <row r="43" spans="1:2" x14ac:dyDescent="0.3">
      <c r="A43" t="s">
        <v>750</v>
      </c>
      <c r="B43" t="s">
        <v>760</v>
      </c>
    </row>
    <row r="44" spans="1:2" x14ac:dyDescent="0.3">
      <c r="A44" t="s">
        <v>114</v>
      </c>
      <c r="B44" t="s">
        <v>760</v>
      </c>
    </row>
    <row r="45" spans="1:2" x14ac:dyDescent="0.3">
      <c r="A45" t="s">
        <v>115</v>
      </c>
      <c r="B45" t="s">
        <v>760</v>
      </c>
    </row>
    <row r="46" spans="1:2" x14ac:dyDescent="0.3">
      <c r="A46" t="s">
        <v>116</v>
      </c>
      <c r="B46" t="s">
        <v>760</v>
      </c>
    </row>
    <row r="47" spans="1:2" x14ac:dyDescent="0.3">
      <c r="A47" t="s">
        <v>117</v>
      </c>
      <c r="B47" t="s">
        <v>760</v>
      </c>
    </row>
    <row r="48" spans="1:2" x14ac:dyDescent="0.3">
      <c r="A48" t="s">
        <v>118</v>
      </c>
      <c r="B48" t="s">
        <v>760</v>
      </c>
    </row>
    <row r="49" spans="1:2" x14ac:dyDescent="0.3">
      <c r="A49" t="s">
        <v>119</v>
      </c>
      <c r="B49" t="s">
        <v>760</v>
      </c>
    </row>
    <row r="50" spans="1:2" x14ac:dyDescent="0.3">
      <c r="A50" t="s">
        <v>120</v>
      </c>
      <c r="B50" t="s">
        <v>760</v>
      </c>
    </row>
    <row r="51" spans="1:2" x14ac:dyDescent="0.3">
      <c r="A51" t="s">
        <v>121</v>
      </c>
      <c r="B51" t="s">
        <v>760</v>
      </c>
    </row>
    <row r="52" spans="1:2" x14ac:dyDescent="0.3">
      <c r="A52" t="s">
        <v>122</v>
      </c>
      <c r="B52" t="s">
        <v>760</v>
      </c>
    </row>
    <row r="53" spans="1:2" x14ac:dyDescent="0.3">
      <c r="A53" t="s">
        <v>123</v>
      </c>
      <c r="B53" t="s">
        <v>760</v>
      </c>
    </row>
    <row r="54" spans="1:2" x14ac:dyDescent="0.3">
      <c r="A54" t="s">
        <v>124</v>
      </c>
      <c r="B54" t="s">
        <v>760</v>
      </c>
    </row>
    <row r="55" spans="1:2" x14ac:dyDescent="0.3">
      <c r="A55" t="s">
        <v>125</v>
      </c>
      <c r="B55" t="s">
        <v>760</v>
      </c>
    </row>
    <row r="56" spans="1:2" x14ac:dyDescent="0.3">
      <c r="A56" t="s">
        <v>127</v>
      </c>
      <c r="B56" t="s">
        <v>760</v>
      </c>
    </row>
    <row r="57" spans="1:2" x14ac:dyDescent="0.3">
      <c r="A57" t="s">
        <v>128</v>
      </c>
      <c r="B57" t="s">
        <v>760</v>
      </c>
    </row>
    <row r="58" spans="1:2" x14ac:dyDescent="0.3">
      <c r="A58" t="s">
        <v>129</v>
      </c>
      <c r="B58" t="s">
        <v>760</v>
      </c>
    </row>
    <row r="59" spans="1:2" x14ac:dyDescent="0.3">
      <c r="A59" t="s">
        <v>130</v>
      </c>
      <c r="B59" t="s">
        <v>760</v>
      </c>
    </row>
    <row r="60" spans="1:2" x14ac:dyDescent="0.3">
      <c r="A60" t="s">
        <v>131</v>
      </c>
      <c r="B60" t="s">
        <v>760</v>
      </c>
    </row>
    <row r="61" spans="1:2" x14ac:dyDescent="0.3">
      <c r="A61" t="s">
        <v>132</v>
      </c>
      <c r="B61" t="s">
        <v>760</v>
      </c>
    </row>
    <row r="62" spans="1:2" x14ac:dyDescent="0.3">
      <c r="A62" t="s">
        <v>133</v>
      </c>
      <c r="B62" t="s">
        <v>760</v>
      </c>
    </row>
    <row r="63" spans="1:2" x14ac:dyDescent="0.3">
      <c r="A63" t="s">
        <v>134</v>
      </c>
      <c r="B63" t="s">
        <v>760</v>
      </c>
    </row>
    <row r="64" spans="1:2" x14ac:dyDescent="0.3">
      <c r="A64" t="s">
        <v>295</v>
      </c>
      <c r="B64" t="s">
        <v>760</v>
      </c>
    </row>
    <row r="65" spans="1:2" x14ac:dyDescent="0.3">
      <c r="A65" t="s">
        <v>135</v>
      </c>
      <c r="B65" t="s">
        <v>760</v>
      </c>
    </row>
    <row r="66" spans="1:2" x14ac:dyDescent="0.3">
      <c r="A66" t="s">
        <v>291</v>
      </c>
      <c r="B66" t="s">
        <v>760</v>
      </c>
    </row>
    <row r="67" spans="1:2" x14ac:dyDescent="0.3">
      <c r="A67" t="s">
        <v>136</v>
      </c>
      <c r="B67" t="s">
        <v>760</v>
      </c>
    </row>
    <row r="68" spans="1:2" x14ac:dyDescent="0.3">
      <c r="A68" t="s">
        <v>137</v>
      </c>
      <c r="B68" t="s">
        <v>760</v>
      </c>
    </row>
    <row r="69" spans="1:2" x14ac:dyDescent="0.3">
      <c r="A69" t="s">
        <v>138</v>
      </c>
      <c r="B69" t="s">
        <v>760</v>
      </c>
    </row>
    <row r="70" spans="1:2" x14ac:dyDescent="0.3">
      <c r="A70" t="s">
        <v>139</v>
      </c>
      <c r="B70" t="s">
        <v>760</v>
      </c>
    </row>
    <row r="71" spans="1:2" x14ac:dyDescent="0.3">
      <c r="A71" t="s">
        <v>140</v>
      </c>
      <c r="B71" t="s">
        <v>760</v>
      </c>
    </row>
    <row r="72" spans="1:2" x14ac:dyDescent="0.3">
      <c r="A72" t="s">
        <v>141</v>
      </c>
      <c r="B72" t="s">
        <v>760</v>
      </c>
    </row>
    <row r="73" spans="1:2" x14ac:dyDescent="0.3">
      <c r="A73" t="s">
        <v>142</v>
      </c>
      <c r="B73" t="s">
        <v>760</v>
      </c>
    </row>
    <row r="74" spans="1:2" x14ac:dyDescent="0.3">
      <c r="A74" t="s">
        <v>143</v>
      </c>
      <c r="B74" t="s">
        <v>760</v>
      </c>
    </row>
    <row r="75" spans="1:2" x14ac:dyDescent="0.3">
      <c r="A75" t="s">
        <v>144</v>
      </c>
      <c r="B75" t="s">
        <v>760</v>
      </c>
    </row>
    <row r="76" spans="1:2" x14ac:dyDescent="0.3">
      <c r="A76" t="s">
        <v>145</v>
      </c>
      <c r="B76" t="s">
        <v>760</v>
      </c>
    </row>
    <row r="77" spans="1:2" x14ac:dyDescent="0.3">
      <c r="A77" t="s">
        <v>146</v>
      </c>
      <c r="B77" t="s">
        <v>760</v>
      </c>
    </row>
    <row r="78" spans="1:2" x14ac:dyDescent="0.3">
      <c r="A78" t="s">
        <v>147</v>
      </c>
      <c r="B78" t="s">
        <v>760</v>
      </c>
    </row>
    <row r="79" spans="1:2" x14ac:dyDescent="0.3">
      <c r="A79" t="s">
        <v>148</v>
      </c>
      <c r="B79" t="s">
        <v>760</v>
      </c>
    </row>
    <row r="80" spans="1:2" x14ac:dyDescent="0.3">
      <c r="A80" t="s">
        <v>149</v>
      </c>
      <c r="B80" t="s">
        <v>760</v>
      </c>
    </row>
    <row r="81" spans="1:2" x14ac:dyDescent="0.3">
      <c r="A81" t="s">
        <v>150</v>
      </c>
      <c r="B81" t="s">
        <v>760</v>
      </c>
    </row>
    <row r="82" spans="1:2" x14ac:dyDescent="0.3">
      <c r="A82" t="s">
        <v>151</v>
      </c>
      <c r="B82" t="s">
        <v>760</v>
      </c>
    </row>
    <row r="83" spans="1:2" x14ac:dyDescent="0.3">
      <c r="A83" t="s">
        <v>152</v>
      </c>
      <c r="B83" t="s">
        <v>760</v>
      </c>
    </row>
    <row r="84" spans="1:2" x14ac:dyDescent="0.3">
      <c r="A84" t="s">
        <v>153</v>
      </c>
      <c r="B84" t="s">
        <v>760</v>
      </c>
    </row>
    <row r="85" spans="1:2" x14ac:dyDescent="0.3">
      <c r="A85" t="s">
        <v>154</v>
      </c>
      <c r="B85" t="s">
        <v>760</v>
      </c>
    </row>
    <row r="86" spans="1:2" x14ac:dyDescent="0.3">
      <c r="A86" t="s">
        <v>155</v>
      </c>
      <c r="B86" t="s">
        <v>760</v>
      </c>
    </row>
    <row r="87" spans="1:2" x14ac:dyDescent="0.3">
      <c r="A87" t="s">
        <v>156</v>
      </c>
      <c r="B87" t="s">
        <v>760</v>
      </c>
    </row>
    <row r="88" spans="1:2" x14ac:dyDescent="0.3">
      <c r="A88" t="s">
        <v>157</v>
      </c>
      <c r="B88" t="s">
        <v>760</v>
      </c>
    </row>
    <row r="89" spans="1:2" x14ac:dyDescent="0.3">
      <c r="A89" t="s">
        <v>158</v>
      </c>
      <c r="B89" t="s">
        <v>760</v>
      </c>
    </row>
    <row r="90" spans="1:2" x14ac:dyDescent="0.3">
      <c r="A90" t="s">
        <v>159</v>
      </c>
      <c r="B90" t="s">
        <v>760</v>
      </c>
    </row>
    <row r="91" spans="1:2" x14ac:dyDescent="0.3">
      <c r="A91" t="s">
        <v>160</v>
      </c>
      <c r="B91" t="s">
        <v>760</v>
      </c>
    </row>
    <row r="92" spans="1:2" x14ac:dyDescent="0.3">
      <c r="A92" t="s">
        <v>161</v>
      </c>
      <c r="B92" t="s">
        <v>760</v>
      </c>
    </row>
    <row r="93" spans="1:2" x14ac:dyDescent="0.3">
      <c r="A93" t="s">
        <v>162</v>
      </c>
      <c r="B93" t="s">
        <v>760</v>
      </c>
    </row>
    <row r="94" spans="1:2" x14ac:dyDescent="0.3">
      <c r="A94" t="s">
        <v>163</v>
      </c>
      <c r="B94" t="s">
        <v>760</v>
      </c>
    </row>
    <row r="95" spans="1:2" x14ac:dyDescent="0.3">
      <c r="A95" t="s">
        <v>164</v>
      </c>
      <c r="B95" t="s">
        <v>760</v>
      </c>
    </row>
    <row r="96" spans="1:2" x14ac:dyDescent="0.3">
      <c r="A96" t="s">
        <v>293</v>
      </c>
      <c r="B96" t="s">
        <v>760</v>
      </c>
    </row>
    <row r="97" spans="1:2" x14ac:dyDescent="0.3">
      <c r="A97" t="s">
        <v>165</v>
      </c>
      <c r="B97" t="s">
        <v>760</v>
      </c>
    </row>
    <row r="98" spans="1:2" x14ac:dyDescent="0.3">
      <c r="A98" t="s">
        <v>166</v>
      </c>
      <c r="B98" t="s">
        <v>760</v>
      </c>
    </row>
    <row r="99" spans="1:2" x14ac:dyDescent="0.3">
      <c r="A99" t="s">
        <v>167</v>
      </c>
      <c r="B99" t="s">
        <v>760</v>
      </c>
    </row>
    <row r="100" spans="1:2" x14ac:dyDescent="0.3">
      <c r="A100" t="s">
        <v>168</v>
      </c>
      <c r="B100" t="s">
        <v>760</v>
      </c>
    </row>
    <row r="101" spans="1:2" x14ac:dyDescent="0.3">
      <c r="A101" t="s">
        <v>169</v>
      </c>
      <c r="B101" t="s">
        <v>760</v>
      </c>
    </row>
    <row r="102" spans="1:2" x14ac:dyDescent="0.3">
      <c r="A102" t="s">
        <v>170</v>
      </c>
      <c r="B102" t="s">
        <v>760</v>
      </c>
    </row>
    <row r="103" spans="1:2" x14ac:dyDescent="0.3">
      <c r="A103" t="s">
        <v>171</v>
      </c>
      <c r="B103" t="s">
        <v>760</v>
      </c>
    </row>
    <row r="104" spans="1:2" x14ac:dyDescent="0.3">
      <c r="A104" t="s">
        <v>172</v>
      </c>
      <c r="B104" t="s">
        <v>760</v>
      </c>
    </row>
    <row r="105" spans="1:2" x14ac:dyDescent="0.3">
      <c r="A105" t="s">
        <v>173</v>
      </c>
      <c r="B105" t="s">
        <v>760</v>
      </c>
    </row>
    <row r="106" spans="1:2" x14ac:dyDescent="0.3">
      <c r="A106" t="s">
        <v>174</v>
      </c>
      <c r="B106" t="s">
        <v>760</v>
      </c>
    </row>
    <row r="107" spans="1:2" x14ac:dyDescent="0.3">
      <c r="A107" t="s">
        <v>175</v>
      </c>
      <c r="B107" t="s">
        <v>760</v>
      </c>
    </row>
    <row r="108" spans="1:2" x14ac:dyDescent="0.3">
      <c r="A108" t="s">
        <v>176</v>
      </c>
      <c r="B108" t="s">
        <v>760</v>
      </c>
    </row>
    <row r="109" spans="1:2" x14ac:dyDescent="0.3">
      <c r="A109" t="s">
        <v>177</v>
      </c>
      <c r="B109" t="s">
        <v>760</v>
      </c>
    </row>
    <row r="110" spans="1:2" x14ac:dyDescent="0.3">
      <c r="A110" t="s">
        <v>178</v>
      </c>
      <c r="B110" t="s">
        <v>760</v>
      </c>
    </row>
    <row r="111" spans="1:2" x14ac:dyDescent="0.3">
      <c r="A111" t="s">
        <v>179</v>
      </c>
      <c r="B111" t="s">
        <v>760</v>
      </c>
    </row>
    <row r="112" spans="1:2" x14ac:dyDescent="0.3">
      <c r="A112" t="s">
        <v>180</v>
      </c>
      <c r="B112" t="s">
        <v>760</v>
      </c>
    </row>
    <row r="113" spans="1:2" x14ac:dyDescent="0.3">
      <c r="A113" t="s">
        <v>181</v>
      </c>
      <c r="B113" t="s">
        <v>760</v>
      </c>
    </row>
    <row r="114" spans="1:2" x14ac:dyDescent="0.3">
      <c r="A114" t="s">
        <v>182</v>
      </c>
      <c r="B114" t="s">
        <v>760</v>
      </c>
    </row>
    <row r="115" spans="1:2" x14ac:dyDescent="0.3">
      <c r="A115" t="s">
        <v>183</v>
      </c>
      <c r="B115" t="s">
        <v>760</v>
      </c>
    </row>
    <row r="116" spans="1:2" x14ac:dyDescent="0.3">
      <c r="A116" t="s">
        <v>184</v>
      </c>
      <c r="B116" t="s">
        <v>760</v>
      </c>
    </row>
    <row r="117" spans="1:2" x14ac:dyDescent="0.3">
      <c r="A117" t="s">
        <v>185</v>
      </c>
      <c r="B117" t="s">
        <v>760</v>
      </c>
    </row>
    <row r="118" spans="1:2" x14ac:dyDescent="0.3">
      <c r="A118" t="s">
        <v>186</v>
      </c>
      <c r="B118" t="s">
        <v>760</v>
      </c>
    </row>
    <row r="119" spans="1:2" x14ac:dyDescent="0.3">
      <c r="A119" t="s">
        <v>187</v>
      </c>
      <c r="B119" t="s">
        <v>760</v>
      </c>
    </row>
    <row r="120" spans="1:2" x14ac:dyDescent="0.3">
      <c r="A120" t="s">
        <v>188</v>
      </c>
      <c r="B120" t="s">
        <v>760</v>
      </c>
    </row>
    <row r="121" spans="1:2" x14ac:dyDescent="0.3">
      <c r="A121" t="s">
        <v>189</v>
      </c>
      <c r="B121" t="s">
        <v>760</v>
      </c>
    </row>
    <row r="122" spans="1:2" x14ac:dyDescent="0.3">
      <c r="A122" t="s">
        <v>190</v>
      </c>
      <c r="B122" t="s">
        <v>760</v>
      </c>
    </row>
    <row r="123" spans="1:2" x14ac:dyDescent="0.3">
      <c r="A123" t="s">
        <v>301</v>
      </c>
      <c r="B123" t="s">
        <v>760</v>
      </c>
    </row>
    <row r="124" spans="1:2" x14ac:dyDescent="0.3">
      <c r="A124" t="s">
        <v>289</v>
      </c>
      <c r="B124" t="s">
        <v>760</v>
      </c>
    </row>
    <row r="125" spans="1:2" x14ac:dyDescent="0.3">
      <c r="A125" t="s">
        <v>192</v>
      </c>
      <c r="B125" t="s">
        <v>760</v>
      </c>
    </row>
    <row r="126" spans="1:2" x14ac:dyDescent="0.3">
      <c r="A126" t="s">
        <v>191</v>
      </c>
      <c r="B126" t="s">
        <v>760</v>
      </c>
    </row>
    <row r="127" spans="1:2" x14ac:dyDescent="0.3">
      <c r="A127" t="s">
        <v>193</v>
      </c>
      <c r="B127" t="s">
        <v>760</v>
      </c>
    </row>
    <row r="128" spans="1:2" x14ac:dyDescent="0.3">
      <c r="A128" t="s">
        <v>194</v>
      </c>
      <c r="B128" t="s">
        <v>760</v>
      </c>
    </row>
    <row r="129" spans="1:2" x14ac:dyDescent="0.3">
      <c r="A129" t="s">
        <v>195</v>
      </c>
      <c r="B129" t="s">
        <v>760</v>
      </c>
    </row>
    <row r="130" spans="1:2" x14ac:dyDescent="0.3">
      <c r="A130" t="s">
        <v>196</v>
      </c>
      <c r="B130" t="s">
        <v>760</v>
      </c>
    </row>
    <row r="131" spans="1:2" x14ac:dyDescent="0.3">
      <c r="A131" t="s">
        <v>290</v>
      </c>
      <c r="B131" t="s">
        <v>760</v>
      </c>
    </row>
    <row r="132" spans="1:2" x14ac:dyDescent="0.3">
      <c r="A132" t="s">
        <v>199</v>
      </c>
      <c r="B132" t="s">
        <v>760</v>
      </c>
    </row>
    <row r="133" spans="1:2" x14ac:dyDescent="0.3">
      <c r="A133" t="s">
        <v>200</v>
      </c>
      <c r="B133" t="s">
        <v>760</v>
      </c>
    </row>
    <row r="134" spans="1:2" x14ac:dyDescent="0.3">
      <c r="A134" t="s">
        <v>197</v>
      </c>
      <c r="B134" t="s">
        <v>760</v>
      </c>
    </row>
    <row r="135" spans="1:2" x14ac:dyDescent="0.3">
      <c r="A135" t="s">
        <v>292</v>
      </c>
      <c r="B135" t="s">
        <v>760</v>
      </c>
    </row>
    <row r="136" spans="1:2" x14ac:dyDescent="0.3">
      <c r="A136" t="s">
        <v>201</v>
      </c>
      <c r="B136" t="s">
        <v>760</v>
      </c>
    </row>
    <row r="137" spans="1:2" x14ac:dyDescent="0.3">
      <c r="A137" t="s">
        <v>202</v>
      </c>
      <c r="B137" t="s">
        <v>760</v>
      </c>
    </row>
    <row r="138" spans="1:2" x14ac:dyDescent="0.3">
      <c r="A138" t="s">
        <v>203</v>
      </c>
      <c r="B138" t="s">
        <v>760</v>
      </c>
    </row>
    <row r="139" spans="1:2" x14ac:dyDescent="0.3">
      <c r="A139" t="s">
        <v>204</v>
      </c>
      <c r="B139" t="s">
        <v>760</v>
      </c>
    </row>
    <row r="140" spans="1:2" x14ac:dyDescent="0.3">
      <c r="A140" t="s">
        <v>205</v>
      </c>
      <c r="B140" t="s">
        <v>760</v>
      </c>
    </row>
    <row r="141" spans="1:2" x14ac:dyDescent="0.3">
      <c r="A141" t="s">
        <v>206</v>
      </c>
      <c r="B141" t="s">
        <v>760</v>
      </c>
    </row>
    <row r="142" spans="1:2" x14ac:dyDescent="0.3">
      <c r="A142" t="s">
        <v>294</v>
      </c>
      <c r="B142" t="s">
        <v>760</v>
      </c>
    </row>
    <row r="143" spans="1:2" x14ac:dyDescent="0.3">
      <c r="A143" t="s">
        <v>207</v>
      </c>
      <c r="B143" t="s">
        <v>760</v>
      </c>
    </row>
    <row r="144" spans="1:2" x14ac:dyDescent="0.3">
      <c r="A144" t="s">
        <v>208</v>
      </c>
      <c r="B144" t="s">
        <v>760</v>
      </c>
    </row>
    <row r="145" spans="1:2" x14ac:dyDescent="0.3">
      <c r="A145" t="s">
        <v>209</v>
      </c>
      <c r="B145" t="s">
        <v>760</v>
      </c>
    </row>
    <row r="146" spans="1:2" x14ac:dyDescent="0.3">
      <c r="A146" t="s">
        <v>210</v>
      </c>
      <c r="B146" t="s">
        <v>760</v>
      </c>
    </row>
    <row r="147" spans="1:2" x14ac:dyDescent="0.3">
      <c r="A147" t="s">
        <v>277</v>
      </c>
      <c r="B147" t="s">
        <v>760</v>
      </c>
    </row>
    <row r="148" spans="1:2" x14ac:dyDescent="0.3">
      <c r="A148" t="s">
        <v>198</v>
      </c>
      <c r="B148" t="s">
        <v>760</v>
      </c>
    </row>
    <row r="149" spans="1:2" x14ac:dyDescent="0.3">
      <c r="A149" t="s">
        <v>302</v>
      </c>
      <c r="B149" t="s">
        <v>760</v>
      </c>
    </row>
    <row r="150" spans="1:2" x14ac:dyDescent="0.3">
      <c r="A150" t="s">
        <v>305</v>
      </c>
      <c r="B150" t="s">
        <v>760</v>
      </c>
    </row>
    <row r="151" spans="1:2" x14ac:dyDescent="0.3">
      <c r="A151" t="s">
        <v>278</v>
      </c>
      <c r="B151" t="s">
        <v>760</v>
      </c>
    </row>
    <row r="152" spans="1:2" x14ac:dyDescent="0.3">
      <c r="A152" t="s">
        <v>298</v>
      </c>
      <c r="B152" t="s">
        <v>760</v>
      </c>
    </row>
    <row r="153" spans="1:2" x14ac:dyDescent="0.3">
      <c r="A153" t="s">
        <v>303</v>
      </c>
      <c r="B153" t="s">
        <v>760</v>
      </c>
    </row>
    <row r="154" spans="1:2" x14ac:dyDescent="0.3">
      <c r="A154" t="s">
        <v>279</v>
      </c>
      <c r="B154" t="s">
        <v>760</v>
      </c>
    </row>
    <row r="155" spans="1:2" x14ac:dyDescent="0.3">
      <c r="A155" t="s">
        <v>126</v>
      </c>
      <c r="B155" t="s">
        <v>760</v>
      </c>
    </row>
    <row r="156" spans="1:2" x14ac:dyDescent="0.3">
      <c r="A156" t="s">
        <v>300</v>
      </c>
      <c r="B156" t="s">
        <v>760</v>
      </c>
    </row>
    <row r="157" spans="1:2" x14ac:dyDescent="0.3">
      <c r="A157" t="s">
        <v>765</v>
      </c>
      <c r="B157" t="s">
        <v>761</v>
      </c>
    </row>
    <row r="158" spans="1:2" x14ac:dyDescent="0.3">
      <c r="A158" t="s">
        <v>766</v>
      </c>
      <c r="B158" t="s">
        <v>761</v>
      </c>
    </row>
    <row r="159" spans="1:2" x14ac:dyDescent="0.3">
      <c r="A159" t="s">
        <v>767</v>
      </c>
      <c r="B159" t="s">
        <v>761</v>
      </c>
    </row>
    <row r="160" spans="1:2" x14ac:dyDescent="0.3">
      <c r="A160" t="s">
        <v>768</v>
      </c>
      <c r="B160" t="s">
        <v>761</v>
      </c>
    </row>
    <row r="161" spans="1:2" x14ac:dyDescent="0.3">
      <c r="A161" t="s">
        <v>769</v>
      </c>
      <c r="B161" t="s">
        <v>761</v>
      </c>
    </row>
    <row r="162" spans="1:2" x14ac:dyDescent="0.3">
      <c r="A162" t="s">
        <v>770</v>
      </c>
      <c r="B162" t="s">
        <v>761</v>
      </c>
    </row>
    <row r="163" spans="1:2" x14ac:dyDescent="0.3">
      <c r="A163" t="s">
        <v>771</v>
      </c>
      <c r="B163" t="s">
        <v>761</v>
      </c>
    </row>
    <row r="164" spans="1:2" x14ac:dyDescent="0.3">
      <c r="A164" t="s">
        <v>772</v>
      </c>
      <c r="B164" t="s">
        <v>761</v>
      </c>
    </row>
    <row r="165" spans="1:2" x14ac:dyDescent="0.3">
      <c r="A165" t="s">
        <v>773</v>
      </c>
      <c r="B165" t="s">
        <v>761</v>
      </c>
    </row>
    <row r="166" spans="1:2" x14ac:dyDescent="0.3">
      <c r="A166" t="s">
        <v>774</v>
      </c>
      <c r="B166" t="s">
        <v>761</v>
      </c>
    </row>
    <row r="167" spans="1:2" x14ac:dyDescent="0.3">
      <c r="A167" t="s">
        <v>74</v>
      </c>
      <c r="B167" t="s">
        <v>761</v>
      </c>
    </row>
    <row r="168" spans="1:2" x14ac:dyDescent="0.3">
      <c r="A168" t="s">
        <v>75</v>
      </c>
      <c r="B168" t="s">
        <v>761</v>
      </c>
    </row>
    <row r="169" spans="1:2" x14ac:dyDescent="0.3">
      <c r="A169" t="s">
        <v>775</v>
      </c>
      <c r="B169" t="s">
        <v>761</v>
      </c>
    </row>
    <row r="170" spans="1:2" x14ac:dyDescent="0.3">
      <c r="A170" t="s">
        <v>776</v>
      </c>
      <c r="B170" t="s">
        <v>761</v>
      </c>
    </row>
    <row r="171" spans="1:2" x14ac:dyDescent="0.3">
      <c r="A171" t="s">
        <v>777</v>
      </c>
      <c r="B171" t="s">
        <v>761</v>
      </c>
    </row>
    <row r="172" spans="1:2" x14ac:dyDescent="0.3">
      <c r="A172" t="s">
        <v>802</v>
      </c>
      <c r="B172" t="s">
        <v>761</v>
      </c>
    </row>
    <row r="173" spans="1:2" x14ac:dyDescent="0.3">
      <c r="A173" t="s">
        <v>778</v>
      </c>
      <c r="B173" t="s">
        <v>761</v>
      </c>
    </row>
    <row r="174" spans="1:2" x14ac:dyDescent="0.3">
      <c r="A174" t="s">
        <v>779</v>
      </c>
      <c r="B174" t="s">
        <v>761</v>
      </c>
    </row>
    <row r="175" spans="1:2" x14ac:dyDescent="0.3">
      <c r="A175" t="s">
        <v>803</v>
      </c>
      <c r="B175" t="s">
        <v>761</v>
      </c>
    </row>
    <row r="176" spans="1:2" x14ac:dyDescent="0.3">
      <c r="A176" t="s">
        <v>780</v>
      </c>
      <c r="B176" t="s">
        <v>761</v>
      </c>
    </row>
    <row r="177" spans="1:2" x14ac:dyDescent="0.3">
      <c r="A177" t="s">
        <v>781</v>
      </c>
      <c r="B177" t="s">
        <v>761</v>
      </c>
    </row>
    <row r="178" spans="1:2" x14ac:dyDescent="0.3">
      <c r="A178" t="s">
        <v>809</v>
      </c>
      <c r="B178" t="s">
        <v>761</v>
      </c>
    </row>
    <row r="179" spans="1:2" x14ac:dyDescent="0.3">
      <c r="A179" t="s">
        <v>782</v>
      </c>
      <c r="B179" t="s">
        <v>761</v>
      </c>
    </row>
    <row r="180" spans="1:2" x14ac:dyDescent="0.3">
      <c r="A180" t="s">
        <v>783</v>
      </c>
      <c r="B180" t="s">
        <v>761</v>
      </c>
    </row>
    <row r="181" spans="1:2" x14ac:dyDescent="0.3">
      <c r="A181" t="s">
        <v>784</v>
      </c>
      <c r="B181" t="s">
        <v>761</v>
      </c>
    </row>
    <row r="182" spans="1:2" x14ac:dyDescent="0.3">
      <c r="A182" t="s">
        <v>785</v>
      </c>
      <c r="B182" t="s">
        <v>761</v>
      </c>
    </row>
    <row r="183" spans="1:2" x14ac:dyDescent="0.3">
      <c r="A183" t="s">
        <v>786</v>
      </c>
      <c r="B183" t="s">
        <v>761</v>
      </c>
    </row>
    <row r="184" spans="1:2" x14ac:dyDescent="0.3">
      <c r="A184" t="s">
        <v>787</v>
      </c>
      <c r="B184" t="s">
        <v>761</v>
      </c>
    </row>
    <row r="185" spans="1:2" x14ac:dyDescent="0.3">
      <c r="A185" t="s">
        <v>788</v>
      </c>
      <c r="B185" t="s">
        <v>761</v>
      </c>
    </row>
    <row r="186" spans="1:2" x14ac:dyDescent="0.3">
      <c r="A186" t="s">
        <v>789</v>
      </c>
      <c r="B186" t="s">
        <v>761</v>
      </c>
    </row>
    <row r="187" spans="1:2" x14ac:dyDescent="0.3">
      <c r="A187" t="s">
        <v>790</v>
      </c>
      <c r="B187" t="s">
        <v>761</v>
      </c>
    </row>
    <row r="188" spans="1:2" x14ac:dyDescent="0.3">
      <c r="A188" t="s">
        <v>791</v>
      </c>
      <c r="B188" t="s">
        <v>761</v>
      </c>
    </row>
    <row r="189" spans="1:2" x14ac:dyDescent="0.3">
      <c r="A189" t="s">
        <v>792</v>
      </c>
      <c r="B189" t="s">
        <v>761</v>
      </c>
    </row>
    <row r="190" spans="1:2" x14ac:dyDescent="0.3">
      <c r="A190" t="s">
        <v>793</v>
      </c>
      <c r="B190" t="s">
        <v>761</v>
      </c>
    </row>
    <row r="191" spans="1:2" x14ac:dyDescent="0.3">
      <c r="A191" t="s">
        <v>794</v>
      </c>
      <c r="B191" t="s">
        <v>761</v>
      </c>
    </row>
    <row r="192" spans="1:2" x14ac:dyDescent="0.3">
      <c r="A192" t="s">
        <v>795</v>
      </c>
      <c r="B192" t="s">
        <v>761</v>
      </c>
    </row>
    <row r="193" spans="1:2" x14ac:dyDescent="0.3">
      <c r="A193" t="s">
        <v>796</v>
      </c>
      <c r="B193" t="s">
        <v>761</v>
      </c>
    </row>
    <row r="194" spans="1:2" x14ac:dyDescent="0.3">
      <c r="A194" t="s">
        <v>797</v>
      </c>
      <c r="B194" t="s">
        <v>761</v>
      </c>
    </row>
    <row r="195" spans="1:2" x14ac:dyDescent="0.3">
      <c r="A195" t="s">
        <v>136</v>
      </c>
      <c r="B195" t="s">
        <v>761</v>
      </c>
    </row>
    <row r="196" spans="1:2" x14ac:dyDescent="0.3">
      <c r="A196" t="s">
        <v>798</v>
      </c>
      <c r="B196" t="s">
        <v>761</v>
      </c>
    </row>
    <row r="197" spans="1:2" x14ac:dyDescent="0.3">
      <c r="A197" t="s">
        <v>799</v>
      </c>
      <c r="B197" t="s">
        <v>761</v>
      </c>
    </row>
    <row r="198" spans="1:2" x14ac:dyDescent="0.3">
      <c r="A198" t="s">
        <v>151</v>
      </c>
      <c r="B198" t="s">
        <v>761</v>
      </c>
    </row>
    <row r="199" spans="1:2" x14ac:dyDescent="0.3">
      <c r="A199" t="s">
        <v>75</v>
      </c>
      <c r="B199" t="s">
        <v>761</v>
      </c>
    </row>
    <row r="200" spans="1:2" x14ac:dyDescent="0.3">
      <c r="A200" t="s">
        <v>801</v>
      </c>
      <c r="B200" t="s">
        <v>761</v>
      </c>
    </row>
    <row r="201" spans="1:2" x14ac:dyDescent="0.3">
      <c r="A201" t="s">
        <v>810</v>
      </c>
      <c r="B201" t="s">
        <v>761</v>
      </c>
    </row>
    <row r="202" spans="1:2" x14ac:dyDescent="0.3">
      <c r="A202" t="s">
        <v>813</v>
      </c>
      <c r="B202" t="s">
        <v>760</v>
      </c>
    </row>
    <row r="203" spans="1:2" x14ac:dyDescent="0.3">
      <c r="A203" t="s">
        <v>813</v>
      </c>
      <c r="B203" t="s">
        <v>761</v>
      </c>
    </row>
    <row r="204" spans="1:2" x14ac:dyDescent="0.3">
      <c r="A204" t="s">
        <v>816</v>
      </c>
      <c r="B204" t="s">
        <v>761</v>
      </c>
    </row>
    <row r="205" spans="1:2" x14ac:dyDescent="0.3">
      <c r="A205" t="s">
        <v>817</v>
      </c>
      <c r="B205" t="s">
        <v>761</v>
      </c>
    </row>
    <row r="206" spans="1:2" x14ac:dyDescent="0.3">
      <c r="A206" t="s">
        <v>818</v>
      </c>
      <c r="B206" t="s">
        <v>761</v>
      </c>
    </row>
    <row r="207" spans="1:2" x14ac:dyDescent="0.3">
      <c r="A207" t="s">
        <v>818</v>
      </c>
      <c r="B207" t="s">
        <v>760</v>
      </c>
    </row>
    <row r="208" spans="1:2" x14ac:dyDescent="0.3">
      <c r="A208" t="s">
        <v>819</v>
      </c>
      <c r="B208" t="s">
        <v>761</v>
      </c>
    </row>
    <row r="209" spans="1:2" x14ac:dyDescent="0.3">
      <c r="A209" t="s">
        <v>820</v>
      </c>
      <c r="B209" t="s">
        <v>761</v>
      </c>
    </row>
    <row r="210" spans="1:2" x14ac:dyDescent="0.3">
      <c r="A210" t="s">
        <v>821</v>
      </c>
      <c r="B210" t="s">
        <v>760</v>
      </c>
    </row>
    <row r="211" spans="1:2" x14ac:dyDescent="0.3">
      <c r="A211" t="s">
        <v>822</v>
      </c>
      <c r="B211" t="s">
        <v>760</v>
      </c>
    </row>
    <row r="212" spans="1:2" x14ac:dyDescent="0.3">
      <c r="A212" t="s">
        <v>824</v>
      </c>
      <c r="B212" t="s">
        <v>761</v>
      </c>
    </row>
    <row r="213" spans="1:2" x14ac:dyDescent="0.3">
      <c r="A213" t="s">
        <v>825</v>
      </c>
      <c r="B213" t="s">
        <v>760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16"/>
    <col min="3" max="3" width="53.44140625" style="16" bestFit="1" customWidth="1"/>
  </cols>
  <sheetData>
    <row r="1" spans="2:8" ht="67.8" x14ac:dyDescent="0.3">
      <c r="B1" s="16">
        <v>0</v>
      </c>
      <c r="C1" s="18" t="str">
        <f t="shared" ref="C1:C66" si="0">"*"&amp;B1&amp;"*"</f>
        <v>*0*</v>
      </c>
    </row>
    <row r="2" spans="2:8" ht="67.8" x14ac:dyDescent="0.4">
      <c r="B2" s="17">
        <v>261493</v>
      </c>
      <c r="C2" s="18" t="str">
        <f t="shared" si="0"/>
        <v>*261493*</v>
      </c>
      <c r="H2" s="15"/>
    </row>
    <row r="3" spans="2:8" ht="67.8" x14ac:dyDescent="0.3">
      <c r="B3" s="17">
        <v>261494</v>
      </c>
      <c r="C3" s="18" t="str">
        <f t="shared" si="0"/>
        <v>*261494*</v>
      </c>
    </row>
    <row r="4" spans="2:8" ht="67.8" x14ac:dyDescent="0.3">
      <c r="B4" s="17" t="s">
        <v>317</v>
      </c>
      <c r="C4" s="18" t="str">
        <f t="shared" si="0"/>
        <v>*261495*</v>
      </c>
    </row>
    <row r="5" spans="2:8" ht="67.8" x14ac:dyDescent="0.3">
      <c r="B5" s="17" t="s">
        <v>318</v>
      </c>
      <c r="C5" s="18" t="str">
        <f t="shared" si="0"/>
        <v>*261496*</v>
      </c>
    </row>
    <row r="6" spans="2:8" ht="67.8" x14ac:dyDescent="0.3">
      <c r="B6" s="17" t="s">
        <v>319</v>
      </c>
      <c r="C6" s="18" t="str">
        <f t="shared" si="0"/>
        <v>*261497*</v>
      </c>
    </row>
    <row r="7" spans="2:8" ht="67.8" x14ac:dyDescent="0.3">
      <c r="B7" s="17" t="s">
        <v>320</v>
      </c>
      <c r="C7" s="18" t="str">
        <f t="shared" si="0"/>
        <v>*261498*</v>
      </c>
    </row>
    <row r="8" spans="2:8" ht="67.8" x14ac:dyDescent="0.3">
      <c r="B8" s="17" t="s">
        <v>321</v>
      </c>
      <c r="C8" s="18" t="str">
        <f t="shared" si="0"/>
        <v>*261499*</v>
      </c>
    </row>
    <row r="9" spans="2:8" ht="67.8" x14ac:dyDescent="0.3">
      <c r="B9" s="17" t="s">
        <v>322</v>
      </c>
      <c r="C9" s="18" t="str">
        <f t="shared" si="0"/>
        <v>*261500*</v>
      </c>
    </row>
    <row r="10" spans="2:8" ht="67.8" x14ac:dyDescent="0.3">
      <c r="B10" s="17" t="s">
        <v>324</v>
      </c>
      <c r="C10" s="18" t="str">
        <f t="shared" si="0"/>
        <v>*261501*</v>
      </c>
    </row>
    <row r="11" spans="2:8" ht="67.8" x14ac:dyDescent="0.3">
      <c r="B11" s="17" t="s">
        <v>325</v>
      </c>
      <c r="C11" s="18" t="str">
        <f t="shared" si="0"/>
        <v>*261502*</v>
      </c>
    </row>
    <row r="12" spans="2:8" ht="67.8" x14ac:dyDescent="0.3">
      <c r="B12" s="17" t="s">
        <v>326</v>
      </c>
      <c r="C12" s="18" t="str">
        <f t="shared" si="0"/>
        <v>*261503*</v>
      </c>
    </row>
    <row r="13" spans="2:8" ht="67.8" x14ac:dyDescent="0.3">
      <c r="B13" s="17" t="s">
        <v>327</v>
      </c>
      <c r="C13" s="18" t="str">
        <f t="shared" si="0"/>
        <v>*261504*</v>
      </c>
    </row>
    <row r="14" spans="2:8" ht="67.8" x14ac:dyDescent="0.3">
      <c r="B14" s="17" t="s">
        <v>329</v>
      </c>
      <c r="C14" s="18" t="str">
        <f t="shared" si="0"/>
        <v>*261505*</v>
      </c>
    </row>
    <row r="15" spans="2:8" ht="67.8" x14ac:dyDescent="0.3">
      <c r="B15" s="17" t="s">
        <v>330</v>
      </c>
      <c r="C15" s="18" t="str">
        <f t="shared" si="0"/>
        <v>*261506*</v>
      </c>
    </row>
    <row r="16" spans="2:8" ht="67.8" x14ac:dyDescent="0.3">
      <c r="B16" s="17" t="s">
        <v>331</v>
      </c>
      <c r="C16" s="18" t="str">
        <f t="shared" si="0"/>
        <v>*261507*</v>
      </c>
    </row>
    <row r="17" spans="2:3" ht="67.8" x14ac:dyDescent="0.3">
      <c r="B17" s="17" t="s">
        <v>332</v>
      </c>
      <c r="C17" s="18" t="str">
        <f t="shared" si="0"/>
        <v>*261508*</v>
      </c>
    </row>
    <row r="18" spans="2:3" ht="67.8" x14ac:dyDescent="0.3">
      <c r="B18" s="17" t="s">
        <v>333</v>
      </c>
      <c r="C18" s="18" t="str">
        <f t="shared" si="0"/>
        <v>*261509*</v>
      </c>
    </row>
    <row r="19" spans="2:3" ht="67.8" x14ac:dyDescent="0.3">
      <c r="B19" s="17" t="s">
        <v>334</v>
      </c>
      <c r="C19" s="18" t="str">
        <f t="shared" si="0"/>
        <v>*261510*</v>
      </c>
    </row>
    <row r="20" spans="2:3" ht="67.8" x14ac:dyDescent="0.3">
      <c r="B20" s="17" t="s">
        <v>335</v>
      </c>
      <c r="C20" s="18" t="str">
        <f t="shared" si="0"/>
        <v>*261511*</v>
      </c>
    </row>
    <row r="21" spans="2:3" ht="67.8" x14ac:dyDescent="0.3">
      <c r="B21" s="17" t="s">
        <v>336</v>
      </c>
      <c r="C21" s="18" t="str">
        <f t="shared" si="0"/>
        <v>*261512*</v>
      </c>
    </row>
    <row r="22" spans="2:3" ht="67.8" x14ac:dyDescent="0.3">
      <c r="B22" s="17" t="s">
        <v>337</v>
      </c>
      <c r="C22" s="18" t="str">
        <f t="shared" si="0"/>
        <v>*261513*</v>
      </c>
    </row>
    <row r="23" spans="2:3" ht="67.8" x14ac:dyDescent="0.3">
      <c r="B23" s="17" t="s">
        <v>338</v>
      </c>
      <c r="C23" s="18" t="str">
        <f t="shared" si="0"/>
        <v>*261514*</v>
      </c>
    </row>
    <row r="24" spans="2:3" ht="67.8" x14ac:dyDescent="0.3">
      <c r="B24" s="17" t="s">
        <v>339</v>
      </c>
      <c r="C24" s="18" t="str">
        <f t="shared" si="0"/>
        <v>*261515*</v>
      </c>
    </row>
    <row r="25" spans="2:3" ht="67.8" x14ac:dyDescent="0.3">
      <c r="B25" s="17" t="s">
        <v>341</v>
      </c>
      <c r="C25" s="18" t="str">
        <f t="shared" si="0"/>
        <v>*261516*</v>
      </c>
    </row>
    <row r="26" spans="2:3" ht="67.8" x14ac:dyDescent="0.3">
      <c r="B26" s="17" t="s">
        <v>342</v>
      </c>
      <c r="C26" s="18" t="str">
        <f t="shared" si="0"/>
        <v>*261517*</v>
      </c>
    </row>
    <row r="27" spans="2:3" ht="67.8" x14ac:dyDescent="0.3">
      <c r="B27" s="17" t="s">
        <v>343</v>
      </c>
      <c r="C27" s="18" t="str">
        <f t="shared" si="0"/>
        <v>*261518*</v>
      </c>
    </row>
    <row r="28" spans="2:3" ht="67.8" x14ac:dyDescent="0.3">
      <c r="B28" s="17" t="s">
        <v>344</v>
      </c>
      <c r="C28" s="18" t="str">
        <f t="shared" si="0"/>
        <v>*261519*</v>
      </c>
    </row>
    <row r="29" spans="2:3" ht="67.8" x14ac:dyDescent="0.3">
      <c r="B29" s="17" t="s">
        <v>345</v>
      </c>
      <c r="C29" s="18" t="str">
        <f t="shared" si="0"/>
        <v>*261520*</v>
      </c>
    </row>
    <row r="30" spans="2:3" ht="67.8" x14ac:dyDescent="0.3">
      <c r="B30" s="17" t="s">
        <v>346</v>
      </c>
      <c r="C30" s="18" t="str">
        <f t="shared" si="0"/>
        <v>*261521*</v>
      </c>
    </row>
    <row r="31" spans="2:3" ht="67.8" x14ac:dyDescent="0.3">
      <c r="B31" s="17" t="s">
        <v>348</v>
      </c>
      <c r="C31" s="18" t="str">
        <f t="shared" si="0"/>
        <v>*261522*</v>
      </c>
    </row>
    <row r="32" spans="2:3" ht="67.8" x14ac:dyDescent="0.3">
      <c r="B32" s="17" t="s">
        <v>349</v>
      </c>
      <c r="C32" s="18" t="str">
        <f t="shared" si="0"/>
        <v>*261523*</v>
      </c>
    </row>
    <row r="33" spans="2:3" ht="67.8" x14ac:dyDescent="0.3">
      <c r="B33" s="17" t="s">
        <v>350</v>
      </c>
      <c r="C33" s="18" t="str">
        <f t="shared" si="0"/>
        <v>*261524*</v>
      </c>
    </row>
    <row r="34" spans="2:3" ht="67.8" x14ac:dyDescent="0.3">
      <c r="B34" s="17" t="s">
        <v>351</v>
      </c>
      <c r="C34" s="18" t="str">
        <f t="shared" si="0"/>
        <v>*261525*</v>
      </c>
    </row>
    <row r="35" spans="2:3" ht="67.8" x14ac:dyDescent="0.3">
      <c r="B35" s="17" t="s">
        <v>352</v>
      </c>
      <c r="C35" s="18" t="str">
        <f t="shared" si="0"/>
        <v>*261526*</v>
      </c>
    </row>
    <row r="36" spans="2:3" ht="67.8" x14ac:dyDescent="0.3">
      <c r="B36" s="17" t="s">
        <v>353</v>
      </c>
      <c r="C36" s="18" t="str">
        <f t="shared" si="0"/>
        <v>*261527*</v>
      </c>
    </row>
    <row r="37" spans="2:3" ht="67.8" x14ac:dyDescent="0.3">
      <c r="B37" s="17" t="s">
        <v>354</v>
      </c>
      <c r="C37" s="18" t="str">
        <f t="shared" si="0"/>
        <v>*261528*</v>
      </c>
    </row>
    <row r="38" spans="2:3" ht="67.8" x14ac:dyDescent="0.3">
      <c r="B38" s="17" t="s">
        <v>355</v>
      </c>
      <c r="C38" s="18" t="str">
        <f t="shared" si="0"/>
        <v>*261529*</v>
      </c>
    </row>
    <row r="39" spans="2:3" ht="67.8" x14ac:dyDescent="0.3">
      <c r="B39" s="17" t="s">
        <v>356</v>
      </c>
      <c r="C39" s="18" t="str">
        <f t="shared" si="0"/>
        <v>*261530*</v>
      </c>
    </row>
    <row r="40" spans="2:3" ht="67.8" x14ac:dyDescent="0.3">
      <c r="B40" s="17" t="s">
        <v>357</v>
      </c>
      <c r="C40" s="18" t="str">
        <f t="shared" si="0"/>
        <v>*261531*</v>
      </c>
    </row>
    <row r="41" spans="2:3" ht="67.8" x14ac:dyDescent="0.3">
      <c r="B41" s="17" t="s">
        <v>358</v>
      </c>
      <c r="C41" s="18" t="str">
        <f t="shared" si="0"/>
        <v>*261532*</v>
      </c>
    </row>
    <row r="42" spans="2:3" ht="67.8" x14ac:dyDescent="0.3">
      <c r="B42" s="17" t="s">
        <v>359</v>
      </c>
      <c r="C42" s="18" t="str">
        <f t="shared" si="0"/>
        <v>*261533*</v>
      </c>
    </row>
    <row r="43" spans="2:3" ht="67.8" x14ac:dyDescent="0.3">
      <c r="B43" s="17" t="s">
        <v>360</v>
      </c>
      <c r="C43" s="18" t="str">
        <f t="shared" si="0"/>
        <v>*261534*</v>
      </c>
    </row>
    <row r="44" spans="2:3" ht="67.8" x14ac:dyDescent="0.3">
      <c r="B44" s="17" t="s">
        <v>361</v>
      </c>
      <c r="C44" s="18" t="str">
        <f t="shared" si="0"/>
        <v>*261535*</v>
      </c>
    </row>
    <row r="45" spans="2:3" ht="67.8" x14ac:dyDescent="0.3">
      <c r="B45" s="17" t="s">
        <v>362</v>
      </c>
      <c r="C45" s="18" t="str">
        <f t="shared" si="0"/>
        <v>*261536*</v>
      </c>
    </row>
    <row r="46" spans="2:3" ht="67.8" x14ac:dyDescent="0.3">
      <c r="B46" s="17" t="s">
        <v>363</v>
      </c>
      <c r="C46" s="18" t="str">
        <f t="shared" si="0"/>
        <v>*261537*</v>
      </c>
    </row>
    <row r="47" spans="2:3" ht="67.8" x14ac:dyDescent="0.3">
      <c r="B47" s="17" t="s">
        <v>364</v>
      </c>
      <c r="C47" s="18" t="str">
        <f t="shared" si="0"/>
        <v>*261538*</v>
      </c>
    </row>
    <row r="48" spans="2:3" ht="67.8" x14ac:dyDescent="0.3">
      <c r="B48" s="17" t="s">
        <v>365</v>
      </c>
      <c r="C48" s="18" t="str">
        <f t="shared" si="0"/>
        <v>*261539*</v>
      </c>
    </row>
    <row r="49" spans="2:3" ht="67.8" x14ac:dyDescent="0.3">
      <c r="B49" s="17" t="s">
        <v>366</v>
      </c>
      <c r="C49" s="18" t="str">
        <f t="shared" si="0"/>
        <v>*261540*</v>
      </c>
    </row>
    <row r="50" spans="2:3" ht="67.8" x14ac:dyDescent="0.3">
      <c r="B50" s="17" t="s">
        <v>367</v>
      </c>
      <c r="C50" s="18" t="str">
        <f t="shared" si="0"/>
        <v>*261541*</v>
      </c>
    </row>
    <row r="51" spans="2:3" ht="67.8" x14ac:dyDescent="0.3">
      <c r="B51" s="17" t="s">
        <v>368</v>
      </c>
      <c r="C51" s="18" t="str">
        <f t="shared" si="0"/>
        <v>*261542*</v>
      </c>
    </row>
    <row r="52" spans="2:3" ht="67.8" x14ac:dyDescent="0.3">
      <c r="B52" s="17" t="s">
        <v>370</v>
      </c>
      <c r="C52" s="18" t="str">
        <f t="shared" si="0"/>
        <v>*261543*</v>
      </c>
    </row>
    <row r="53" spans="2:3" ht="67.8" x14ac:dyDescent="0.3">
      <c r="B53" s="17" t="s">
        <v>372</v>
      </c>
      <c r="C53" s="18" t="str">
        <f t="shared" si="0"/>
        <v>*261544*</v>
      </c>
    </row>
    <row r="54" spans="2:3" ht="67.8" x14ac:dyDescent="0.3">
      <c r="B54" s="17" t="s">
        <v>373</v>
      </c>
      <c r="C54" s="18" t="str">
        <f t="shared" si="0"/>
        <v>*261545*</v>
      </c>
    </row>
    <row r="55" spans="2:3" ht="67.8" x14ac:dyDescent="0.3">
      <c r="B55" s="17" t="s">
        <v>374</v>
      </c>
      <c r="C55" s="18" t="str">
        <f t="shared" si="0"/>
        <v>*261546*</v>
      </c>
    </row>
    <row r="56" spans="2:3" ht="67.8" x14ac:dyDescent="0.3">
      <c r="B56" s="17" t="s">
        <v>376</v>
      </c>
      <c r="C56" s="18" t="str">
        <f t="shared" si="0"/>
        <v>*261547*</v>
      </c>
    </row>
    <row r="57" spans="2:3" ht="67.8" x14ac:dyDescent="0.3">
      <c r="B57" s="17" t="s">
        <v>377</v>
      </c>
      <c r="C57" s="18" t="str">
        <f t="shared" si="0"/>
        <v>*261548*</v>
      </c>
    </row>
    <row r="58" spans="2:3" ht="67.8" x14ac:dyDescent="0.3">
      <c r="B58" s="17" t="s">
        <v>379</v>
      </c>
      <c r="C58" s="18" t="str">
        <f t="shared" si="0"/>
        <v>*261549*</v>
      </c>
    </row>
    <row r="59" spans="2:3" ht="67.8" x14ac:dyDescent="0.3">
      <c r="B59" s="17" t="s">
        <v>380</v>
      </c>
      <c r="C59" s="18" t="str">
        <f t="shared" si="0"/>
        <v>*261550*</v>
      </c>
    </row>
    <row r="60" spans="2:3" ht="67.8" x14ac:dyDescent="0.3">
      <c r="B60" s="17" t="s">
        <v>381</v>
      </c>
      <c r="C60" s="18" t="str">
        <f t="shared" si="0"/>
        <v>*261551*</v>
      </c>
    </row>
    <row r="61" spans="2:3" ht="67.8" x14ac:dyDescent="0.3">
      <c r="B61" s="17" t="s">
        <v>382</v>
      </c>
      <c r="C61" s="18" t="str">
        <f t="shared" si="0"/>
        <v>*261552*</v>
      </c>
    </row>
    <row r="62" spans="2:3" ht="67.8" x14ac:dyDescent="0.3">
      <c r="B62" s="17" t="s">
        <v>383</v>
      </c>
      <c r="C62" s="18" t="str">
        <f t="shared" si="0"/>
        <v>*261553*</v>
      </c>
    </row>
    <row r="63" spans="2:3" ht="67.8" x14ac:dyDescent="0.3">
      <c r="B63" s="17" t="s">
        <v>385</v>
      </c>
      <c r="C63" s="18" t="str">
        <f t="shared" si="0"/>
        <v>*261554*</v>
      </c>
    </row>
    <row r="64" spans="2:3" ht="67.8" x14ac:dyDescent="0.3">
      <c r="B64" s="17" t="s">
        <v>387</v>
      </c>
      <c r="C64" s="18" t="str">
        <f t="shared" si="0"/>
        <v>*261555*</v>
      </c>
    </row>
    <row r="65" spans="2:3" ht="67.8" x14ac:dyDescent="0.3">
      <c r="B65" s="17" t="s">
        <v>388</v>
      </c>
      <c r="C65" s="18" t="str">
        <f t="shared" si="0"/>
        <v>*261556*</v>
      </c>
    </row>
    <row r="66" spans="2:3" ht="67.8" x14ac:dyDescent="0.3">
      <c r="B66" s="17" t="s">
        <v>390</v>
      </c>
      <c r="C66" s="18" t="str">
        <f t="shared" si="0"/>
        <v>*261557*</v>
      </c>
    </row>
    <row r="67" spans="2:3" ht="67.8" x14ac:dyDescent="0.3">
      <c r="B67" s="17" t="s">
        <v>392</v>
      </c>
      <c r="C67" s="18" t="str">
        <f t="shared" ref="C67:C97" si="1">"*"&amp;B67&amp;"*"</f>
        <v>*261558*</v>
      </c>
    </row>
    <row r="68" spans="2:3" ht="67.8" x14ac:dyDescent="0.3">
      <c r="B68" s="17" t="s">
        <v>393</v>
      </c>
      <c r="C68" s="18" t="str">
        <f t="shared" si="1"/>
        <v>*261559*</v>
      </c>
    </row>
    <row r="69" spans="2:3" ht="67.8" x14ac:dyDescent="0.3">
      <c r="B69" s="17" t="s">
        <v>395</v>
      </c>
      <c r="C69" s="18" t="str">
        <f t="shared" si="1"/>
        <v>*261560*</v>
      </c>
    </row>
    <row r="70" spans="2:3" ht="67.8" x14ac:dyDescent="0.3">
      <c r="B70" s="17" t="s">
        <v>397</v>
      </c>
      <c r="C70" s="18" t="str">
        <f t="shared" si="1"/>
        <v>*261561*</v>
      </c>
    </row>
    <row r="71" spans="2:3" ht="67.8" x14ac:dyDescent="0.3">
      <c r="B71" s="17" t="s">
        <v>399</v>
      </c>
      <c r="C71" s="18" t="str">
        <f t="shared" si="1"/>
        <v>*261562*</v>
      </c>
    </row>
    <row r="72" spans="2:3" ht="67.8" x14ac:dyDescent="0.3">
      <c r="B72" s="17" t="s">
        <v>401</v>
      </c>
      <c r="C72" s="18" t="str">
        <f t="shared" si="1"/>
        <v>*261563*</v>
      </c>
    </row>
    <row r="73" spans="2:3" ht="67.8" x14ac:dyDescent="0.3">
      <c r="B73" s="17" t="s">
        <v>403</v>
      </c>
      <c r="C73" s="18" t="str">
        <f t="shared" si="1"/>
        <v>*261564*</v>
      </c>
    </row>
    <row r="74" spans="2:3" ht="67.8" x14ac:dyDescent="0.3">
      <c r="B74" s="17" t="s">
        <v>405</v>
      </c>
      <c r="C74" s="18" t="str">
        <f t="shared" si="1"/>
        <v>*261565*</v>
      </c>
    </row>
    <row r="75" spans="2:3" ht="67.8" x14ac:dyDescent="0.3">
      <c r="B75" s="17" t="s">
        <v>406</v>
      </c>
      <c r="C75" s="18" t="str">
        <f t="shared" si="1"/>
        <v>*261566*</v>
      </c>
    </row>
    <row r="76" spans="2:3" ht="67.8" x14ac:dyDescent="0.3">
      <c r="B76" s="17" t="s">
        <v>407</v>
      </c>
      <c r="C76" s="18" t="str">
        <f t="shared" si="1"/>
        <v>*261567*</v>
      </c>
    </row>
    <row r="77" spans="2:3" ht="67.8" x14ac:dyDescent="0.3">
      <c r="B77" s="17" t="s">
        <v>408</v>
      </c>
      <c r="C77" s="18" t="str">
        <f t="shared" si="1"/>
        <v>*261568*</v>
      </c>
    </row>
    <row r="78" spans="2:3" ht="67.8" x14ac:dyDescent="0.3">
      <c r="B78" s="17" t="s">
        <v>409</v>
      </c>
      <c r="C78" s="18" t="str">
        <f t="shared" si="1"/>
        <v>*261569*</v>
      </c>
    </row>
    <row r="79" spans="2:3" ht="67.8" x14ac:dyDescent="0.3">
      <c r="B79" s="17" t="s">
        <v>410</v>
      </c>
      <c r="C79" s="18" t="str">
        <f t="shared" si="1"/>
        <v>*261570*</v>
      </c>
    </row>
    <row r="80" spans="2:3" ht="67.8" x14ac:dyDescent="0.3">
      <c r="B80" s="17" t="s">
        <v>411</v>
      </c>
      <c r="C80" s="18" t="str">
        <f t="shared" si="1"/>
        <v>*261571*</v>
      </c>
    </row>
    <row r="81" spans="2:3" ht="67.8" x14ac:dyDescent="0.3">
      <c r="B81" s="17" t="s">
        <v>412</v>
      </c>
      <c r="C81" s="18" t="str">
        <f t="shared" si="1"/>
        <v>*261572*</v>
      </c>
    </row>
    <row r="82" spans="2:3" ht="67.8" x14ac:dyDescent="0.3">
      <c r="B82" s="17" t="s">
        <v>413</v>
      </c>
      <c r="C82" s="18" t="str">
        <f t="shared" si="1"/>
        <v>*261573*</v>
      </c>
    </row>
    <row r="83" spans="2:3" ht="67.8" x14ac:dyDescent="0.3">
      <c r="B83" s="17" t="s">
        <v>414</v>
      </c>
      <c r="C83" s="18" t="str">
        <f t="shared" si="1"/>
        <v>*261574*</v>
      </c>
    </row>
    <row r="84" spans="2:3" ht="67.8" x14ac:dyDescent="0.3">
      <c r="B84" s="17" t="s">
        <v>415</v>
      </c>
      <c r="C84" s="18" t="str">
        <f t="shared" si="1"/>
        <v>*261575*</v>
      </c>
    </row>
    <row r="85" spans="2:3" ht="67.8" x14ac:dyDescent="0.3">
      <c r="B85" s="17" t="s">
        <v>416</v>
      </c>
      <c r="C85" s="18" t="str">
        <f t="shared" si="1"/>
        <v>*261576*</v>
      </c>
    </row>
    <row r="86" spans="2:3" ht="67.8" x14ac:dyDescent="0.3">
      <c r="B86" s="17" t="s">
        <v>417</v>
      </c>
      <c r="C86" s="18" t="str">
        <f t="shared" si="1"/>
        <v>*261577*</v>
      </c>
    </row>
    <row r="87" spans="2:3" ht="67.8" x14ac:dyDescent="0.3">
      <c r="B87" s="17" t="s">
        <v>418</v>
      </c>
      <c r="C87" s="18" t="str">
        <f t="shared" si="1"/>
        <v>*261578*</v>
      </c>
    </row>
    <row r="88" spans="2:3" ht="67.8" x14ac:dyDescent="0.3">
      <c r="B88" s="17" t="s">
        <v>419</v>
      </c>
      <c r="C88" s="18" t="str">
        <f t="shared" si="1"/>
        <v>*261579*</v>
      </c>
    </row>
    <row r="89" spans="2:3" ht="67.8" x14ac:dyDescent="0.3">
      <c r="B89" s="17" t="s">
        <v>828</v>
      </c>
      <c r="C89" s="18" t="str">
        <f t="shared" si="1"/>
        <v>*261580*</v>
      </c>
    </row>
    <row r="90" spans="2:3" ht="67.8" x14ac:dyDescent="0.3">
      <c r="B90" s="17" t="s">
        <v>829</v>
      </c>
      <c r="C90" s="18" t="str">
        <f t="shared" si="1"/>
        <v>*261581*</v>
      </c>
    </row>
    <row r="91" spans="2:3" ht="67.8" x14ac:dyDescent="0.3">
      <c r="B91" s="17" t="s">
        <v>830</v>
      </c>
      <c r="C91" s="18" t="str">
        <f t="shared" si="1"/>
        <v>*261582*</v>
      </c>
    </row>
    <row r="92" spans="2:3" ht="67.8" x14ac:dyDescent="0.3">
      <c r="B92" s="17" t="s">
        <v>831</v>
      </c>
      <c r="C92" s="18" t="str">
        <f t="shared" si="1"/>
        <v>*261583*</v>
      </c>
    </row>
    <row r="93" spans="2:3" ht="67.8" x14ac:dyDescent="0.3">
      <c r="B93" s="17" t="s">
        <v>832</v>
      </c>
      <c r="C93" s="18" t="str">
        <f t="shared" si="1"/>
        <v>*261584*</v>
      </c>
    </row>
    <row r="94" spans="2:3" ht="67.8" x14ac:dyDescent="0.3">
      <c r="B94" s="17" t="s">
        <v>833</v>
      </c>
      <c r="C94" s="18" t="str">
        <f t="shared" si="1"/>
        <v>*261585*</v>
      </c>
    </row>
    <row r="95" spans="2:3" ht="67.8" x14ac:dyDescent="0.3">
      <c r="B95" s="17" t="s">
        <v>834</v>
      </c>
      <c r="C95" s="18" t="str">
        <f t="shared" si="1"/>
        <v>*261586*</v>
      </c>
    </row>
    <row r="96" spans="2:3" ht="67.8" x14ac:dyDescent="0.3">
      <c r="B96" s="17" t="s">
        <v>835</v>
      </c>
      <c r="C96" s="18" t="str">
        <f t="shared" si="1"/>
        <v>*261587*</v>
      </c>
    </row>
    <row r="97" spans="2:3" ht="67.8" x14ac:dyDescent="0.3">
      <c r="B97" s="17" t="s">
        <v>836</v>
      </c>
      <c r="C97" s="18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902</v>
      </c>
      <c r="B1" s="47">
        <f>J9+J10*2+J12</f>
        <v>63</v>
      </c>
    </row>
    <row r="2" spans="1:35" x14ac:dyDescent="0.3">
      <c r="A2" t="s">
        <v>903</v>
      </c>
      <c r="B2" s="47">
        <f>J9+J11*2+J10*2+J13</f>
        <v>79</v>
      </c>
    </row>
    <row r="3" spans="1:35" x14ac:dyDescent="0.3">
      <c r="A3" t="s">
        <v>904</v>
      </c>
      <c r="B3" s="47">
        <f>J14+J15+J16</f>
        <v>65</v>
      </c>
    </row>
    <row r="4" spans="1:35" x14ac:dyDescent="0.3">
      <c r="A4" t="s">
        <v>913</v>
      </c>
      <c r="B4">
        <f>B1*B2*B3/1000</f>
        <v>323.505</v>
      </c>
    </row>
    <row r="5" spans="1:35" ht="25.05" customHeight="1" x14ac:dyDescent="0.3"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spans="1:35" ht="25.05" customHeight="1" thickBot="1" x14ac:dyDescent="0.35"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6"/>
      <c r="L7" s="16"/>
      <c r="M7" s="22"/>
      <c r="N7" s="23"/>
      <c r="O7" s="23"/>
      <c r="P7" s="23"/>
      <c r="Q7" s="23"/>
      <c r="R7" s="23"/>
      <c r="S7" s="23"/>
      <c r="T7" s="23" t="s">
        <v>898</v>
      </c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4"/>
      <c r="AG7" s="16"/>
      <c r="AH7" s="16"/>
      <c r="AI7" s="16"/>
    </row>
    <row r="8" spans="1:35" ht="25.05" customHeight="1" x14ac:dyDescent="0.3">
      <c r="E8" t="str">
        <f>IF(J14&lt;15, "SIMPLE", IF(J14&lt;30, "MEDIUM", "COMPLEX"))</f>
        <v>COMPLEX</v>
      </c>
      <c r="K8" s="16"/>
      <c r="L8" s="16"/>
      <c r="M8" s="25"/>
      <c r="N8" s="26"/>
      <c r="O8" s="27"/>
      <c r="P8" s="26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8"/>
      <c r="AD8" s="27"/>
      <c r="AE8" s="28"/>
      <c r="AF8" s="29"/>
      <c r="AG8" s="16"/>
      <c r="AH8" s="16"/>
      <c r="AI8" s="16"/>
    </row>
    <row r="9" spans="1:35" ht="25.05" customHeight="1" x14ac:dyDescent="0.3">
      <c r="E9" s="50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906</v>
      </c>
      <c r="J9">
        <v>5</v>
      </c>
      <c r="K9" s="16"/>
      <c r="L9" s="16"/>
      <c r="M9" s="25" t="s">
        <v>898</v>
      </c>
      <c r="N9" s="30" t="s">
        <v>900</v>
      </c>
      <c r="O9" s="31"/>
      <c r="P9" s="30"/>
      <c r="Q9" s="31"/>
      <c r="R9" s="31"/>
      <c r="S9" s="31"/>
      <c r="T9" s="48"/>
      <c r="U9" s="31"/>
      <c r="V9" s="31"/>
      <c r="W9" s="31"/>
      <c r="X9" s="31"/>
      <c r="Y9" s="31"/>
      <c r="Z9" s="31"/>
      <c r="AA9" s="31"/>
      <c r="AB9" s="31"/>
      <c r="AC9" s="21"/>
      <c r="AD9" s="31"/>
      <c r="AE9" s="21" t="s">
        <v>900</v>
      </c>
      <c r="AF9" s="29" t="s">
        <v>898</v>
      </c>
      <c r="AG9" s="16"/>
      <c r="AH9" s="16"/>
      <c r="AI9" s="16"/>
    </row>
    <row r="10" spans="1:35" ht="25.05" customHeight="1" thickBot="1" x14ac:dyDescent="0.35">
      <c r="I10" t="s">
        <v>907</v>
      </c>
      <c r="J10">
        <v>9</v>
      </c>
      <c r="K10" s="16"/>
      <c r="L10" s="16"/>
      <c r="M10" s="25"/>
      <c r="N10" s="30"/>
      <c r="O10" s="31"/>
      <c r="P10" s="30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21"/>
      <c r="AD10" s="31"/>
      <c r="AE10" s="21"/>
      <c r="AF10" s="29"/>
      <c r="AG10" s="16"/>
      <c r="AH10" s="16"/>
      <c r="AI10" s="16"/>
    </row>
    <row r="11" spans="1:35" ht="25.05" customHeight="1" x14ac:dyDescent="0.3">
      <c r="I11" t="s">
        <v>908</v>
      </c>
      <c r="J11">
        <v>13</v>
      </c>
      <c r="K11" s="16"/>
      <c r="L11" s="16"/>
      <c r="M11" s="25"/>
      <c r="N11" s="30"/>
      <c r="O11" s="31"/>
      <c r="P11" s="30"/>
      <c r="Q11" s="31"/>
      <c r="R11" s="31"/>
      <c r="S11" s="32"/>
      <c r="T11" s="33"/>
      <c r="U11" s="33"/>
      <c r="V11" s="33"/>
      <c r="W11" s="33"/>
      <c r="X11" s="33"/>
      <c r="Y11" s="33"/>
      <c r="Z11" s="34"/>
      <c r="AA11" s="31"/>
      <c r="AB11" s="31"/>
      <c r="AC11" s="21"/>
      <c r="AD11" s="31"/>
      <c r="AE11" s="21"/>
      <c r="AF11" s="29"/>
      <c r="AG11" s="16"/>
      <c r="AH11" s="16"/>
      <c r="AI11" s="16"/>
    </row>
    <row r="12" spans="1:35" ht="25.05" customHeight="1" x14ac:dyDescent="0.3">
      <c r="I12" t="s">
        <v>909</v>
      </c>
      <c r="J12" s="19">
        <v>40</v>
      </c>
      <c r="K12" s="16"/>
      <c r="L12" s="16"/>
      <c r="M12" s="25"/>
      <c r="N12" s="30"/>
      <c r="O12" s="31"/>
      <c r="P12" s="30"/>
      <c r="Q12" s="31"/>
      <c r="R12" s="31"/>
      <c r="S12" s="35"/>
      <c r="T12" s="36"/>
      <c r="U12" s="36"/>
      <c r="V12" s="36"/>
      <c r="W12" s="36"/>
      <c r="X12" s="36"/>
      <c r="Y12" s="36"/>
      <c r="Z12" s="37"/>
      <c r="AA12" s="31"/>
      <c r="AB12" s="31"/>
      <c r="AC12" s="21"/>
      <c r="AD12" s="31"/>
      <c r="AE12" s="21"/>
      <c r="AF12" s="29"/>
      <c r="AG12" s="16"/>
      <c r="AH12" s="16"/>
      <c r="AI12" s="16"/>
    </row>
    <row r="13" spans="1:35" ht="25.05" customHeight="1" x14ac:dyDescent="0.3">
      <c r="I13" t="s">
        <v>910</v>
      </c>
      <c r="J13" s="19">
        <v>30</v>
      </c>
      <c r="K13" s="16"/>
      <c r="L13" s="16"/>
      <c r="M13" s="25"/>
      <c r="N13" s="30"/>
      <c r="O13" s="31"/>
      <c r="P13" s="30"/>
      <c r="Q13" s="31"/>
      <c r="R13" s="31"/>
      <c r="S13" s="35"/>
      <c r="T13" s="36"/>
      <c r="U13" s="36"/>
      <c r="V13" s="36"/>
      <c r="W13" s="36"/>
      <c r="X13" s="36"/>
      <c r="Y13" s="36"/>
      <c r="Z13" s="37"/>
      <c r="AA13" s="30"/>
      <c r="AB13" s="49" t="s">
        <v>907</v>
      </c>
      <c r="AC13" s="21"/>
      <c r="AD13" s="31"/>
      <c r="AE13" s="21"/>
      <c r="AF13" s="29"/>
      <c r="AG13" s="16"/>
      <c r="AH13" s="16"/>
      <c r="AI13" s="16"/>
    </row>
    <row r="14" spans="1:35" ht="25.05" customHeight="1" x14ac:dyDescent="0.3">
      <c r="I14" t="s">
        <v>911</v>
      </c>
      <c r="J14" s="19">
        <v>30</v>
      </c>
      <c r="K14" s="16"/>
      <c r="L14" s="16"/>
      <c r="M14" s="25"/>
      <c r="N14" s="30"/>
      <c r="O14" s="31"/>
      <c r="P14" s="30"/>
      <c r="Q14" s="31"/>
      <c r="R14" s="31"/>
      <c r="S14" s="35"/>
      <c r="T14" s="36"/>
      <c r="U14" s="36"/>
      <c r="V14" s="36"/>
      <c r="W14" s="36"/>
      <c r="X14" s="36"/>
      <c r="Y14" s="36"/>
      <c r="Z14" s="37"/>
      <c r="AA14" s="31"/>
      <c r="AB14" s="31"/>
      <c r="AC14" s="21"/>
      <c r="AD14" s="31"/>
      <c r="AE14" s="21"/>
      <c r="AF14" s="29"/>
      <c r="AG14" s="16"/>
      <c r="AH14" s="16"/>
      <c r="AI14" s="16"/>
    </row>
    <row r="15" spans="1:35" ht="25.05" customHeight="1" x14ac:dyDescent="0.3">
      <c r="I15" t="s">
        <v>905</v>
      </c>
      <c r="J15">
        <v>10</v>
      </c>
      <c r="K15" s="16"/>
      <c r="L15" s="16"/>
      <c r="M15" s="25"/>
      <c r="N15" s="30"/>
      <c r="O15" s="31"/>
      <c r="P15" s="30"/>
      <c r="Q15" s="31"/>
      <c r="R15" s="31"/>
      <c r="S15" s="35"/>
      <c r="T15" s="36"/>
      <c r="U15" s="36"/>
      <c r="V15" s="36"/>
      <c r="W15" s="36"/>
      <c r="X15" s="36"/>
      <c r="Y15" s="36"/>
      <c r="Z15" s="37"/>
      <c r="AA15" s="31"/>
      <c r="AB15" s="31"/>
      <c r="AC15" s="21"/>
      <c r="AD15" s="31"/>
      <c r="AE15" s="21"/>
      <c r="AF15" s="29"/>
      <c r="AG15" s="16"/>
      <c r="AH15" s="16"/>
      <c r="AI15" s="16"/>
    </row>
    <row r="16" spans="1:35" ht="25.05" customHeight="1" thickBot="1" x14ac:dyDescent="0.35">
      <c r="I16" t="s">
        <v>912</v>
      </c>
      <c r="J16">
        <v>25</v>
      </c>
      <c r="K16" s="16"/>
      <c r="L16" s="16"/>
      <c r="M16" s="25"/>
      <c r="N16" s="30"/>
      <c r="O16" s="31"/>
      <c r="P16" s="30"/>
      <c r="Q16" s="31"/>
      <c r="R16" s="31"/>
      <c r="S16" s="38"/>
      <c r="T16" s="39"/>
      <c r="U16" s="39"/>
      <c r="V16" s="39" t="s">
        <v>899</v>
      </c>
      <c r="W16" s="39"/>
      <c r="X16" s="39"/>
      <c r="Y16" s="39"/>
      <c r="Z16" s="40"/>
      <c r="AA16" s="31"/>
      <c r="AB16" s="31"/>
      <c r="AC16" s="21"/>
      <c r="AD16" s="31"/>
      <c r="AE16" s="21"/>
      <c r="AF16" s="29"/>
      <c r="AG16" s="16"/>
      <c r="AH16" s="16"/>
      <c r="AI16" s="16"/>
    </row>
    <row r="17" spans="1:50" ht="25.05" customHeight="1" x14ac:dyDescent="0.3">
      <c r="K17" s="16"/>
      <c r="L17" s="16"/>
      <c r="M17" s="25"/>
      <c r="N17" s="30"/>
      <c r="O17" s="31"/>
      <c r="P17" s="30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21"/>
      <c r="AD17" s="31"/>
      <c r="AE17" s="21"/>
      <c r="AF17" s="29"/>
      <c r="AG17" s="16"/>
      <c r="AH17" s="16"/>
      <c r="AI17" s="16"/>
    </row>
    <row r="18" spans="1:50" ht="25.05" customHeight="1" x14ac:dyDescent="0.3">
      <c r="A18" t="s">
        <v>938</v>
      </c>
      <c r="B18" t="s">
        <v>939</v>
      </c>
      <c r="C18" t="s">
        <v>942</v>
      </c>
      <c r="K18" s="16"/>
      <c r="L18" s="16"/>
      <c r="M18" s="25"/>
      <c r="N18" s="30"/>
      <c r="O18" s="31"/>
      <c r="P18" s="30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21"/>
      <c r="AD18" s="31"/>
      <c r="AE18" s="21"/>
      <c r="AF18" s="29"/>
      <c r="AG18" s="16"/>
      <c r="AH18" s="16"/>
      <c r="AI18" s="16"/>
    </row>
    <row r="19" spans="1:50" ht="25.05" customHeight="1" thickBot="1" x14ac:dyDescent="0.35">
      <c r="A19">
        <v>7289724330</v>
      </c>
      <c r="B19" t="s">
        <v>929</v>
      </c>
      <c r="C19" t="s">
        <v>948</v>
      </c>
      <c r="K19" s="16"/>
      <c r="L19" s="16"/>
      <c r="M19" s="25"/>
      <c r="N19" s="41"/>
      <c r="O19" s="42"/>
      <c r="P19" s="41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3"/>
      <c r="AD19" s="42"/>
      <c r="AE19" s="43"/>
      <c r="AF19" s="29"/>
      <c r="AG19" s="16"/>
      <c r="AH19" s="16"/>
      <c r="AI19" s="16"/>
    </row>
    <row r="20" spans="1:50" ht="25.05" customHeight="1" thickBot="1" x14ac:dyDescent="0.35">
      <c r="A20">
        <v>7298186930</v>
      </c>
      <c r="B20" t="s">
        <v>929</v>
      </c>
      <c r="C20" t="s">
        <v>947</v>
      </c>
      <c r="H20" s="20"/>
      <c r="K20" s="16"/>
      <c r="L20" s="16"/>
      <c r="M20" s="44"/>
      <c r="N20" s="45"/>
      <c r="O20" s="45"/>
      <c r="P20" s="45"/>
      <c r="Q20" s="45"/>
      <c r="R20" s="45"/>
      <c r="S20" s="45"/>
      <c r="T20" s="45" t="s">
        <v>898</v>
      </c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6"/>
      <c r="AG20" s="16"/>
      <c r="AH20" s="16"/>
      <c r="AI20" s="16"/>
    </row>
    <row r="21" spans="1:50" ht="25.05" customHeight="1" x14ac:dyDescent="0.3">
      <c r="A21">
        <v>72888941</v>
      </c>
      <c r="B21" t="s">
        <v>929</v>
      </c>
      <c r="C21" t="s">
        <v>901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</row>
    <row r="22" spans="1:50" ht="25.05" customHeight="1" x14ac:dyDescent="0.3">
      <c r="A22">
        <v>7278442030</v>
      </c>
      <c r="B22" t="s">
        <v>929</v>
      </c>
      <c r="C22" t="s">
        <v>947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</row>
    <row r="23" spans="1:50" ht="25.05" customHeight="1" x14ac:dyDescent="0.3">
      <c r="A23">
        <v>72985208</v>
      </c>
      <c r="B23" t="s">
        <v>929</v>
      </c>
      <c r="C23" t="s">
        <v>948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t="s">
        <v>914</v>
      </c>
      <c r="AJ23" t="s">
        <v>915</v>
      </c>
      <c r="AK23" t="s">
        <v>916</v>
      </c>
      <c r="AL23" t="s">
        <v>917</v>
      </c>
      <c r="AM23" t="s">
        <v>918</v>
      </c>
      <c r="AO23" t="s">
        <v>919</v>
      </c>
      <c r="AP23" t="s">
        <v>920</v>
      </c>
      <c r="AQ23" t="s">
        <v>921</v>
      </c>
      <c r="AR23" t="s">
        <v>922</v>
      </c>
      <c r="AS23" t="s">
        <v>923</v>
      </c>
      <c r="AT23" t="s">
        <v>924</v>
      </c>
      <c r="AU23" t="s">
        <v>925</v>
      </c>
      <c r="AV23" t="s">
        <v>926</v>
      </c>
      <c r="AW23" t="s">
        <v>927</v>
      </c>
      <c r="AX23" t="s">
        <v>928</v>
      </c>
    </row>
    <row r="24" spans="1:50" ht="25.05" customHeight="1" x14ac:dyDescent="0.3">
      <c r="A24">
        <v>7298150830</v>
      </c>
      <c r="B24" t="s">
        <v>929</v>
      </c>
      <c r="C24" t="s">
        <v>948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</row>
    <row r="25" spans="1:50" ht="25.05" customHeight="1" x14ac:dyDescent="0.3">
      <c r="A25">
        <v>7198460730</v>
      </c>
      <c r="B25" t="s">
        <v>929</v>
      </c>
      <c r="C25" t="s">
        <v>947</v>
      </c>
    </row>
    <row r="26" spans="1:50" ht="25.05" customHeight="1" x14ac:dyDescent="0.3">
      <c r="A26">
        <v>7298108030</v>
      </c>
      <c r="B26" t="s">
        <v>929</v>
      </c>
      <c r="C26" t="s">
        <v>948</v>
      </c>
    </row>
    <row r="27" spans="1:50" ht="25.05" customHeight="1" x14ac:dyDescent="0.3">
      <c r="A27">
        <v>7298154930</v>
      </c>
      <c r="B27" t="s">
        <v>929</v>
      </c>
      <c r="C27" t="s">
        <v>901</v>
      </c>
    </row>
    <row r="28" spans="1:50" ht="25.05" customHeight="1" x14ac:dyDescent="0.3">
      <c r="B28" t="s">
        <v>929</v>
      </c>
    </row>
    <row r="29" spans="1:50" ht="25.05" customHeight="1" x14ac:dyDescent="0.3">
      <c r="A29">
        <v>7289724330</v>
      </c>
      <c r="B29" t="s">
        <v>929</v>
      </c>
      <c r="C29" t="s">
        <v>948</v>
      </c>
    </row>
    <row r="30" spans="1:50" ht="25.05" customHeight="1" x14ac:dyDescent="0.3">
      <c r="A30">
        <v>7278271940</v>
      </c>
      <c r="B30" t="s">
        <v>929</v>
      </c>
      <c r="C30" t="s">
        <v>948</v>
      </c>
    </row>
    <row r="31" spans="1:50" ht="25.05" customHeight="1" x14ac:dyDescent="0.3">
      <c r="A31">
        <v>7298186930</v>
      </c>
      <c r="B31" t="s">
        <v>929</v>
      </c>
      <c r="C31" t="s">
        <v>947</v>
      </c>
    </row>
    <row r="32" spans="1:50" x14ac:dyDescent="0.3">
      <c r="A32">
        <v>72888941</v>
      </c>
      <c r="B32" t="s">
        <v>929</v>
      </c>
      <c r="C32" t="s">
        <v>901</v>
      </c>
    </row>
    <row r="33" spans="1:3" x14ac:dyDescent="0.3">
      <c r="A33">
        <v>7278442030</v>
      </c>
      <c r="B33" t="s">
        <v>929</v>
      </c>
      <c r="C33" t="s">
        <v>947</v>
      </c>
    </row>
    <row r="34" spans="1:3" x14ac:dyDescent="0.3">
      <c r="A34">
        <v>72985208</v>
      </c>
      <c r="B34" t="s">
        <v>929</v>
      </c>
      <c r="C34" t="s">
        <v>948</v>
      </c>
    </row>
    <row r="35" spans="1:3" x14ac:dyDescent="0.3">
      <c r="A35">
        <v>7298108030</v>
      </c>
      <c r="B35" t="s">
        <v>929</v>
      </c>
      <c r="C35" t="s">
        <v>948</v>
      </c>
    </row>
    <row r="36" spans="1:3" x14ac:dyDescent="0.3">
      <c r="A36">
        <v>7198460730</v>
      </c>
      <c r="B36" t="s">
        <v>929</v>
      </c>
      <c r="C36" t="s">
        <v>947</v>
      </c>
    </row>
    <row r="37" spans="1:3" x14ac:dyDescent="0.3">
      <c r="A37">
        <v>7298154930</v>
      </c>
      <c r="B37" t="s">
        <v>929</v>
      </c>
      <c r="C37" t="s">
        <v>901</v>
      </c>
    </row>
    <row r="38" spans="1:3" x14ac:dyDescent="0.3">
      <c r="A38">
        <v>7298150830</v>
      </c>
      <c r="B38" t="s">
        <v>929</v>
      </c>
      <c r="C38" t="s">
        <v>948</v>
      </c>
    </row>
    <row r="39" spans="1:3" x14ac:dyDescent="0.3">
      <c r="A39">
        <v>71191147</v>
      </c>
      <c r="B39" t="s">
        <v>929</v>
      </c>
      <c r="C39" t="s">
        <v>948</v>
      </c>
    </row>
    <row r="40" spans="1:3" x14ac:dyDescent="0.3">
      <c r="B40" t="s">
        <v>929</v>
      </c>
    </row>
    <row r="41" spans="1:3" x14ac:dyDescent="0.3">
      <c r="A41">
        <v>7187090590</v>
      </c>
      <c r="B41" t="s">
        <v>929</v>
      </c>
      <c r="C41" t="s">
        <v>948</v>
      </c>
    </row>
    <row r="42" spans="1:3" x14ac:dyDescent="0.3">
      <c r="A42">
        <v>7277015590</v>
      </c>
      <c r="B42" t="s">
        <v>929</v>
      </c>
      <c r="C42" t="s">
        <v>946</v>
      </c>
    </row>
    <row r="43" spans="1:3" x14ac:dyDescent="0.3">
      <c r="A43">
        <v>7187090560</v>
      </c>
      <c r="B43" t="s">
        <v>929</v>
      </c>
      <c r="C43" t="s">
        <v>948</v>
      </c>
    </row>
    <row r="44" spans="1:3" x14ac:dyDescent="0.3">
      <c r="A44">
        <v>71870905</v>
      </c>
      <c r="B44" t="s">
        <v>929</v>
      </c>
      <c r="C44" t="s">
        <v>948</v>
      </c>
    </row>
    <row r="45" spans="1:3" x14ac:dyDescent="0.3">
      <c r="A45">
        <v>71983904</v>
      </c>
      <c r="B45" t="s">
        <v>929</v>
      </c>
      <c r="C45" t="s">
        <v>947</v>
      </c>
    </row>
    <row r="46" spans="1:3" x14ac:dyDescent="0.3">
      <c r="A46">
        <v>7287741830</v>
      </c>
      <c r="B46" t="s">
        <v>929</v>
      </c>
      <c r="C46" t="s">
        <v>946</v>
      </c>
    </row>
    <row r="47" spans="1:3" x14ac:dyDescent="0.3">
      <c r="A47">
        <v>7288907230</v>
      </c>
      <c r="B47" t="s">
        <v>929</v>
      </c>
      <c r="C47" t="s">
        <v>945</v>
      </c>
    </row>
    <row r="48" spans="1:3" x14ac:dyDescent="0.3">
      <c r="A48">
        <v>7298227830</v>
      </c>
      <c r="B48" t="s">
        <v>929</v>
      </c>
      <c r="C48" t="s">
        <v>948</v>
      </c>
    </row>
    <row r="49" spans="1:3" x14ac:dyDescent="0.3">
      <c r="A49">
        <v>7298227830</v>
      </c>
      <c r="B49" t="s">
        <v>929</v>
      </c>
      <c r="C49" t="s">
        <v>948</v>
      </c>
    </row>
    <row r="50" spans="1:3" x14ac:dyDescent="0.3">
      <c r="A50">
        <v>7298593130</v>
      </c>
      <c r="B50" t="s">
        <v>929</v>
      </c>
      <c r="C50" t="s">
        <v>946</v>
      </c>
    </row>
    <row r="51" spans="1:3" x14ac:dyDescent="0.3">
      <c r="A51">
        <v>7298593130</v>
      </c>
      <c r="B51" t="s">
        <v>929</v>
      </c>
      <c r="C51" t="s">
        <v>946</v>
      </c>
    </row>
    <row r="52" spans="1:3" x14ac:dyDescent="0.3">
      <c r="A52">
        <v>7285207290</v>
      </c>
      <c r="B52" t="s">
        <v>929</v>
      </c>
      <c r="C52" t="s">
        <v>946</v>
      </c>
    </row>
    <row r="53" spans="1:3" x14ac:dyDescent="0.3">
      <c r="A53">
        <v>7287720230</v>
      </c>
      <c r="B53" t="s">
        <v>929</v>
      </c>
      <c r="C53" t="s">
        <v>946</v>
      </c>
    </row>
    <row r="54" spans="1:3" x14ac:dyDescent="0.3">
      <c r="A54">
        <v>71870905</v>
      </c>
      <c r="B54" t="s">
        <v>929</v>
      </c>
      <c r="C54" t="s">
        <v>948</v>
      </c>
    </row>
    <row r="55" spans="1:3" x14ac:dyDescent="0.3">
      <c r="B55" t="s">
        <v>929</v>
      </c>
    </row>
    <row r="56" spans="1:3" x14ac:dyDescent="0.3">
      <c r="A56">
        <v>7298228030</v>
      </c>
      <c r="B56" t="s">
        <v>929</v>
      </c>
      <c r="C56" t="s">
        <v>948</v>
      </c>
    </row>
    <row r="57" spans="1:3" x14ac:dyDescent="0.3">
      <c r="A57">
        <v>7288907230</v>
      </c>
      <c r="B57" t="s">
        <v>929</v>
      </c>
      <c r="C57" t="s">
        <v>945</v>
      </c>
    </row>
    <row r="58" spans="1:3" x14ac:dyDescent="0.3">
      <c r="A58">
        <v>7298228030</v>
      </c>
      <c r="B58" t="s">
        <v>929</v>
      </c>
      <c r="C58" t="s">
        <v>948</v>
      </c>
    </row>
    <row r="59" spans="1:3" x14ac:dyDescent="0.3">
      <c r="A59">
        <v>7298593130</v>
      </c>
      <c r="B59" t="s">
        <v>929</v>
      </c>
      <c r="C59" t="s">
        <v>946</v>
      </c>
    </row>
    <row r="60" spans="1:3" x14ac:dyDescent="0.3">
      <c r="A60">
        <v>7298250730</v>
      </c>
      <c r="B60" t="s">
        <v>929</v>
      </c>
      <c r="C60" t="s">
        <v>948</v>
      </c>
    </row>
    <row r="61" spans="1:3" x14ac:dyDescent="0.3">
      <c r="A61">
        <v>7283368530</v>
      </c>
      <c r="B61" t="s">
        <v>929</v>
      </c>
      <c r="C61" t="s">
        <v>948</v>
      </c>
    </row>
    <row r="62" spans="1:3" x14ac:dyDescent="0.3">
      <c r="A62">
        <v>7287720230</v>
      </c>
      <c r="B62" t="s">
        <v>929</v>
      </c>
      <c r="C62" t="s">
        <v>946</v>
      </c>
    </row>
    <row r="63" spans="1:3" x14ac:dyDescent="0.3">
      <c r="A63">
        <v>7278121430</v>
      </c>
      <c r="B63" t="s">
        <v>929</v>
      </c>
      <c r="C63" t="s">
        <v>948</v>
      </c>
    </row>
    <row r="64" spans="1:3" x14ac:dyDescent="0.3">
      <c r="A64">
        <v>7298186530</v>
      </c>
      <c r="B64" t="s">
        <v>929</v>
      </c>
      <c r="C64" t="s">
        <v>948</v>
      </c>
    </row>
    <row r="65" spans="1:3" x14ac:dyDescent="0.3">
      <c r="A65">
        <v>7298186930</v>
      </c>
      <c r="B65" t="s">
        <v>929</v>
      </c>
      <c r="C65" t="s">
        <v>947</v>
      </c>
    </row>
    <row r="66" spans="1:3" x14ac:dyDescent="0.3">
      <c r="A66">
        <v>7222740630</v>
      </c>
      <c r="B66" t="s">
        <v>929</v>
      </c>
      <c r="C66" t="s">
        <v>946</v>
      </c>
    </row>
    <row r="67" spans="1:3" x14ac:dyDescent="0.3">
      <c r="A67">
        <v>7187090560</v>
      </c>
      <c r="B67" t="s">
        <v>929</v>
      </c>
      <c r="C67" t="s">
        <v>948</v>
      </c>
    </row>
    <row r="68" spans="1:3" x14ac:dyDescent="0.3">
      <c r="A68">
        <v>7298593130</v>
      </c>
      <c r="B68" t="s">
        <v>929</v>
      </c>
      <c r="C68" t="s">
        <v>946</v>
      </c>
    </row>
    <row r="69" spans="1:3" x14ac:dyDescent="0.3">
      <c r="A69">
        <v>7219176430</v>
      </c>
      <c r="B69" t="s">
        <v>930</v>
      </c>
      <c r="C69" t="s">
        <v>948</v>
      </c>
    </row>
    <row r="70" spans="1:3" x14ac:dyDescent="0.3">
      <c r="A70">
        <v>7286738630</v>
      </c>
      <c r="B70" t="s">
        <v>930</v>
      </c>
      <c r="C70" t="s">
        <v>946</v>
      </c>
    </row>
    <row r="71" spans="1:3" x14ac:dyDescent="0.3">
      <c r="A71">
        <v>7298173030</v>
      </c>
      <c r="B71" t="s">
        <v>930</v>
      </c>
      <c r="C71" t="s">
        <v>948</v>
      </c>
    </row>
    <row r="72" spans="1:3" x14ac:dyDescent="0.3">
      <c r="A72">
        <v>7278239430</v>
      </c>
      <c r="B72" t="s">
        <v>930</v>
      </c>
      <c r="C72" t="s">
        <v>948</v>
      </c>
    </row>
    <row r="73" spans="1:3" x14ac:dyDescent="0.3">
      <c r="A73">
        <v>7278197840</v>
      </c>
      <c r="B73" t="s">
        <v>930</v>
      </c>
      <c r="C73" t="s">
        <v>948</v>
      </c>
    </row>
    <row r="74" spans="1:3" x14ac:dyDescent="0.3">
      <c r="A74">
        <v>7298171330</v>
      </c>
      <c r="B74" t="s">
        <v>930</v>
      </c>
      <c r="C74" t="s">
        <v>948</v>
      </c>
    </row>
    <row r="75" spans="1:3" x14ac:dyDescent="0.3">
      <c r="B75" t="s">
        <v>930</v>
      </c>
    </row>
    <row r="76" spans="1:3" x14ac:dyDescent="0.3">
      <c r="A76">
        <v>7298790330</v>
      </c>
      <c r="B76" t="s">
        <v>930</v>
      </c>
      <c r="C76" t="s">
        <v>948</v>
      </c>
    </row>
    <row r="77" spans="1:3" x14ac:dyDescent="0.3">
      <c r="A77">
        <v>7298790330</v>
      </c>
      <c r="B77" t="s">
        <v>930</v>
      </c>
      <c r="C77" t="s">
        <v>948</v>
      </c>
    </row>
    <row r="78" spans="1:3" x14ac:dyDescent="0.3">
      <c r="A78">
        <v>7298186930</v>
      </c>
      <c r="B78" t="s">
        <v>930</v>
      </c>
      <c r="C78" t="s">
        <v>947</v>
      </c>
    </row>
    <row r="79" spans="1:3" x14ac:dyDescent="0.3">
      <c r="A79">
        <v>7288907230</v>
      </c>
      <c r="B79" t="s">
        <v>930</v>
      </c>
      <c r="C79" t="s">
        <v>945</v>
      </c>
    </row>
    <row r="80" spans="1:3" x14ac:dyDescent="0.3">
      <c r="A80">
        <v>7298186530</v>
      </c>
      <c r="B80" t="s">
        <v>930</v>
      </c>
      <c r="C80" t="s">
        <v>948</v>
      </c>
    </row>
    <row r="81" spans="1:3" x14ac:dyDescent="0.3">
      <c r="A81">
        <v>7289508430</v>
      </c>
      <c r="B81" t="s">
        <v>930</v>
      </c>
      <c r="C81" t="s">
        <v>946</v>
      </c>
    </row>
    <row r="82" spans="1:3" x14ac:dyDescent="0.3">
      <c r="A82">
        <v>7298186930</v>
      </c>
      <c r="B82" t="s">
        <v>930</v>
      </c>
      <c r="C82" t="s">
        <v>947</v>
      </c>
    </row>
    <row r="83" spans="1:3" x14ac:dyDescent="0.3">
      <c r="A83">
        <v>7298790830</v>
      </c>
      <c r="B83" t="s">
        <v>930</v>
      </c>
      <c r="C83" t="s">
        <v>948</v>
      </c>
    </row>
    <row r="84" spans="1:3" x14ac:dyDescent="0.3">
      <c r="A84">
        <v>7289508430</v>
      </c>
      <c r="B84" t="s">
        <v>930</v>
      </c>
      <c r="C84" t="s">
        <v>946</v>
      </c>
    </row>
    <row r="85" spans="1:3" x14ac:dyDescent="0.3">
      <c r="A85">
        <v>7286139730</v>
      </c>
      <c r="B85" t="s">
        <v>930</v>
      </c>
      <c r="C85" t="s">
        <v>946</v>
      </c>
    </row>
    <row r="86" spans="1:3" x14ac:dyDescent="0.3">
      <c r="A86">
        <v>7287821130</v>
      </c>
      <c r="B86" t="s">
        <v>930</v>
      </c>
      <c r="C86" t="s">
        <v>946</v>
      </c>
    </row>
    <row r="87" spans="1:3" x14ac:dyDescent="0.3">
      <c r="A87">
        <v>7298186530</v>
      </c>
      <c r="B87" t="s">
        <v>930</v>
      </c>
      <c r="C87" t="s">
        <v>948</v>
      </c>
    </row>
    <row r="88" spans="1:3" x14ac:dyDescent="0.3">
      <c r="B88" t="s">
        <v>930</v>
      </c>
    </row>
    <row r="89" spans="1:3" x14ac:dyDescent="0.3">
      <c r="A89">
        <v>7119153830</v>
      </c>
      <c r="B89" t="s">
        <v>930</v>
      </c>
      <c r="C89" t="s">
        <v>948</v>
      </c>
    </row>
    <row r="90" spans="1:3" x14ac:dyDescent="0.3">
      <c r="A90">
        <v>7119689030</v>
      </c>
      <c r="B90" t="s">
        <v>930</v>
      </c>
      <c r="C90" t="s">
        <v>948</v>
      </c>
    </row>
    <row r="91" spans="1:3" x14ac:dyDescent="0.3">
      <c r="A91">
        <v>7286145630</v>
      </c>
      <c r="B91" t="s">
        <v>930</v>
      </c>
      <c r="C91" t="s">
        <v>901</v>
      </c>
    </row>
    <row r="92" spans="1:3" x14ac:dyDescent="0.3">
      <c r="A92">
        <v>7287180440</v>
      </c>
      <c r="B92" t="s">
        <v>930</v>
      </c>
      <c r="C92" t="s">
        <v>948</v>
      </c>
    </row>
    <row r="93" spans="1:3" x14ac:dyDescent="0.3">
      <c r="A93">
        <v>72980788</v>
      </c>
      <c r="B93" t="s">
        <v>930</v>
      </c>
      <c r="C93" t="s">
        <v>948</v>
      </c>
    </row>
    <row r="94" spans="1:3" x14ac:dyDescent="0.3">
      <c r="A94" t="s">
        <v>933</v>
      </c>
      <c r="B94" t="s">
        <v>930</v>
      </c>
      <c r="C94" t="s">
        <v>948</v>
      </c>
    </row>
    <row r="95" spans="1:3" x14ac:dyDescent="0.3">
      <c r="A95">
        <v>7298237430</v>
      </c>
      <c r="B95" t="s">
        <v>930</v>
      </c>
      <c r="C95" t="s">
        <v>948</v>
      </c>
    </row>
    <row r="96" spans="1:3" x14ac:dyDescent="0.3">
      <c r="A96">
        <v>7298237430</v>
      </c>
      <c r="B96" t="s">
        <v>930</v>
      </c>
      <c r="C96" t="s">
        <v>948</v>
      </c>
    </row>
    <row r="97" spans="1:3" x14ac:dyDescent="0.3">
      <c r="A97">
        <v>7298237430</v>
      </c>
      <c r="B97" t="s">
        <v>930</v>
      </c>
      <c r="C97" t="s">
        <v>948</v>
      </c>
    </row>
    <row r="98" spans="1:3" x14ac:dyDescent="0.3">
      <c r="A98">
        <v>7298237430</v>
      </c>
      <c r="B98" t="s">
        <v>930</v>
      </c>
      <c r="C98" t="s">
        <v>948</v>
      </c>
    </row>
    <row r="99" spans="1:3" x14ac:dyDescent="0.3">
      <c r="A99" t="s">
        <v>934</v>
      </c>
      <c r="B99" t="s">
        <v>930</v>
      </c>
    </row>
    <row r="100" spans="1:3" x14ac:dyDescent="0.3">
      <c r="A100" t="s">
        <v>934</v>
      </c>
      <c r="B100" t="s">
        <v>930</v>
      </c>
    </row>
    <row r="101" spans="1:3" x14ac:dyDescent="0.3">
      <c r="B101" t="s">
        <v>930</v>
      </c>
    </row>
    <row r="102" spans="1:3" x14ac:dyDescent="0.3">
      <c r="A102">
        <v>7298790130</v>
      </c>
      <c r="B102" t="s">
        <v>930</v>
      </c>
      <c r="C102" t="s">
        <v>948</v>
      </c>
    </row>
    <row r="103" spans="1:3" x14ac:dyDescent="0.3">
      <c r="A103">
        <v>7288907230</v>
      </c>
      <c r="B103" t="s">
        <v>930</v>
      </c>
      <c r="C103" t="s">
        <v>945</v>
      </c>
    </row>
    <row r="104" spans="1:3" x14ac:dyDescent="0.3">
      <c r="A104">
        <v>7288907230</v>
      </c>
      <c r="B104" t="s">
        <v>930</v>
      </c>
      <c r="C104" t="s">
        <v>945</v>
      </c>
    </row>
    <row r="105" spans="1:3" x14ac:dyDescent="0.3">
      <c r="A105">
        <v>7282559510</v>
      </c>
      <c r="B105" t="s">
        <v>930</v>
      </c>
      <c r="C105" t="s">
        <v>946</v>
      </c>
    </row>
    <row r="106" spans="1:3" x14ac:dyDescent="0.3">
      <c r="A106">
        <v>7278451130</v>
      </c>
      <c r="B106" t="s">
        <v>930</v>
      </c>
      <c r="C106" t="s">
        <v>946</v>
      </c>
    </row>
    <row r="107" spans="1:3" x14ac:dyDescent="0.3">
      <c r="A107">
        <v>7298237430</v>
      </c>
      <c r="B107" t="s">
        <v>930</v>
      </c>
      <c r="C107" t="s">
        <v>948</v>
      </c>
    </row>
    <row r="108" spans="1:3" x14ac:dyDescent="0.3">
      <c r="A108">
        <v>7298237430</v>
      </c>
      <c r="B108" t="s">
        <v>930</v>
      </c>
      <c r="C108" t="s">
        <v>948</v>
      </c>
    </row>
    <row r="109" spans="1:3" x14ac:dyDescent="0.3">
      <c r="A109">
        <v>7298228210</v>
      </c>
      <c r="B109" t="s">
        <v>930</v>
      </c>
      <c r="C109" t="s">
        <v>948</v>
      </c>
    </row>
    <row r="110" spans="1:3" x14ac:dyDescent="0.3">
      <c r="A110">
        <v>7219631630</v>
      </c>
      <c r="B110" t="s">
        <v>931</v>
      </c>
      <c r="C110" t="s">
        <v>948</v>
      </c>
    </row>
    <row r="111" spans="1:3" x14ac:dyDescent="0.3">
      <c r="A111">
        <v>7219631630</v>
      </c>
      <c r="B111" t="s">
        <v>931</v>
      </c>
      <c r="C111" t="s">
        <v>948</v>
      </c>
    </row>
    <row r="112" spans="1:3" x14ac:dyDescent="0.3">
      <c r="A112">
        <v>7219631630</v>
      </c>
      <c r="B112" t="s">
        <v>931</v>
      </c>
      <c r="C112" t="s">
        <v>948</v>
      </c>
    </row>
    <row r="113" spans="1:3" x14ac:dyDescent="0.3">
      <c r="A113">
        <v>7219631630</v>
      </c>
      <c r="B113" t="s">
        <v>931</v>
      </c>
      <c r="C113" t="s">
        <v>948</v>
      </c>
    </row>
    <row r="114" spans="1:3" x14ac:dyDescent="0.3">
      <c r="A114">
        <v>7288907230</v>
      </c>
      <c r="B114" t="s">
        <v>931</v>
      </c>
      <c r="C114" t="s">
        <v>945</v>
      </c>
    </row>
    <row r="115" spans="1:3" x14ac:dyDescent="0.3">
      <c r="A115">
        <v>7298186530</v>
      </c>
      <c r="B115" t="s">
        <v>931</v>
      </c>
      <c r="C115" t="s">
        <v>948</v>
      </c>
    </row>
    <row r="116" spans="1:3" x14ac:dyDescent="0.3">
      <c r="A116">
        <v>7186066580</v>
      </c>
      <c r="B116" t="s">
        <v>931</v>
      </c>
      <c r="C116" t="s">
        <v>948</v>
      </c>
    </row>
    <row r="117" spans="1:3" x14ac:dyDescent="0.3">
      <c r="A117">
        <v>7283464030</v>
      </c>
      <c r="B117" t="s">
        <v>931</v>
      </c>
      <c r="C117" t="s">
        <v>946</v>
      </c>
    </row>
    <row r="118" spans="1:3" x14ac:dyDescent="0.3">
      <c r="A118">
        <v>71860665</v>
      </c>
      <c r="B118" t="s">
        <v>931</v>
      </c>
      <c r="C118" t="s">
        <v>948</v>
      </c>
    </row>
    <row r="119" spans="1:3" x14ac:dyDescent="0.3">
      <c r="A119">
        <v>7289567230</v>
      </c>
      <c r="B119" t="s">
        <v>931</v>
      </c>
      <c r="C119" t="s">
        <v>946</v>
      </c>
    </row>
    <row r="120" spans="1:3" x14ac:dyDescent="0.3">
      <c r="A120">
        <v>7186066560</v>
      </c>
      <c r="B120" t="s">
        <v>931</v>
      </c>
      <c r="C120" t="s">
        <v>948</v>
      </c>
    </row>
    <row r="121" spans="1:3" x14ac:dyDescent="0.3">
      <c r="A121">
        <v>7186066590</v>
      </c>
      <c r="B121" t="s">
        <v>931</v>
      </c>
      <c r="C121" t="s">
        <v>948</v>
      </c>
    </row>
    <row r="122" spans="1:3" x14ac:dyDescent="0.3">
      <c r="A122">
        <v>7298079230</v>
      </c>
      <c r="B122" t="s">
        <v>931</v>
      </c>
      <c r="C122" t="s">
        <v>946</v>
      </c>
    </row>
    <row r="123" spans="1:3" x14ac:dyDescent="0.3">
      <c r="A123">
        <v>72975392</v>
      </c>
      <c r="B123" t="s">
        <v>931</v>
      </c>
      <c r="C123" t="s">
        <v>943</v>
      </c>
    </row>
    <row r="124" spans="1:3" x14ac:dyDescent="0.3">
      <c r="A124">
        <v>7287149830</v>
      </c>
      <c r="B124" t="s">
        <v>931</v>
      </c>
      <c r="C124" t="s">
        <v>901</v>
      </c>
    </row>
    <row r="125" spans="1:3" x14ac:dyDescent="0.3">
      <c r="A125">
        <v>7171192330</v>
      </c>
      <c r="B125" t="s">
        <v>931</v>
      </c>
      <c r="C125" t="s">
        <v>948</v>
      </c>
    </row>
    <row r="126" spans="1:3" x14ac:dyDescent="0.3">
      <c r="A126">
        <v>7171297430</v>
      </c>
      <c r="B126" t="s">
        <v>931</v>
      </c>
      <c r="C126" t="s">
        <v>946</v>
      </c>
    </row>
    <row r="127" spans="1:3" x14ac:dyDescent="0.3">
      <c r="A127">
        <v>7171297430</v>
      </c>
      <c r="B127" t="s">
        <v>931</v>
      </c>
      <c r="C127" t="s">
        <v>946</v>
      </c>
    </row>
    <row r="128" spans="1:3" x14ac:dyDescent="0.3">
      <c r="A128">
        <v>7171297430</v>
      </c>
      <c r="B128" t="s">
        <v>931</v>
      </c>
      <c r="C128" t="s">
        <v>946</v>
      </c>
    </row>
    <row r="129" spans="1:3" x14ac:dyDescent="0.3">
      <c r="A129">
        <v>7298980540</v>
      </c>
      <c r="B129" t="s">
        <v>931</v>
      </c>
      <c r="C129" t="s">
        <v>947</v>
      </c>
    </row>
    <row r="130" spans="1:3" x14ac:dyDescent="0.3">
      <c r="A130">
        <v>7154058630</v>
      </c>
      <c r="B130" t="s">
        <v>931</v>
      </c>
      <c r="C130" t="s">
        <v>946</v>
      </c>
    </row>
    <row r="131" spans="1:3" x14ac:dyDescent="0.3">
      <c r="A131">
        <v>7171192330</v>
      </c>
      <c r="B131" t="s">
        <v>931</v>
      </c>
      <c r="C131" t="s">
        <v>948</v>
      </c>
    </row>
    <row r="132" spans="1:3" x14ac:dyDescent="0.3">
      <c r="A132">
        <v>7287150380</v>
      </c>
      <c r="B132" t="s">
        <v>931</v>
      </c>
      <c r="C132" t="s">
        <v>901</v>
      </c>
    </row>
    <row r="133" spans="1:3" x14ac:dyDescent="0.3">
      <c r="A133">
        <v>7171297430</v>
      </c>
      <c r="B133" t="s">
        <v>931</v>
      </c>
      <c r="C133" t="s">
        <v>946</v>
      </c>
    </row>
    <row r="134" spans="1:3" x14ac:dyDescent="0.3">
      <c r="A134">
        <v>7171297430</v>
      </c>
      <c r="B134" t="s">
        <v>931</v>
      </c>
      <c r="C134" t="s">
        <v>946</v>
      </c>
    </row>
    <row r="135" spans="1:3" x14ac:dyDescent="0.3">
      <c r="A135">
        <v>7298170230</v>
      </c>
      <c r="B135" t="s">
        <v>931</v>
      </c>
      <c r="C135" t="s">
        <v>946</v>
      </c>
    </row>
    <row r="136" spans="1:3" x14ac:dyDescent="0.3">
      <c r="A136">
        <v>7298186530</v>
      </c>
      <c r="B136" t="s">
        <v>931</v>
      </c>
      <c r="C136" t="s">
        <v>948</v>
      </c>
    </row>
    <row r="137" spans="1:3" x14ac:dyDescent="0.3">
      <c r="A137">
        <v>7287018730</v>
      </c>
      <c r="B137" t="s">
        <v>931</v>
      </c>
      <c r="C137" t="s">
        <v>948</v>
      </c>
    </row>
    <row r="138" spans="1:3" x14ac:dyDescent="0.3">
      <c r="A138">
        <v>7219631630</v>
      </c>
      <c r="B138" t="s">
        <v>931</v>
      </c>
      <c r="C138" t="s">
        <v>948</v>
      </c>
    </row>
    <row r="139" spans="1:3" x14ac:dyDescent="0.3">
      <c r="A139">
        <v>7298227830</v>
      </c>
      <c r="B139" t="s">
        <v>931</v>
      </c>
      <c r="C139" t="s">
        <v>948</v>
      </c>
    </row>
    <row r="140" spans="1:3" x14ac:dyDescent="0.3">
      <c r="A140">
        <v>7278451130</v>
      </c>
      <c r="B140" t="s">
        <v>931</v>
      </c>
      <c r="C140" t="s">
        <v>946</v>
      </c>
    </row>
    <row r="141" spans="1:3" x14ac:dyDescent="0.3">
      <c r="A141">
        <v>7288907230</v>
      </c>
      <c r="B141" t="s">
        <v>931</v>
      </c>
      <c r="C141" t="s">
        <v>945</v>
      </c>
    </row>
    <row r="142" spans="1:3" x14ac:dyDescent="0.3">
      <c r="A142">
        <v>7298186530</v>
      </c>
      <c r="B142" t="s">
        <v>931</v>
      </c>
      <c r="C142" t="s">
        <v>948</v>
      </c>
    </row>
    <row r="143" spans="1:3" x14ac:dyDescent="0.3">
      <c r="A143">
        <v>72987902</v>
      </c>
      <c r="B143" t="s">
        <v>931</v>
      </c>
      <c r="C143" t="s">
        <v>948</v>
      </c>
    </row>
    <row r="144" spans="1:3" x14ac:dyDescent="0.3">
      <c r="A144">
        <v>7289909030</v>
      </c>
      <c r="B144" t="s">
        <v>931</v>
      </c>
      <c r="C144" t="s">
        <v>946</v>
      </c>
    </row>
    <row r="145" spans="1:3" x14ac:dyDescent="0.3">
      <c r="A145">
        <v>7298593130</v>
      </c>
      <c r="B145" t="s">
        <v>931</v>
      </c>
      <c r="C145" t="s">
        <v>946</v>
      </c>
    </row>
    <row r="146" spans="1:3" x14ac:dyDescent="0.3">
      <c r="A146">
        <v>7298079230</v>
      </c>
      <c r="B146" t="s">
        <v>931</v>
      </c>
      <c r="C146" t="s">
        <v>946</v>
      </c>
    </row>
    <row r="147" spans="1:3" x14ac:dyDescent="0.3">
      <c r="A147">
        <v>7271295130</v>
      </c>
      <c r="B147" t="s">
        <v>931</v>
      </c>
      <c r="C147" t="s">
        <v>949</v>
      </c>
    </row>
    <row r="148" spans="1:3" x14ac:dyDescent="0.3">
      <c r="A148">
        <v>7287801830</v>
      </c>
      <c r="B148" t="s">
        <v>931</v>
      </c>
      <c r="C148" t="s">
        <v>943</v>
      </c>
    </row>
    <row r="149" spans="1:3" x14ac:dyDescent="0.3">
      <c r="A149">
        <v>7223160530</v>
      </c>
      <c r="B149" t="s">
        <v>931</v>
      </c>
      <c r="C149" t="s">
        <v>946</v>
      </c>
    </row>
    <row r="150" spans="1:3" x14ac:dyDescent="0.3">
      <c r="A150">
        <v>7283464030</v>
      </c>
      <c r="B150" t="s">
        <v>931</v>
      </c>
      <c r="C150" t="s">
        <v>946</v>
      </c>
    </row>
    <row r="151" spans="1:3" x14ac:dyDescent="0.3">
      <c r="A151">
        <v>7219113440</v>
      </c>
      <c r="B151" t="s">
        <v>931</v>
      </c>
      <c r="C151" t="s">
        <v>948</v>
      </c>
    </row>
    <row r="152" spans="1:3" x14ac:dyDescent="0.3">
      <c r="A152">
        <v>7298593130</v>
      </c>
      <c r="B152" t="s">
        <v>931</v>
      </c>
      <c r="C152" t="s">
        <v>946</v>
      </c>
    </row>
    <row r="153" spans="1:3" x14ac:dyDescent="0.3">
      <c r="A153">
        <v>72781797</v>
      </c>
      <c r="B153" t="s">
        <v>931</v>
      </c>
      <c r="C153" t="s">
        <v>947</v>
      </c>
    </row>
    <row r="154" spans="1:3" x14ac:dyDescent="0.3">
      <c r="A154">
        <v>7298237430</v>
      </c>
      <c r="B154" t="s">
        <v>931</v>
      </c>
      <c r="C154" t="s">
        <v>948</v>
      </c>
    </row>
    <row r="155" spans="1:3" x14ac:dyDescent="0.3">
      <c r="A155">
        <v>7298790830</v>
      </c>
      <c r="B155" t="s">
        <v>931</v>
      </c>
      <c r="C155" t="s">
        <v>948</v>
      </c>
    </row>
    <row r="156" spans="1:3" x14ac:dyDescent="0.3">
      <c r="A156">
        <v>7298790830</v>
      </c>
      <c r="B156" t="s">
        <v>931</v>
      </c>
      <c r="C156" t="s">
        <v>948</v>
      </c>
    </row>
    <row r="157" spans="1:3" x14ac:dyDescent="0.3">
      <c r="A157">
        <v>7298186930</v>
      </c>
      <c r="B157" t="s">
        <v>931</v>
      </c>
      <c r="C157" t="s">
        <v>947</v>
      </c>
    </row>
    <row r="158" spans="1:3" x14ac:dyDescent="0.3">
      <c r="A158">
        <v>7298790130</v>
      </c>
      <c r="B158" t="s">
        <v>931</v>
      </c>
      <c r="C158" t="s">
        <v>948</v>
      </c>
    </row>
    <row r="159" spans="1:3" x14ac:dyDescent="0.3">
      <c r="A159">
        <v>7298186530</v>
      </c>
      <c r="B159" t="s">
        <v>931</v>
      </c>
      <c r="C159" t="s">
        <v>948</v>
      </c>
    </row>
    <row r="160" spans="1:3" x14ac:dyDescent="0.3">
      <c r="A160">
        <v>7298186530</v>
      </c>
      <c r="B160" t="s">
        <v>931</v>
      </c>
      <c r="C160" t="s">
        <v>948</v>
      </c>
    </row>
    <row r="161" spans="1:3" x14ac:dyDescent="0.3">
      <c r="A161">
        <v>7298237430</v>
      </c>
      <c r="B161" t="s">
        <v>931</v>
      </c>
      <c r="C161" t="s">
        <v>948</v>
      </c>
    </row>
    <row r="162" spans="1:3" x14ac:dyDescent="0.3">
      <c r="A162">
        <v>7287150380</v>
      </c>
      <c r="B162" t="s">
        <v>931</v>
      </c>
      <c r="C162" t="s">
        <v>901</v>
      </c>
    </row>
    <row r="163" spans="1:3" x14ac:dyDescent="0.3">
      <c r="A163">
        <v>7278121240</v>
      </c>
      <c r="B163" t="s">
        <v>931</v>
      </c>
      <c r="C163" t="s">
        <v>948</v>
      </c>
    </row>
    <row r="164" spans="1:3" x14ac:dyDescent="0.3">
      <c r="A164">
        <v>72897496</v>
      </c>
      <c r="B164" t="s">
        <v>931</v>
      </c>
      <c r="C164" t="s">
        <v>901</v>
      </c>
    </row>
    <row r="165" spans="1:3" x14ac:dyDescent="0.3">
      <c r="A165">
        <v>7298108030</v>
      </c>
      <c r="B165" t="s">
        <v>931</v>
      </c>
      <c r="C165" t="s">
        <v>948</v>
      </c>
    </row>
    <row r="166" spans="1:3" x14ac:dyDescent="0.3">
      <c r="A166">
        <v>7298108030</v>
      </c>
      <c r="B166" t="s">
        <v>931</v>
      </c>
      <c r="C166" t="s">
        <v>948</v>
      </c>
    </row>
    <row r="167" spans="1:3" x14ac:dyDescent="0.3">
      <c r="A167">
        <v>7154075530</v>
      </c>
      <c r="B167" t="s">
        <v>931</v>
      </c>
      <c r="C167" t="s">
        <v>940</v>
      </c>
    </row>
    <row r="168" spans="1:3" x14ac:dyDescent="0.3">
      <c r="A168">
        <v>7154058630</v>
      </c>
      <c r="B168" t="s">
        <v>931</v>
      </c>
      <c r="C168" t="s">
        <v>946</v>
      </c>
    </row>
    <row r="169" spans="1:3" x14ac:dyDescent="0.3">
      <c r="A169">
        <v>7171297430</v>
      </c>
      <c r="B169" t="s">
        <v>931</v>
      </c>
      <c r="C169" t="s">
        <v>946</v>
      </c>
    </row>
    <row r="170" spans="1:3" x14ac:dyDescent="0.3">
      <c r="A170">
        <v>7154026130</v>
      </c>
      <c r="B170" t="s">
        <v>931</v>
      </c>
      <c r="C170" t="s">
        <v>901</v>
      </c>
    </row>
    <row r="171" spans="1:3" x14ac:dyDescent="0.3">
      <c r="A171">
        <v>7004128702</v>
      </c>
      <c r="B171" t="s">
        <v>931</v>
      </c>
      <c r="C171" t="s">
        <v>944</v>
      </c>
    </row>
    <row r="172" spans="1:3" x14ac:dyDescent="0.3">
      <c r="A172">
        <v>7004128702</v>
      </c>
      <c r="B172" t="s">
        <v>931</v>
      </c>
      <c r="C172" t="s">
        <v>944</v>
      </c>
    </row>
    <row r="173" spans="1:3" x14ac:dyDescent="0.3">
      <c r="A173">
        <v>7004128702</v>
      </c>
      <c r="B173" t="s">
        <v>931</v>
      </c>
      <c r="C173" t="s">
        <v>944</v>
      </c>
    </row>
    <row r="174" spans="1:3" x14ac:dyDescent="0.3">
      <c r="A174">
        <v>7004128702</v>
      </c>
      <c r="B174" t="s">
        <v>931</v>
      </c>
      <c r="C174" t="s">
        <v>944</v>
      </c>
    </row>
    <row r="175" spans="1:3" x14ac:dyDescent="0.3">
      <c r="A175">
        <v>7274349370</v>
      </c>
      <c r="B175" t="s">
        <v>932</v>
      </c>
      <c r="C175" t="s">
        <v>940</v>
      </c>
    </row>
    <row r="176" spans="1:3" x14ac:dyDescent="0.3">
      <c r="A176">
        <v>7075218330</v>
      </c>
      <c r="B176" t="s">
        <v>932</v>
      </c>
      <c r="C176" t="s">
        <v>941</v>
      </c>
    </row>
    <row r="177" spans="1:3" x14ac:dyDescent="0.3">
      <c r="A177">
        <v>72975207</v>
      </c>
      <c r="B177" t="s">
        <v>932</v>
      </c>
      <c r="C177" t="s">
        <v>948</v>
      </c>
    </row>
    <row r="178" spans="1:3" x14ac:dyDescent="0.3">
      <c r="A178">
        <v>7234488830</v>
      </c>
      <c r="B178" t="s">
        <v>932</v>
      </c>
      <c r="C178" t="s">
        <v>940</v>
      </c>
    </row>
    <row r="179" spans="1:3" x14ac:dyDescent="0.3">
      <c r="A179">
        <v>71983904</v>
      </c>
      <c r="B179" t="s">
        <v>932</v>
      </c>
      <c r="C179" t="s">
        <v>947</v>
      </c>
    </row>
    <row r="180" spans="1:3" x14ac:dyDescent="0.3">
      <c r="A180">
        <v>7187090580</v>
      </c>
      <c r="B180" t="s">
        <v>932</v>
      </c>
      <c r="C180" t="s">
        <v>948</v>
      </c>
    </row>
    <row r="181" spans="1:3" x14ac:dyDescent="0.3">
      <c r="A181">
        <v>7187090590</v>
      </c>
      <c r="B181" t="s">
        <v>932</v>
      </c>
      <c r="C181" t="s">
        <v>948</v>
      </c>
    </row>
    <row r="182" spans="1:3" x14ac:dyDescent="0.3">
      <c r="A182">
        <v>71870905</v>
      </c>
      <c r="B182" t="s">
        <v>932</v>
      </c>
      <c r="C182" t="s">
        <v>948</v>
      </c>
    </row>
    <row r="183" spans="1:3" x14ac:dyDescent="0.3">
      <c r="A183">
        <v>7187090560</v>
      </c>
      <c r="B183" t="s">
        <v>932</v>
      </c>
      <c r="C183" t="s">
        <v>948</v>
      </c>
    </row>
    <row r="184" spans="1:3" x14ac:dyDescent="0.3">
      <c r="A184" t="s">
        <v>935</v>
      </c>
      <c r="B184" t="s">
        <v>932</v>
      </c>
      <c r="C184" t="s">
        <v>947</v>
      </c>
    </row>
    <row r="185" spans="1:3" x14ac:dyDescent="0.3">
      <c r="A185">
        <v>7289773340</v>
      </c>
      <c r="B185" t="s">
        <v>932</v>
      </c>
      <c r="C185" t="s">
        <v>946</v>
      </c>
    </row>
    <row r="186" spans="1:3" x14ac:dyDescent="0.3">
      <c r="A186" t="s">
        <v>935</v>
      </c>
      <c r="B186" t="s">
        <v>932</v>
      </c>
      <c r="C186" t="s">
        <v>947</v>
      </c>
    </row>
    <row r="187" spans="1:3" x14ac:dyDescent="0.3">
      <c r="A187">
        <v>7154041130</v>
      </c>
      <c r="B187" t="s">
        <v>932</v>
      </c>
      <c r="C187" t="s">
        <v>946</v>
      </c>
    </row>
    <row r="188" spans="1:3" x14ac:dyDescent="0.3">
      <c r="A188">
        <v>7119674430</v>
      </c>
      <c r="B188" t="s">
        <v>932</v>
      </c>
      <c r="C188" t="s">
        <v>948</v>
      </c>
    </row>
    <row r="189" spans="1:3" x14ac:dyDescent="0.3">
      <c r="A189">
        <v>7282374040</v>
      </c>
      <c r="B189" t="s">
        <v>932</v>
      </c>
      <c r="C189" t="s">
        <v>946</v>
      </c>
    </row>
    <row r="190" spans="1:3" x14ac:dyDescent="0.3">
      <c r="A190">
        <v>7186066590</v>
      </c>
      <c r="B190" t="s">
        <v>932</v>
      </c>
      <c r="C190" t="s">
        <v>948</v>
      </c>
    </row>
    <row r="191" spans="1:3" x14ac:dyDescent="0.3">
      <c r="A191">
        <v>71860665</v>
      </c>
      <c r="B191" t="s">
        <v>932</v>
      </c>
      <c r="C191" t="s">
        <v>948</v>
      </c>
    </row>
    <row r="192" spans="1:3" x14ac:dyDescent="0.3">
      <c r="A192">
        <v>7186066560</v>
      </c>
      <c r="B192" t="s">
        <v>932</v>
      </c>
      <c r="C192" t="s">
        <v>948</v>
      </c>
    </row>
    <row r="193" spans="1:3" x14ac:dyDescent="0.3">
      <c r="A193">
        <v>72975392</v>
      </c>
      <c r="B193" t="s">
        <v>932</v>
      </c>
      <c r="C193" t="s">
        <v>943</v>
      </c>
    </row>
    <row r="194" spans="1:3" x14ac:dyDescent="0.3">
      <c r="A194">
        <v>7288907230</v>
      </c>
      <c r="B194" t="s">
        <v>932</v>
      </c>
      <c r="C194" t="s">
        <v>945</v>
      </c>
    </row>
    <row r="195" spans="1:3" x14ac:dyDescent="0.3">
      <c r="A195">
        <v>7119679430</v>
      </c>
      <c r="B195" t="s">
        <v>932</v>
      </c>
      <c r="C195" t="s">
        <v>948</v>
      </c>
    </row>
    <row r="196" spans="1:3" x14ac:dyDescent="0.3">
      <c r="A196">
        <v>7297565530</v>
      </c>
      <c r="B196" t="s">
        <v>932</v>
      </c>
      <c r="C196" t="s">
        <v>943</v>
      </c>
    </row>
    <row r="197" spans="1:3" x14ac:dyDescent="0.3">
      <c r="A197">
        <v>72899966</v>
      </c>
      <c r="B197" t="s">
        <v>932</v>
      </c>
      <c r="C197" t="s">
        <v>947</v>
      </c>
    </row>
    <row r="198" spans="1:3" x14ac:dyDescent="0.3">
      <c r="A198">
        <v>7298200830</v>
      </c>
      <c r="B198" t="s">
        <v>932</v>
      </c>
      <c r="C198" t="s">
        <v>901</v>
      </c>
    </row>
    <row r="199" spans="1:3" x14ac:dyDescent="0.3">
      <c r="A199">
        <v>72780597</v>
      </c>
      <c r="B199" t="s">
        <v>932</v>
      </c>
      <c r="C199" t="s">
        <v>948</v>
      </c>
    </row>
    <row r="200" spans="1:3" x14ac:dyDescent="0.3">
      <c r="A200">
        <v>71196834</v>
      </c>
      <c r="B200" t="s">
        <v>932</v>
      </c>
      <c r="C200" t="s">
        <v>948</v>
      </c>
    </row>
    <row r="201" spans="1:3" x14ac:dyDescent="0.3">
      <c r="A201">
        <v>7119683530</v>
      </c>
      <c r="B201" t="s">
        <v>932</v>
      </c>
      <c r="C201" t="s">
        <v>948</v>
      </c>
    </row>
    <row r="202" spans="1:3" x14ac:dyDescent="0.3">
      <c r="A202">
        <v>7287766270</v>
      </c>
      <c r="B202" t="s">
        <v>932</v>
      </c>
      <c r="C202" t="s">
        <v>948</v>
      </c>
    </row>
    <row r="203" spans="1:3" x14ac:dyDescent="0.3">
      <c r="A203">
        <v>7298150830</v>
      </c>
      <c r="B203" t="s">
        <v>932</v>
      </c>
      <c r="C203" t="s">
        <v>948</v>
      </c>
    </row>
    <row r="204" spans="1:3" x14ac:dyDescent="0.3">
      <c r="A204">
        <v>7223160530</v>
      </c>
      <c r="B204" t="s">
        <v>932</v>
      </c>
      <c r="C204" t="s">
        <v>946</v>
      </c>
    </row>
    <row r="205" spans="1:3" x14ac:dyDescent="0.3">
      <c r="A205">
        <v>7119679830</v>
      </c>
      <c r="B205" t="s">
        <v>932</v>
      </c>
      <c r="C205" t="s">
        <v>947</v>
      </c>
    </row>
    <row r="206" spans="1:3" x14ac:dyDescent="0.3">
      <c r="A206">
        <v>7287143930</v>
      </c>
      <c r="B206" t="s">
        <v>932</v>
      </c>
      <c r="C206" t="s">
        <v>946</v>
      </c>
    </row>
    <row r="207" spans="1:3" x14ac:dyDescent="0.3">
      <c r="A207">
        <v>7219683340</v>
      </c>
      <c r="B207" t="s">
        <v>932</v>
      </c>
      <c r="C207" t="s">
        <v>940</v>
      </c>
    </row>
    <row r="208" spans="1:3" x14ac:dyDescent="0.3">
      <c r="A208">
        <v>7287476780</v>
      </c>
      <c r="B208" t="s">
        <v>932</v>
      </c>
      <c r="C208" t="s">
        <v>948</v>
      </c>
    </row>
    <row r="209" spans="1:3" x14ac:dyDescent="0.3">
      <c r="A209">
        <v>7289862080</v>
      </c>
      <c r="B209" t="s">
        <v>932</v>
      </c>
      <c r="C209" t="s">
        <v>947</v>
      </c>
    </row>
    <row r="210" spans="1:3" x14ac:dyDescent="0.3">
      <c r="A210">
        <v>72782561</v>
      </c>
      <c r="B210" t="s">
        <v>932</v>
      </c>
      <c r="C210" t="s">
        <v>948</v>
      </c>
    </row>
    <row r="211" spans="1:3" x14ac:dyDescent="0.3">
      <c r="A211">
        <v>72975392</v>
      </c>
      <c r="B211" t="s">
        <v>932</v>
      </c>
      <c r="C211" t="s">
        <v>943</v>
      </c>
    </row>
    <row r="212" spans="1:3" x14ac:dyDescent="0.3">
      <c r="A212">
        <v>7222740630</v>
      </c>
      <c r="B212" t="s">
        <v>932</v>
      </c>
      <c r="C212" t="s">
        <v>946</v>
      </c>
    </row>
    <row r="213" spans="1:3" x14ac:dyDescent="0.3">
      <c r="A213">
        <v>7119185330</v>
      </c>
      <c r="B213" t="s">
        <v>932</v>
      </c>
      <c r="C213" t="s">
        <v>948</v>
      </c>
    </row>
    <row r="214" spans="1:3" x14ac:dyDescent="0.3">
      <c r="A214">
        <v>7119185640</v>
      </c>
      <c r="B214" t="s">
        <v>932</v>
      </c>
      <c r="C214" t="s">
        <v>948</v>
      </c>
    </row>
    <row r="215" spans="1:3" x14ac:dyDescent="0.3">
      <c r="A215">
        <v>71781755</v>
      </c>
      <c r="B215" t="s">
        <v>932</v>
      </c>
      <c r="C215" t="s">
        <v>948</v>
      </c>
    </row>
    <row r="216" spans="1:3" x14ac:dyDescent="0.3">
      <c r="A216">
        <v>7178170830</v>
      </c>
      <c r="B216" t="s">
        <v>932</v>
      </c>
      <c r="C216" t="s">
        <v>948</v>
      </c>
    </row>
    <row r="217" spans="1:3" x14ac:dyDescent="0.3">
      <c r="A217">
        <v>7186066560</v>
      </c>
      <c r="B217" t="s">
        <v>932</v>
      </c>
      <c r="C217" t="s">
        <v>948</v>
      </c>
    </row>
    <row r="218" spans="1:3" x14ac:dyDescent="0.3">
      <c r="A218">
        <v>71860665</v>
      </c>
      <c r="B218" t="s">
        <v>932</v>
      </c>
      <c r="C218" t="s">
        <v>948</v>
      </c>
    </row>
    <row r="219" spans="1:3" x14ac:dyDescent="0.3">
      <c r="A219">
        <v>72888940</v>
      </c>
      <c r="B219" t="s">
        <v>932</v>
      </c>
      <c r="C219" t="s">
        <v>946</v>
      </c>
    </row>
    <row r="220" spans="1:3" x14ac:dyDescent="0.3">
      <c r="A220">
        <v>7278197730</v>
      </c>
      <c r="B220" t="s">
        <v>932</v>
      </c>
      <c r="C220" t="s">
        <v>948</v>
      </c>
    </row>
    <row r="221" spans="1:3" x14ac:dyDescent="0.3">
      <c r="A221">
        <v>7289778240</v>
      </c>
      <c r="B221" t="s">
        <v>932</v>
      </c>
      <c r="C221" t="s">
        <v>948</v>
      </c>
    </row>
    <row r="222" spans="1:3" x14ac:dyDescent="0.3">
      <c r="A222">
        <v>7154041130</v>
      </c>
      <c r="B222" t="s">
        <v>932</v>
      </c>
      <c r="C222" t="s">
        <v>946</v>
      </c>
    </row>
    <row r="223" spans="1:3" x14ac:dyDescent="0.3">
      <c r="A223">
        <v>7154075530</v>
      </c>
      <c r="B223" t="s">
        <v>932</v>
      </c>
      <c r="C223" t="s">
        <v>940</v>
      </c>
    </row>
    <row r="224" spans="1:3" x14ac:dyDescent="0.3">
      <c r="A224">
        <v>7298186530</v>
      </c>
      <c r="B224" t="s">
        <v>932</v>
      </c>
      <c r="C224" t="s">
        <v>948</v>
      </c>
    </row>
    <row r="225" spans="1:3" x14ac:dyDescent="0.3">
      <c r="A225" t="s">
        <v>936</v>
      </c>
      <c r="B225" t="s">
        <v>932</v>
      </c>
      <c r="C225" t="s">
        <v>947</v>
      </c>
    </row>
    <row r="226" spans="1:3" x14ac:dyDescent="0.3">
      <c r="A226">
        <v>7278197730</v>
      </c>
      <c r="B226" t="s">
        <v>932</v>
      </c>
      <c r="C226" t="s">
        <v>948</v>
      </c>
    </row>
    <row r="227" spans="1:3" x14ac:dyDescent="0.3">
      <c r="A227">
        <v>7287011790</v>
      </c>
      <c r="B227" t="s">
        <v>932</v>
      </c>
      <c r="C227" t="s">
        <v>901</v>
      </c>
    </row>
    <row r="228" spans="1:3" x14ac:dyDescent="0.3">
      <c r="A228">
        <v>72780597</v>
      </c>
      <c r="B228" t="s">
        <v>932</v>
      </c>
      <c r="C228" t="s">
        <v>948</v>
      </c>
    </row>
    <row r="229" spans="1:3" x14ac:dyDescent="0.3">
      <c r="A229" t="s">
        <v>937</v>
      </c>
      <c r="B229" t="s">
        <v>932</v>
      </c>
    </row>
    <row r="230" spans="1:3" x14ac:dyDescent="0.3">
      <c r="A230">
        <v>7278179230</v>
      </c>
      <c r="B230" t="s">
        <v>932</v>
      </c>
      <c r="C230" t="s">
        <v>948</v>
      </c>
    </row>
    <row r="231" spans="1:3" x14ac:dyDescent="0.3">
      <c r="A231">
        <v>7287782930</v>
      </c>
      <c r="B231" t="s">
        <v>932</v>
      </c>
      <c r="C231" t="s">
        <v>948</v>
      </c>
    </row>
    <row r="232" spans="1:3" x14ac:dyDescent="0.3">
      <c r="A232">
        <v>72780597</v>
      </c>
      <c r="B232" t="s">
        <v>932</v>
      </c>
      <c r="C232" t="s">
        <v>948</v>
      </c>
    </row>
    <row r="233" spans="1:3" x14ac:dyDescent="0.3">
      <c r="A233">
        <v>7219116640</v>
      </c>
      <c r="B233" t="s">
        <v>932</v>
      </c>
      <c r="C233" t="s">
        <v>948</v>
      </c>
    </row>
    <row r="234" spans="1:3" x14ac:dyDescent="0.3">
      <c r="A234">
        <v>7119675830</v>
      </c>
      <c r="B234" t="s">
        <v>932</v>
      </c>
      <c r="C234" t="s">
        <v>948</v>
      </c>
    </row>
    <row r="235" spans="1:3" x14ac:dyDescent="0.3">
      <c r="A235">
        <v>71837758</v>
      </c>
      <c r="B235" t="s">
        <v>932</v>
      </c>
      <c r="C235" t="s">
        <v>948</v>
      </c>
    </row>
    <row r="236" spans="1:3" x14ac:dyDescent="0.3">
      <c r="A236">
        <v>7283907630</v>
      </c>
      <c r="B236" t="s">
        <v>932</v>
      </c>
      <c r="C236" t="s">
        <v>948</v>
      </c>
    </row>
    <row r="237" spans="1:3" x14ac:dyDescent="0.3">
      <c r="A237">
        <v>71837758</v>
      </c>
      <c r="B237" t="s">
        <v>932</v>
      </c>
      <c r="C237" t="s">
        <v>948</v>
      </c>
    </row>
    <row r="238" spans="1:3" x14ac:dyDescent="0.3">
      <c r="A238">
        <v>72878592</v>
      </c>
      <c r="B238" t="s">
        <v>932</v>
      </c>
      <c r="C238" t="s">
        <v>948</v>
      </c>
    </row>
    <row r="239" spans="1:3" x14ac:dyDescent="0.3">
      <c r="A239">
        <v>71191147</v>
      </c>
      <c r="B239" t="s">
        <v>932</v>
      </c>
      <c r="C239" t="s">
        <v>948</v>
      </c>
    </row>
    <row r="240" spans="1:3" x14ac:dyDescent="0.3">
      <c r="A240">
        <v>7274333840</v>
      </c>
      <c r="B240" t="s">
        <v>932</v>
      </c>
      <c r="C240" t="s">
        <v>940</v>
      </c>
    </row>
    <row r="241" spans="1:3" x14ac:dyDescent="0.3">
      <c r="A241">
        <v>7154075530</v>
      </c>
      <c r="B241" t="s">
        <v>932</v>
      </c>
      <c r="C241" t="s">
        <v>940</v>
      </c>
    </row>
    <row r="242" spans="1:3" x14ac:dyDescent="0.3">
      <c r="A242">
        <v>71237437</v>
      </c>
      <c r="B242" t="s">
        <v>932</v>
      </c>
      <c r="C242" t="s">
        <v>948</v>
      </c>
    </row>
    <row r="243" spans="1:3" x14ac:dyDescent="0.3">
      <c r="A243">
        <v>7278179230</v>
      </c>
      <c r="B243" t="s">
        <v>932</v>
      </c>
      <c r="C243" t="s">
        <v>948</v>
      </c>
    </row>
    <row r="244" spans="1:3" x14ac:dyDescent="0.3">
      <c r="A244">
        <v>7178170830</v>
      </c>
      <c r="B244" t="s">
        <v>932</v>
      </c>
      <c r="C244" t="s">
        <v>948</v>
      </c>
    </row>
    <row r="245" spans="1:3" x14ac:dyDescent="0.3">
      <c r="A245">
        <v>71781755</v>
      </c>
      <c r="B245" t="s">
        <v>932</v>
      </c>
      <c r="C245" t="s">
        <v>948</v>
      </c>
    </row>
    <row r="246" spans="1:3" x14ac:dyDescent="0.3">
      <c r="A246">
        <v>7278121430</v>
      </c>
      <c r="B246" t="s">
        <v>932</v>
      </c>
      <c r="C246" t="s">
        <v>948</v>
      </c>
    </row>
    <row r="247" spans="1:3" x14ac:dyDescent="0.3">
      <c r="A247">
        <v>7283220130</v>
      </c>
      <c r="B247" t="s">
        <v>932</v>
      </c>
      <c r="C247" t="s">
        <v>948</v>
      </c>
    </row>
    <row r="248" spans="1:3" x14ac:dyDescent="0.3">
      <c r="A248">
        <v>72894030</v>
      </c>
      <c r="B248" t="s">
        <v>932</v>
      </c>
      <c r="C248" t="s">
        <v>948</v>
      </c>
    </row>
    <row r="249" spans="1:3" x14ac:dyDescent="0.3">
      <c r="A249">
        <v>7278121430</v>
      </c>
      <c r="B249" t="s">
        <v>932</v>
      </c>
      <c r="C249" t="s">
        <v>948</v>
      </c>
    </row>
    <row r="250" spans="1:3" x14ac:dyDescent="0.3">
      <c r="A250">
        <v>7278059630</v>
      </c>
      <c r="B250" t="s">
        <v>932</v>
      </c>
      <c r="C250" t="s">
        <v>948</v>
      </c>
    </row>
    <row r="251" spans="1:3" x14ac:dyDescent="0.3">
      <c r="A251">
        <v>72781797</v>
      </c>
      <c r="B251" t="s">
        <v>932</v>
      </c>
      <c r="C251" t="s">
        <v>947</v>
      </c>
    </row>
    <row r="252" spans="1:3" x14ac:dyDescent="0.3">
      <c r="A252">
        <v>7219176430</v>
      </c>
      <c r="B252" t="s">
        <v>932</v>
      </c>
      <c r="C252" t="s">
        <v>948</v>
      </c>
    </row>
    <row r="253" spans="1:3" x14ac:dyDescent="0.3">
      <c r="A253">
        <v>7277186830</v>
      </c>
      <c r="B253" t="s">
        <v>932</v>
      </c>
      <c r="C253" t="s">
        <v>946</v>
      </c>
    </row>
    <row r="254" spans="1:3" x14ac:dyDescent="0.3">
      <c r="A254">
        <v>7283220090</v>
      </c>
      <c r="B254" t="s">
        <v>932</v>
      </c>
      <c r="C254" t="s">
        <v>940</v>
      </c>
    </row>
    <row r="255" spans="1:3" x14ac:dyDescent="0.3">
      <c r="A255">
        <v>7178197530</v>
      </c>
      <c r="B255" t="s">
        <v>932</v>
      </c>
      <c r="C255" t="s">
        <v>948</v>
      </c>
    </row>
    <row r="256" spans="1:3" x14ac:dyDescent="0.3">
      <c r="A256">
        <v>7297565530</v>
      </c>
      <c r="B256" t="s">
        <v>932</v>
      </c>
      <c r="C256" t="s">
        <v>943</v>
      </c>
    </row>
    <row r="257" spans="1:3" x14ac:dyDescent="0.3">
      <c r="A257">
        <v>72975207</v>
      </c>
      <c r="B257" t="s">
        <v>932</v>
      </c>
      <c r="C257" t="s">
        <v>948</v>
      </c>
    </row>
    <row r="258" spans="1:3" x14ac:dyDescent="0.3">
      <c r="A258">
        <v>7183384830</v>
      </c>
      <c r="B258" t="s">
        <v>932</v>
      </c>
      <c r="C258" t="s">
        <v>948</v>
      </c>
    </row>
    <row r="259" spans="1:3" x14ac:dyDescent="0.3">
      <c r="A259">
        <v>72782146</v>
      </c>
      <c r="B259" t="s">
        <v>932</v>
      </c>
      <c r="C259" t="s">
        <v>947</v>
      </c>
    </row>
    <row r="260" spans="1:3" x14ac:dyDescent="0.3">
      <c r="A260">
        <v>72838660</v>
      </c>
      <c r="B260" t="s">
        <v>932</v>
      </c>
      <c r="C260" t="s">
        <v>948</v>
      </c>
    </row>
    <row r="261" spans="1:3" x14ac:dyDescent="0.3">
      <c r="A261">
        <v>7298250930</v>
      </c>
      <c r="B261" t="s">
        <v>932</v>
      </c>
      <c r="C261" t="s">
        <v>948</v>
      </c>
    </row>
    <row r="262" spans="1:3" x14ac:dyDescent="0.3">
      <c r="A262">
        <v>72894030</v>
      </c>
      <c r="B262" t="s">
        <v>932</v>
      </c>
      <c r="C262" t="s">
        <v>948</v>
      </c>
    </row>
    <row r="263" spans="1:3" x14ac:dyDescent="0.3">
      <c r="A263">
        <v>72897732</v>
      </c>
      <c r="B263" t="s">
        <v>932</v>
      </c>
      <c r="C263" t="s">
        <v>947</v>
      </c>
    </row>
    <row r="264" spans="1:3" x14ac:dyDescent="0.3">
      <c r="A264">
        <v>71837758</v>
      </c>
      <c r="B264" t="s">
        <v>932</v>
      </c>
      <c r="C264" t="s">
        <v>948</v>
      </c>
    </row>
    <row r="265" spans="1:3" x14ac:dyDescent="0.3">
      <c r="A265">
        <v>77183384830</v>
      </c>
      <c r="B265" t="s">
        <v>932</v>
      </c>
      <c r="C265" t="s">
        <v>948</v>
      </c>
    </row>
    <row r="266" spans="1:3" x14ac:dyDescent="0.3">
      <c r="A266">
        <v>7278179230</v>
      </c>
      <c r="B266" t="s">
        <v>932</v>
      </c>
      <c r="C266" t="s">
        <v>948</v>
      </c>
    </row>
    <row r="267" spans="1:3" x14ac:dyDescent="0.3">
      <c r="A267">
        <v>72781797</v>
      </c>
      <c r="B267" t="s">
        <v>932</v>
      </c>
      <c r="C267" t="s">
        <v>947</v>
      </c>
    </row>
    <row r="268" spans="1:3" x14ac:dyDescent="0.3">
      <c r="A268">
        <v>7075218330</v>
      </c>
      <c r="B268" t="s">
        <v>932</v>
      </c>
      <c r="C268" t="s">
        <v>941</v>
      </c>
    </row>
    <row r="269" spans="1:3" x14ac:dyDescent="0.3">
      <c r="A269">
        <v>7298108030</v>
      </c>
      <c r="B269" t="s">
        <v>932</v>
      </c>
      <c r="C269" t="s">
        <v>948</v>
      </c>
    </row>
    <row r="270" spans="1:3" x14ac:dyDescent="0.3">
      <c r="A270">
        <v>7298108030</v>
      </c>
      <c r="B270" t="s">
        <v>932</v>
      </c>
      <c r="C270" t="s">
        <v>948</v>
      </c>
    </row>
    <row r="271" spans="1:3" x14ac:dyDescent="0.3">
      <c r="A271">
        <v>7289749530</v>
      </c>
      <c r="B271" t="s">
        <v>932</v>
      </c>
      <c r="C271" t="s">
        <v>901</v>
      </c>
    </row>
    <row r="272" spans="1:3" x14ac:dyDescent="0.3">
      <c r="A272">
        <v>7278059630</v>
      </c>
      <c r="B272" t="s">
        <v>932</v>
      </c>
      <c r="C272" t="s">
        <v>948</v>
      </c>
    </row>
    <row r="273" spans="1:3" x14ac:dyDescent="0.3">
      <c r="A273" t="s">
        <v>937</v>
      </c>
      <c r="B273" t="s">
        <v>932</v>
      </c>
    </row>
    <row r="274" spans="1:3" x14ac:dyDescent="0.3">
      <c r="A274" t="s">
        <v>937</v>
      </c>
      <c r="B274" t="s">
        <v>932</v>
      </c>
    </row>
    <row r="275" spans="1:3" x14ac:dyDescent="0.3">
      <c r="A275">
        <v>74752895</v>
      </c>
      <c r="B275" t="s">
        <v>932</v>
      </c>
      <c r="C275" t="s">
        <v>946</v>
      </c>
    </row>
    <row r="276" spans="1:3" x14ac:dyDescent="0.3">
      <c r="A276">
        <v>74752895</v>
      </c>
      <c r="B276" t="s">
        <v>932</v>
      </c>
      <c r="C276" t="s">
        <v>946</v>
      </c>
    </row>
    <row r="277" spans="1:3" x14ac:dyDescent="0.3">
      <c r="A277" t="s">
        <v>937</v>
      </c>
      <c r="B277" t="s">
        <v>932</v>
      </c>
    </row>
    <row r="278" spans="1:3" x14ac:dyDescent="0.3">
      <c r="A278">
        <v>7278121430</v>
      </c>
      <c r="B278" t="s">
        <v>932</v>
      </c>
      <c r="C278" t="s">
        <v>948</v>
      </c>
    </row>
    <row r="279" spans="1:3" x14ac:dyDescent="0.3">
      <c r="A279">
        <v>7289909030</v>
      </c>
      <c r="B279" t="s">
        <v>932</v>
      </c>
      <c r="C279" t="s">
        <v>946</v>
      </c>
    </row>
    <row r="280" spans="1:3" x14ac:dyDescent="0.3">
      <c r="A280">
        <v>7219192930</v>
      </c>
      <c r="B280" t="s">
        <v>932</v>
      </c>
      <c r="C280" t="s">
        <v>948</v>
      </c>
    </row>
    <row r="281" spans="1:3" x14ac:dyDescent="0.3">
      <c r="A281">
        <v>7219192930</v>
      </c>
      <c r="B281" t="s">
        <v>932</v>
      </c>
      <c r="C281" t="s">
        <v>948</v>
      </c>
    </row>
    <row r="282" spans="1:3" x14ac:dyDescent="0.3">
      <c r="A282">
        <v>72980784</v>
      </c>
      <c r="B282" t="s">
        <v>932</v>
      </c>
      <c r="C282" t="s">
        <v>948</v>
      </c>
    </row>
    <row r="283" spans="1:3" x14ac:dyDescent="0.3">
      <c r="A283" t="s">
        <v>937</v>
      </c>
      <c r="B283" t="s">
        <v>932</v>
      </c>
    </row>
    <row r="284" spans="1:3" x14ac:dyDescent="0.3">
      <c r="A284" t="s">
        <v>937</v>
      </c>
      <c r="B284" t="s">
        <v>932</v>
      </c>
    </row>
    <row r="285" spans="1:3" x14ac:dyDescent="0.3">
      <c r="A285">
        <v>72868813</v>
      </c>
      <c r="B285" t="s">
        <v>932</v>
      </c>
      <c r="C285" t="s">
        <v>946</v>
      </c>
    </row>
    <row r="286" spans="1:3" x14ac:dyDescent="0.3">
      <c r="A286">
        <v>7219176430</v>
      </c>
      <c r="B286" t="s">
        <v>951</v>
      </c>
      <c r="C286" t="s">
        <v>948</v>
      </c>
    </row>
    <row r="287" spans="1:3" x14ac:dyDescent="0.3">
      <c r="A287">
        <v>7219176430</v>
      </c>
      <c r="B287" t="s">
        <v>951</v>
      </c>
      <c r="C287" t="s">
        <v>948</v>
      </c>
    </row>
    <row r="288" spans="1:3" x14ac:dyDescent="0.3">
      <c r="A288">
        <v>7298593130</v>
      </c>
      <c r="B288" t="s">
        <v>951</v>
      </c>
      <c r="C288" t="s">
        <v>946</v>
      </c>
    </row>
    <row r="289" spans="1:3" x14ac:dyDescent="0.3">
      <c r="A289">
        <v>7298593130</v>
      </c>
      <c r="B289" t="s">
        <v>951</v>
      </c>
      <c r="C289" t="s">
        <v>946</v>
      </c>
    </row>
    <row r="290" spans="1:3" x14ac:dyDescent="0.3">
      <c r="A290">
        <v>7289401730</v>
      </c>
      <c r="B290" t="s">
        <v>951</v>
      </c>
      <c r="C290" t="s">
        <v>948</v>
      </c>
    </row>
    <row r="291" spans="1:3" x14ac:dyDescent="0.3">
      <c r="A291">
        <v>7298228030</v>
      </c>
      <c r="B291" t="s">
        <v>951</v>
      </c>
      <c r="C291" t="s">
        <v>948</v>
      </c>
    </row>
    <row r="292" spans="1:3" x14ac:dyDescent="0.3">
      <c r="A292">
        <v>7183755830</v>
      </c>
      <c r="B292" t="s">
        <v>951</v>
      </c>
      <c r="C292" t="s">
        <v>948</v>
      </c>
    </row>
    <row r="293" spans="1:3" x14ac:dyDescent="0.3">
      <c r="A293">
        <v>7278261830</v>
      </c>
      <c r="B293" t="s">
        <v>951</v>
      </c>
      <c r="C293" t="s">
        <v>948</v>
      </c>
    </row>
    <row r="294" spans="1:3" x14ac:dyDescent="0.3">
      <c r="A294">
        <v>7298228030</v>
      </c>
      <c r="B294" t="s">
        <v>951</v>
      </c>
      <c r="C294" t="s">
        <v>948</v>
      </c>
    </row>
    <row r="295" spans="1:3" x14ac:dyDescent="0.3">
      <c r="A295">
        <v>7298790330</v>
      </c>
      <c r="B295" t="s">
        <v>951</v>
      </c>
      <c r="C295" t="s">
        <v>948</v>
      </c>
    </row>
    <row r="296" spans="1:3" x14ac:dyDescent="0.3">
      <c r="A296">
        <v>7298790330</v>
      </c>
      <c r="B296" t="s">
        <v>951</v>
      </c>
      <c r="C296" t="s">
        <v>948</v>
      </c>
    </row>
    <row r="297" spans="1:3" x14ac:dyDescent="0.3">
      <c r="A297">
        <v>7298790330</v>
      </c>
      <c r="B297" t="s">
        <v>951</v>
      </c>
      <c r="C297" t="s">
        <v>948</v>
      </c>
    </row>
    <row r="298" spans="1:3" x14ac:dyDescent="0.3">
      <c r="A298">
        <v>7298790330</v>
      </c>
      <c r="B298" t="s">
        <v>951</v>
      </c>
      <c r="C298" t="s">
        <v>948</v>
      </c>
    </row>
    <row r="299" spans="1:3" x14ac:dyDescent="0.3">
      <c r="A299">
        <v>7298790330</v>
      </c>
      <c r="B299" t="s">
        <v>951</v>
      </c>
      <c r="C299" t="s">
        <v>948</v>
      </c>
    </row>
    <row r="300" spans="1:3" x14ac:dyDescent="0.3">
      <c r="A300">
        <v>7298790330</v>
      </c>
      <c r="B300" t="s">
        <v>951</v>
      </c>
      <c r="C300" t="s">
        <v>948</v>
      </c>
    </row>
    <row r="301" spans="1:3" x14ac:dyDescent="0.3">
      <c r="A301">
        <v>7287149830</v>
      </c>
      <c r="B301" t="s">
        <v>951</v>
      </c>
      <c r="C301" t="s">
        <v>901</v>
      </c>
    </row>
    <row r="302" spans="1:3" x14ac:dyDescent="0.3">
      <c r="A302">
        <v>7278261830</v>
      </c>
      <c r="B302" t="s">
        <v>951</v>
      </c>
      <c r="C302" t="s">
        <v>948</v>
      </c>
    </row>
    <row r="303" spans="1:3" x14ac:dyDescent="0.3">
      <c r="B303" t="s">
        <v>951</v>
      </c>
    </row>
    <row r="304" spans="1:3" x14ac:dyDescent="0.3">
      <c r="A304">
        <v>7298593130</v>
      </c>
      <c r="B304" t="s">
        <v>951</v>
      </c>
      <c r="C304" t="s">
        <v>946</v>
      </c>
    </row>
    <row r="305" spans="1:3" x14ac:dyDescent="0.3">
      <c r="A305">
        <v>7278261830</v>
      </c>
      <c r="B305" t="s">
        <v>951</v>
      </c>
      <c r="C305" t="s">
        <v>948</v>
      </c>
    </row>
    <row r="306" spans="1:3" x14ac:dyDescent="0.3">
      <c r="A306">
        <v>7298790330</v>
      </c>
      <c r="B306" t="s">
        <v>951</v>
      </c>
      <c r="C306" t="s">
        <v>948</v>
      </c>
    </row>
    <row r="307" spans="1:3" x14ac:dyDescent="0.3">
      <c r="A307">
        <v>7298790330</v>
      </c>
      <c r="B307" t="s">
        <v>951</v>
      </c>
      <c r="C307" t="s">
        <v>948</v>
      </c>
    </row>
    <row r="308" spans="1:3" x14ac:dyDescent="0.3">
      <c r="A308">
        <v>7298790330</v>
      </c>
      <c r="B308" t="s">
        <v>951</v>
      </c>
      <c r="C308" t="s">
        <v>948</v>
      </c>
    </row>
    <row r="309" spans="1:3" x14ac:dyDescent="0.3">
      <c r="A309">
        <v>7298790330</v>
      </c>
      <c r="B309" t="s">
        <v>951</v>
      </c>
      <c r="C309" t="s">
        <v>948</v>
      </c>
    </row>
    <row r="310" spans="1:3" x14ac:dyDescent="0.3">
      <c r="A310">
        <v>7278261830</v>
      </c>
      <c r="B310" t="s">
        <v>951</v>
      </c>
      <c r="C310" t="s">
        <v>948</v>
      </c>
    </row>
    <row r="311" spans="1:3" x14ac:dyDescent="0.3">
      <c r="A311">
        <v>7283526130</v>
      </c>
      <c r="B311" t="s">
        <v>951</v>
      </c>
      <c r="C311" t="s">
        <v>948</v>
      </c>
    </row>
    <row r="312" spans="1:3" x14ac:dyDescent="0.3">
      <c r="A312">
        <v>7298593130</v>
      </c>
      <c r="B312" t="s">
        <v>951</v>
      </c>
      <c r="C312" t="s">
        <v>946</v>
      </c>
    </row>
    <row r="313" spans="1:3" x14ac:dyDescent="0.3">
      <c r="A313">
        <v>7219176430</v>
      </c>
      <c r="B313" t="s">
        <v>951</v>
      </c>
      <c r="C313" t="s">
        <v>948</v>
      </c>
    </row>
    <row r="314" spans="1:3" x14ac:dyDescent="0.3">
      <c r="A314">
        <v>7219176430</v>
      </c>
      <c r="B314" t="s">
        <v>951</v>
      </c>
      <c r="C314" t="s">
        <v>948</v>
      </c>
    </row>
    <row r="315" spans="1:3" x14ac:dyDescent="0.3">
      <c r="A315">
        <v>7298186930</v>
      </c>
      <c r="B315" t="s">
        <v>951</v>
      </c>
      <c r="C315" t="s">
        <v>947</v>
      </c>
    </row>
    <row r="316" spans="1:3" x14ac:dyDescent="0.3">
      <c r="A316">
        <v>7298186530</v>
      </c>
      <c r="B316" t="s">
        <v>951</v>
      </c>
      <c r="C316" t="s">
        <v>948</v>
      </c>
    </row>
    <row r="317" spans="1:3" x14ac:dyDescent="0.3">
      <c r="A317">
        <v>7298186530</v>
      </c>
      <c r="B317" t="s">
        <v>951</v>
      </c>
      <c r="C317" t="s">
        <v>948</v>
      </c>
    </row>
    <row r="318" spans="1:3" x14ac:dyDescent="0.3">
      <c r="A318">
        <v>7298790830</v>
      </c>
      <c r="B318" t="s">
        <v>951</v>
      </c>
      <c r="C318" t="s">
        <v>948</v>
      </c>
    </row>
    <row r="319" spans="1:3" x14ac:dyDescent="0.3">
      <c r="A319">
        <v>7298790330</v>
      </c>
      <c r="B319" t="s">
        <v>951</v>
      </c>
      <c r="C319" t="s">
        <v>948</v>
      </c>
    </row>
    <row r="320" spans="1:3" x14ac:dyDescent="0.3">
      <c r="A320">
        <v>7298790330</v>
      </c>
      <c r="B320" t="s">
        <v>951</v>
      </c>
      <c r="C320" t="s">
        <v>948</v>
      </c>
    </row>
  </sheetData>
  <conditionalFormatting sqref="A18:A320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938</v>
      </c>
      <c r="B1" t="s">
        <v>939</v>
      </c>
      <c r="C1" t="s">
        <v>942</v>
      </c>
      <c r="D1" t="s">
        <v>890</v>
      </c>
    </row>
    <row r="2" spans="1:4" x14ac:dyDescent="0.3">
      <c r="A2">
        <v>7289724330</v>
      </c>
      <c r="B2" t="s">
        <v>929</v>
      </c>
    </row>
    <row r="3" spans="1:4" x14ac:dyDescent="0.3">
      <c r="A3">
        <v>7298186930</v>
      </c>
      <c r="B3" t="s">
        <v>929</v>
      </c>
    </row>
    <row r="4" spans="1:4" x14ac:dyDescent="0.3">
      <c r="A4">
        <v>72888941</v>
      </c>
      <c r="B4" t="s">
        <v>929</v>
      </c>
    </row>
    <row r="5" spans="1:4" x14ac:dyDescent="0.3">
      <c r="A5">
        <v>7278442030</v>
      </c>
      <c r="B5" t="s">
        <v>929</v>
      </c>
    </row>
    <row r="6" spans="1:4" x14ac:dyDescent="0.3">
      <c r="A6">
        <v>72985208</v>
      </c>
      <c r="B6" t="s">
        <v>929</v>
      </c>
    </row>
    <row r="7" spans="1:4" x14ac:dyDescent="0.3">
      <c r="A7">
        <v>7298150830</v>
      </c>
      <c r="B7" t="s">
        <v>929</v>
      </c>
    </row>
    <row r="8" spans="1:4" x14ac:dyDescent="0.3">
      <c r="A8">
        <v>7198460730</v>
      </c>
      <c r="B8" t="s">
        <v>929</v>
      </c>
    </row>
    <row r="9" spans="1:4" x14ac:dyDescent="0.3">
      <c r="A9">
        <v>7298108030</v>
      </c>
      <c r="B9" t="s">
        <v>929</v>
      </c>
    </row>
    <row r="10" spans="1:4" x14ac:dyDescent="0.3">
      <c r="A10">
        <v>7298154930</v>
      </c>
      <c r="B10" t="s">
        <v>929</v>
      </c>
    </row>
    <row r="11" spans="1:4" x14ac:dyDescent="0.3">
      <c r="B11" t="s">
        <v>929</v>
      </c>
    </row>
    <row r="12" spans="1:4" x14ac:dyDescent="0.3">
      <c r="A12">
        <v>7289724330</v>
      </c>
      <c r="B12" t="s">
        <v>929</v>
      </c>
    </row>
    <row r="13" spans="1:4" x14ac:dyDescent="0.3">
      <c r="A13">
        <v>7278271940</v>
      </c>
      <c r="B13" t="s">
        <v>929</v>
      </c>
    </row>
    <row r="14" spans="1:4" x14ac:dyDescent="0.3">
      <c r="A14">
        <v>7298186930</v>
      </c>
      <c r="B14" t="s">
        <v>929</v>
      </c>
    </row>
    <row r="15" spans="1:4" x14ac:dyDescent="0.3">
      <c r="A15">
        <v>72888941</v>
      </c>
      <c r="B15" t="s">
        <v>929</v>
      </c>
    </row>
    <row r="16" spans="1:4" x14ac:dyDescent="0.3">
      <c r="A16">
        <v>7278442030</v>
      </c>
      <c r="B16" t="s">
        <v>929</v>
      </c>
    </row>
    <row r="17" spans="1:2" x14ac:dyDescent="0.3">
      <c r="A17">
        <v>72985208</v>
      </c>
      <c r="B17" t="s">
        <v>929</v>
      </c>
    </row>
    <row r="18" spans="1:2" x14ac:dyDescent="0.3">
      <c r="A18">
        <v>7298108030</v>
      </c>
      <c r="B18" t="s">
        <v>929</v>
      </c>
    </row>
    <row r="19" spans="1:2" x14ac:dyDescent="0.3">
      <c r="A19">
        <v>7198460730</v>
      </c>
      <c r="B19" t="s">
        <v>929</v>
      </c>
    </row>
    <row r="20" spans="1:2" x14ac:dyDescent="0.3">
      <c r="A20">
        <v>7298154930</v>
      </c>
      <c r="B20" t="s">
        <v>929</v>
      </c>
    </row>
    <row r="21" spans="1:2" x14ac:dyDescent="0.3">
      <c r="A21">
        <v>7298150830</v>
      </c>
      <c r="B21" t="s">
        <v>929</v>
      </c>
    </row>
    <row r="22" spans="1:2" x14ac:dyDescent="0.3">
      <c r="A22">
        <v>71191147</v>
      </c>
      <c r="B22" t="s">
        <v>929</v>
      </c>
    </row>
    <row r="23" spans="1:2" x14ac:dyDescent="0.3">
      <c r="B23" t="s">
        <v>929</v>
      </c>
    </row>
    <row r="24" spans="1:2" x14ac:dyDescent="0.3">
      <c r="A24">
        <v>7187090590</v>
      </c>
      <c r="B24" t="s">
        <v>929</v>
      </c>
    </row>
    <row r="25" spans="1:2" x14ac:dyDescent="0.3">
      <c r="A25">
        <v>7277015590</v>
      </c>
      <c r="B25" t="s">
        <v>929</v>
      </c>
    </row>
    <row r="26" spans="1:2" x14ac:dyDescent="0.3">
      <c r="A26">
        <v>7187090560</v>
      </c>
      <c r="B26" t="s">
        <v>929</v>
      </c>
    </row>
    <row r="27" spans="1:2" x14ac:dyDescent="0.3">
      <c r="A27">
        <v>71870905</v>
      </c>
      <c r="B27" t="s">
        <v>929</v>
      </c>
    </row>
    <row r="28" spans="1:2" x14ac:dyDescent="0.3">
      <c r="A28">
        <v>71983904</v>
      </c>
      <c r="B28" t="s">
        <v>929</v>
      </c>
    </row>
    <row r="29" spans="1:2" x14ac:dyDescent="0.3">
      <c r="A29">
        <v>7287741830</v>
      </c>
      <c r="B29" t="s">
        <v>929</v>
      </c>
    </row>
    <row r="30" spans="1:2" x14ac:dyDescent="0.3">
      <c r="A30">
        <v>7288907230</v>
      </c>
      <c r="B30" t="s">
        <v>929</v>
      </c>
    </row>
    <row r="31" spans="1:2" x14ac:dyDescent="0.3">
      <c r="A31">
        <v>7298227830</v>
      </c>
      <c r="B31" t="s">
        <v>929</v>
      </c>
    </row>
    <row r="32" spans="1:2" x14ac:dyDescent="0.3">
      <c r="A32">
        <v>7298227830</v>
      </c>
      <c r="B32" t="s">
        <v>929</v>
      </c>
    </row>
    <row r="33" spans="1:2" x14ac:dyDescent="0.3">
      <c r="A33">
        <v>7298593130</v>
      </c>
      <c r="B33" t="s">
        <v>929</v>
      </c>
    </row>
    <row r="34" spans="1:2" x14ac:dyDescent="0.3">
      <c r="A34">
        <v>7298593130</v>
      </c>
      <c r="B34" t="s">
        <v>929</v>
      </c>
    </row>
    <row r="35" spans="1:2" x14ac:dyDescent="0.3">
      <c r="A35">
        <v>7285207290</v>
      </c>
      <c r="B35" t="s">
        <v>929</v>
      </c>
    </row>
    <row r="36" spans="1:2" x14ac:dyDescent="0.3">
      <c r="A36">
        <v>7287720230</v>
      </c>
      <c r="B36" t="s">
        <v>929</v>
      </c>
    </row>
    <row r="37" spans="1:2" x14ac:dyDescent="0.3">
      <c r="A37">
        <v>71870905</v>
      </c>
      <c r="B37" t="s">
        <v>929</v>
      </c>
    </row>
    <row r="38" spans="1:2" x14ac:dyDescent="0.3">
      <c r="B38" t="s">
        <v>929</v>
      </c>
    </row>
    <row r="39" spans="1:2" x14ac:dyDescent="0.3">
      <c r="A39">
        <v>7298228030</v>
      </c>
      <c r="B39" t="s">
        <v>929</v>
      </c>
    </row>
    <row r="40" spans="1:2" x14ac:dyDescent="0.3">
      <c r="A40">
        <v>7288907230</v>
      </c>
      <c r="B40" t="s">
        <v>929</v>
      </c>
    </row>
    <row r="41" spans="1:2" x14ac:dyDescent="0.3">
      <c r="A41">
        <v>7298228030</v>
      </c>
      <c r="B41" t="s">
        <v>929</v>
      </c>
    </row>
    <row r="42" spans="1:2" x14ac:dyDescent="0.3">
      <c r="A42">
        <v>7298593130</v>
      </c>
      <c r="B42" t="s">
        <v>929</v>
      </c>
    </row>
    <row r="43" spans="1:2" x14ac:dyDescent="0.3">
      <c r="A43">
        <v>7298250730</v>
      </c>
      <c r="B43" t="s">
        <v>929</v>
      </c>
    </row>
    <row r="44" spans="1:2" x14ac:dyDescent="0.3">
      <c r="A44">
        <v>7283368530</v>
      </c>
      <c r="B44" t="s">
        <v>929</v>
      </c>
    </row>
    <row r="45" spans="1:2" x14ac:dyDescent="0.3">
      <c r="A45">
        <v>7287720230</v>
      </c>
      <c r="B45" t="s">
        <v>929</v>
      </c>
    </row>
    <row r="46" spans="1:2" x14ac:dyDescent="0.3">
      <c r="A46">
        <v>7278121430</v>
      </c>
      <c r="B46" t="s">
        <v>929</v>
      </c>
    </row>
    <row r="47" spans="1:2" x14ac:dyDescent="0.3">
      <c r="A47">
        <v>7298186530</v>
      </c>
      <c r="B47" t="s">
        <v>929</v>
      </c>
    </row>
    <row r="48" spans="1:2" x14ac:dyDescent="0.3">
      <c r="A48">
        <v>7298186930</v>
      </c>
      <c r="B48" t="s">
        <v>929</v>
      </c>
    </row>
    <row r="49" spans="1:2" x14ac:dyDescent="0.3">
      <c r="A49">
        <v>7222740630</v>
      </c>
      <c r="B49" t="s">
        <v>929</v>
      </c>
    </row>
    <row r="50" spans="1:2" x14ac:dyDescent="0.3">
      <c r="A50">
        <v>7187090560</v>
      </c>
      <c r="B50" t="s">
        <v>929</v>
      </c>
    </row>
    <row r="51" spans="1:2" x14ac:dyDescent="0.3">
      <c r="A51">
        <v>7298593130</v>
      </c>
      <c r="B51" t="s">
        <v>929</v>
      </c>
    </row>
    <row r="52" spans="1:2" x14ac:dyDescent="0.3">
      <c r="A52">
        <v>7219176430</v>
      </c>
      <c r="B52" t="s">
        <v>930</v>
      </c>
    </row>
    <row r="53" spans="1:2" x14ac:dyDescent="0.3">
      <c r="A53">
        <v>7286738630</v>
      </c>
      <c r="B53" t="s">
        <v>930</v>
      </c>
    </row>
    <row r="54" spans="1:2" x14ac:dyDescent="0.3">
      <c r="A54">
        <v>7298173030</v>
      </c>
      <c r="B54" t="s">
        <v>930</v>
      </c>
    </row>
    <row r="55" spans="1:2" x14ac:dyDescent="0.3">
      <c r="A55">
        <v>7278239430</v>
      </c>
      <c r="B55" t="s">
        <v>930</v>
      </c>
    </row>
    <row r="56" spans="1:2" x14ac:dyDescent="0.3">
      <c r="A56">
        <v>7278197840</v>
      </c>
      <c r="B56" t="s">
        <v>930</v>
      </c>
    </row>
    <row r="57" spans="1:2" x14ac:dyDescent="0.3">
      <c r="A57">
        <v>7298171330</v>
      </c>
      <c r="B57" t="s">
        <v>930</v>
      </c>
    </row>
    <row r="58" spans="1:2" x14ac:dyDescent="0.3">
      <c r="B58" t="s">
        <v>930</v>
      </c>
    </row>
    <row r="59" spans="1:2" x14ac:dyDescent="0.3">
      <c r="A59">
        <v>7298790330</v>
      </c>
      <c r="B59" t="s">
        <v>930</v>
      </c>
    </row>
    <row r="60" spans="1:2" x14ac:dyDescent="0.3">
      <c r="A60">
        <v>7298790330</v>
      </c>
      <c r="B60" t="s">
        <v>930</v>
      </c>
    </row>
    <row r="61" spans="1:2" x14ac:dyDescent="0.3">
      <c r="A61">
        <v>7298186930</v>
      </c>
      <c r="B61" t="s">
        <v>930</v>
      </c>
    </row>
    <row r="62" spans="1:2" x14ac:dyDescent="0.3">
      <c r="A62">
        <v>7288907230</v>
      </c>
      <c r="B62" t="s">
        <v>930</v>
      </c>
    </row>
    <row r="63" spans="1:2" x14ac:dyDescent="0.3">
      <c r="A63">
        <v>7298186530</v>
      </c>
      <c r="B63" t="s">
        <v>930</v>
      </c>
    </row>
    <row r="64" spans="1:2" x14ac:dyDescent="0.3">
      <c r="A64">
        <v>7289508430</v>
      </c>
      <c r="B64" t="s">
        <v>930</v>
      </c>
    </row>
    <row r="65" spans="1:2" x14ac:dyDescent="0.3">
      <c r="A65">
        <v>7298186930</v>
      </c>
      <c r="B65" t="s">
        <v>930</v>
      </c>
    </row>
    <row r="66" spans="1:2" x14ac:dyDescent="0.3">
      <c r="A66">
        <v>7298790830</v>
      </c>
      <c r="B66" t="s">
        <v>930</v>
      </c>
    </row>
    <row r="67" spans="1:2" x14ac:dyDescent="0.3">
      <c r="A67">
        <v>7289508430</v>
      </c>
      <c r="B67" t="s">
        <v>930</v>
      </c>
    </row>
    <row r="68" spans="1:2" x14ac:dyDescent="0.3">
      <c r="A68">
        <v>7286139730</v>
      </c>
      <c r="B68" t="s">
        <v>930</v>
      </c>
    </row>
    <row r="69" spans="1:2" x14ac:dyDescent="0.3">
      <c r="A69">
        <v>7287821130</v>
      </c>
      <c r="B69" t="s">
        <v>930</v>
      </c>
    </row>
    <row r="70" spans="1:2" x14ac:dyDescent="0.3">
      <c r="A70">
        <v>7298186530</v>
      </c>
      <c r="B70" t="s">
        <v>930</v>
      </c>
    </row>
    <row r="71" spans="1:2" x14ac:dyDescent="0.3">
      <c r="B71" t="s">
        <v>930</v>
      </c>
    </row>
    <row r="72" spans="1:2" x14ac:dyDescent="0.3">
      <c r="A72">
        <v>7119153830</v>
      </c>
      <c r="B72" t="s">
        <v>930</v>
      </c>
    </row>
    <row r="73" spans="1:2" x14ac:dyDescent="0.3">
      <c r="A73">
        <v>7119689030</v>
      </c>
      <c r="B73" t="s">
        <v>930</v>
      </c>
    </row>
    <row r="74" spans="1:2" x14ac:dyDescent="0.3">
      <c r="A74">
        <v>7286145630</v>
      </c>
      <c r="B74" t="s">
        <v>930</v>
      </c>
    </row>
    <row r="75" spans="1:2" x14ac:dyDescent="0.3">
      <c r="A75">
        <v>7287180440</v>
      </c>
      <c r="B75" t="s">
        <v>930</v>
      </c>
    </row>
    <row r="76" spans="1:2" x14ac:dyDescent="0.3">
      <c r="A76">
        <v>72980788</v>
      </c>
      <c r="B76" t="s">
        <v>930</v>
      </c>
    </row>
    <row r="77" spans="1:2" x14ac:dyDescent="0.3">
      <c r="A77" t="s">
        <v>933</v>
      </c>
      <c r="B77" t="s">
        <v>930</v>
      </c>
    </row>
    <row r="78" spans="1:2" x14ac:dyDescent="0.3">
      <c r="A78">
        <v>7298237430</v>
      </c>
      <c r="B78" t="s">
        <v>930</v>
      </c>
    </row>
    <row r="79" spans="1:2" x14ac:dyDescent="0.3">
      <c r="A79">
        <v>7298237430</v>
      </c>
      <c r="B79" t="s">
        <v>930</v>
      </c>
    </row>
    <row r="80" spans="1:2" x14ac:dyDescent="0.3">
      <c r="A80">
        <v>7298237430</v>
      </c>
      <c r="B80" t="s">
        <v>930</v>
      </c>
    </row>
    <row r="81" spans="1:2" x14ac:dyDescent="0.3">
      <c r="A81">
        <v>7298237430</v>
      </c>
      <c r="B81" t="s">
        <v>930</v>
      </c>
    </row>
    <row r="82" spans="1:2" x14ac:dyDescent="0.3">
      <c r="A82" t="s">
        <v>934</v>
      </c>
      <c r="B82" t="s">
        <v>930</v>
      </c>
    </row>
    <row r="83" spans="1:2" x14ac:dyDescent="0.3">
      <c r="A83" t="s">
        <v>934</v>
      </c>
      <c r="B83" t="s">
        <v>930</v>
      </c>
    </row>
    <row r="84" spans="1:2" x14ac:dyDescent="0.3">
      <c r="B84" t="s">
        <v>930</v>
      </c>
    </row>
    <row r="85" spans="1:2" x14ac:dyDescent="0.3">
      <c r="A85">
        <v>7298790130</v>
      </c>
      <c r="B85" t="s">
        <v>930</v>
      </c>
    </row>
    <row r="86" spans="1:2" x14ac:dyDescent="0.3">
      <c r="A86">
        <v>7288907230</v>
      </c>
      <c r="B86" t="s">
        <v>930</v>
      </c>
    </row>
    <row r="87" spans="1:2" x14ac:dyDescent="0.3">
      <c r="A87">
        <v>7288907230</v>
      </c>
      <c r="B87" t="s">
        <v>930</v>
      </c>
    </row>
    <row r="88" spans="1:2" x14ac:dyDescent="0.3">
      <c r="A88">
        <v>7282559510</v>
      </c>
      <c r="B88" t="s">
        <v>930</v>
      </c>
    </row>
    <row r="89" spans="1:2" x14ac:dyDescent="0.3">
      <c r="A89">
        <v>7278451130</v>
      </c>
      <c r="B89" t="s">
        <v>930</v>
      </c>
    </row>
    <row r="90" spans="1:2" x14ac:dyDescent="0.3">
      <c r="A90">
        <v>7298237430</v>
      </c>
      <c r="B90" t="s">
        <v>930</v>
      </c>
    </row>
    <row r="91" spans="1:2" x14ac:dyDescent="0.3">
      <c r="A91">
        <v>7298237430</v>
      </c>
      <c r="B91" t="s">
        <v>930</v>
      </c>
    </row>
    <row r="92" spans="1:2" x14ac:dyDescent="0.3">
      <c r="A92">
        <v>7298228210</v>
      </c>
      <c r="B92" t="s">
        <v>930</v>
      </c>
    </row>
    <row r="93" spans="1:2" x14ac:dyDescent="0.3">
      <c r="A93">
        <v>7219631630</v>
      </c>
      <c r="B93" t="s">
        <v>931</v>
      </c>
    </row>
    <row r="94" spans="1:2" x14ac:dyDescent="0.3">
      <c r="A94">
        <v>7219631630</v>
      </c>
      <c r="B94" t="s">
        <v>931</v>
      </c>
    </row>
    <row r="95" spans="1:2" x14ac:dyDescent="0.3">
      <c r="A95">
        <v>7219631630</v>
      </c>
      <c r="B95" t="s">
        <v>931</v>
      </c>
    </row>
    <row r="96" spans="1:2" x14ac:dyDescent="0.3">
      <c r="A96">
        <v>7219631630</v>
      </c>
      <c r="B96" t="s">
        <v>931</v>
      </c>
    </row>
    <row r="97" spans="1:2" x14ac:dyDescent="0.3">
      <c r="A97">
        <v>7288907230</v>
      </c>
      <c r="B97" t="s">
        <v>931</v>
      </c>
    </row>
    <row r="98" spans="1:2" x14ac:dyDescent="0.3">
      <c r="A98">
        <v>7298186530</v>
      </c>
      <c r="B98" t="s">
        <v>931</v>
      </c>
    </row>
    <row r="99" spans="1:2" x14ac:dyDescent="0.3">
      <c r="A99">
        <v>7186066580</v>
      </c>
      <c r="B99" t="s">
        <v>931</v>
      </c>
    </row>
    <row r="100" spans="1:2" x14ac:dyDescent="0.3">
      <c r="A100">
        <v>7283464030</v>
      </c>
      <c r="B100" t="s">
        <v>931</v>
      </c>
    </row>
    <row r="101" spans="1:2" x14ac:dyDescent="0.3">
      <c r="A101">
        <v>71860665</v>
      </c>
      <c r="B101" t="s">
        <v>931</v>
      </c>
    </row>
    <row r="102" spans="1:2" x14ac:dyDescent="0.3">
      <c r="A102">
        <v>7289567230</v>
      </c>
      <c r="B102" t="s">
        <v>931</v>
      </c>
    </row>
    <row r="103" spans="1:2" x14ac:dyDescent="0.3">
      <c r="A103">
        <v>7186066560</v>
      </c>
      <c r="B103" t="s">
        <v>931</v>
      </c>
    </row>
    <row r="104" spans="1:2" x14ac:dyDescent="0.3">
      <c r="A104">
        <v>7186066590</v>
      </c>
      <c r="B104" t="s">
        <v>931</v>
      </c>
    </row>
    <row r="105" spans="1:2" x14ac:dyDescent="0.3">
      <c r="A105">
        <v>7298079230</v>
      </c>
      <c r="B105" t="s">
        <v>931</v>
      </c>
    </row>
    <row r="106" spans="1:2" x14ac:dyDescent="0.3">
      <c r="A106">
        <v>72975392</v>
      </c>
      <c r="B106" t="s">
        <v>931</v>
      </c>
    </row>
    <row r="107" spans="1:2" x14ac:dyDescent="0.3">
      <c r="A107">
        <v>7287149830</v>
      </c>
      <c r="B107" t="s">
        <v>931</v>
      </c>
    </row>
    <row r="108" spans="1:2" x14ac:dyDescent="0.3">
      <c r="A108">
        <v>7171192330</v>
      </c>
      <c r="B108" t="s">
        <v>931</v>
      </c>
    </row>
    <row r="109" spans="1:2" x14ac:dyDescent="0.3">
      <c r="A109">
        <v>7171297430</v>
      </c>
      <c r="B109" t="s">
        <v>931</v>
      </c>
    </row>
    <row r="110" spans="1:2" x14ac:dyDescent="0.3">
      <c r="A110">
        <v>7171297430</v>
      </c>
      <c r="B110" t="s">
        <v>931</v>
      </c>
    </row>
    <row r="111" spans="1:2" x14ac:dyDescent="0.3">
      <c r="A111">
        <v>7171297430</v>
      </c>
      <c r="B111" t="s">
        <v>931</v>
      </c>
    </row>
    <row r="112" spans="1:2" x14ac:dyDescent="0.3">
      <c r="A112">
        <v>7298980540</v>
      </c>
      <c r="B112" t="s">
        <v>931</v>
      </c>
    </row>
    <row r="113" spans="1:2" x14ac:dyDescent="0.3">
      <c r="A113">
        <v>7154058630</v>
      </c>
      <c r="B113" t="s">
        <v>931</v>
      </c>
    </row>
    <row r="114" spans="1:2" x14ac:dyDescent="0.3">
      <c r="A114">
        <v>7171192330</v>
      </c>
      <c r="B114" t="s">
        <v>931</v>
      </c>
    </row>
    <row r="115" spans="1:2" x14ac:dyDescent="0.3">
      <c r="A115">
        <v>7287150380</v>
      </c>
      <c r="B115" t="s">
        <v>931</v>
      </c>
    </row>
    <row r="116" spans="1:2" x14ac:dyDescent="0.3">
      <c r="A116">
        <v>7171297430</v>
      </c>
      <c r="B116" t="s">
        <v>931</v>
      </c>
    </row>
    <row r="117" spans="1:2" x14ac:dyDescent="0.3">
      <c r="A117">
        <v>7171297430</v>
      </c>
      <c r="B117" t="s">
        <v>931</v>
      </c>
    </row>
    <row r="118" spans="1:2" x14ac:dyDescent="0.3">
      <c r="A118">
        <v>7298170230</v>
      </c>
      <c r="B118" t="s">
        <v>931</v>
      </c>
    </row>
    <row r="119" spans="1:2" x14ac:dyDescent="0.3">
      <c r="A119">
        <v>7298186530</v>
      </c>
      <c r="B119" t="s">
        <v>931</v>
      </c>
    </row>
    <row r="120" spans="1:2" x14ac:dyDescent="0.3">
      <c r="A120">
        <v>7287018730</v>
      </c>
      <c r="B120" t="s">
        <v>931</v>
      </c>
    </row>
    <row r="121" spans="1:2" x14ac:dyDescent="0.3">
      <c r="A121">
        <v>7219631630</v>
      </c>
      <c r="B121" t="s">
        <v>931</v>
      </c>
    </row>
    <row r="122" spans="1:2" x14ac:dyDescent="0.3">
      <c r="A122">
        <v>7298227830</v>
      </c>
      <c r="B122" t="s">
        <v>931</v>
      </c>
    </row>
    <row r="123" spans="1:2" x14ac:dyDescent="0.3">
      <c r="A123">
        <v>7278451130</v>
      </c>
      <c r="B123" t="s">
        <v>931</v>
      </c>
    </row>
    <row r="124" spans="1:2" x14ac:dyDescent="0.3">
      <c r="A124">
        <v>7288907230</v>
      </c>
      <c r="B124" t="s">
        <v>931</v>
      </c>
    </row>
    <row r="125" spans="1:2" x14ac:dyDescent="0.3">
      <c r="A125">
        <v>7298186530</v>
      </c>
      <c r="B125" t="s">
        <v>931</v>
      </c>
    </row>
    <row r="126" spans="1:2" x14ac:dyDescent="0.3">
      <c r="A126">
        <v>72987902</v>
      </c>
      <c r="B126" t="s">
        <v>931</v>
      </c>
    </row>
    <row r="127" spans="1:2" x14ac:dyDescent="0.3">
      <c r="A127">
        <v>7289909030</v>
      </c>
      <c r="B127" t="s">
        <v>931</v>
      </c>
    </row>
    <row r="128" spans="1:2" x14ac:dyDescent="0.3">
      <c r="A128">
        <v>7298593130</v>
      </c>
      <c r="B128" t="s">
        <v>931</v>
      </c>
    </row>
    <row r="129" spans="1:2" x14ac:dyDescent="0.3">
      <c r="A129">
        <v>7298079230</v>
      </c>
      <c r="B129" t="s">
        <v>931</v>
      </c>
    </row>
    <row r="130" spans="1:2" x14ac:dyDescent="0.3">
      <c r="A130">
        <v>7271295130</v>
      </c>
      <c r="B130" t="s">
        <v>931</v>
      </c>
    </row>
    <row r="131" spans="1:2" x14ac:dyDescent="0.3">
      <c r="A131">
        <v>7287801830</v>
      </c>
      <c r="B131" t="s">
        <v>931</v>
      </c>
    </row>
    <row r="132" spans="1:2" x14ac:dyDescent="0.3">
      <c r="A132">
        <v>7223160530</v>
      </c>
      <c r="B132" t="s">
        <v>931</v>
      </c>
    </row>
    <row r="133" spans="1:2" x14ac:dyDescent="0.3">
      <c r="A133">
        <v>7283464030</v>
      </c>
      <c r="B133" t="s">
        <v>931</v>
      </c>
    </row>
    <row r="134" spans="1:2" x14ac:dyDescent="0.3">
      <c r="A134">
        <v>7219113440</v>
      </c>
      <c r="B134" t="s">
        <v>931</v>
      </c>
    </row>
    <row r="135" spans="1:2" x14ac:dyDescent="0.3">
      <c r="A135">
        <v>7298593130</v>
      </c>
      <c r="B135" t="s">
        <v>931</v>
      </c>
    </row>
    <row r="136" spans="1:2" x14ac:dyDescent="0.3">
      <c r="A136">
        <v>72781797</v>
      </c>
      <c r="B136" t="s">
        <v>931</v>
      </c>
    </row>
    <row r="137" spans="1:2" x14ac:dyDescent="0.3">
      <c r="A137">
        <v>7298237430</v>
      </c>
      <c r="B137" t="s">
        <v>931</v>
      </c>
    </row>
    <row r="138" spans="1:2" x14ac:dyDescent="0.3">
      <c r="A138">
        <v>7298790830</v>
      </c>
      <c r="B138" t="s">
        <v>931</v>
      </c>
    </row>
    <row r="139" spans="1:2" x14ac:dyDescent="0.3">
      <c r="A139">
        <v>7298790830</v>
      </c>
      <c r="B139" t="s">
        <v>931</v>
      </c>
    </row>
    <row r="140" spans="1:2" x14ac:dyDescent="0.3">
      <c r="A140">
        <v>7298186930</v>
      </c>
      <c r="B140" t="s">
        <v>931</v>
      </c>
    </row>
    <row r="141" spans="1:2" x14ac:dyDescent="0.3">
      <c r="A141">
        <v>7298790130</v>
      </c>
      <c r="B141" t="s">
        <v>931</v>
      </c>
    </row>
    <row r="142" spans="1:2" x14ac:dyDescent="0.3">
      <c r="A142">
        <v>7298186530</v>
      </c>
      <c r="B142" t="s">
        <v>931</v>
      </c>
    </row>
    <row r="143" spans="1:2" x14ac:dyDescent="0.3">
      <c r="A143">
        <v>7298186530</v>
      </c>
      <c r="B143" t="s">
        <v>931</v>
      </c>
    </row>
    <row r="144" spans="1:2" x14ac:dyDescent="0.3">
      <c r="A144">
        <v>7298237430</v>
      </c>
      <c r="B144" t="s">
        <v>931</v>
      </c>
    </row>
    <row r="145" spans="1:2" x14ac:dyDescent="0.3">
      <c r="A145">
        <v>7287150380</v>
      </c>
      <c r="B145" t="s">
        <v>931</v>
      </c>
    </row>
    <row r="146" spans="1:2" x14ac:dyDescent="0.3">
      <c r="A146">
        <v>7278121240</v>
      </c>
      <c r="B146" t="s">
        <v>931</v>
      </c>
    </row>
    <row r="147" spans="1:2" x14ac:dyDescent="0.3">
      <c r="A147">
        <v>72897496</v>
      </c>
      <c r="B147" t="s">
        <v>931</v>
      </c>
    </row>
    <row r="148" spans="1:2" x14ac:dyDescent="0.3">
      <c r="A148">
        <v>7298108030</v>
      </c>
      <c r="B148" t="s">
        <v>931</v>
      </c>
    </row>
    <row r="149" spans="1:2" x14ac:dyDescent="0.3">
      <c r="A149">
        <v>7298108030</v>
      </c>
      <c r="B149" t="s">
        <v>931</v>
      </c>
    </row>
    <row r="150" spans="1:2" x14ac:dyDescent="0.3">
      <c r="A150">
        <v>7154075530</v>
      </c>
      <c r="B150" t="s">
        <v>931</v>
      </c>
    </row>
    <row r="151" spans="1:2" x14ac:dyDescent="0.3">
      <c r="A151">
        <v>7154058630</v>
      </c>
      <c r="B151" t="s">
        <v>931</v>
      </c>
    </row>
    <row r="152" spans="1:2" x14ac:dyDescent="0.3">
      <c r="A152">
        <v>7171297430</v>
      </c>
      <c r="B152" t="s">
        <v>931</v>
      </c>
    </row>
    <row r="153" spans="1:2" x14ac:dyDescent="0.3">
      <c r="A153">
        <v>7154026130</v>
      </c>
      <c r="B153" t="s">
        <v>931</v>
      </c>
    </row>
    <row r="154" spans="1:2" x14ac:dyDescent="0.3">
      <c r="A154">
        <v>7004128702</v>
      </c>
      <c r="B154" t="s">
        <v>931</v>
      </c>
    </row>
    <row r="155" spans="1:2" x14ac:dyDescent="0.3">
      <c r="A155">
        <v>7004128702</v>
      </c>
      <c r="B155" t="s">
        <v>931</v>
      </c>
    </row>
    <row r="156" spans="1:2" x14ac:dyDescent="0.3">
      <c r="A156">
        <v>7004128702</v>
      </c>
      <c r="B156" t="s">
        <v>931</v>
      </c>
    </row>
    <row r="157" spans="1:2" x14ac:dyDescent="0.3">
      <c r="A157">
        <v>7004128702</v>
      </c>
      <c r="B157" t="s">
        <v>931</v>
      </c>
    </row>
    <row r="158" spans="1:2" x14ac:dyDescent="0.3">
      <c r="A158">
        <v>7274349370</v>
      </c>
      <c r="B158" t="s">
        <v>932</v>
      </c>
    </row>
    <row r="159" spans="1:2" x14ac:dyDescent="0.3">
      <c r="A159">
        <v>7075218330</v>
      </c>
      <c r="B159" t="s">
        <v>932</v>
      </c>
    </row>
    <row r="160" spans="1:2" x14ac:dyDescent="0.3">
      <c r="A160">
        <v>72975207</v>
      </c>
      <c r="B160" t="s">
        <v>932</v>
      </c>
    </row>
    <row r="161" spans="1:2" x14ac:dyDescent="0.3">
      <c r="A161">
        <v>7234488830</v>
      </c>
      <c r="B161" t="s">
        <v>932</v>
      </c>
    </row>
    <row r="162" spans="1:2" x14ac:dyDescent="0.3">
      <c r="A162">
        <v>71983904</v>
      </c>
      <c r="B162" t="s">
        <v>932</v>
      </c>
    </row>
    <row r="163" spans="1:2" x14ac:dyDescent="0.3">
      <c r="A163">
        <v>7187090580</v>
      </c>
      <c r="B163" t="s">
        <v>932</v>
      </c>
    </row>
    <row r="164" spans="1:2" x14ac:dyDescent="0.3">
      <c r="A164">
        <v>7187090590</v>
      </c>
      <c r="B164" t="s">
        <v>932</v>
      </c>
    </row>
    <row r="165" spans="1:2" x14ac:dyDescent="0.3">
      <c r="A165">
        <v>71870905</v>
      </c>
      <c r="B165" t="s">
        <v>932</v>
      </c>
    </row>
    <row r="166" spans="1:2" x14ac:dyDescent="0.3">
      <c r="A166">
        <v>7187090560</v>
      </c>
      <c r="B166" t="s">
        <v>932</v>
      </c>
    </row>
    <row r="167" spans="1:2" x14ac:dyDescent="0.3">
      <c r="A167" t="s">
        <v>935</v>
      </c>
      <c r="B167" t="s">
        <v>932</v>
      </c>
    </row>
    <row r="168" spans="1:2" x14ac:dyDescent="0.3">
      <c r="A168">
        <v>7289773340</v>
      </c>
      <c r="B168" t="s">
        <v>932</v>
      </c>
    </row>
    <row r="169" spans="1:2" x14ac:dyDescent="0.3">
      <c r="A169" t="s">
        <v>935</v>
      </c>
      <c r="B169" t="s">
        <v>932</v>
      </c>
    </row>
    <row r="170" spans="1:2" x14ac:dyDescent="0.3">
      <c r="A170">
        <v>7154041130</v>
      </c>
      <c r="B170" t="s">
        <v>932</v>
      </c>
    </row>
    <row r="171" spans="1:2" x14ac:dyDescent="0.3">
      <c r="A171">
        <v>7119674430</v>
      </c>
      <c r="B171" t="s">
        <v>932</v>
      </c>
    </row>
    <row r="172" spans="1:2" x14ac:dyDescent="0.3">
      <c r="A172">
        <v>7282374040</v>
      </c>
      <c r="B172" t="s">
        <v>932</v>
      </c>
    </row>
    <row r="173" spans="1:2" x14ac:dyDescent="0.3">
      <c r="A173">
        <v>7186066590</v>
      </c>
      <c r="B173" t="s">
        <v>932</v>
      </c>
    </row>
    <row r="174" spans="1:2" x14ac:dyDescent="0.3">
      <c r="A174">
        <v>71860665</v>
      </c>
      <c r="B174" t="s">
        <v>932</v>
      </c>
    </row>
    <row r="175" spans="1:2" x14ac:dyDescent="0.3">
      <c r="A175">
        <v>7186066560</v>
      </c>
      <c r="B175" t="s">
        <v>932</v>
      </c>
    </row>
    <row r="176" spans="1:2" x14ac:dyDescent="0.3">
      <c r="A176">
        <v>72975392</v>
      </c>
      <c r="B176" t="s">
        <v>932</v>
      </c>
    </row>
    <row r="177" spans="1:2" x14ac:dyDescent="0.3">
      <c r="A177">
        <v>7288907230</v>
      </c>
      <c r="B177" t="s">
        <v>932</v>
      </c>
    </row>
    <row r="178" spans="1:2" x14ac:dyDescent="0.3">
      <c r="A178">
        <v>7119679430</v>
      </c>
      <c r="B178" t="s">
        <v>932</v>
      </c>
    </row>
    <row r="179" spans="1:2" x14ac:dyDescent="0.3">
      <c r="A179">
        <v>7297565530</v>
      </c>
      <c r="B179" t="s">
        <v>932</v>
      </c>
    </row>
    <row r="180" spans="1:2" x14ac:dyDescent="0.3">
      <c r="A180">
        <v>72899966</v>
      </c>
      <c r="B180" t="s">
        <v>932</v>
      </c>
    </row>
    <row r="181" spans="1:2" x14ac:dyDescent="0.3">
      <c r="A181">
        <v>7298200830</v>
      </c>
      <c r="B181" t="s">
        <v>932</v>
      </c>
    </row>
    <row r="182" spans="1:2" x14ac:dyDescent="0.3">
      <c r="A182">
        <v>72780597</v>
      </c>
      <c r="B182" t="s">
        <v>932</v>
      </c>
    </row>
    <row r="183" spans="1:2" x14ac:dyDescent="0.3">
      <c r="A183">
        <v>71196834</v>
      </c>
      <c r="B183" t="s">
        <v>932</v>
      </c>
    </row>
    <row r="184" spans="1:2" x14ac:dyDescent="0.3">
      <c r="A184">
        <v>7119683530</v>
      </c>
      <c r="B184" t="s">
        <v>932</v>
      </c>
    </row>
    <row r="185" spans="1:2" x14ac:dyDescent="0.3">
      <c r="A185">
        <v>7287766270</v>
      </c>
      <c r="B185" t="s">
        <v>932</v>
      </c>
    </row>
    <row r="186" spans="1:2" x14ac:dyDescent="0.3">
      <c r="A186">
        <v>7298150830</v>
      </c>
      <c r="B186" t="s">
        <v>932</v>
      </c>
    </row>
    <row r="187" spans="1:2" x14ac:dyDescent="0.3">
      <c r="A187">
        <v>7223160530</v>
      </c>
      <c r="B187" t="s">
        <v>932</v>
      </c>
    </row>
    <row r="188" spans="1:2" x14ac:dyDescent="0.3">
      <c r="A188">
        <v>7119679830</v>
      </c>
      <c r="B188" t="s">
        <v>932</v>
      </c>
    </row>
    <row r="189" spans="1:2" x14ac:dyDescent="0.3">
      <c r="A189">
        <v>7287143930</v>
      </c>
      <c r="B189" t="s">
        <v>932</v>
      </c>
    </row>
    <row r="190" spans="1:2" x14ac:dyDescent="0.3">
      <c r="A190">
        <v>7219683340</v>
      </c>
      <c r="B190" t="s">
        <v>932</v>
      </c>
    </row>
    <row r="191" spans="1:2" x14ac:dyDescent="0.3">
      <c r="A191">
        <v>7287476780</v>
      </c>
      <c r="B191" t="s">
        <v>932</v>
      </c>
    </row>
    <row r="192" spans="1:2" x14ac:dyDescent="0.3">
      <c r="A192">
        <v>7289862080</v>
      </c>
      <c r="B192" t="s">
        <v>932</v>
      </c>
    </row>
    <row r="193" spans="1:2" x14ac:dyDescent="0.3">
      <c r="A193">
        <v>72782561</v>
      </c>
      <c r="B193" t="s">
        <v>932</v>
      </c>
    </row>
    <row r="194" spans="1:2" x14ac:dyDescent="0.3">
      <c r="A194">
        <v>72975392</v>
      </c>
      <c r="B194" t="s">
        <v>932</v>
      </c>
    </row>
    <row r="195" spans="1:2" x14ac:dyDescent="0.3">
      <c r="A195">
        <v>7222740630</v>
      </c>
      <c r="B195" t="s">
        <v>932</v>
      </c>
    </row>
    <row r="196" spans="1:2" x14ac:dyDescent="0.3">
      <c r="A196">
        <v>7119185330</v>
      </c>
      <c r="B196" t="s">
        <v>932</v>
      </c>
    </row>
    <row r="197" spans="1:2" x14ac:dyDescent="0.3">
      <c r="A197">
        <v>7119185640</v>
      </c>
      <c r="B197" t="s">
        <v>932</v>
      </c>
    </row>
    <row r="198" spans="1:2" x14ac:dyDescent="0.3">
      <c r="A198">
        <v>71781755</v>
      </c>
      <c r="B198" t="s">
        <v>932</v>
      </c>
    </row>
    <row r="199" spans="1:2" x14ac:dyDescent="0.3">
      <c r="A199">
        <v>7178170830</v>
      </c>
      <c r="B199" t="s">
        <v>932</v>
      </c>
    </row>
    <row r="200" spans="1:2" x14ac:dyDescent="0.3">
      <c r="A200">
        <v>7186066560</v>
      </c>
      <c r="B200" t="s">
        <v>932</v>
      </c>
    </row>
    <row r="201" spans="1:2" x14ac:dyDescent="0.3">
      <c r="A201">
        <v>71860665</v>
      </c>
      <c r="B201" t="s">
        <v>932</v>
      </c>
    </row>
    <row r="202" spans="1:2" x14ac:dyDescent="0.3">
      <c r="A202">
        <v>72888940</v>
      </c>
      <c r="B202" t="s">
        <v>932</v>
      </c>
    </row>
    <row r="203" spans="1:2" x14ac:dyDescent="0.3">
      <c r="A203">
        <v>7278197730</v>
      </c>
      <c r="B203" t="s">
        <v>932</v>
      </c>
    </row>
    <row r="204" spans="1:2" x14ac:dyDescent="0.3">
      <c r="A204">
        <v>7289778240</v>
      </c>
      <c r="B204" t="s">
        <v>932</v>
      </c>
    </row>
    <row r="205" spans="1:2" x14ac:dyDescent="0.3">
      <c r="A205">
        <v>7154041130</v>
      </c>
      <c r="B205" t="s">
        <v>932</v>
      </c>
    </row>
    <row r="206" spans="1:2" x14ac:dyDescent="0.3">
      <c r="A206">
        <v>7154075530</v>
      </c>
      <c r="B206" t="s">
        <v>932</v>
      </c>
    </row>
    <row r="207" spans="1:2" x14ac:dyDescent="0.3">
      <c r="A207">
        <v>7298186530</v>
      </c>
      <c r="B207" t="s">
        <v>932</v>
      </c>
    </row>
    <row r="208" spans="1:2" x14ac:dyDescent="0.3">
      <c r="A208" t="s">
        <v>936</v>
      </c>
      <c r="B208" t="s">
        <v>932</v>
      </c>
    </row>
    <row r="209" spans="1:2" x14ac:dyDescent="0.3">
      <c r="A209">
        <v>7278197730</v>
      </c>
      <c r="B209" t="s">
        <v>932</v>
      </c>
    </row>
    <row r="210" spans="1:2" x14ac:dyDescent="0.3">
      <c r="A210">
        <v>7287011790</v>
      </c>
      <c r="B210" t="s">
        <v>932</v>
      </c>
    </row>
    <row r="211" spans="1:2" x14ac:dyDescent="0.3">
      <c r="A211">
        <v>72780597</v>
      </c>
      <c r="B211" t="s">
        <v>932</v>
      </c>
    </row>
    <row r="212" spans="1:2" x14ac:dyDescent="0.3">
      <c r="A212" t="s">
        <v>937</v>
      </c>
      <c r="B212" t="s">
        <v>932</v>
      </c>
    </row>
    <row r="213" spans="1:2" x14ac:dyDescent="0.3">
      <c r="A213">
        <v>7278179230</v>
      </c>
      <c r="B213" t="s">
        <v>932</v>
      </c>
    </row>
    <row r="214" spans="1:2" x14ac:dyDescent="0.3">
      <c r="A214">
        <v>7287782930</v>
      </c>
      <c r="B214" t="s">
        <v>932</v>
      </c>
    </row>
    <row r="215" spans="1:2" x14ac:dyDescent="0.3">
      <c r="A215">
        <v>72780597</v>
      </c>
      <c r="B215" t="s">
        <v>932</v>
      </c>
    </row>
    <row r="216" spans="1:2" x14ac:dyDescent="0.3">
      <c r="A216">
        <v>7219116640</v>
      </c>
      <c r="B216" t="s">
        <v>932</v>
      </c>
    </row>
    <row r="217" spans="1:2" x14ac:dyDescent="0.3">
      <c r="A217">
        <v>7119675830</v>
      </c>
      <c r="B217" t="s">
        <v>932</v>
      </c>
    </row>
    <row r="218" spans="1:2" x14ac:dyDescent="0.3">
      <c r="A218">
        <v>71837758</v>
      </c>
      <c r="B218" t="s">
        <v>932</v>
      </c>
    </row>
    <row r="219" spans="1:2" x14ac:dyDescent="0.3">
      <c r="A219">
        <v>7283907630</v>
      </c>
      <c r="B219" t="s">
        <v>932</v>
      </c>
    </row>
    <row r="220" spans="1:2" x14ac:dyDescent="0.3">
      <c r="A220">
        <v>71837758</v>
      </c>
      <c r="B220" t="s">
        <v>932</v>
      </c>
    </row>
    <row r="221" spans="1:2" x14ac:dyDescent="0.3">
      <c r="A221">
        <v>72878592</v>
      </c>
      <c r="B221" t="s">
        <v>932</v>
      </c>
    </row>
    <row r="222" spans="1:2" x14ac:dyDescent="0.3">
      <c r="A222">
        <v>71191147</v>
      </c>
      <c r="B222" t="s">
        <v>932</v>
      </c>
    </row>
    <row r="223" spans="1:2" x14ac:dyDescent="0.3">
      <c r="A223">
        <v>7274333840</v>
      </c>
      <c r="B223" t="s">
        <v>932</v>
      </c>
    </row>
    <row r="224" spans="1:2" x14ac:dyDescent="0.3">
      <c r="A224">
        <v>7154075530</v>
      </c>
      <c r="B224" t="s">
        <v>932</v>
      </c>
    </row>
    <row r="225" spans="1:2" x14ac:dyDescent="0.3">
      <c r="A225">
        <v>71237437</v>
      </c>
      <c r="B225" t="s">
        <v>932</v>
      </c>
    </row>
    <row r="226" spans="1:2" x14ac:dyDescent="0.3">
      <c r="A226">
        <v>7278179230</v>
      </c>
      <c r="B226" t="s">
        <v>932</v>
      </c>
    </row>
    <row r="227" spans="1:2" x14ac:dyDescent="0.3">
      <c r="A227">
        <v>7178170830</v>
      </c>
      <c r="B227" t="s">
        <v>932</v>
      </c>
    </row>
    <row r="228" spans="1:2" x14ac:dyDescent="0.3">
      <c r="A228">
        <v>71781755</v>
      </c>
      <c r="B228" t="s">
        <v>932</v>
      </c>
    </row>
    <row r="229" spans="1:2" x14ac:dyDescent="0.3">
      <c r="A229">
        <v>7278121430</v>
      </c>
      <c r="B229" t="s">
        <v>932</v>
      </c>
    </row>
    <row r="230" spans="1:2" x14ac:dyDescent="0.3">
      <c r="A230">
        <v>7283220130</v>
      </c>
      <c r="B230" t="s">
        <v>932</v>
      </c>
    </row>
    <row r="231" spans="1:2" x14ac:dyDescent="0.3">
      <c r="A231">
        <v>72894030</v>
      </c>
      <c r="B231" t="s">
        <v>932</v>
      </c>
    </row>
    <row r="232" spans="1:2" x14ac:dyDescent="0.3">
      <c r="A232">
        <v>7278121430</v>
      </c>
      <c r="B232" t="s">
        <v>932</v>
      </c>
    </row>
    <row r="233" spans="1:2" x14ac:dyDescent="0.3">
      <c r="A233">
        <v>7278059630</v>
      </c>
      <c r="B233" t="s">
        <v>932</v>
      </c>
    </row>
    <row r="234" spans="1:2" x14ac:dyDescent="0.3">
      <c r="A234">
        <v>72781797</v>
      </c>
      <c r="B234" t="s">
        <v>932</v>
      </c>
    </row>
    <row r="235" spans="1:2" x14ac:dyDescent="0.3">
      <c r="A235">
        <v>7219176430</v>
      </c>
      <c r="B235" t="s">
        <v>932</v>
      </c>
    </row>
    <row r="236" spans="1:2" x14ac:dyDescent="0.3">
      <c r="A236">
        <v>7277186830</v>
      </c>
      <c r="B236" t="s">
        <v>932</v>
      </c>
    </row>
    <row r="237" spans="1:2" x14ac:dyDescent="0.3">
      <c r="A237">
        <v>7283220090</v>
      </c>
      <c r="B237" t="s">
        <v>932</v>
      </c>
    </row>
    <row r="238" spans="1:2" x14ac:dyDescent="0.3">
      <c r="A238">
        <v>7178197530</v>
      </c>
      <c r="B238" t="s">
        <v>932</v>
      </c>
    </row>
    <row r="239" spans="1:2" x14ac:dyDescent="0.3">
      <c r="A239">
        <v>7297565530</v>
      </c>
      <c r="B239" t="s">
        <v>932</v>
      </c>
    </row>
    <row r="240" spans="1:2" x14ac:dyDescent="0.3">
      <c r="A240">
        <v>72975207</v>
      </c>
      <c r="B240" t="s">
        <v>932</v>
      </c>
    </row>
    <row r="241" spans="1:2" x14ac:dyDescent="0.3">
      <c r="A241">
        <v>7183384830</v>
      </c>
      <c r="B241" t="s">
        <v>932</v>
      </c>
    </row>
    <row r="242" spans="1:2" x14ac:dyDescent="0.3">
      <c r="A242">
        <v>72782146</v>
      </c>
      <c r="B242" t="s">
        <v>932</v>
      </c>
    </row>
    <row r="243" spans="1:2" x14ac:dyDescent="0.3">
      <c r="A243">
        <v>72838660</v>
      </c>
      <c r="B243" t="s">
        <v>932</v>
      </c>
    </row>
    <row r="244" spans="1:2" x14ac:dyDescent="0.3">
      <c r="A244">
        <v>7298250930</v>
      </c>
      <c r="B244" t="s">
        <v>932</v>
      </c>
    </row>
    <row r="245" spans="1:2" x14ac:dyDescent="0.3">
      <c r="A245">
        <v>72894030</v>
      </c>
      <c r="B245" t="s">
        <v>932</v>
      </c>
    </row>
    <row r="246" spans="1:2" x14ac:dyDescent="0.3">
      <c r="A246">
        <v>72897732</v>
      </c>
      <c r="B246" t="s">
        <v>932</v>
      </c>
    </row>
    <row r="247" spans="1:2" x14ac:dyDescent="0.3">
      <c r="A247">
        <v>71837758</v>
      </c>
      <c r="B247" t="s">
        <v>932</v>
      </c>
    </row>
    <row r="248" spans="1:2" x14ac:dyDescent="0.3">
      <c r="A248">
        <v>77183384830</v>
      </c>
      <c r="B248" t="s">
        <v>932</v>
      </c>
    </row>
    <row r="249" spans="1:2" x14ac:dyDescent="0.3">
      <c r="A249">
        <v>7278179230</v>
      </c>
      <c r="B249" t="s">
        <v>932</v>
      </c>
    </row>
    <row r="250" spans="1:2" x14ac:dyDescent="0.3">
      <c r="A250">
        <v>72781797</v>
      </c>
      <c r="B250" t="s">
        <v>932</v>
      </c>
    </row>
    <row r="251" spans="1:2" x14ac:dyDescent="0.3">
      <c r="A251">
        <v>7075218330</v>
      </c>
      <c r="B251" t="s">
        <v>932</v>
      </c>
    </row>
    <row r="252" spans="1:2" x14ac:dyDescent="0.3">
      <c r="A252">
        <v>7298108030</v>
      </c>
      <c r="B252" t="s">
        <v>932</v>
      </c>
    </row>
    <row r="253" spans="1:2" x14ac:dyDescent="0.3">
      <c r="A253">
        <v>7298108030</v>
      </c>
      <c r="B253" t="s">
        <v>932</v>
      </c>
    </row>
    <row r="254" spans="1:2" x14ac:dyDescent="0.3">
      <c r="A254">
        <v>7289749530</v>
      </c>
      <c r="B254" t="s">
        <v>932</v>
      </c>
    </row>
    <row r="255" spans="1:2" x14ac:dyDescent="0.3">
      <c r="A255">
        <v>7278059630</v>
      </c>
      <c r="B255" t="s">
        <v>932</v>
      </c>
    </row>
    <row r="256" spans="1:2" x14ac:dyDescent="0.3">
      <c r="A256" t="s">
        <v>937</v>
      </c>
      <c r="B256" t="s">
        <v>932</v>
      </c>
    </row>
    <row r="257" spans="1:2" x14ac:dyDescent="0.3">
      <c r="A257" t="s">
        <v>937</v>
      </c>
      <c r="B257" t="s">
        <v>932</v>
      </c>
    </row>
    <row r="258" spans="1:2" x14ac:dyDescent="0.3">
      <c r="A258">
        <v>74752895</v>
      </c>
      <c r="B258" t="s">
        <v>932</v>
      </c>
    </row>
    <row r="259" spans="1:2" x14ac:dyDescent="0.3">
      <c r="A259">
        <v>74752895</v>
      </c>
      <c r="B259" t="s">
        <v>932</v>
      </c>
    </row>
    <row r="260" spans="1:2" x14ac:dyDescent="0.3">
      <c r="A260" t="s">
        <v>937</v>
      </c>
      <c r="B260" t="s">
        <v>932</v>
      </c>
    </row>
    <row r="261" spans="1:2" x14ac:dyDescent="0.3">
      <c r="A261">
        <v>7278121430</v>
      </c>
      <c r="B261" t="s">
        <v>932</v>
      </c>
    </row>
    <row r="262" spans="1:2" x14ac:dyDescent="0.3">
      <c r="A262">
        <v>7289909030</v>
      </c>
      <c r="B262" t="s">
        <v>932</v>
      </c>
    </row>
    <row r="263" spans="1:2" x14ac:dyDescent="0.3">
      <c r="A263">
        <v>7219192930</v>
      </c>
      <c r="B263" t="s">
        <v>932</v>
      </c>
    </row>
    <row r="264" spans="1:2" x14ac:dyDescent="0.3">
      <c r="A264">
        <v>7219192930</v>
      </c>
      <c r="B264" t="s">
        <v>932</v>
      </c>
    </row>
    <row r="265" spans="1:2" x14ac:dyDescent="0.3">
      <c r="A265">
        <v>72980784</v>
      </c>
      <c r="B265" t="s">
        <v>932</v>
      </c>
    </row>
    <row r="266" spans="1:2" x14ac:dyDescent="0.3">
      <c r="A266" t="s">
        <v>937</v>
      </c>
      <c r="B266" t="s">
        <v>932</v>
      </c>
    </row>
    <row r="267" spans="1:2" x14ac:dyDescent="0.3">
      <c r="A267" t="s">
        <v>937</v>
      </c>
      <c r="B267" t="s">
        <v>932</v>
      </c>
    </row>
    <row r="268" spans="1:2" x14ac:dyDescent="0.3">
      <c r="A268">
        <v>72868813</v>
      </c>
      <c r="B268" t="s">
        <v>932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427</v>
      </c>
      <c r="B1" s="8" t="s">
        <v>741</v>
      </c>
      <c r="C1" s="8" t="s">
        <v>743</v>
      </c>
      <c r="D1" s="8" t="s">
        <v>742</v>
      </c>
      <c r="E1" s="8" t="s">
        <v>274</v>
      </c>
      <c r="F1" t="s">
        <v>744</v>
      </c>
      <c r="G1" t="s">
        <v>970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676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428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429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430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431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432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433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434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435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436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437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438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439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440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441</v>
      </c>
      <c r="G16" s="4" t="s">
        <v>745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442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443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444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445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706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446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447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448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449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676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676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676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450</v>
      </c>
      <c r="G29" s="4" t="s">
        <v>1028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676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676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676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451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452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453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454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455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456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457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458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459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460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461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462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463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464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465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466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467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468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469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470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471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472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473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474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475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676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1029</v>
      </c>
      <c r="G60" s="4" t="s">
        <v>1028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676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676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476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676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477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676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676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676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676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676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676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676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676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676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308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478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479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705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480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481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482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483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484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485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486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487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488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489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490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491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492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493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494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495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496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497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498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499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500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501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502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503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504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505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506</v>
      </c>
      <c r="G105" s="4"/>
    </row>
    <row r="106" spans="1:7" ht="14.4" x14ac:dyDescent="0.3">
      <c r="A106" s="4" t="s">
        <v>507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508</v>
      </c>
      <c r="G106" s="4"/>
    </row>
    <row r="107" spans="1:7" ht="14.4" x14ac:dyDescent="0.3">
      <c r="A107" s="4" t="s">
        <v>509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510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511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512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513</v>
      </c>
      <c r="G110" s="4"/>
    </row>
    <row r="111" spans="1:7" ht="14.4" x14ac:dyDescent="0.3">
      <c r="A111" s="4" t="s">
        <v>253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514</v>
      </c>
      <c r="G111" s="4"/>
    </row>
    <row r="112" spans="1:7" ht="14.4" x14ac:dyDescent="0.3">
      <c r="A112" s="4" t="s">
        <v>515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516</v>
      </c>
      <c r="G112" s="4"/>
    </row>
    <row r="113" spans="1:7" ht="14.4" x14ac:dyDescent="0.3">
      <c r="A113" s="4" t="s">
        <v>517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518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519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746</v>
      </c>
      <c r="G115" s="4"/>
    </row>
    <row r="116" spans="1:7" ht="14.4" x14ac:dyDescent="0.3">
      <c r="A116" s="4" t="s">
        <v>520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521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522</v>
      </c>
      <c r="G117" s="4"/>
    </row>
    <row r="118" spans="1:7" ht="14.4" x14ac:dyDescent="0.3">
      <c r="A118" s="4" t="s">
        <v>524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525</v>
      </c>
      <c r="G118" s="4"/>
    </row>
    <row r="119" spans="1:7" ht="14.4" x14ac:dyDescent="0.3">
      <c r="A119" s="4" t="s">
        <v>526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527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528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530</v>
      </c>
      <c r="G121" s="4"/>
    </row>
    <row r="122" spans="1:7" ht="14.4" x14ac:dyDescent="0.3">
      <c r="A122" s="4" t="s">
        <v>531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532</v>
      </c>
      <c r="G122" s="4"/>
    </row>
    <row r="123" spans="1:7" ht="14.4" x14ac:dyDescent="0.3">
      <c r="A123" s="4" t="s">
        <v>534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535</v>
      </c>
      <c r="G123" s="4"/>
    </row>
    <row r="124" spans="1:7" ht="14.4" x14ac:dyDescent="0.3">
      <c r="A124" s="4" t="s">
        <v>536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537</v>
      </c>
      <c r="G124" s="4"/>
    </row>
    <row r="125" spans="1:7" ht="14.4" x14ac:dyDescent="0.3">
      <c r="A125" s="4" t="s">
        <v>538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539</v>
      </c>
      <c r="G125" s="4"/>
    </row>
    <row r="126" spans="1:7" ht="14.4" x14ac:dyDescent="0.3">
      <c r="A126" s="4" t="s">
        <v>540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541</v>
      </c>
      <c r="G126" s="4"/>
    </row>
    <row r="127" spans="1:7" ht="14.4" x14ac:dyDescent="0.3">
      <c r="A127" s="4" t="s">
        <v>542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543</v>
      </c>
      <c r="G127" s="4"/>
    </row>
    <row r="128" spans="1:7" ht="14.4" x14ac:dyDescent="0.3">
      <c r="A128" s="4" t="s">
        <v>544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545</v>
      </c>
      <c r="G128" s="4"/>
    </row>
    <row r="129" spans="1:7" ht="14.4" x14ac:dyDescent="0.3">
      <c r="A129" s="4" t="s">
        <v>546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547</v>
      </c>
      <c r="G129" s="4"/>
    </row>
    <row r="130" spans="1:7" ht="14.4" x14ac:dyDescent="0.3">
      <c r="A130" s="4" t="s">
        <v>548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549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550</v>
      </c>
      <c r="G131" s="4"/>
    </row>
    <row r="132" spans="1:7" ht="14.4" x14ac:dyDescent="0.3">
      <c r="A132" s="4" t="s">
        <v>266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676</v>
      </c>
      <c r="G132" s="4"/>
    </row>
    <row r="133" spans="1:7" ht="14.4" x14ac:dyDescent="0.3">
      <c r="A133" s="4" t="s">
        <v>552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553</v>
      </c>
      <c r="G133" s="4"/>
    </row>
    <row r="134" spans="1:7" ht="14.4" x14ac:dyDescent="0.3">
      <c r="A134" s="4" t="s">
        <v>556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557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559</v>
      </c>
      <c r="G135" s="4"/>
    </row>
    <row r="136" spans="1:7" ht="14.4" x14ac:dyDescent="0.3">
      <c r="A136" s="4" t="s">
        <v>561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562</v>
      </c>
      <c r="G136" s="4"/>
    </row>
    <row r="137" spans="1:7" ht="14.4" x14ac:dyDescent="0.3">
      <c r="A137" s="4" t="s">
        <v>563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564</v>
      </c>
      <c r="G137" s="4" t="s">
        <v>745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567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568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307</v>
      </c>
      <c r="G140" s="4"/>
    </row>
    <row r="141" spans="1:7" ht="14.4" x14ac:dyDescent="0.3">
      <c r="A141" s="4" t="s">
        <v>569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676</v>
      </c>
      <c r="G141" s="4"/>
    </row>
    <row r="142" spans="1:7" ht="14.4" x14ac:dyDescent="0.3">
      <c r="A142" s="4" t="s">
        <v>570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571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572</v>
      </c>
      <c r="G143" s="4"/>
    </row>
    <row r="144" spans="1:7" ht="14.4" x14ac:dyDescent="0.3">
      <c r="A144" s="4" t="s">
        <v>573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574</v>
      </c>
      <c r="G144" s="4" t="s">
        <v>745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575</v>
      </c>
      <c r="G145" s="4"/>
    </row>
    <row r="146" spans="1:7" ht="14.4" x14ac:dyDescent="0.3">
      <c r="A146" s="4" t="s">
        <v>576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577</v>
      </c>
      <c r="G146" s="4"/>
    </row>
    <row r="147" spans="1:7" ht="14.4" x14ac:dyDescent="0.3">
      <c r="A147" s="4" t="s">
        <v>578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579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580</v>
      </c>
      <c r="G148" s="4"/>
    </row>
    <row r="149" spans="1:7" ht="14.4" x14ac:dyDescent="0.3">
      <c r="A149" s="4" t="s">
        <v>259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581</v>
      </c>
      <c r="G149" s="4"/>
    </row>
    <row r="150" spans="1:7" ht="14.4" x14ac:dyDescent="0.3">
      <c r="A150" s="4" t="s">
        <v>584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585</v>
      </c>
      <c r="G150" s="4"/>
    </row>
    <row r="151" spans="1:7" ht="14.4" x14ac:dyDescent="0.3">
      <c r="A151" s="4" t="s">
        <v>586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587</v>
      </c>
      <c r="G151" s="4" t="s">
        <v>745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309</v>
      </c>
      <c r="G152" s="4"/>
    </row>
    <row r="153" spans="1:7" ht="14.4" x14ac:dyDescent="0.3">
      <c r="A153" s="4" t="s">
        <v>296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588</v>
      </c>
      <c r="G153" s="4"/>
    </row>
    <row r="154" spans="1:7" ht="14.4" x14ac:dyDescent="0.3">
      <c r="A154" s="4" t="s">
        <v>589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676</v>
      </c>
      <c r="G154" s="4"/>
    </row>
    <row r="155" spans="1:7" ht="14.4" x14ac:dyDescent="0.3">
      <c r="A155" s="4" t="s">
        <v>590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591</v>
      </c>
      <c r="G155" s="4"/>
    </row>
    <row r="156" spans="1:7" ht="14.4" x14ac:dyDescent="0.3">
      <c r="A156" s="4" t="s">
        <v>592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676</v>
      </c>
      <c r="G156" s="4"/>
    </row>
    <row r="157" spans="1:7" ht="14.4" x14ac:dyDescent="0.3">
      <c r="A157" s="4" t="s">
        <v>593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676</v>
      </c>
      <c r="G157" s="4"/>
    </row>
    <row r="158" spans="1:7" ht="14.4" x14ac:dyDescent="0.3">
      <c r="A158" s="4" t="s">
        <v>594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595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596</v>
      </c>
      <c r="G159" s="4"/>
    </row>
    <row r="160" spans="1:7" ht="14.4" x14ac:dyDescent="0.3">
      <c r="A160" s="4" t="s">
        <v>597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598</v>
      </c>
      <c r="G160" s="4"/>
    </row>
    <row r="161" spans="1:7" ht="14.4" x14ac:dyDescent="0.3">
      <c r="A161" s="4" t="s">
        <v>599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600</v>
      </c>
      <c r="G161" s="4"/>
    </row>
    <row r="162" spans="1:7" ht="14.4" x14ac:dyDescent="0.3">
      <c r="A162" s="4" t="s">
        <v>601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602</v>
      </c>
      <c r="G162" s="4"/>
    </row>
    <row r="163" spans="1:7" ht="14.4" x14ac:dyDescent="0.3">
      <c r="A163" s="4" t="s">
        <v>260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603</v>
      </c>
      <c r="G163" s="4"/>
    </row>
    <row r="164" spans="1:7" ht="14.4" x14ac:dyDescent="0.3">
      <c r="A164" s="4" t="s">
        <v>604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605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606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607</v>
      </c>
      <c r="G166" s="4"/>
    </row>
    <row r="167" spans="1:7" ht="14.4" x14ac:dyDescent="0.3">
      <c r="A167" s="4" t="s">
        <v>608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609</v>
      </c>
      <c r="G167" s="4"/>
    </row>
    <row r="168" spans="1:7" ht="14.4" x14ac:dyDescent="0.3">
      <c r="A168" s="4" t="s">
        <v>610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611</v>
      </c>
      <c r="G168" s="4"/>
    </row>
    <row r="169" spans="1:7" ht="14.4" x14ac:dyDescent="0.3">
      <c r="A169" s="4" t="s">
        <v>612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613</v>
      </c>
      <c r="G169" s="4"/>
    </row>
    <row r="170" spans="1:7" ht="14.4" x14ac:dyDescent="0.3">
      <c r="A170" s="4" t="s">
        <v>614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615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1184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616</v>
      </c>
      <c r="G172" s="4"/>
    </row>
    <row r="173" spans="1:7" ht="14.4" x14ac:dyDescent="0.3">
      <c r="A173" s="4" t="s">
        <v>617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618</v>
      </c>
      <c r="G173" s="4"/>
    </row>
    <row r="174" spans="1:7" ht="14.4" x14ac:dyDescent="0.3">
      <c r="A174" s="4" t="s">
        <v>619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620</v>
      </c>
      <c r="G174" s="4"/>
    </row>
    <row r="175" spans="1:7" ht="14.4" x14ac:dyDescent="0.3">
      <c r="A175" s="4" t="s">
        <v>244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621</v>
      </c>
      <c r="G175" s="4"/>
    </row>
    <row r="176" spans="1:7" ht="14.4" x14ac:dyDescent="0.3">
      <c r="A176" s="4" t="s">
        <v>245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622</v>
      </c>
      <c r="G176" s="4"/>
    </row>
    <row r="177" spans="1:7" ht="14.4" x14ac:dyDescent="0.3">
      <c r="A177" s="4" t="s">
        <v>246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623</v>
      </c>
      <c r="G177" s="4"/>
    </row>
    <row r="178" spans="1:7" ht="14.4" x14ac:dyDescent="0.3">
      <c r="A178" s="4" t="s">
        <v>247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624</v>
      </c>
      <c r="G178" s="4"/>
    </row>
    <row r="179" spans="1:7" ht="14.4" x14ac:dyDescent="0.3">
      <c r="A179" s="4" t="s">
        <v>248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625</v>
      </c>
      <c r="G179" s="4"/>
    </row>
    <row r="180" spans="1:7" ht="14.4" x14ac:dyDescent="0.3">
      <c r="A180" s="4" t="s">
        <v>249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626</v>
      </c>
      <c r="G180" s="4"/>
    </row>
    <row r="181" spans="1:7" ht="14.4" x14ac:dyDescent="0.3">
      <c r="A181" s="4" t="s">
        <v>250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627</v>
      </c>
      <c r="G181" s="4"/>
    </row>
    <row r="182" spans="1:7" ht="14.4" x14ac:dyDescent="0.3">
      <c r="A182" s="4" t="s">
        <v>251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628</v>
      </c>
      <c r="G182" s="4"/>
    </row>
    <row r="183" spans="1:7" ht="14.4" x14ac:dyDescent="0.3">
      <c r="A183" s="4" t="s">
        <v>629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630</v>
      </c>
      <c r="G183" s="4"/>
    </row>
    <row r="184" spans="1:7" ht="14.4" x14ac:dyDescent="0.3">
      <c r="A184" s="4" t="s">
        <v>252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631</v>
      </c>
      <c r="G184" s="4"/>
    </row>
    <row r="185" spans="1:7" ht="14.4" x14ac:dyDescent="0.3">
      <c r="A185" s="4" t="s">
        <v>632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633</v>
      </c>
      <c r="G185" s="4"/>
    </row>
    <row r="186" spans="1:7" ht="14.4" x14ac:dyDescent="0.3">
      <c r="A186" s="4" t="s">
        <v>261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634</v>
      </c>
      <c r="G186" s="4"/>
    </row>
    <row r="187" spans="1:7" ht="14.4" x14ac:dyDescent="0.3">
      <c r="A187" s="4" t="s">
        <v>635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636</v>
      </c>
      <c r="G187" s="4"/>
    </row>
    <row r="188" spans="1:7" ht="14.4" x14ac:dyDescent="0.3">
      <c r="A188" s="4" t="s">
        <v>669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637</v>
      </c>
      <c r="G188" s="4"/>
    </row>
    <row r="189" spans="1:7" ht="14.4" x14ac:dyDescent="0.3">
      <c r="A189" s="4" t="s">
        <v>638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639</v>
      </c>
      <c r="G189" s="4"/>
    </row>
    <row r="190" spans="1:7" ht="14.4" x14ac:dyDescent="0.3">
      <c r="A190" s="4" t="s">
        <v>640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641</v>
      </c>
      <c r="G190" s="4"/>
    </row>
    <row r="191" spans="1:7" ht="14.4" x14ac:dyDescent="0.3">
      <c r="A191" s="4" t="s">
        <v>642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643</v>
      </c>
      <c r="G191" s="4"/>
    </row>
    <row r="192" spans="1:7" ht="14.4" x14ac:dyDescent="0.3">
      <c r="A192" s="4" t="s">
        <v>311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676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677</v>
      </c>
      <c r="G193" s="4" t="s">
        <v>1027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678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676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679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676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676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676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306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676</v>
      </c>
      <c r="G201" s="4"/>
    </row>
    <row r="202" spans="1:7" ht="14.4" x14ac:dyDescent="0.3">
      <c r="A202" s="4" t="s">
        <v>644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277</v>
      </c>
      <c r="G202" s="4"/>
    </row>
    <row r="203" spans="1:7" ht="14.4" x14ac:dyDescent="0.3">
      <c r="A203" s="4" t="s">
        <v>645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680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523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681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676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676</v>
      </c>
      <c r="G207" s="4"/>
    </row>
    <row r="208" spans="1:7" ht="14.4" x14ac:dyDescent="0.3">
      <c r="A208" s="4" t="s">
        <v>526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682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683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684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529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685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676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686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533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676</v>
      </c>
      <c r="G216" s="4"/>
    </row>
    <row r="217" spans="1:7" ht="14.4" x14ac:dyDescent="0.3">
      <c r="A217" s="4" t="s">
        <v>646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676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676</v>
      </c>
      <c r="G218" s="4"/>
    </row>
    <row r="219" spans="1:7" ht="14.4" x14ac:dyDescent="0.3">
      <c r="A219" s="4" t="s">
        <v>647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676</v>
      </c>
      <c r="G219" s="4"/>
    </row>
    <row r="220" spans="1:7" ht="14.4" x14ac:dyDescent="0.3">
      <c r="A220" s="4" t="s">
        <v>648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676</v>
      </c>
      <c r="G220" s="4"/>
    </row>
    <row r="221" spans="1:7" ht="14.4" x14ac:dyDescent="0.3">
      <c r="A221" s="4" t="s">
        <v>649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676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687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688</v>
      </c>
      <c r="G223" s="4"/>
    </row>
    <row r="224" spans="1:7" ht="14.4" x14ac:dyDescent="0.3">
      <c r="A224" s="4" t="s">
        <v>650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689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551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676</v>
      </c>
      <c r="G226" s="4"/>
    </row>
    <row r="227" spans="1:7" ht="14.4" x14ac:dyDescent="0.3">
      <c r="A227" s="4" t="s">
        <v>740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554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690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691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555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558</v>
      </c>
      <c r="G231" s="4"/>
    </row>
    <row r="232" spans="1:7" ht="14.4" x14ac:dyDescent="0.3">
      <c r="A232" s="4" t="s">
        <v>651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692</v>
      </c>
      <c r="G232" s="4"/>
    </row>
    <row r="233" spans="1:7" ht="14.4" x14ac:dyDescent="0.3">
      <c r="A233" s="4" t="s">
        <v>287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693</v>
      </c>
      <c r="G233" s="4"/>
    </row>
    <row r="234" spans="1:7" ht="14.4" x14ac:dyDescent="0.3">
      <c r="A234" s="4" t="s">
        <v>652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564</v>
      </c>
      <c r="G234" s="4" t="s">
        <v>745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565</v>
      </c>
      <c r="G235" s="4"/>
    </row>
    <row r="236" spans="1:7" ht="14.4" x14ac:dyDescent="0.3">
      <c r="A236" s="4" t="s">
        <v>653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694</v>
      </c>
      <c r="G236" s="4"/>
    </row>
    <row r="237" spans="1:7" ht="14.4" x14ac:dyDescent="0.3">
      <c r="A237" s="4" t="s">
        <v>268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566</v>
      </c>
      <c r="G237" s="4"/>
    </row>
    <row r="238" spans="1:7" ht="14.4" x14ac:dyDescent="0.3">
      <c r="A238" s="4" t="s">
        <v>286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676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695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696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697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698</v>
      </c>
      <c r="G242" s="4" t="s">
        <v>745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699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676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700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698</v>
      </c>
      <c r="G246" s="4" t="s">
        <v>745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701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676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702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703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704</v>
      </c>
      <c r="G251" s="4"/>
    </row>
    <row r="252" spans="1:7" ht="14.4" x14ac:dyDescent="0.3">
      <c r="A252" s="4" t="s">
        <v>654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574</v>
      </c>
      <c r="G252" s="4" t="s">
        <v>745</v>
      </c>
    </row>
    <row r="253" spans="1:7" ht="14.4" x14ac:dyDescent="0.3">
      <c r="A253" s="4" t="s">
        <v>655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676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707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582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583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708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709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710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308</v>
      </c>
      <c r="G260" s="4"/>
    </row>
    <row r="261" spans="1:7" ht="14.4" x14ac:dyDescent="0.3">
      <c r="A261" s="4" t="s">
        <v>656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587</v>
      </c>
      <c r="G261" s="4" t="s">
        <v>745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711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712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713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714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715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716</v>
      </c>
      <c r="G267" s="4"/>
    </row>
    <row r="268" spans="1:7" ht="14.4" x14ac:dyDescent="0.3">
      <c r="A268" s="4" t="s">
        <v>657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717</v>
      </c>
      <c r="G268" s="4"/>
    </row>
    <row r="269" spans="1:7" ht="14.4" x14ac:dyDescent="0.3">
      <c r="A269" s="4" t="s">
        <v>658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676</v>
      </c>
      <c r="G269" s="4"/>
    </row>
    <row r="270" spans="1:7" ht="14.4" x14ac:dyDescent="0.3">
      <c r="A270" s="4" t="s">
        <v>594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718</v>
      </c>
      <c r="G270" s="4"/>
    </row>
    <row r="271" spans="1:7" ht="14.4" x14ac:dyDescent="0.3">
      <c r="A271" s="4" t="s">
        <v>310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719</v>
      </c>
      <c r="G271" s="4"/>
    </row>
    <row r="272" spans="1:7" ht="14.4" x14ac:dyDescent="0.3">
      <c r="A272" s="4" t="s">
        <v>659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676</v>
      </c>
      <c r="G272" s="4"/>
    </row>
    <row r="273" spans="1:7" ht="14.4" x14ac:dyDescent="0.3">
      <c r="A273" s="4" t="s">
        <v>297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720</v>
      </c>
      <c r="G273" s="4"/>
    </row>
    <row r="274" spans="1:7" ht="14.4" x14ac:dyDescent="0.3">
      <c r="A274" s="4" t="s">
        <v>255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721</v>
      </c>
      <c r="G274" s="4"/>
    </row>
    <row r="275" spans="1:7" ht="14.4" x14ac:dyDescent="0.3">
      <c r="A275" s="4" t="s">
        <v>660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722</v>
      </c>
      <c r="G275" s="4"/>
    </row>
    <row r="276" spans="1:7" ht="14.4" x14ac:dyDescent="0.3">
      <c r="A276" s="4" t="s">
        <v>610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723</v>
      </c>
      <c r="G276" s="4"/>
    </row>
    <row r="277" spans="1:7" ht="14.4" x14ac:dyDescent="0.3">
      <c r="A277" s="4" t="s">
        <v>661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676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724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725</v>
      </c>
      <c r="G279" s="4"/>
    </row>
    <row r="280" spans="1:7" ht="14.4" x14ac:dyDescent="0.3">
      <c r="A280" s="4" t="s">
        <v>617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726</v>
      </c>
      <c r="G280" s="4"/>
    </row>
    <row r="281" spans="1:7" ht="14.4" x14ac:dyDescent="0.3">
      <c r="A281" s="4" t="s">
        <v>619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727</v>
      </c>
      <c r="G281" s="4"/>
    </row>
    <row r="282" spans="1:7" ht="14.4" x14ac:dyDescent="0.3">
      <c r="A282" s="4" t="s">
        <v>662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728</v>
      </c>
      <c r="G282" s="4"/>
    </row>
    <row r="283" spans="1:7" ht="14.4" x14ac:dyDescent="0.3">
      <c r="A283" s="4" t="s">
        <v>252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729</v>
      </c>
      <c r="G283" s="4"/>
    </row>
    <row r="284" spans="1:7" ht="14.4" x14ac:dyDescent="0.3">
      <c r="A284" s="4" t="s">
        <v>304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676</v>
      </c>
      <c r="G284" s="4"/>
    </row>
    <row r="285" spans="1:7" ht="14.4" x14ac:dyDescent="0.3">
      <c r="A285" s="4" t="s">
        <v>663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676</v>
      </c>
      <c r="G285" s="4"/>
    </row>
    <row r="286" spans="1:7" ht="14.4" x14ac:dyDescent="0.3">
      <c r="A286" s="4" t="s">
        <v>664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676</v>
      </c>
      <c r="G286" s="4"/>
    </row>
    <row r="287" spans="1:7" ht="14.4" x14ac:dyDescent="0.3">
      <c r="A287" s="4" t="s">
        <v>665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730</v>
      </c>
      <c r="G287" s="4"/>
    </row>
    <row r="288" spans="1:7" ht="14.4" x14ac:dyDescent="0.3">
      <c r="A288" s="4" t="s">
        <v>666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731</v>
      </c>
      <c r="G288" s="4"/>
    </row>
    <row r="289" spans="1:7" ht="14.4" x14ac:dyDescent="0.3">
      <c r="A289" s="4" t="s">
        <v>667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732</v>
      </c>
      <c r="G289" s="4"/>
    </row>
    <row r="290" spans="1:7" ht="14.4" x14ac:dyDescent="0.3">
      <c r="A290" s="4" t="s">
        <v>257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676</v>
      </c>
      <c r="G290" s="4"/>
    </row>
    <row r="291" spans="1:7" ht="14.4" x14ac:dyDescent="0.3">
      <c r="A291" s="4" t="s">
        <v>668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676</v>
      </c>
      <c r="G291" s="4"/>
    </row>
    <row r="292" spans="1:7" ht="14.4" x14ac:dyDescent="0.3">
      <c r="A292" s="4" t="s">
        <v>670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676</v>
      </c>
      <c r="G292" s="4"/>
    </row>
    <row r="293" spans="1:7" ht="14.4" x14ac:dyDescent="0.3">
      <c r="A293" s="4" t="s">
        <v>671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676</v>
      </c>
      <c r="G293" s="4"/>
    </row>
    <row r="294" spans="1:7" ht="14.4" x14ac:dyDescent="0.3">
      <c r="A294" s="4" t="s">
        <v>672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574</v>
      </c>
      <c r="G294" s="4" t="s">
        <v>745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733</v>
      </c>
      <c r="G295" s="4"/>
    </row>
    <row r="296" spans="1:7" ht="14.4" x14ac:dyDescent="0.3">
      <c r="A296" s="4" t="s">
        <v>673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734</v>
      </c>
      <c r="G296" s="4"/>
    </row>
    <row r="297" spans="1:7" ht="14.4" x14ac:dyDescent="0.3">
      <c r="A297" s="4" t="s">
        <v>674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735</v>
      </c>
      <c r="G297" s="4"/>
    </row>
    <row r="298" spans="1:7" ht="14.4" x14ac:dyDescent="0.3">
      <c r="A298" s="4" t="s">
        <v>675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736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560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737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738</v>
      </c>
      <c r="G301" s="4" t="s">
        <v>1028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739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1007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1008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1030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1010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1011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1012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1013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1014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1015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1016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1017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1018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1019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1020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1021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1022</v>
      </c>
      <c r="G318" s="4"/>
    </row>
    <row r="319" spans="1:7" ht="14.4" x14ac:dyDescent="0.3">
      <c r="A319" s="4" t="s">
        <v>1034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585</v>
      </c>
      <c r="G319" s="4"/>
    </row>
    <row r="320" spans="1:7" ht="14.4" x14ac:dyDescent="0.3">
      <c r="A320" s="4" t="s">
        <v>1035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1136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525</v>
      </c>
      <c r="G321" s="4"/>
    </row>
    <row r="322" spans="1:7" ht="14.4" x14ac:dyDescent="0.3">
      <c r="A322" s="4" t="s">
        <v>656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587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1137</v>
      </c>
      <c r="G323" s="4"/>
    </row>
    <row r="324" spans="1:7" ht="14.4" x14ac:dyDescent="0.3">
      <c r="A324" s="4" t="s">
        <v>1036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1138</v>
      </c>
      <c r="G324" s="4"/>
    </row>
    <row r="325" spans="1:7" ht="14.4" x14ac:dyDescent="0.3">
      <c r="A325" s="4" t="s">
        <v>1037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1139</v>
      </c>
      <c r="G325" s="4"/>
    </row>
    <row r="326" spans="1:7" ht="14.4" x14ac:dyDescent="0.3">
      <c r="A326" s="4" t="s">
        <v>1038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567</v>
      </c>
      <c r="G326" s="4"/>
    </row>
    <row r="327" spans="1:7" ht="14.4" x14ac:dyDescent="0.3">
      <c r="A327" s="4" t="s">
        <v>1039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1140</v>
      </c>
      <c r="G327" s="4"/>
    </row>
    <row r="328" spans="1:7" ht="14.4" x14ac:dyDescent="0.3">
      <c r="A328" s="4" t="s">
        <v>1040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1141</v>
      </c>
      <c r="G328" s="4"/>
    </row>
    <row r="329" spans="1:7" ht="14.4" x14ac:dyDescent="0.3">
      <c r="A329" s="4" t="s">
        <v>1041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1142</v>
      </c>
      <c r="G329" s="4"/>
    </row>
    <row r="330" spans="1:7" ht="14.4" x14ac:dyDescent="0.3">
      <c r="A330" s="4" t="s">
        <v>1042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1143</v>
      </c>
      <c r="G330" s="4"/>
    </row>
    <row r="331" spans="1:7" ht="14.4" x14ac:dyDescent="0.3">
      <c r="A331" s="4" t="s">
        <v>1043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1144</v>
      </c>
      <c r="G331" s="4"/>
    </row>
    <row r="332" spans="1:7" ht="14.4" x14ac:dyDescent="0.3">
      <c r="A332" s="4" t="s">
        <v>1044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1145</v>
      </c>
      <c r="G332" s="4"/>
    </row>
    <row r="333" spans="1:7" ht="14.4" x14ac:dyDescent="0.3">
      <c r="A333" s="4" t="s">
        <v>1045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1146</v>
      </c>
      <c r="G333" s="4"/>
    </row>
    <row r="334" spans="1:7" ht="14.4" x14ac:dyDescent="0.3">
      <c r="A334" s="4" t="s">
        <v>1046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1147</v>
      </c>
      <c r="G334" s="4"/>
    </row>
    <row r="335" spans="1:7" ht="14.4" x14ac:dyDescent="0.3">
      <c r="A335" s="4" t="s">
        <v>1047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1148</v>
      </c>
      <c r="G335" s="4"/>
    </row>
    <row r="336" spans="1:7" ht="14.4" x14ac:dyDescent="0.3">
      <c r="A336" s="4" t="s">
        <v>1048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1149</v>
      </c>
      <c r="G336" s="4"/>
    </row>
    <row r="337" spans="1:7" ht="14.4" x14ac:dyDescent="0.3">
      <c r="A337" s="4" t="s">
        <v>1049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1150</v>
      </c>
      <c r="G337" s="4"/>
    </row>
    <row r="338" spans="1:7" ht="14.4" x14ac:dyDescent="0.3">
      <c r="A338" s="4" t="s">
        <v>1050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1151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565</v>
      </c>
      <c r="G339" s="4"/>
    </row>
    <row r="340" spans="1:7" ht="14.4" x14ac:dyDescent="0.3">
      <c r="A340" s="4" t="s">
        <v>1051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562</v>
      </c>
      <c r="G340" s="4"/>
    </row>
    <row r="341" spans="1:7" ht="14.4" x14ac:dyDescent="0.3">
      <c r="A341" s="4" t="s">
        <v>268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1152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493</v>
      </c>
      <c r="G342" s="4"/>
    </row>
    <row r="343" spans="1:7" ht="14.4" x14ac:dyDescent="0.3">
      <c r="A343" s="4" t="s">
        <v>1052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1153</v>
      </c>
      <c r="G343" s="4"/>
    </row>
    <row r="344" spans="1:7" ht="14.4" x14ac:dyDescent="0.3">
      <c r="A344" s="4" t="s">
        <v>1053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715</v>
      </c>
      <c r="G344" s="4"/>
    </row>
    <row r="345" spans="1:7" ht="14.4" x14ac:dyDescent="0.3">
      <c r="A345" s="4" t="s">
        <v>1054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571</v>
      </c>
      <c r="G345" s="4"/>
    </row>
    <row r="346" spans="1:7" ht="14.4" x14ac:dyDescent="0.3">
      <c r="A346" s="4" t="s">
        <v>1055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579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486</v>
      </c>
      <c r="G347" s="4"/>
    </row>
    <row r="348" spans="1:7" ht="14.4" x14ac:dyDescent="0.3">
      <c r="A348" s="4" t="s">
        <v>1056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551</v>
      </c>
      <c r="G348" s="4"/>
    </row>
    <row r="349" spans="1:7" ht="14.4" x14ac:dyDescent="0.3">
      <c r="A349" s="4" t="s">
        <v>1057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574</v>
      </c>
      <c r="G349" s="4"/>
    </row>
    <row r="350" spans="1:7" ht="14.4" x14ac:dyDescent="0.3">
      <c r="A350" s="4" t="s">
        <v>1058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1059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582</v>
      </c>
      <c r="G351" s="4"/>
    </row>
    <row r="352" spans="1:7" ht="14.4" x14ac:dyDescent="0.3">
      <c r="A352" s="4" t="s">
        <v>1060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583</v>
      </c>
      <c r="G352" s="4"/>
    </row>
    <row r="353" spans="1:7" ht="14.4" x14ac:dyDescent="0.3">
      <c r="A353" s="4" t="s">
        <v>1061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532</v>
      </c>
      <c r="G353" s="4"/>
    </row>
    <row r="354" spans="1:7" x14ac:dyDescent="0.3">
      <c r="A354" s="7" t="s">
        <v>1062</v>
      </c>
      <c r="B354" s="54" t="str">
        <f>TRIM(Table4[[#This Row],[ypn]])</f>
        <v>71782472E</v>
      </c>
      <c r="C354" s="54" t="b">
        <f>Table4[[#This Row],[ypn]]=Table4[[#This Row],[trim]]</f>
        <v>1</v>
      </c>
      <c r="D354" s="54" t="e">
        <f>Table4[[#This Row],[ypn]]*1</f>
        <v>#VALUE!</v>
      </c>
      <c r="E354" s="54">
        <f>TYPE(Table4[[#This Row],[ypn]])</f>
        <v>2</v>
      </c>
      <c r="F354" t="s">
        <v>689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533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1154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553</v>
      </c>
      <c r="G357" s="4"/>
    </row>
    <row r="358" spans="1:7" ht="14.4" x14ac:dyDescent="0.3">
      <c r="A358" s="6" t="s">
        <v>1063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523</v>
      </c>
      <c r="G358" s="4"/>
    </row>
    <row r="359" spans="1:7" ht="14.4" x14ac:dyDescent="0.3">
      <c r="A359" s="6" t="s">
        <v>1064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453</v>
      </c>
      <c r="G359" s="4"/>
    </row>
    <row r="360" spans="1:7" ht="14.4" x14ac:dyDescent="0.3">
      <c r="A360" s="6" t="s">
        <v>1065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732</v>
      </c>
      <c r="G360" s="4"/>
    </row>
    <row r="361" spans="1:7" ht="14.4" x14ac:dyDescent="0.3">
      <c r="A361" s="6" t="s">
        <v>1066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461</v>
      </c>
      <c r="G361" s="4"/>
    </row>
    <row r="362" spans="1:7" ht="14.4" x14ac:dyDescent="0.3">
      <c r="A362" s="6" t="s">
        <v>1067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527</v>
      </c>
      <c r="G362" s="4"/>
    </row>
    <row r="363" spans="1:7" ht="14.4" x14ac:dyDescent="0.3">
      <c r="A363" s="6" t="s">
        <v>1068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1155</v>
      </c>
      <c r="G363" s="4"/>
    </row>
    <row r="364" spans="1:7" ht="14.4" x14ac:dyDescent="0.3">
      <c r="A364" s="6" t="s">
        <v>1069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560</v>
      </c>
      <c r="G364" s="4"/>
    </row>
    <row r="365" spans="1:7" ht="14.4" x14ac:dyDescent="0.3">
      <c r="A365" s="6" t="s">
        <v>1070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1156</v>
      </c>
      <c r="G365" s="4"/>
    </row>
    <row r="366" spans="1:7" ht="14.4" x14ac:dyDescent="0.3">
      <c r="A366" s="6" t="s">
        <v>1071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558</v>
      </c>
      <c r="G366" s="4"/>
    </row>
    <row r="367" spans="1:7" ht="14.4" x14ac:dyDescent="0.3">
      <c r="A367" s="6" t="s">
        <v>1072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1157</v>
      </c>
      <c r="G367" s="4"/>
    </row>
    <row r="368" spans="1:7" ht="14.4" x14ac:dyDescent="0.3">
      <c r="A368" s="6" t="s">
        <v>1073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1158</v>
      </c>
      <c r="G368" s="4"/>
    </row>
    <row r="369" spans="1:7" ht="14.4" x14ac:dyDescent="0.3">
      <c r="A369" s="6" t="s">
        <v>1074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1159</v>
      </c>
      <c r="G369" s="4"/>
    </row>
    <row r="370" spans="1:7" ht="14.4" x14ac:dyDescent="0.3">
      <c r="A370" s="6" t="s">
        <v>1075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469</v>
      </c>
      <c r="G370" s="4"/>
    </row>
    <row r="371" spans="1:7" ht="14.4" x14ac:dyDescent="0.3">
      <c r="A371" s="6" t="s">
        <v>1076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1160</v>
      </c>
      <c r="G371" s="4"/>
    </row>
    <row r="372" spans="1:7" ht="14.4" x14ac:dyDescent="0.3">
      <c r="A372" s="6" t="s">
        <v>1077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1161</v>
      </c>
      <c r="G372" s="4"/>
    </row>
    <row r="373" spans="1:7" ht="14.4" x14ac:dyDescent="0.3">
      <c r="A373" s="6" t="s">
        <v>1078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471</v>
      </c>
      <c r="G373" s="4"/>
    </row>
    <row r="374" spans="1:7" ht="14.4" x14ac:dyDescent="0.3">
      <c r="A374" s="6" t="s">
        <v>1079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1162</v>
      </c>
      <c r="G374" s="4"/>
    </row>
    <row r="375" spans="1:7" ht="14.4" x14ac:dyDescent="0.3">
      <c r="A375" s="6" t="s">
        <v>1080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1163</v>
      </c>
      <c r="G375" s="4"/>
    </row>
    <row r="376" spans="1:7" ht="14.4" x14ac:dyDescent="0.3">
      <c r="A376" s="6" t="s">
        <v>1081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1164</v>
      </c>
      <c r="G376" s="4"/>
    </row>
    <row r="377" spans="1:7" ht="14.4" x14ac:dyDescent="0.3">
      <c r="A377" s="6" t="s">
        <v>1082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1165</v>
      </c>
      <c r="G377" s="4"/>
    </row>
    <row r="378" spans="1:7" ht="14.4" x14ac:dyDescent="0.3">
      <c r="A378" s="6" t="s">
        <v>1083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710</v>
      </c>
      <c r="G378" s="4"/>
    </row>
    <row r="379" spans="1:7" ht="14.4" x14ac:dyDescent="0.3">
      <c r="A379" s="6" t="s">
        <v>1084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714</v>
      </c>
      <c r="G379" s="4"/>
    </row>
    <row r="380" spans="1:7" ht="14.4" x14ac:dyDescent="0.3">
      <c r="A380" s="6" t="s">
        <v>1085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1166</v>
      </c>
      <c r="G380" s="4"/>
    </row>
    <row r="381" spans="1:7" ht="14.4" x14ac:dyDescent="0.3">
      <c r="A381" s="6" t="s">
        <v>1086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1167</v>
      </c>
      <c r="G381" s="4"/>
    </row>
    <row r="382" spans="1:7" ht="14.4" x14ac:dyDescent="0.3">
      <c r="A382" s="6" t="s">
        <v>1087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713</v>
      </c>
      <c r="G382" s="4"/>
    </row>
    <row r="383" spans="1:7" ht="14.4" x14ac:dyDescent="0.3">
      <c r="A383" s="6" t="s">
        <v>1088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716</v>
      </c>
      <c r="G383" s="4"/>
    </row>
    <row r="384" spans="1:7" ht="14.4" x14ac:dyDescent="0.3">
      <c r="A384" s="6" t="s">
        <v>1089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1168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712</v>
      </c>
      <c r="G385" s="4"/>
    </row>
    <row r="386" spans="1:7" ht="14.4" x14ac:dyDescent="0.3">
      <c r="A386" s="6" t="s">
        <v>1090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1091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1169</v>
      </c>
      <c r="G387" s="4"/>
    </row>
    <row r="388" spans="1:7" ht="14.4" x14ac:dyDescent="0.3">
      <c r="A388" s="6" t="s">
        <v>673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734</v>
      </c>
      <c r="G388" s="4"/>
    </row>
    <row r="389" spans="1:7" ht="14.4" x14ac:dyDescent="0.3">
      <c r="A389" s="6" t="s">
        <v>1092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1170</v>
      </c>
      <c r="G389" s="4"/>
    </row>
    <row r="390" spans="1:7" ht="14.4" x14ac:dyDescent="0.3">
      <c r="A390" s="6" t="s">
        <v>674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735</v>
      </c>
      <c r="G390" s="4"/>
    </row>
    <row r="391" spans="1:7" ht="14.4" x14ac:dyDescent="0.3">
      <c r="A391" s="6" t="s">
        <v>675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736</v>
      </c>
      <c r="G391" s="4"/>
    </row>
    <row r="392" spans="1:7" ht="14.4" x14ac:dyDescent="0.3">
      <c r="A392" s="6" t="s">
        <v>1093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1171</v>
      </c>
      <c r="G392" s="4"/>
    </row>
    <row r="393" spans="1:7" ht="14.4" x14ac:dyDescent="0.3">
      <c r="A393" s="6" t="s">
        <v>665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730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1172</v>
      </c>
      <c r="G394" s="4"/>
    </row>
    <row r="395" spans="1:7" ht="14.4" x14ac:dyDescent="0.3">
      <c r="A395" s="6" t="s">
        <v>1094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1173</v>
      </c>
      <c r="G395" s="4"/>
    </row>
    <row r="396" spans="1:7" ht="14.4" x14ac:dyDescent="0.3">
      <c r="A396" s="6" t="s">
        <v>1095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1174</v>
      </c>
      <c r="G396" s="4"/>
    </row>
    <row r="397" spans="1:7" ht="14.4" x14ac:dyDescent="0.3">
      <c r="A397" s="6" t="s">
        <v>1096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1175</v>
      </c>
      <c r="G397" s="4"/>
    </row>
    <row r="398" spans="1:7" ht="14.4" x14ac:dyDescent="0.3">
      <c r="A398" s="6" t="s">
        <v>1097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1176</v>
      </c>
      <c r="G398" s="4"/>
    </row>
    <row r="399" spans="1:7" ht="14.4" x14ac:dyDescent="0.3">
      <c r="A399" s="6" t="s">
        <v>663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1177</v>
      </c>
      <c r="G399" s="4"/>
    </row>
    <row r="400" spans="1:7" ht="14.4" x14ac:dyDescent="0.3">
      <c r="A400" s="6" t="s">
        <v>664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1177</v>
      </c>
      <c r="G400" s="4"/>
    </row>
    <row r="401" spans="1:7" ht="14.4" x14ac:dyDescent="0.3">
      <c r="A401" s="6" t="s">
        <v>304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1177</v>
      </c>
      <c r="G401" s="4"/>
    </row>
    <row r="402" spans="1:7" ht="14.4" x14ac:dyDescent="0.3">
      <c r="A402" s="6" t="s">
        <v>250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1177</v>
      </c>
      <c r="G402" s="4"/>
    </row>
    <row r="403" spans="1:7" ht="14.4" x14ac:dyDescent="0.3">
      <c r="A403" s="6" t="s">
        <v>659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1178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529</v>
      </c>
      <c r="G404" s="4"/>
    </row>
    <row r="405" spans="1:7" ht="14.4" x14ac:dyDescent="0.3">
      <c r="A405" s="6" t="s">
        <v>652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564</v>
      </c>
      <c r="G405" s="4"/>
    </row>
    <row r="406" spans="1:7" ht="14.4" x14ac:dyDescent="0.3">
      <c r="A406" s="6" t="s">
        <v>286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1179</v>
      </c>
      <c r="G406" s="4"/>
    </row>
    <row r="407" spans="1:7" ht="14.4" x14ac:dyDescent="0.3">
      <c r="A407" s="6" t="s">
        <v>657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1098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1180</v>
      </c>
      <c r="G408" s="4"/>
    </row>
    <row r="409" spans="1:7" ht="14.4" x14ac:dyDescent="0.3">
      <c r="A409" s="6" t="s">
        <v>248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1181</v>
      </c>
      <c r="G409" s="4"/>
    </row>
    <row r="410" spans="1:7" ht="14.4" x14ac:dyDescent="0.3">
      <c r="A410" s="6" t="s">
        <v>251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1182</v>
      </c>
      <c r="G410" s="4"/>
    </row>
    <row r="411" spans="1:7" ht="14.4" x14ac:dyDescent="0.3">
      <c r="A411" s="6" t="s">
        <v>1099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720</v>
      </c>
      <c r="G411" s="4"/>
    </row>
    <row r="412" spans="1:7" ht="14.4" x14ac:dyDescent="0.3">
      <c r="A412" s="6" t="s">
        <v>1100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662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1183</v>
      </c>
      <c r="G413" s="4"/>
    </row>
    <row r="414" spans="1:7" x14ac:dyDescent="0.3">
      <c r="A414" s="7" t="s">
        <v>1101</v>
      </c>
      <c r="B414" s="54" t="str">
        <f>TRIM(Table4[[#This Row],[ypn]])</f>
        <v>ASSY_AMZ005DC0EE</v>
      </c>
      <c r="C414" s="54" t="b">
        <f>Table4[[#This Row],[ypn]]=Table4[[#This Row],[trim]]</f>
        <v>1</v>
      </c>
      <c r="D414" s="54" t="e">
        <f>Table4[[#This Row],[ypn]]*1</f>
        <v>#VALUE!</v>
      </c>
      <c r="E414" s="54">
        <f>TYPE(Table4[[#This Row],[ypn]])</f>
        <v>2</v>
      </c>
      <c r="F414" t="s">
        <v>1185</v>
      </c>
      <c r="G414" s="4"/>
    </row>
    <row r="415" spans="1:7" x14ac:dyDescent="0.3">
      <c r="A415" s="7" t="s">
        <v>1102</v>
      </c>
      <c r="B415" s="54" t="str">
        <f>TRIM(Table4[[#This Row],[ypn]])</f>
        <v>ASSY_AMZ005DC0FE</v>
      </c>
      <c r="C415" s="54" t="b">
        <f>Table4[[#This Row],[ypn]]=Table4[[#This Row],[trim]]</f>
        <v>1</v>
      </c>
      <c r="D415" s="54" t="e">
        <f>Table4[[#This Row],[ypn]]*1</f>
        <v>#VALUE!</v>
      </c>
      <c r="E415" s="54">
        <f>TYPE(Table4[[#This Row],[ypn]])</f>
        <v>2</v>
      </c>
      <c r="F415" t="s">
        <v>727</v>
      </c>
      <c r="G415" s="4"/>
    </row>
    <row r="416" spans="1:7" x14ac:dyDescent="0.3">
      <c r="A416" s="7" t="s">
        <v>1103</v>
      </c>
      <c r="B416" s="54" t="str">
        <f>TRIM(Table4[[#This Row],[ypn]])</f>
        <v>ASSY_AMZ005DC0DE</v>
      </c>
      <c r="C416" s="54" t="b">
        <f>Table4[[#This Row],[ypn]]=Table4[[#This Row],[trim]]</f>
        <v>1</v>
      </c>
      <c r="D416" s="54" t="e">
        <f>Table4[[#This Row],[ypn]]*1</f>
        <v>#VALUE!</v>
      </c>
      <c r="E416" s="54">
        <f>TYPE(Table4[[#This Row],[ypn]])</f>
        <v>2</v>
      </c>
      <c r="F416" t="s">
        <v>725</v>
      </c>
      <c r="G416" s="4"/>
    </row>
    <row r="417" spans="1:7" x14ac:dyDescent="0.3">
      <c r="A417" s="7" t="s">
        <v>1104</v>
      </c>
      <c r="B417" s="54" t="str">
        <f>TRIM(Table4[[#This Row],[ypn]])</f>
        <v>ASSY_118021051E</v>
      </c>
      <c r="C417" s="54" t="b">
        <f>Table4[[#This Row],[ypn]]=Table4[[#This Row],[trim]]</f>
        <v>1</v>
      </c>
      <c r="D417" s="54" t="e">
        <f>Table4[[#This Row],[ypn]]*1</f>
        <v>#VALUE!</v>
      </c>
      <c r="E417" s="54">
        <f>TYPE(Table4[[#This Row],[ypn]])</f>
        <v>2</v>
      </c>
      <c r="F417" t="s">
        <v>1186</v>
      </c>
      <c r="G417" s="4"/>
    </row>
    <row r="418" spans="1:7" x14ac:dyDescent="0.3">
      <c r="A418" s="7" t="s">
        <v>1105</v>
      </c>
      <c r="B418" s="54" t="str">
        <f>TRIM(Table4[[#This Row],[ypn]])</f>
        <v>ASSY_59Z145DC0FE</v>
      </c>
      <c r="C418" s="54" t="b">
        <f>Table4[[#This Row],[ypn]]=Table4[[#This Row],[trim]]</f>
        <v>1</v>
      </c>
      <c r="D418" s="54" t="e">
        <f>Table4[[#This Row],[ypn]]*1</f>
        <v>#VALUE!</v>
      </c>
      <c r="E418" s="54">
        <f>TYPE(Table4[[#This Row],[ypn]])</f>
        <v>2</v>
      </c>
      <c r="F418" t="s">
        <v>1187</v>
      </c>
      <c r="G418" s="4"/>
    </row>
    <row r="419" spans="1:7" x14ac:dyDescent="0.3">
      <c r="A419" s="7" t="s">
        <v>1106</v>
      </c>
      <c r="B419" s="54" t="str">
        <f>TRIM(Table4[[#This Row],[ypn]])</f>
        <v>ASSY_123024541E</v>
      </c>
      <c r="C419" s="54" t="b">
        <f>Table4[[#This Row],[ypn]]=Table4[[#This Row],[trim]]</f>
        <v>1</v>
      </c>
      <c r="D419" s="54" t="e">
        <f>Table4[[#This Row],[ypn]]*1</f>
        <v>#VALUE!</v>
      </c>
      <c r="E419" s="54">
        <f>TYPE(Table4[[#This Row],[ypn]])</f>
        <v>2</v>
      </c>
      <c r="F419" t="s">
        <v>1188</v>
      </c>
      <c r="G419" s="4"/>
    </row>
    <row r="420" spans="1:7" x14ac:dyDescent="0.3">
      <c r="A420" s="7" t="s">
        <v>310</v>
      </c>
      <c r="B420" s="54" t="str">
        <f>TRIM(Table4[[#This Row],[ypn]])</f>
        <v>ASSY_123024542+ASSY_23024521</v>
      </c>
      <c r="C420" s="54" t="b">
        <f>Table4[[#This Row],[ypn]]=Table4[[#This Row],[trim]]</f>
        <v>1</v>
      </c>
      <c r="D420" s="54" t="e">
        <f>Table4[[#This Row],[ypn]]*1</f>
        <v>#VALUE!</v>
      </c>
      <c r="E420" s="54">
        <f>TYPE(Table4[[#This Row],[ypn]])</f>
        <v>2</v>
      </c>
      <c r="F420" t="s">
        <v>719</v>
      </c>
      <c r="G420" s="4"/>
    </row>
    <row r="421" spans="1:7" x14ac:dyDescent="0.3">
      <c r="A421" s="7" t="s">
        <v>1107</v>
      </c>
      <c r="B421" s="54" t="str">
        <f>TRIM(Table4[[#This Row],[ypn]])</f>
        <v>ASSY_CA288A25199XXXE</v>
      </c>
      <c r="C421" s="54" t="b">
        <f>Table4[[#This Row],[ypn]]=Table4[[#This Row],[trim]]</f>
        <v>1</v>
      </c>
      <c r="D421" s="54" t="e">
        <f>Table4[[#This Row],[ypn]]*1</f>
        <v>#VALUE!</v>
      </c>
      <c r="E421" s="54">
        <f>TYPE(Table4[[#This Row],[ypn]])</f>
        <v>2</v>
      </c>
      <c r="F421" t="s">
        <v>1189</v>
      </c>
      <c r="G421" s="4"/>
    </row>
    <row r="422" spans="1:7" x14ac:dyDescent="0.3">
      <c r="A422" s="7" t="s">
        <v>1108</v>
      </c>
      <c r="B422" s="54" t="str">
        <f>TRIM(Table4[[#This Row],[ypn]])</f>
        <v>7119605590E</v>
      </c>
      <c r="C422" s="54" t="b">
        <f>Table4[[#This Row],[ypn]]=Table4[[#This Row],[trim]]</f>
        <v>1</v>
      </c>
      <c r="D422" s="54" t="e">
        <f>Table4[[#This Row],[ypn]]*1</f>
        <v>#VALUE!</v>
      </c>
      <c r="E422" s="54">
        <f>TYPE(Table4[[#This Row],[ypn]])</f>
        <v>2</v>
      </c>
      <c r="F422" t="s">
        <v>1190</v>
      </c>
      <c r="G422" s="4"/>
    </row>
    <row r="423" spans="1:7" x14ac:dyDescent="0.3">
      <c r="A423" s="7">
        <v>7119637880</v>
      </c>
      <c r="B423" s="54" t="str">
        <f>TRIM(Table4[[#This Row],[ypn]])</f>
        <v>7119637880</v>
      </c>
      <c r="C423" s="54" t="b">
        <f>Table4[[#This Row],[ypn]]=Table4[[#This Row],[trim]]</f>
        <v>0</v>
      </c>
      <c r="D423" s="54">
        <f>Table4[[#This Row],[ypn]]*1</f>
        <v>7119637880</v>
      </c>
      <c r="E423" s="54">
        <f>TYPE(Table4[[#This Row],[ypn]])</f>
        <v>1</v>
      </c>
      <c r="F423" t="s">
        <v>1191</v>
      </c>
      <c r="G423" s="4"/>
    </row>
    <row r="424" spans="1:7" x14ac:dyDescent="0.3">
      <c r="A424" s="7">
        <v>7119665630</v>
      </c>
      <c r="B424" s="54" t="str">
        <f>TRIM(Table4[[#This Row],[ypn]])</f>
        <v>7119665630</v>
      </c>
      <c r="C424" s="54" t="b">
        <f>Table4[[#This Row],[ypn]]=Table4[[#This Row],[trim]]</f>
        <v>0</v>
      </c>
      <c r="D424" s="54">
        <f>Table4[[#This Row],[ypn]]*1</f>
        <v>7119665630</v>
      </c>
      <c r="E424" s="54">
        <f>TYPE(Table4[[#This Row],[ypn]])</f>
        <v>1</v>
      </c>
      <c r="F424" t="s">
        <v>686</v>
      </c>
      <c r="G424" s="4"/>
    </row>
    <row r="425" spans="1:7" x14ac:dyDescent="0.3">
      <c r="A425" s="7" t="s">
        <v>1109</v>
      </c>
      <c r="B425" s="54" t="str">
        <f>TRIM(Table4[[#This Row],[ypn]])</f>
        <v>7187948430E</v>
      </c>
      <c r="C425" s="54" t="b">
        <f>Table4[[#This Row],[ypn]]=Table4[[#This Row],[trim]]</f>
        <v>1</v>
      </c>
      <c r="D425" s="54" t="e">
        <f>Table4[[#This Row],[ypn]]*1</f>
        <v>#VALUE!</v>
      </c>
      <c r="E425" s="54">
        <f>TYPE(Table4[[#This Row],[ypn]])</f>
        <v>2</v>
      </c>
      <c r="F425" t="s">
        <v>690</v>
      </c>
      <c r="G425" s="4"/>
    </row>
    <row r="426" spans="1:7" x14ac:dyDescent="0.3">
      <c r="A426" s="7">
        <v>7189486630</v>
      </c>
      <c r="B426" s="54" t="str">
        <f>TRIM(Table4[[#This Row],[ypn]])</f>
        <v>7189486630</v>
      </c>
      <c r="C426" s="54" t="b">
        <f>Table4[[#This Row],[ypn]]=Table4[[#This Row],[trim]]</f>
        <v>0</v>
      </c>
      <c r="D426" s="54">
        <f>Table4[[#This Row],[ypn]]*1</f>
        <v>7189486630</v>
      </c>
      <c r="E426" s="54">
        <f>TYPE(Table4[[#This Row],[ypn]])</f>
        <v>1</v>
      </c>
      <c r="F426" t="s">
        <v>691</v>
      </c>
      <c r="G426" s="4"/>
    </row>
    <row r="427" spans="1:7" x14ac:dyDescent="0.3">
      <c r="A427" s="7" t="s">
        <v>651</v>
      </c>
      <c r="B427" s="54" t="str">
        <f>TRIM(Table4[[#This Row],[ypn]])</f>
        <v>71979249+CLIP5110</v>
      </c>
      <c r="C427" s="54" t="b">
        <f>Table4[[#This Row],[ypn]]=Table4[[#This Row],[trim]]</f>
        <v>1</v>
      </c>
      <c r="D427" s="54" t="e">
        <f>Table4[[#This Row],[ypn]]*1</f>
        <v>#VALUE!</v>
      </c>
      <c r="E427" s="54">
        <f>TYPE(Table4[[#This Row],[ypn]])</f>
        <v>2</v>
      </c>
      <c r="F427" t="s">
        <v>1192</v>
      </c>
      <c r="G427" s="4"/>
    </row>
    <row r="428" spans="1:7" x14ac:dyDescent="0.3">
      <c r="A428" s="7">
        <v>7219682330</v>
      </c>
      <c r="B428" s="54" t="str">
        <f>TRIM(Table4[[#This Row],[ypn]])</f>
        <v>7219682330</v>
      </c>
      <c r="C428" s="54" t="b">
        <f>Table4[[#This Row],[ypn]]=Table4[[#This Row],[trim]]</f>
        <v>0</v>
      </c>
      <c r="D428" s="54">
        <f>Table4[[#This Row],[ypn]]*1</f>
        <v>7219682330</v>
      </c>
      <c r="E428" s="54">
        <f>TYPE(Table4[[#This Row],[ypn]])</f>
        <v>1</v>
      </c>
      <c r="F428" t="s">
        <v>696</v>
      </c>
      <c r="G428" s="4"/>
    </row>
    <row r="429" spans="1:7" x14ac:dyDescent="0.3">
      <c r="A429" s="7">
        <v>7278099530</v>
      </c>
      <c r="B429" s="54" t="str">
        <f>TRIM(Table4[[#This Row],[ypn]])</f>
        <v>7278099530</v>
      </c>
      <c r="C429" s="54" t="b">
        <f>Table4[[#This Row],[ypn]]=Table4[[#This Row],[trim]]</f>
        <v>0</v>
      </c>
      <c r="D429" s="54">
        <f>Table4[[#This Row],[ypn]]*1</f>
        <v>7278099530</v>
      </c>
      <c r="E429" s="54">
        <f>TYPE(Table4[[#This Row],[ypn]])</f>
        <v>1</v>
      </c>
      <c r="F429" t="s">
        <v>572</v>
      </c>
      <c r="G429" s="4"/>
    </row>
    <row r="430" spans="1:7" x14ac:dyDescent="0.3">
      <c r="A430" s="7">
        <v>7289063730</v>
      </c>
      <c r="B430" s="54" t="str">
        <f>TRIM(Table4[[#This Row],[ypn]])</f>
        <v>7289063730</v>
      </c>
      <c r="C430" s="54" t="b">
        <f>Table4[[#This Row],[ypn]]=Table4[[#This Row],[trim]]</f>
        <v>0</v>
      </c>
      <c r="D430" s="54">
        <f>Table4[[#This Row],[ypn]]*1</f>
        <v>7289063730</v>
      </c>
      <c r="E430" s="54">
        <f>TYPE(Table4[[#This Row],[ypn]])</f>
        <v>1</v>
      </c>
      <c r="F430" t="s">
        <v>483</v>
      </c>
      <c r="G430" s="4"/>
    </row>
    <row r="431" spans="1:7" x14ac:dyDescent="0.3">
      <c r="A431" s="7">
        <v>7289734390</v>
      </c>
      <c r="B431" s="54" t="str">
        <f>TRIM(Table4[[#This Row],[ypn]])</f>
        <v>7289734390</v>
      </c>
      <c r="C431" s="54" t="b">
        <f>Table4[[#This Row],[ypn]]=Table4[[#This Row],[trim]]</f>
        <v>0</v>
      </c>
      <c r="D431" s="54">
        <f>Table4[[#This Row],[ypn]]*1</f>
        <v>7289734390</v>
      </c>
      <c r="E431" s="54">
        <f>TYPE(Table4[[#This Row],[ypn]])</f>
        <v>1</v>
      </c>
      <c r="F431" t="s">
        <v>488</v>
      </c>
      <c r="G431" s="4"/>
    </row>
    <row r="432" spans="1:7" x14ac:dyDescent="0.3">
      <c r="A432" s="7">
        <v>7289886630</v>
      </c>
      <c r="B432" s="54" t="str">
        <f>TRIM(Table4[[#This Row],[ypn]])</f>
        <v>7289886630</v>
      </c>
      <c r="C432" s="54" t="b">
        <f>Table4[[#This Row],[ypn]]=Table4[[#This Row],[trim]]</f>
        <v>0</v>
      </c>
      <c r="D432" s="54">
        <f>Table4[[#This Row],[ypn]]*1</f>
        <v>7289886630</v>
      </c>
      <c r="E432" s="54">
        <f>TYPE(Table4[[#This Row],[ypn]])</f>
        <v>1</v>
      </c>
      <c r="F432" t="s">
        <v>1193</v>
      </c>
      <c r="G432" s="4"/>
    </row>
    <row r="433" spans="1:7" x14ac:dyDescent="0.3">
      <c r="A433" s="7">
        <v>7298196130</v>
      </c>
      <c r="B433" s="54" t="str">
        <f>TRIM(Table4[[#This Row],[ypn]])</f>
        <v>7298196130</v>
      </c>
      <c r="C433" s="54" t="b">
        <f>Table4[[#This Row],[ypn]]=Table4[[#This Row],[trim]]</f>
        <v>0</v>
      </c>
      <c r="D433" s="54">
        <f>Table4[[#This Row],[ypn]]*1</f>
        <v>7298196130</v>
      </c>
      <c r="E433" s="54">
        <f>TYPE(Table4[[#This Row],[ypn]])</f>
        <v>1</v>
      </c>
      <c r="F433" t="s">
        <v>308</v>
      </c>
      <c r="G433" s="4"/>
    </row>
    <row r="434" spans="1:7" x14ac:dyDescent="0.3">
      <c r="A434" s="7">
        <v>7298808730</v>
      </c>
      <c r="B434" s="54" t="str">
        <f>TRIM(Table4[[#This Row],[ypn]])</f>
        <v>7298808730</v>
      </c>
      <c r="C434" s="54" t="b">
        <f>Table4[[#This Row],[ypn]]=Table4[[#This Row],[trim]]</f>
        <v>0</v>
      </c>
      <c r="D434" s="54">
        <f>Table4[[#This Row],[ypn]]*1</f>
        <v>7298808730</v>
      </c>
      <c r="E434" s="54">
        <f>TYPE(Table4[[#This Row],[ypn]])</f>
        <v>1</v>
      </c>
      <c r="F434" t="s">
        <v>711</v>
      </c>
      <c r="G434" s="4"/>
    </row>
    <row r="435" spans="1:7" x14ac:dyDescent="0.3">
      <c r="A435" s="7">
        <v>7047052330</v>
      </c>
      <c r="B435" s="54" t="str">
        <f>TRIM(Table4[[#This Row],[ypn]])</f>
        <v>7047052330</v>
      </c>
      <c r="C435" s="54" t="b">
        <f>Table4[[#This Row],[ypn]]=Table4[[#This Row],[trim]]</f>
        <v>0</v>
      </c>
      <c r="D435" s="54">
        <f>Table4[[#This Row],[ypn]]*1</f>
        <v>7047052330</v>
      </c>
      <c r="E435" s="54">
        <f>TYPE(Table4[[#This Row],[ypn]])</f>
        <v>1</v>
      </c>
      <c r="F435" t="s">
        <v>1194</v>
      </c>
      <c r="G435" s="4"/>
    </row>
    <row r="436" spans="1:7" x14ac:dyDescent="0.3">
      <c r="A436" s="7">
        <v>7247374530</v>
      </c>
      <c r="B436" s="54" t="str">
        <f>TRIM(Table4[[#This Row],[ypn]])</f>
        <v>7247374530</v>
      </c>
      <c r="C436" s="54" t="b">
        <f>Table4[[#This Row],[ypn]]=Table4[[#This Row],[trim]]</f>
        <v>0</v>
      </c>
      <c r="D436" s="54">
        <f>Table4[[#This Row],[ypn]]*1</f>
        <v>7247374530</v>
      </c>
      <c r="E436" s="54">
        <f>TYPE(Table4[[#This Row],[ypn]])</f>
        <v>1</v>
      </c>
      <c r="G436" s="4"/>
    </row>
    <row r="437" spans="1:7" x14ac:dyDescent="0.3">
      <c r="A437" s="7">
        <v>7247374930</v>
      </c>
      <c r="B437" s="54" t="str">
        <f>TRIM(Table4[[#This Row],[ypn]])</f>
        <v>7247374930</v>
      </c>
      <c r="C437" s="54" t="b">
        <f>Table4[[#This Row],[ypn]]=Table4[[#This Row],[trim]]</f>
        <v>0</v>
      </c>
      <c r="D437" s="54">
        <f>Table4[[#This Row],[ypn]]*1</f>
        <v>7247374930</v>
      </c>
      <c r="E437" s="54">
        <f>TYPE(Table4[[#This Row],[ypn]])</f>
        <v>1</v>
      </c>
      <c r="G437" s="4"/>
    </row>
    <row r="438" spans="1:7" x14ac:dyDescent="0.3">
      <c r="A438" s="7">
        <v>7247761330</v>
      </c>
      <c r="B438" s="54" t="str">
        <f>TRIM(Table4[[#This Row],[ypn]])</f>
        <v>7247761330</v>
      </c>
      <c r="C438" s="54" t="b">
        <f>Table4[[#This Row],[ypn]]=Table4[[#This Row],[trim]]</f>
        <v>0</v>
      </c>
      <c r="D438" s="54">
        <f>Table4[[#This Row],[ypn]]*1</f>
        <v>7247761330</v>
      </c>
      <c r="E438" s="54">
        <f>TYPE(Table4[[#This Row],[ypn]])</f>
        <v>1</v>
      </c>
      <c r="F438" t="s">
        <v>1007</v>
      </c>
      <c r="G438" s="4"/>
    </row>
    <row r="439" spans="1:7" x14ac:dyDescent="0.3">
      <c r="A439" s="7">
        <v>7247776330</v>
      </c>
      <c r="B439" s="54" t="str">
        <f>TRIM(Table4[[#This Row],[ypn]])</f>
        <v>7247776330</v>
      </c>
      <c r="C439" s="54" t="b">
        <f>Table4[[#This Row],[ypn]]=Table4[[#This Row],[trim]]</f>
        <v>0</v>
      </c>
      <c r="D439" s="54">
        <f>Table4[[#This Row],[ypn]]*1</f>
        <v>7247776330</v>
      </c>
      <c r="E439" s="54">
        <f>TYPE(Table4[[#This Row],[ypn]])</f>
        <v>1</v>
      </c>
      <c r="G439" s="4"/>
    </row>
    <row r="440" spans="1:7" x14ac:dyDescent="0.3">
      <c r="A440" s="7">
        <v>72478572</v>
      </c>
      <c r="B440" s="54" t="str">
        <f>TRIM(Table4[[#This Row],[ypn]])</f>
        <v>72478572</v>
      </c>
      <c r="C440" s="54" t="b">
        <f>Table4[[#This Row],[ypn]]=Table4[[#This Row],[trim]]</f>
        <v>0</v>
      </c>
      <c r="D440" s="54">
        <f>Table4[[#This Row],[ypn]]*1</f>
        <v>72478572</v>
      </c>
      <c r="E440" s="54">
        <f>TYPE(Table4[[#This Row],[ypn]])</f>
        <v>1</v>
      </c>
      <c r="F440" t="s">
        <v>1008</v>
      </c>
      <c r="G440" s="4"/>
    </row>
    <row r="441" spans="1:7" x14ac:dyDescent="0.3">
      <c r="A441" s="7">
        <v>7147878930</v>
      </c>
      <c r="B441" s="54" t="str">
        <f>TRIM(Table4[[#This Row],[ypn]])</f>
        <v>7147878930</v>
      </c>
      <c r="C441" s="54" t="b">
        <f>Table4[[#This Row],[ypn]]=Table4[[#This Row],[trim]]</f>
        <v>0</v>
      </c>
      <c r="D441" s="54">
        <f>Table4[[#This Row],[ypn]]*1</f>
        <v>7147878930</v>
      </c>
      <c r="E441" s="54">
        <f>TYPE(Table4[[#This Row],[ypn]])</f>
        <v>1</v>
      </c>
      <c r="F441" t="s">
        <v>1009</v>
      </c>
      <c r="G441" s="4"/>
    </row>
    <row r="442" spans="1:7" x14ac:dyDescent="0.3">
      <c r="A442" s="7">
        <v>7247787730</v>
      </c>
      <c r="B442" s="54" t="str">
        <f>TRIM(Table4[[#This Row],[ypn]])</f>
        <v>7247787730</v>
      </c>
      <c r="C442" s="54" t="b">
        <f>Table4[[#This Row],[ypn]]=Table4[[#This Row],[trim]]</f>
        <v>0</v>
      </c>
      <c r="D442" s="54">
        <f>Table4[[#This Row],[ypn]]*1</f>
        <v>7247787730</v>
      </c>
      <c r="E442" s="54">
        <f>TYPE(Table4[[#This Row],[ypn]])</f>
        <v>1</v>
      </c>
      <c r="F442" t="s">
        <v>1010</v>
      </c>
      <c r="G442" s="4"/>
    </row>
    <row r="443" spans="1:7" x14ac:dyDescent="0.3">
      <c r="A443" s="7">
        <v>7247760930</v>
      </c>
      <c r="B443" s="54" t="str">
        <f>TRIM(Table4[[#This Row],[ypn]])</f>
        <v>7247760930</v>
      </c>
      <c r="C443" s="54" t="b">
        <f>Table4[[#This Row],[ypn]]=Table4[[#This Row],[trim]]</f>
        <v>0</v>
      </c>
      <c r="D443" s="54">
        <f>Table4[[#This Row],[ypn]]*1</f>
        <v>7247760930</v>
      </c>
      <c r="E443" s="54">
        <f>TYPE(Table4[[#This Row],[ypn]])</f>
        <v>1</v>
      </c>
      <c r="F443" t="s">
        <v>1011</v>
      </c>
      <c r="G443" s="4"/>
    </row>
    <row r="444" spans="1:7" x14ac:dyDescent="0.3">
      <c r="A444" s="7">
        <v>7052161430</v>
      </c>
      <c r="B444" s="54" t="str">
        <f>TRIM(Table4[[#This Row],[ypn]])</f>
        <v>7052161430</v>
      </c>
      <c r="C444" s="54" t="b">
        <f>Table4[[#This Row],[ypn]]=Table4[[#This Row],[trim]]</f>
        <v>0</v>
      </c>
      <c r="D444" s="54">
        <f>Table4[[#This Row],[ypn]]*1</f>
        <v>7052161430</v>
      </c>
      <c r="E444" s="54">
        <f>TYPE(Table4[[#This Row],[ypn]])</f>
        <v>1</v>
      </c>
      <c r="G444" s="4"/>
    </row>
    <row r="445" spans="1:7" x14ac:dyDescent="0.3">
      <c r="A445" s="7">
        <v>7247760830</v>
      </c>
      <c r="B445" s="54" t="str">
        <f>TRIM(Table4[[#This Row],[ypn]])</f>
        <v>7247760830</v>
      </c>
      <c r="C445" s="54" t="b">
        <f>Table4[[#This Row],[ypn]]=Table4[[#This Row],[trim]]</f>
        <v>0</v>
      </c>
      <c r="D445" s="54">
        <f>Table4[[#This Row],[ypn]]*1</f>
        <v>7247760830</v>
      </c>
      <c r="E445" s="54">
        <f>TYPE(Table4[[#This Row],[ypn]])</f>
        <v>1</v>
      </c>
      <c r="F445" t="s">
        <v>1012</v>
      </c>
      <c r="G445" s="4"/>
    </row>
    <row r="446" spans="1:7" x14ac:dyDescent="0.3">
      <c r="A446" s="7">
        <v>7247764130</v>
      </c>
      <c r="B446" s="54" t="str">
        <f>TRIM(Table4[[#This Row],[ypn]])</f>
        <v>7247764130</v>
      </c>
      <c r="C446" s="54" t="b">
        <f>Table4[[#This Row],[ypn]]=Table4[[#This Row],[trim]]</f>
        <v>0</v>
      </c>
      <c r="D446" s="54">
        <f>Table4[[#This Row],[ypn]]*1</f>
        <v>7247764130</v>
      </c>
      <c r="E446" s="54">
        <f>TYPE(Table4[[#This Row],[ypn]])</f>
        <v>1</v>
      </c>
      <c r="F446" t="s">
        <v>1013</v>
      </c>
      <c r="G446" s="4"/>
    </row>
    <row r="447" spans="1:7" x14ac:dyDescent="0.3">
      <c r="A447" s="7">
        <v>7047009730</v>
      </c>
      <c r="B447" s="54" t="str">
        <f>TRIM(Table4[[#This Row],[ypn]])</f>
        <v>7047009730</v>
      </c>
      <c r="C447" s="54" t="b">
        <f>Table4[[#This Row],[ypn]]=Table4[[#This Row],[trim]]</f>
        <v>0</v>
      </c>
      <c r="D447" s="54">
        <f>Table4[[#This Row],[ypn]]*1</f>
        <v>7047009730</v>
      </c>
      <c r="E447" s="54">
        <f>TYPE(Table4[[#This Row],[ypn]])</f>
        <v>1</v>
      </c>
      <c r="G447" s="4"/>
    </row>
    <row r="448" spans="1:7" x14ac:dyDescent="0.3">
      <c r="A448" s="7">
        <v>7247781230</v>
      </c>
      <c r="B448" s="54" t="str">
        <f>TRIM(Table4[[#This Row],[ypn]])</f>
        <v>7247781230</v>
      </c>
      <c r="C448" s="54" t="b">
        <f>Table4[[#This Row],[ypn]]=Table4[[#This Row],[trim]]</f>
        <v>0</v>
      </c>
      <c r="D448" s="54">
        <f>Table4[[#This Row],[ypn]]*1</f>
        <v>7247781230</v>
      </c>
      <c r="E448" s="54">
        <f>TYPE(Table4[[#This Row],[ypn]])</f>
        <v>1</v>
      </c>
      <c r="F448" t="s">
        <v>1014</v>
      </c>
      <c r="G448" s="4"/>
    </row>
    <row r="449" spans="1:7" x14ac:dyDescent="0.3">
      <c r="A449" s="7" t="s">
        <v>378</v>
      </c>
      <c r="B449" s="54" t="str">
        <f>TRIM(Table4[[#This Row],[ypn]])</f>
        <v>7147882430</v>
      </c>
      <c r="C449" s="54" t="b">
        <f>Table4[[#This Row],[ypn]]=Table4[[#This Row],[trim]]</f>
        <v>1</v>
      </c>
      <c r="D449" s="54">
        <f>Table4[[#This Row],[ypn]]*1</f>
        <v>7147882430</v>
      </c>
      <c r="E449" s="54">
        <f>TYPE(Table4[[#This Row],[ypn]])</f>
        <v>2</v>
      </c>
      <c r="G449" s="4"/>
    </row>
    <row r="450" spans="1:7" x14ac:dyDescent="0.3">
      <c r="A450" s="7">
        <v>7047273930</v>
      </c>
      <c r="B450" s="54" t="str">
        <f>TRIM(Table4[[#This Row],[ypn]])</f>
        <v>7047273930</v>
      </c>
      <c r="C450" s="54" t="b">
        <f>Table4[[#This Row],[ypn]]=Table4[[#This Row],[trim]]</f>
        <v>0</v>
      </c>
      <c r="D450" s="54">
        <f>Table4[[#This Row],[ypn]]*1</f>
        <v>7047273930</v>
      </c>
      <c r="E450" s="54">
        <f>TYPE(Table4[[#This Row],[ypn]])</f>
        <v>1</v>
      </c>
      <c r="F450" t="s">
        <v>1015</v>
      </c>
      <c r="G450" s="4"/>
    </row>
    <row r="451" spans="1:7" x14ac:dyDescent="0.3">
      <c r="A451" s="7">
        <v>7047305630</v>
      </c>
      <c r="B451" s="54" t="str">
        <f>TRIM(Table4[[#This Row],[ypn]])</f>
        <v>7047305630</v>
      </c>
      <c r="C451" s="54" t="b">
        <f>Table4[[#This Row],[ypn]]=Table4[[#This Row],[trim]]</f>
        <v>0</v>
      </c>
      <c r="D451" s="54">
        <f>Table4[[#This Row],[ypn]]*1</f>
        <v>7047305630</v>
      </c>
      <c r="E451" s="54">
        <f>TYPE(Table4[[#This Row],[ypn]])</f>
        <v>1</v>
      </c>
      <c r="F451" t="s">
        <v>1016</v>
      </c>
      <c r="G451" s="4"/>
    </row>
    <row r="452" spans="1:7" x14ac:dyDescent="0.3">
      <c r="A452" s="7">
        <v>7247781730</v>
      </c>
      <c r="B452" s="54" t="str">
        <f>TRIM(Table4[[#This Row],[ypn]])</f>
        <v>7247781730</v>
      </c>
      <c r="C452" s="54" t="b">
        <f>Table4[[#This Row],[ypn]]=Table4[[#This Row],[trim]]</f>
        <v>0</v>
      </c>
      <c r="D452" s="54">
        <f>Table4[[#This Row],[ypn]]*1</f>
        <v>7247781730</v>
      </c>
      <c r="E452" s="54">
        <f>TYPE(Table4[[#This Row],[ypn]])</f>
        <v>1</v>
      </c>
      <c r="F452" t="s">
        <v>1017</v>
      </c>
      <c r="G452" s="4"/>
    </row>
    <row r="453" spans="1:7" x14ac:dyDescent="0.3">
      <c r="A453" s="7">
        <v>7047135830</v>
      </c>
      <c r="B453" s="54" t="str">
        <f>TRIM(Table4[[#This Row],[ypn]])</f>
        <v>7047135830</v>
      </c>
      <c r="C453" s="54" t="b">
        <f>Table4[[#This Row],[ypn]]=Table4[[#This Row],[trim]]</f>
        <v>0</v>
      </c>
      <c r="D453" s="54">
        <f>Table4[[#This Row],[ypn]]*1</f>
        <v>7047135830</v>
      </c>
      <c r="E453" s="54">
        <f>TYPE(Table4[[#This Row],[ypn]])</f>
        <v>1</v>
      </c>
      <c r="F453" t="s">
        <v>1018</v>
      </c>
      <c r="G453" s="4"/>
    </row>
    <row r="454" spans="1:7" x14ac:dyDescent="0.3">
      <c r="A454" s="7">
        <v>7047178330</v>
      </c>
      <c r="B454" s="54" t="str">
        <f>TRIM(Table4[[#This Row],[ypn]])</f>
        <v>7047178330</v>
      </c>
      <c r="C454" s="54" t="b">
        <f>Table4[[#This Row],[ypn]]=Table4[[#This Row],[trim]]</f>
        <v>0</v>
      </c>
      <c r="D454" s="54">
        <f>Table4[[#This Row],[ypn]]*1</f>
        <v>7047178330</v>
      </c>
      <c r="E454" s="54">
        <f>TYPE(Table4[[#This Row],[ypn]])</f>
        <v>1</v>
      </c>
      <c r="G454" s="4"/>
    </row>
    <row r="455" spans="1:7" x14ac:dyDescent="0.3">
      <c r="A455" s="7">
        <v>7252726530</v>
      </c>
      <c r="B455" s="54" t="str">
        <f>TRIM(Table4[[#This Row],[ypn]])</f>
        <v>7252726530</v>
      </c>
      <c r="C455" s="54" t="b">
        <f>Table4[[#This Row],[ypn]]=Table4[[#This Row],[trim]]</f>
        <v>0</v>
      </c>
      <c r="D455" s="54">
        <f>Table4[[#This Row],[ypn]]*1</f>
        <v>7252726530</v>
      </c>
      <c r="E455" s="54">
        <f>TYPE(Table4[[#This Row],[ypn]])</f>
        <v>1</v>
      </c>
      <c r="F455" t="s">
        <v>1019</v>
      </c>
      <c r="G455" s="4"/>
    </row>
    <row r="456" spans="1:7" x14ac:dyDescent="0.3">
      <c r="A456" s="7" t="s">
        <v>1110</v>
      </c>
      <c r="B456" s="54" t="str">
        <f>TRIM(Table4[[#This Row],[ypn]])</f>
        <v>70521459</v>
      </c>
      <c r="C456" s="54" t="b">
        <f>Table4[[#This Row],[ypn]]=Table4[[#This Row],[trim]]</f>
        <v>1</v>
      </c>
      <c r="D456" s="54">
        <f>Table4[[#This Row],[ypn]]*1</f>
        <v>70521459</v>
      </c>
      <c r="E456" s="54">
        <f>TYPE(Table4[[#This Row],[ypn]])</f>
        <v>2</v>
      </c>
      <c r="F456" t="s">
        <v>1020</v>
      </c>
      <c r="G456" s="4"/>
    </row>
    <row r="457" spans="1:7" x14ac:dyDescent="0.3">
      <c r="A457" s="7" t="s">
        <v>400</v>
      </c>
      <c r="B457" s="54" t="str">
        <f>TRIM(Table4[[#This Row],[ypn]])</f>
        <v>7252779130</v>
      </c>
      <c r="C457" s="54" t="b">
        <f>Table4[[#This Row],[ypn]]=Table4[[#This Row],[trim]]</f>
        <v>1</v>
      </c>
      <c r="D457" s="54">
        <f>Table4[[#This Row],[ypn]]*1</f>
        <v>7252779130</v>
      </c>
      <c r="E457" s="54">
        <f>TYPE(Table4[[#This Row],[ypn]])</f>
        <v>2</v>
      </c>
      <c r="G457" s="4"/>
    </row>
    <row r="458" spans="1:7" x14ac:dyDescent="0.3">
      <c r="A458" s="7" t="s">
        <v>398</v>
      </c>
      <c r="B458" s="54" t="str">
        <f>TRIM(Table4[[#This Row],[ypn]])</f>
        <v>7252735930</v>
      </c>
      <c r="C458" s="54" t="b">
        <f>Table4[[#This Row],[ypn]]=Table4[[#This Row],[trim]]</f>
        <v>1</v>
      </c>
      <c r="D458" s="54">
        <f>Table4[[#This Row],[ypn]]*1</f>
        <v>7252735930</v>
      </c>
      <c r="E458" s="54">
        <f>TYPE(Table4[[#This Row],[ypn]])</f>
        <v>2</v>
      </c>
      <c r="F458" t="s">
        <v>1021</v>
      </c>
      <c r="G458" s="4"/>
    </row>
    <row r="459" spans="1:7" x14ac:dyDescent="0.3">
      <c r="A459" s="7">
        <v>7252809330</v>
      </c>
      <c r="B459" s="54" t="str">
        <f>TRIM(Table4[[#This Row],[ypn]])</f>
        <v>7252809330</v>
      </c>
      <c r="C459" s="54" t="b">
        <f>Table4[[#This Row],[ypn]]=Table4[[#This Row],[trim]]</f>
        <v>0</v>
      </c>
      <c r="D459" s="54">
        <f>Table4[[#This Row],[ypn]]*1</f>
        <v>7252809330</v>
      </c>
      <c r="E459" s="54">
        <f>TYPE(Table4[[#This Row],[ypn]])</f>
        <v>1</v>
      </c>
      <c r="F459" t="s">
        <v>1022</v>
      </c>
      <c r="G459" s="4"/>
    </row>
    <row r="460" spans="1:7" x14ac:dyDescent="0.3">
      <c r="A460" s="7">
        <v>7252815130</v>
      </c>
      <c r="B460" s="54" t="str">
        <f>TRIM(Table4[[#This Row],[ypn]])</f>
        <v>7252815130</v>
      </c>
      <c r="C460" s="54" t="b">
        <f>Table4[[#This Row],[ypn]]=Table4[[#This Row],[trim]]</f>
        <v>0</v>
      </c>
      <c r="D460" s="54">
        <f>Table4[[#This Row],[ypn]]*1</f>
        <v>7252815130</v>
      </c>
      <c r="E460" s="54">
        <f>TYPE(Table4[[#This Row],[ypn]])</f>
        <v>1</v>
      </c>
      <c r="G460" s="4"/>
    </row>
    <row r="461" spans="1:7" x14ac:dyDescent="0.3">
      <c r="A461" s="7" t="s">
        <v>1111</v>
      </c>
      <c r="B461" s="54" t="str">
        <f>TRIM(Table4[[#This Row],[ypn]])</f>
        <v>7047251030U</v>
      </c>
      <c r="C461" s="54" t="b">
        <f>Table4[[#This Row],[ypn]]=Table4[[#This Row],[trim]]</f>
        <v>1</v>
      </c>
      <c r="D461" s="54" t="e">
        <f>Table4[[#This Row],[ypn]]*1</f>
        <v>#VALUE!</v>
      </c>
      <c r="E461" s="54">
        <f>TYPE(Table4[[#This Row],[ypn]])</f>
        <v>2</v>
      </c>
      <c r="F461" t="s">
        <v>1195</v>
      </c>
      <c r="G461" s="4"/>
    </row>
    <row r="462" spans="1:7" x14ac:dyDescent="0.3">
      <c r="A462" s="7" t="s">
        <v>1112</v>
      </c>
      <c r="B462" s="54" t="str">
        <f>TRIM(Table4[[#This Row],[ypn]])</f>
        <v>7047275330S</v>
      </c>
      <c r="C462" s="54" t="b">
        <f>Table4[[#This Row],[ypn]]=Table4[[#This Row],[trim]]</f>
        <v>1</v>
      </c>
      <c r="D462" s="54" t="e">
        <f>Table4[[#This Row],[ypn]]*1</f>
        <v>#VALUE!</v>
      </c>
      <c r="E462" s="54">
        <f>TYPE(Table4[[#This Row],[ypn]])</f>
        <v>2</v>
      </c>
      <c r="G462" s="4"/>
    </row>
    <row r="463" spans="1:7" x14ac:dyDescent="0.3">
      <c r="A463" s="7" t="s">
        <v>1113</v>
      </c>
      <c r="B463" s="54" t="str">
        <f>TRIM(Table4[[#This Row],[ypn]])</f>
        <v>70475017D</v>
      </c>
      <c r="C463" s="54" t="b">
        <f>Table4[[#This Row],[ypn]]=Table4[[#This Row],[trim]]</f>
        <v>1</v>
      </c>
      <c r="D463" s="54" t="e">
        <f>Table4[[#This Row],[ypn]]*1</f>
        <v>#VALUE!</v>
      </c>
      <c r="E463" s="54">
        <f>TYPE(Table4[[#This Row],[ypn]])</f>
        <v>2</v>
      </c>
      <c r="F463" t="s">
        <v>1196</v>
      </c>
      <c r="G463" s="4"/>
    </row>
    <row r="464" spans="1:7" x14ac:dyDescent="0.3">
      <c r="A464" s="7" t="s">
        <v>1114</v>
      </c>
      <c r="B464" s="54" t="str">
        <f>TRIM(Table4[[#This Row],[ypn]])</f>
        <v>7047798230S</v>
      </c>
      <c r="C464" s="54" t="b">
        <f>Table4[[#This Row],[ypn]]=Table4[[#This Row],[trim]]</f>
        <v>1</v>
      </c>
      <c r="D464" s="54" t="e">
        <f>Table4[[#This Row],[ypn]]*1</f>
        <v>#VALUE!</v>
      </c>
      <c r="E464" s="54">
        <f>TYPE(Table4[[#This Row],[ypn]])</f>
        <v>2</v>
      </c>
      <c r="G464" s="4"/>
    </row>
    <row r="465" spans="1:7" x14ac:dyDescent="0.3">
      <c r="A465" s="7" t="s">
        <v>1115</v>
      </c>
      <c r="B465" s="54" t="str">
        <f>TRIM(Table4[[#This Row],[ypn]])</f>
        <v>7047798330S</v>
      </c>
      <c r="C465" s="54" t="b">
        <f>Table4[[#This Row],[ypn]]=Table4[[#This Row],[trim]]</f>
        <v>1</v>
      </c>
      <c r="D465" s="54" t="e">
        <f>Table4[[#This Row],[ypn]]*1</f>
        <v>#VALUE!</v>
      </c>
      <c r="E465" s="54">
        <f>TYPE(Table4[[#This Row],[ypn]])</f>
        <v>2</v>
      </c>
      <c r="F465" t="s">
        <v>1197</v>
      </c>
      <c r="G465" s="4"/>
    </row>
    <row r="466" spans="1:7" x14ac:dyDescent="0.3">
      <c r="A466" s="7" t="s">
        <v>1116</v>
      </c>
      <c r="B466" s="54" t="str">
        <f>TRIM(Table4[[#This Row],[ypn]])</f>
        <v>7247001130S</v>
      </c>
      <c r="C466" s="54" t="b">
        <f>Table4[[#This Row],[ypn]]=Table4[[#This Row],[trim]]</f>
        <v>1</v>
      </c>
      <c r="D466" s="54" t="e">
        <f>Table4[[#This Row],[ypn]]*1</f>
        <v>#VALUE!</v>
      </c>
      <c r="E466" s="54">
        <f>TYPE(Table4[[#This Row],[ypn]])</f>
        <v>2</v>
      </c>
      <c r="G466" s="4"/>
    </row>
    <row r="467" spans="1:7" x14ac:dyDescent="0.3">
      <c r="A467" s="7" t="s">
        <v>1117</v>
      </c>
      <c r="B467" s="54" t="str">
        <f>TRIM(Table4[[#This Row],[ypn]])</f>
        <v>7247758130S</v>
      </c>
      <c r="C467" s="54" t="b">
        <f>Table4[[#This Row],[ypn]]=Table4[[#This Row],[trim]]</f>
        <v>1</v>
      </c>
      <c r="D467" s="54" t="e">
        <f>Table4[[#This Row],[ypn]]*1</f>
        <v>#VALUE!</v>
      </c>
      <c r="E467" s="54">
        <f>TYPE(Table4[[#This Row],[ypn]])</f>
        <v>2</v>
      </c>
      <c r="F467">
        <v>2137810</v>
      </c>
      <c r="G467" s="4"/>
    </row>
    <row r="468" spans="1:7" x14ac:dyDescent="0.3">
      <c r="A468" s="7" t="s">
        <v>1118</v>
      </c>
      <c r="B468" s="54" t="str">
        <f>TRIM(Table4[[#This Row],[ypn]])</f>
        <v>7247792930S</v>
      </c>
      <c r="C468" s="54" t="b">
        <f>Table4[[#This Row],[ypn]]=Table4[[#This Row],[trim]]</f>
        <v>1</v>
      </c>
      <c r="D468" s="54" t="e">
        <f>Table4[[#This Row],[ypn]]*1</f>
        <v>#VALUE!</v>
      </c>
      <c r="E468" s="54">
        <f>TYPE(Table4[[#This Row],[ypn]])</f>
        <v>2</v>
      </c>
      <c r="F468" t="s">
        <v>1198</v>
      </c>
      <c r="G468" s="4"/>
    </row>
    <row r="469" spans="1:7" x14ac:dyDescent="0.3">
      <c r="A469" s="7" t="s">
        <v>1119</v>
      </c>
      <c r="B469" s="54" t="str">
        <f>TRIM(Table4[[#This Row],[ypn]])</f>
        <v>7252803330S</v>
      </c>
      <c r="C469" s="54" t="b">
        <f>Table4[[#This Row],[ypn]]=Table4[[#This Row],[trim]]</f>
        <v>1</v>
      </c>
      <c r="D469" s="54" t="e">
        <f>Table4[[#This Row],[ypn]]*1</f>
        <v>#VALUE!</v>
      </c>
      <c r="E469" s="54">
        <f>TYPE(Table4[[#This Row],[ypn]])</f>
        <v>2</v>
      </c>
      <c r="G469" s="4"/>
    </row>
    <row r="470" spans="1:7" x14ac:dyDescent="0.3">
      <c r="A470" s="7" t="s">
        <v>1120</v>
      </c>
      <c r="B470" s="54" t="str">
        <f>TRIM(Table4[[#This Row],[ypn]])</f>
        <v>7176862930 (X1PO2407)</v>
      </c>
      <c r="C470" s="54" t="b">
        <f>Table4[[#This Row],[ypn]]=Table4[[#This Row],[trim]]</f>
        <v>1</v>
      </c>
      <c r="D470" s="54" t="e">
        <f>Table4[[#This Row],[ypn]]*1</f>
        <v>#VALUE!</v>
      </c>
      <c r="E470" s="54">
        <f>TYPE(Table4[[#This Row],[ypn]])</f>
        <v>2</v>
      </c>
      <c r="F470" t="s">
        <v>545</v>
      </c>
      <c r="G470" s="4"/>
    </row>
    <row r="471" spans="1:7" x14ac:dyDescent="0.3">
      <c r="A471" s="7" t="s">
        <v>1121</v>
      </c>
      <c r="B471" s="54" t="str">
        <f>TRIM(Table4[[#This Row],[ypn]])</f>
        <v>7176863030 (X1PO2408)</v>
      </c>
      <c r="C471" s="54" t="b">
        <f>Table4[[#This Row],[ypn]]=Table4[[#This Row],[trim]]</f>
        <v>1</v>
      </c>
      <c r="D471" s="54" t="e">
        <f>Table4[[#This Row],[ypn]]*1</f>
        <v>#VALUE!</v>
      </c>
      <c r="E471" s="54">
        <f>TYPE(Table4[[#This Row],[ypn]])</f>
        <v>2</v>
      </c>
      <c r="F471" t="s">
        <v>547</v>
      </c>
      <c r="G471" s="4"/>
    </row>
    <row r="472" spans="1:7" x14ac:dyDescent="0.3">
      <c r="A472" s="7" t="s">
        <v>1122</v>
      </c>
      <c r="B472" s="54" t="str">
        <f>TRIM(Table4[[#This Row],[ypn]])</f>
        <v>X1PO2562 -A1748211900</v>
      </c>
      <c r="C472" s="54" t="b">
        <f>Table4[[#This Row],[ypn]]=Table4[[#This Row],[trim]]</f>
        <v>1</v>
      </c>
      <c r="D472" s="54" t="e">
        <f>Table4[[#This Row],[ypn]]*1</f>
        <v>#VALUE!</v>
      </c>
      <c r="E472" s="54">
        <f>TYPE(Table4[[#This Row],[ypn]])</f>
        <v>2</v>
      </c>
      <c r="F472" t="s">
        <v>637</v>
      </c>
      <c r="G472" s="4"/>
    </row>
    <row r="473" spans="1:7" x14ac:dyDescent="0.3">
      <c r="A473" s="7" t="s">
        <v>1123</v>
      </c>
      <c r="B473" s="54" t="str">
        <f>TRIM(Table4[[#This Row],[ypn]])</f>
        <v>X1PO2578 - 7176 8619 30</v>
      </c>
      <c r="C473" s="54" t="b">
        <f>Table4[[#This Row],[ypn]]=Table4[[#This Row],[trim]]</f>
        <v>1</v>
      </c>
      <c r="D473" s="54" t="e">
        <f>Table4[[#This Row],[ypn]]*1</f>
        <v>#VALUE!</v>
      </c>
      <c r="E473" s="54">
        <f>TYPE(Table4[[#This Row],[ypn]])</f>
        <v>2</v>
      </c>
      <c r="F473" t="s">
        <v>535</v>
      </c>
      <c r="G473" s="4"/>
    </row>
    <row r="474" spans="1:7" x14ac:dyDescent="0.3">
      <c r="A474" s="7" t="s">
        <v>1124</v>
      </c>
      <c r="B474" s="54" t="str">
        <f>TRIM(Table4[[#This Row],[ypn]])</f>
        <v>X1PO2580 - 7176 8620 30</v>
      </c>
      <c r="C474" s="54" t="b">
        <f>Table4[[#This Row],[ypn]]=Table4[[#This Row],[trim]]</f>
        <v>1</v>
      </c>
      <c r="D474" s="54" t="e">
        <f>Table4[[#This Row],[ypn]]*1</f>
        <v>#VALUE!</v>
      </c>
      <c r="E474" s="54">
        <f>TYPE(Table4[[#This Row],[ypn]])</f>
        <v>2</v>
      </c>
      <c r="F474" t="s">
        <v>537</v>
      </c>
      <c r="G474" s="4"/>
    </row>
    <row r="475" spans="1:7" x14ac:dyDescent="0.3">
      <c r="A475" s="7" t="s">
        <v>1125</v>
      </c>
      <c r="B475" s="54" t="str">
        <f>TRIM(Table4[[#This Row],[ypn]])</f>
        <v>X1PO 2519</v>
      </c>
      <c r="C475" s="54" t="b">
        <f>Table4[[#This Row],[ypn]]=Table4[[#This Row],[trim]]</f>
        <v>1</v>
      </c>
      <c r="D475" s="54" t="e">
        <f>Table4[[#This Row],[ypn]]*1</f>
        <v>#VALUE!</v>
      </c>
      <c r="E475" s="54">
        <f>TYPE(Table4[[#This Row],[ypn]])</f>
        <v>2</v>
      </c>
      <c r="F475" t="s">
        <v>641</v>
      </c>
      <c r="G475" s="4"/>
    </row>
    <row r="476" spans="1:7" x14ac:dyDescent="0.3">
      <c r="A476" s="7" t="s">
        <v>1126</v>
      </c>
      <c r="B476" s="54" t="str">
        <f>TRIM(Table4[[#This Row],[ypn]])</f>
        <v>7176862130 - X1PO 2557</v>
      </c>
      <c r="C476" s="54" t="b">
        <f>Table4[[#This Row],[ypn]]=Table4[[#This Row],[trim]]</f>
        <v>1</v>
      </c>
      <c r="D476" s="54" t="e">
        <f>Table4[[#This Row],[ypn]]*1</f>
        <v>#VALUE!</v>
      </c>
      <c r="E476" s="54">
        <f>TYPE(Table4[[#This Row],[ypn]])</f>
        <v>2</v>
      </c>
      <c r="F476" t="s">
        <v>539</v>
      </c>
      <c r="G476" s="4"/>
    </row>
    <row r="477" spans="1:7" x14ac:dyDescent="0.3">
      <c r="A477" s="7" t="s">
        <v>1127</v>
      </c>
      <c r="B477" s="54" t="str">
        <f>TRIM(Table4[[#This Row],[ypn]])</f>
        <v>7176862330 - X1PO 2559</v>
      </c>
      <c r="C477" s="54" t="b">
        <f>Table4[[#This Row],[ypn]]=Table4[[#This Row],[trim]]</f>
        <v>1</v>
      </c>
      <c r="D477" s="54" t="e">
        <f>Table4[[#This Row],[ypn]]*1</f>
        <v>#VALUE!</v>
      </c>
      <c r="E477" s="54">
        <f>TYPE(Table4[[#This Row],[ypn]])</f>
        <v>2</v>
      </c>
      <c r="F477" t="s">
        <v>541</v>
      </c>
      <c r="G477" s="4"/>
    </row>
    <row r="478" spans="1:7" x14ac:dyDescent="0.3">
      <c r="A478" s="7" t="s">
        <v>1128</v>
      </c>
      <c r="B478" s="54" t="str">
        <f>TRIM(Table4[[#This Row],[ypn]])</f>
        <v>7176862730 - X1PO 2563</v>
      </c>
      <c r="C478" s="54" t="b">
        <f>Table4[[#This Row],[ypn]]=Table4[[#This Row],[trim]]</f>
        <v>1</v>
      </c>
      <c r="D478" s="54" t="e">
        <f>Table4[[#This Row],[ypn]]*1</f>
        <v>#VALUE!</v>
      </c>
      <c r="E478" s="54">
        <f>TYPE(Table4[[#This Row],[ypn]])</f>
        <v>2</v>
      </c>
      <c r="F478" t="s">
        <v>543</v>
      </c>
      <c r="G478" s="4"/>
    </row>
    <row r="479" spans="1:7" x14ac:dyDescent="0.3">
      <c r="A479" s="7" t="s">
        <v>1129</v>
      </c>
      <c r="B479" s="54" t="str">
        <f>TRIM(Table4[[#This Row],[ypn]])</f>
        <v>7176874730 - X1PO 2553</v>
      </c>
      <c r="C479" s="54" t="b">
        <f>Table4[[#This Row],[ypn]]=Table4[[#This Row],[trim]]</f>
        <v>1</v>
      </c>
      <c r="D479" s="54" t="e">
        <f>Table4[[#This Row],[ypn]]*1</f>
        <v>#VALUE!</v>
      </c>
      <c r="E479" s="54">
        <f>TYPE(Table4[[#This Row],[ypn]])</f>
        <v>2</v>
      </c>
      <c r="F479" t="s">
        <v>549</v>
      </c>
      <c r="G479" s="4"/>
    </row>
    <row r="480" spans="1:7" x14ac:dyDescent="0.3">
      <c r="A480" s="7" t="s">
        <v>1130</v>
      </c>
      <c r="B480" s="54" t="str">
        <f>TRIM(Table4[[#This Row],[ypn]])</f>
        <v>7075236930 - X1PO2363</v>
      </c>
      <c r="C480" s="54" t="b">
        <f>Table4[[#This Row],[ypn]]=Table4[[#This Row],[trim]]</f>
        <v>1</v>
      </c>
      <c r="D480" s="54" t="e">
        <f>Table4[[#This Row],[ypn]]*1</f>
        <v>#VALUE!</v>
      </c>
      <c r="E480" s="54">
        <f>TYPE(Table4[[#This Row],[ypn]])</f>
        <v>2</v>
      </c>
      <c r="F480" t="s">
        <v>519</v>
      </c>
      <c r="G480" s="4"/>
    </row>
    <row r="481" spans="1:7" x14ac:dyDescent="0.3">
      <c r="A481" s="7" t="s">
        <v>1131</v>
      </c>
      <c r="B481" s="54" t="str">
        <f>TRIM(Table4[[#This Row],[ypn]])</f>
        <v>7075226830(X1PP5350)</v>
      </c>
      <c r="C481" s="54" t="b">
        <f>Table4[[#This Row],[ypn]]=Table4[[#This Row],[trim]]</f>
        <v>1</v>
      </c>
      <c r="D481" s="54" t="e">
        <f>Table4[[#This Row],[ypn]]*1</f>
        <v>#VALUE!</v>
      </c>
      <c r="E481" s="54">
        <f>TYPE(Table4[[#This Row],[ypn]])</f>
        <v>2</v>
      </c>
      <c r="F481" t="s">
        <v>1199</v>
      </c>
      <c r="G481" s="4"/>
    </row>
    <row r="482" spans="1:7" x14ac:dyDescent="0.3">
      <c r="A482" s="7" t="s">
        <v>1132</v>
      </c>
      <c r="B482" s="54" t="str">
        <f>TRIM(Table4[[#This Row],[ypn]])</f>
        <v>7075231830 - X1PO 2395</v>
      </c>
      <c r="C482" s="54" t="b">
        <f>Table4[[#This Row],[ypn]]=Table4[[#This Row],[trim]]</f>
        <v>1</v>
      </c>
      <c r="D482" s="54" t="e">
        <f>Table4[[#This Row],[ypn]]*1</f>
        <v>#VALUE!</v>
      </c>
      <c r="E482" s="54">
        <f>TYPE(Table4[[#This Row],[ypn]])</f>
        <v>2</v>
      </c>
      <c r="F482" t="s">
        <v>1200</v>
      </c>
      <c r="G482" s="4"/>
    </row>
    <row r="483" spans="1:7" x14ac:dyDescent="0.3">
      <c r="A483" s="7" t="s">
        <v>1133</v>
      </c>
      <c r="B483" s="54" t="str">
        <f>TRIM(Table4[[#This Row],[ypn]])</f>
        <v>7177097330A RIGHT +HALFMOON</v>
      </c>
      <c r="C483" s="54" t="b">
        <f>Table4[[#This Row],[ypn]]=Table4[[#This Row],[trim]]</f>
        <v>0</v>
      </c>
      <c r="D483" s="54" t="e">
        <f>Table4[[#This Row],[ypn]]*1</f>
        <v>#VALUE!</v>
      </c>
      <c r="E483" s="54">
        <f>TYPE(Table4[[#This Row],[ypn]])</f>
        <v>2</v>
      </c>
      <c r="F483" t="s">
        <v>1201</v>
      </c>
      <c r="G483" s="4"/>
    </row>
    <row r="484" spans="1:7" x14ac:dyDescent="0.3">
      <c r="A484" s="7" t="s">
        <v>257</v>
      </c>
      <c r="B484" s="54" t="str">
        <f>TRIM(Table4[[#This Row],[ypn]])</f>
        <v>X1PO2539</v>
      </c>
      <c r="C484" s="54" t="b">
        <f>Table4[[#This Row],[ypn]]=Table4[[#This Row],[trim]]</f>
        <v>1</v>
      </c>
      <c r="D484" s="54" t="e">
        <f>Table4[[#This Row],[ypn]]*1</f>
        <v>#VALUE!</v>
      </c>
      <c r="E484" s="54">
        <f>TYPE(Table4[[#This Row],[ypn]])</f>
        <v>2</v>
      </c>
      <c r="F484" t="s">
        <v>1202</v>
      </c>
      <c r="G484" s="4"/>
    </row>
    <row r="485" spans="1:7" x14ac:dyDescent="0.3">
      <c r="A485" s="7" t="s">
        <v>1134</v>
      </c>
      <c r="B485" s="54" t="str">
        <f>TRIM(Table4[[#This Row],[ypn]])</f>
        <v>7075231930 IR33</v>
      </c>
      <c r="C485" s="54" t="b">
        <f>Table4[[#This Row],[ypn]]=Table4[[#This Row],[trim]]</f>
        <v>1</v>
      </c>
      <c r="D485" s="54" t="e">
        <f>Table4[[#This Row],[ypn]]*1</f>
        <v>#VALUE!</v>
      </c>
      <c r="E485" s="54">
        <f>TYPE(Table4[[#This Row],[ypn]])</f>
        <v>2</v>
      </c>
      <c r="F485" t="s">
        <v>1203</v>
      </c>
      <c r="G485" s="4"/>
    </row>
    <row r="486" spans="1:7" x14ac:dyDescent="0.3">
      <c r="A486" s="7" t="s">
        <v>224</v>
      </c>
      <c r="B486" s="54" t="str">
        <f>TRIM(Table4[[#This Row],[ypn]])</f>
        <v>7189668330+7274136090A</v>
      </c>
      <c r="C486" s="54" t="b">
        <f>Table4[[#This Row],[ypn]]=Table4[[#This Row],[trim]]</f>
        <v>1</v>
      </c>
      <c r="D486" s="54" t="e">
        <f>Table4[[#This Row],[ypn]]*1</f>
        <v>#VALUE!</v>
      </c>
      <c r="E486" s="54">
        <f>TYPE(Table4[[#This Row],[ypn]])</f>
        <v>2</v>
      </c>
      <c r="F486" t="s">
        <v>1204</v>
      </c>
      <c r="G486" s="4"/>
    </row>
    <row r="487" spans="1:7" x14ac:dyDescent="0.3">
      <c r="A487" s="7">
        <v>7252834130</v>
      </c>
      <c r="B487" s="54" t="str">
        <f>TRIM(Table4[[#This Row],[ypn]])</f>
        <v>7252834130</v>
      </c>
      <c r="C487" s="54" t="b">
        <f>Table4[[#This Row],[ypn]]=Table4[[#This Row],[trim]]</f>
        <v>0</v>
      </c>
      <c r="D487" s="54">
        <f>Table4[[#This Row],[ypn]]*1</f>
        <v>7252834130</v>
      </c>
      <c r="E487" s="54">
        <f>TYPE(Table4[[#This Row],[ypn]])</f>
        <v>1</v>
      </c>
      <c r="F487" t="s">
        <v>704</v>
      </c>
      <c r="G487" s="4"/>
    </row>
    <row r="488" spans="1:7" x14ac:dyDescent="0.3">
      <c r="A488" s="7">
        <v>7247781530</v>
      </c>
      <c r="B488" s="54" t="str">
        <f>TRIM(Table4[[#This Row],[ypn]])</f>
        <v>7247781530</v>
      </c>
      <c r="C488" s="54" t="b">
        <f>Table4[[#This Row],[ypn]]=Table4[[#This Row],[trim]]</f>
        <v>0</v>
      </c>
      <c r="D488" s="54">
        <f>Table4[[#This Row],[ypn]]*1</f>
        <v>7247781530</v>
      </c>
      <c r="E488" s="54">
        <f>TYPE(Table4[[#This Row],[ypn]])</f>
        <v>1</v>
      </c>
      <c r="F488" t="s">
        <v>1205</v>
      </c>
      <c r="G488" s="4"/>
    </row>
    <row r="489" spans="1:7" x14ac:dyDescent="0.3">
      <c r="A489" s="7" t="s">
        <v>1135</v>
      </c>
      <c r="B489" s="54" t="str">
        <f>TRIM(Table4[[#This Row],[ypn]])</f>
        <v>7289-4643-30E+COVER</v>
      </c>
      <c r="C489" s="54" t="b">
        <f>Table4[[#This Row],[ypn]]=Table4[[#This Row],[trim]]</f>
        <v>1</v>
      </c>
      <c r="D489" s="54" t="e">
        <f>Table4[[#This Row],[ypn]]*1</f>
        <v>#VALUE!</v>
      </c>
      <c r="E489" s="54">
        <f>TYPE(Table4[[#This Row],[ypn]])</f>
        <v>2</v>
      </c>
      <c r="F489" t="s">
        <v>733</v>
      </c>
      <c r="G489" s="4"/>
    </row>
  </sheetData>
  <phoneticPr fontId="1" type="noConversion"/>
  <conditionalFormatting sqref="A1:A1048576">
    <cfRule type="duplicateValues" dxfId="2" priority="2"/>
    <cfRule type="duplicateValues" dxfId="1" priority="3"/>
  </conditionalFormatting>
  <conditionalFormatting sqref="F1:F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product_list</vt:lpstr>
      <vt:lpstr>vlookup lhd</vt:lpstr>
      <vt:lpstr>rhd batch30</vt:lpstr>
      <vt:lpstr>batchs</vt:lpstr>
      <vt:lpstr>H248ClipPosition</vt:lpstr>
      <vt:lpstr>H248_SC35H</vt:lpstr>
      <vt:lpstr>h248SABoardsCCB</vt:lpstr>
      <vt:lpstr>h248LL</vt:lpstr>
      <vt:lpstr>h248RL</vt:lpstr>
      <vt:lpstr>sa_mma_3</vt:lpstr>
      <vt:lpstr>pivot_sa_mma_3</vt:lpstr>
      <vt:lpstr>type_list</vt:lpstr>
      <vt:lpstr>price_offer_list</vt:lpstr>
      <vt:lpstr>color_list</vt:lpstr>
      <vt:lpstr>material_list</vt:lpstr>
      <vt:lpstr>dn</vt:lpstr>
      <vt:lpstr>product_projects</vt:lpstr>
      <vt:lpstr>product_families</vt:lpstr>
      <vt:lpstr>barcode</vt:lpstr>
      <vt:lpstr>sps calc</vt:lpstr>
      <vt:lpstr>Sheet3</vt:lpstr>
      <vt:lpstr>pch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2026-07-31T13:51:37Z</cp:lastPrinted>
  <dcterms:created xsi:type="dcterms:W3CDTF">2015-06-05T18:17:20Z</dcterms:created>
  <dcterms:modified xsi:type="dcterms:W3CDTF">2026-08-17T09:20:58Z</dcterms:modified>
</cp:coreProperties>
</file>