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queryTables/queryTable1.xml" ContentType="application/vnd.openxmlformats-officedocument.spreadsheetml.query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queryTables/queryTable2.xml" ContentType="application/vnd.openxmlformats-officedocument.spreadsheetml.query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queryTables/queryTable3.xml" ContentType="application/vnd.openxmlformats-officedocument.spreadsheetml.query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queryTables/queryTable4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H:\production_data\"/>
    </mc:Choice>
  </mc:AlternateContent>
  <xr:revisionPtr revIDLastSave="0" documentId="13_ncr:2001_{DE32D067-9B5E-4318-AB03-9AAEED6CC9A2}" xr6:coauthVersionLast="47" xr6:coauthVersionMax="47" xr10:uidLastSave="{00000000-0000-0000-0000-000000000000}"/>
  <bookViews>
    <workbookView xWindow="-108" yWindow="-108" windowWidth="23256" windowHeight="13176" tabRatio="902" xr2:uid="{00000000-000D-0000-FFFF-FFFF00000000}"/>
  </bookViews>
  <sheets>
    <sheet name="product_list" sheetId="1" r:id="rId1"/>
    <sheet name="3d" sheetId="51" r:id="rId2"/>
    <sheet name="vlookup lhd" sheetId="39" r:id="rId3"/>
    <sheet name="lhd28NotInProd" sheetId="52" r:id="rId4"/>
    <sheet name="batchs" sheetId="28" r:id="rId5"/>
    <sheet name="rhd" sheetId="54" r:id="rId6"/>
    <sheet name="H248ClipPosition (R)" sheetId="56" r:id="rId7"/>
    <sheet name="H248ClipPosition" sheetId="44" r:id="rId8"/>
    <sheet name="H248_SC35H (R)" sheetId="55" r:id="rId9"/>
    <sheet name="H248_SC35H" sheetId="45" r:id="rId10"/>
    <sheet name="h248EngineAdd" sheetId="53" r:id="rId11"/>
    <sheet name="dn" sheetId="46" r:id="rId12"/>
    <sheet name="h248LHDstatus" sheetId="43" r:id="rId13"/>
    <sheet name="LHD1-7" sheetId="57" r:id="rId14"/>
    <sheet name="Sheet8" sheetId="59" r:id="rId15"/>
    <sheet name="projects" sheetId="58" r:id="rId16"/>
    <sheet name="h248RHDstatus" sheetId="49" r:id="rId17"/>
    <sheet name="type_list" sheetId="4" r:id="rId18"/>
    <sheet name="McDonalds" sheetId="50" r:id="rId19"/>
    <sheet name="price_offer_list" sheetId="3" r:id="rId20"/>
    <sheet name="color_list" sheetId="2" r:id="rId21"/>
    <sheet name="material_list" sheetId="5" r:id="rId22"/>
    <sheet name="barcode" sheetId="21" r:id="rId23"/>
    <sheet name="sps calc" sheetId="30" r:id="rId24"/>
    <sheet name="Sheet3" sheetId="31" r:id="rId25"/>
    <sheet name="pch" sheetId="9" r:id="rId26"/>
    <sheet name="h248SABoardsCCB" sheetId="47" r:id="rId27"/>
  </sheets>
  <definedNames>
    <definedName name="_xlnm._FilterDatabase" localSheetId="9" hidden="1">H248_SC35H!$C$2:$F$44</definedName>
    <definedName name="_xlnm._FilterDatabase" localSheetId="8" hidden="1">'H248_SC35H (R)'!$C$2:$F$123</definedName>
    <definedName name="_xlnm._FilterDatabase" localSheetId="7" hidden="1">H248ClipPosition!$A$2:$D$31</definedName>
    <definedName name="_xlnm._FilterDatabase" localSheetId="6" hidden="1">'H248ClipPosition (R)'!$A$2:$D$28</definedName>
    <definedName name="_xlnm._FilterDatabase" localSheetId="13" hidden="1">'LHD1-7'!$A$1:$AN$123</definedName>
    <definedName name="_xlnm._FilterDatabase" localSheetId="3" hidden="1">lhd28NotInProd!$A$1:$E$18</definedName>
    <definedName name="_xlnm._FilterDatabase" localSheetId="5" hidden="1">rhd!$A$1:$D$130</definedName>
    <definedName name="_xlnm._FilterDatabase" localSheetId="2" hidden="1">'vlookup lhd'!$A$15:$M$150</definedName>
    <definedName name="defaultdb_barcode_scans" localSheetId="25" hidden="1">pch!#REF!</definedName>
    <definedName name="ExternalData_1" localSheetId="10" hidden="1">h248EngineAdd!$A$1:$K$21</definedName>
    <definedName name="ExternalData_1" localSheetId="12" hidden="1">h248LHDstatus!$A$1:$K$123</definedName>
    <definedName name="ExternalData_1" localSheetId="16" hidden="1">h248RHDstatus!$A$1:$K$119</definedName>
    <definedName name="ExternalData_1" localSheetId="26" hidden="1">h248SABoardsCCB!$A$1:$K$69</definedName>
    <definedName name="Table18_1" localSheetId="25" hidden="1">pch!#REF!</definedName>
  </definedNames>
  <calcPr calcId="181029"/>
  <fileRecoveryPr repairLoad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A591" i="1" l="1"/>
  <c r="AB307" i="1" l="1"/>
  <c r="AA307" i="1" s="1"/>
  <c r="E44" i="45"/>
  <c r="E43" i="45"/>
  <c r="C4" i="56" l="1"/>
  <c r="C5" i="56"/>
  <c r="C6" i="56"/>
  <c r="C7" i="56"/>
  <c r="C8" i="56"/>
  <c r="C9" i="56"/>
  <c r="C10" i="56"/>
  <c r="C11" i="56"/>
  <c r="C12" i="56"/>
  <c r="C13" i="56"/>
  <c r="C14" i="56"/>
  <c r="C15" i="56"/>
  <c r="C16" i="56"/>
  <c r="C17" i="56"/>
  <c r="C18" i="56"/>
  <c r="C19" i="56"/>
  <c r="C20" i="56"/>
  <c r="C21" i="56"/>
  <c r="C22" i="56"/>
  <c r="C23" i="56"/>
  <c r="C24" i="56"/>
  <c r="C25" i="56"/>
  <c r="C26" i="56"/>
  <c r="C27" i="56"/>
  <c r="C28" i="56"/>
  <c r="C3" i="56"/>
  <c r="E4" i="55"/>
  <c r="E5" i="55"/>
  <c r="E6" i="55"/>
  <c r="E7" i="55"/>
  <c r="E8" i="55"/>
  <c r="E9" i="55"/>
  <c r="E10" i="55"/>
  <c r="E11" i="55"/>
  <c r="E12" i="55"/>
  <c r="E13" i="55"/>
  <c r="E14" i="55"/>
  <c r="E15" i="55"/>
  <c r="E16" i="55"/>
  <c r="E17" i="55"/>
  <c r="E18" i="55"/>
  <c r="E19" i="55"/>
  <c r="E20" i="55"/>
  <c r="E21" i="55"/>
  <c r="E22" i="55"/>
  <c r="E23" i="55"/>
  <c r="E24" i="55"/>
  <c r="E25" i="55"/>
  <c r="E26" i="55"/>
  <c r="E27" i="55"/>
  <c r="E28" i="55"/>
  <c r="E29" i="55"/>
  <c r="E30" i="55"/>
  <c r="E31" i="55"/>
  <c r="E32" i="55"/>
  <c r="E33" i="55"/>
  <c r="E34" i="55"/>
  <c r="E35" i="55"/>
  <c r="E36" i="55"/>
  <c r="E37" i="55"/>
  <c r="E38" i="55"/>
  <c r="E39" i="55"/>
  <c r="E40" i="55"/>
  <c r="E41" i="55"/>
  <c r="E42" i="55"/>
  <c r="E43" i="55"/>
  <c r="E44" i="55"/>
  <c r="E45" i="55"/>
  <c r="E46" i="55"/>
  <c r="E47" i="55"/>
  <c r="E48" i="55"/>
  <c r="E49" i="55"/>
  <c r="E50" i="55"/>
  <c r="E51" i="55"/>
  <c r="E52" i="55"/>
  <c r="E53" i="55"/>
  <c r="E54" i="55"/>
  <c r="E55" i="55"/>
  <c r="E56" i="55"/>
  <c r="E57" i="55"/>
  <c r="E58" i="55"/>
  <c r="E59" i="55"/>
  <c r="E60" i="55"/>
  <c r="E61" i="55"/>
  <c r="E62" i="55"/>
  <c r="E63" i="55"/>
  <c r="E64" i="55"/>
  <c r="E65" i="55"/>
  <c r="E66" i="55"/>
  <c r="E67" i="55"/>
  <c r="E68" i="55"/>
  <c r="E69" i="55"/>
  <c r="E70" i="55"/>
  <c r="E71" i="55"/>
  <c r="E72" i="55"/>
  <c r="E73" i="55"/>
  <c r="E74" i="55"/>
  <c r="E75" i="55"/>
  <c r="E76" i="55"/>
  <c r="E77" i="55"/>
  <c r="E78" i="55"/>
  <c r="E79" i="55"/>
  <c r="E80" i="55"/>
  <c r="E81" i="55"/>
  <c r="E82" i="55"/>
  <c r="E83" i="55"/>
  <c r="E84" i="55"/>
  <c r="E85" i="55"/>
  <c r="E86" i="55"/>
  <c r="E87" i="55"/>
  <c r="E88" i="55"/>
  <c r="E89" i="55"/>
  <c r="E90" i="55"/>
  <c r="E91" i="55"/>
  <c r="E92" i="55"/>
  <c r="E93" i="55"/>
  <c r="E94" i="55"/>
  <c r="E95" i="55"/>
  <c r="E96" i="55"/>
  <c r="E97" i="55"/>
  <c r="E98" i="55"/>
  <c r="E99" i="55"/>
  <c r="E100" i="55"/>
  <c r="E101" i="55"/>
  <c r="E102" i="55"/>
  <c r="E103" i="55"/>
  <c r="E104" i="55"/>
  <c r="E105" i="55"/>
  <c r="E106" i="55"/>
  <c r="E107" i="55"/>
  <c r="E108" i="55"/>
  <c r="E109" i="55"/>
  <c r="E110" i="55"/>
  <c r="E111" i="55"/>
  <c r="E112" i="55"/>
  <c r="E113" i="55"/>
  <c r="E114" i="55"/>
  <c r="E115" i="55"/>
  <c r="E116" i="55"/>
  <c r="E117" i="55"/>
  <c r="E118" i="55"/>
  <c r="E119" i="55"/>
  <c r="E120" i="55"/>
  <c r="E123" i="55"/>
  <c r="E122" i="55"/>
  <c r="E121" i="55"/>
  <c r="E3" i="55"/>
  <c r="AA582" i="1"/>
  <c r="AA583" i="1"/>
  <c r="AA584" i="1"/>
  <c r="AA585" i="1"/>
  <c r="AA586" i="1"/>
  <c r="AA587" i="1"/>
  <c r="AA588" i="1"/>
  <c r="AB589" i="1"/>
  <c r="AA589" i="1" s="1"/>
  <c r="AB590" i="1"/>
  <c r="AA590" i="1" s="1"/>
  <c r="AA581" i="1"/>
  <c r="AA580" i="1"/>
  <c r="AA579" i="1"/>
  <c r="AA578" i="1" l="1"/>
  <c r="AA577" i="1"/>
  <c r="AA576" i="1"/>
  <c r="AA575" i="1"/>
  <c r="AA558" i="1"/>
  <c r="AA559" i="1"/>
  <c r="AA561" i="1"/>
  <c r="AA562" i="1"/>
  <c r="AA563" i="1"/>
  <c r="AA564" i="1"/>
  <c r="AA565" i="1"/>
  <c r="AA566" i="1"/>
  <c r="AA567" i="1"/>
  <c r="AA568" i="1"/>
  <c r="AA569" i="1"/>
  <c r="AA570" i="1"/>
  <c r="AA571" i="1"/>
  <c r="AA572" i="1"/>
  <c r="AA573" i="1"/>
  <c r="AA574" i="1"/>
  <c r="AA560" i="1"/>
  <c r="AA557" i="1" l="1"/>
  <c r="AA555" i="1"/>
  <c r="AA556" i="1"/>
  <c r="AA554" i="1"/>
  <c r="AA553" i="1" l="1"/>
  <c r="N12" i="50"/>
  <c r="N13" i="50"/>
  <c r="N14" i="50"/>
  <c r="N11" i="50"/>
  <c r="K12" i="50"/>
  <c r="K13" i="50"/>
  <c r="K14" i="50"/>
  <c r="K11" i="50"/>
  <c r="H12" i="50" l="1"/>
  <c r="H11" i="50"/>
  <c r="H29" i="39" l="1"/>
  <c r="AA527" i="1" l="1"/>
  <c r="AA526" i="1"/>
  <c r="AA525" i="1"/>
  <c r="AA524" i="1"/>
  <c r="AB521" i="1"/>
  <c r="AA521" i="1" s="1"/>
  <c r="AB522" i="1"/>
  <c r="AA522" i="1" s="1"/>
  <c r="AB523" i="1"/>
  <c r="AA523" i="1" s="1"/>
  <c r="AB3" i="1"/>
  <c r="AB4" i="1"/>
  <c r="AB5" i="1"/>
  <c r="AB6" i="1"/>
  <c r="AB7" i="1"/>
  <c r="AB8" i="1"/>
  <c r="AB9" i="1"/>
  <c r="AB10" i="1"/>
  <c r="AB11" i="1"/>
  <c r="AB12" i="1"/>
  <c r="AB13" i="1"/>
  <c r="AB14" i="1"/>
  <c r="AB15" i="1"/>
  <c r="AB16" i="1"/>
  <c r="AB17" i="1"/>
  <c r="AB18" i="1"/>
  <c r="AB19" i="1"/>
  <c r="AB20" i="1"/>
  <c r="AB21" i="1"/>
  <c r="AB22" i="1"/>
  <c r="AB23" i="1"/>
  <c r="AB24" i="1"/>
  <c r="AB25" i="1"/>
  <c r="AB26" i="1"/>
  <c r="AB27" i="1"/>
  <c r="AB28" i="1"/>
  <c r="AB29" i="1"/>
  <c r="AB30" i="1"/>
  <c r="AB31" i="1"/>
  <c r="AB32" i="1"/>
  <c r="AB33" i="1"/>
  <c r="AB34" i="1"/>
  <c r="AB36" i="1"/>
  <c r="AB37" i="1"/>
  <c r="AB38" i="1"/>
  <c r="AB39" i="1"/>
  <c r="AB40" i="1"/>
  <c r="AB41" i="1"/>
  <c r="AB42" i="1"/>
  <c r="AB43" i="1"/>
  <c r="AB44" i="1"/>
  <c r="AB45" i="1"/>
  <c r="AB46" i="1"/>
  <c r="AB47" i="1"/>
  <c r="AB48" i="1"/>
  <c r="AB49" i="1"/>
  <c r="AB50" i="1"/>
  <c r="AB51" i="1"/>
  <c r="AB52" i="1"/>
  <c r="AB53" i="1"/>
  <c r="AB54" i="1"/>
  <c r="AB55" i="1"/>
  <c r="AB56" i="1"/>
  <c r="AB57" i="1"/>
  <c r="AB58" i="1"/>
  <c r="AB59" i="1"/>
  <c r="AB60" i="1"/>
  <c r="AB61" i="1"/>
  <c r="AB62" i="1"/>
  <c r="AB63" i="1"/>
  <c r="AB64" i="1"/>
  <c r="AB65" i="1"/>
  <c r="AB66" i="1"/>
  <c r="AB71" i="1"/>
  <c r="AB72" i="1"/>
  <c r="AB73" i="1"/>
  <c r="AB74" i="1"/>
  <c r="AB75" i="1"/>
  <c r="AB76" i="1"/>
  <c r="AB77" i="1"/>
  <c r="AB78" i="1"/>
  <c r="AB79" i="1"/>
  <c r="AB80" i="1"/>
  <c r="AB81" i="1"/>
  <c r="AB82" i="1"/>
  <c r="AB83" i="1"/>
  <c r="AB84" i="1"/>
  <c r="AB85" i="1"/>
  <c r="AB86" i="1"/>
  <c r="AB87" i="1"/>
  <c r="AB88" i="1"/>
  <c r="AB89" i="1"/>
  <c r="AB90" i="1"/>
  <c r="AB91" i="1"/>
  <c r="AB92" i="1"/>
  <c r="AB93" i="1"/>
  <c r="AB94" i="1"/>
  <c r="AB95" i="1"/>
  <c r="AB96" i="1"/>
  <c r="AB97" i="1"/>
  <c r="AB98" i="1"/>
  <c r="AB100" i="1"/>
  <c r="AB103" i="1"/>
  <c r="AB104" i="1"/>
  <c r="AB105" i="1"/>
  <c r="AB107" i="1"/>
  <c r="AB108" i="1"/>
  <c r="AB109" i="1"/>
  <c r="AB110" i="1"/>
  <c r="AB112" i="1"/>
  <c r="AB113" i="1"/>
  <c r="AB114" i="1"/>
  <c r="AB115" i="1"/>
  <c r="AB116" i="1"/>
  <c r="AB117" i="1"/>
  <c r="AB118" i="1"/>
  <c r="AB119" i="1"/>
  <c r="AB120" i="1"/>
  <c r="AB122" i="1"/>
  <c r="AB123" i="1"/>
  <c r="AB125" i="1"/>
  <c r="AB129" i="1"/>
  <c r="AB130" i="1"/>
  <c r="AB131" i="1"/>
  <c r="AB132" i="1"/>
  <c r="AB133" i="1"/>
  <c r="AB134" i="1"/>
  <c r="AB135" i="1"/>
  <c r="AB136" i="1"/>
  <c r="AB137" i="1"/>
  <c r="AB138" i="1"/>
  <c r="AB139" i="1"/>
  <c r="AB140" i="1"/>
  <c r="AB141" i="1"/>
  <c r="AB142" i="1"/>
  <c r="AB143" i="1"/>
  <c r="AB144" i="1"/>
  <c r="AB145" i="1"/>
  <c r="AB146" i="1"/>
  <c r="AB147" i="1"/>
  <c r="AB149" i="1"/>
  <c r="AB150" i="1"/>
  <c r="AB151" i="1"/>
  <c r="AB152" i="1"/>
  <c r="AB153" i="1"/>
  <c r="AB154" i="1"/>
  <c r="AB155" i="1"/>
  <c r="AB156" i="1"/>
  <c r="AB157" i="1"/>
  <c r="AB158" i="1"/>
  <c r="AB159" i="1"/>
  <c r="AB160" i="1"/>
  <c r="AB161" i="1"/>
  <c r="AB162" i="1"/>
  <c r="AB163" i="1"/>
  <c r="AB164" i="1"/>
  <c r="AB165" i="1"/>
  <c r="AB166" i="1"/>
  <c r="AB167" i="1"/>
  <c r="AB170" i="1"/>
  <c r="AB171" i="1"/>
  <c r="AB172" i="1"/>
  <c r="AB173" i="1"/>
  <c r="AB175" i="1"/>
  <c r="AB177" i="1"/>
  <c r="AB178" i="1"/>
  <c r="AB179" i="1"/>
  <c r="AB180" i="1"/>
  <c r="AB181" i="1"/>
  <c r="AB182" i="1"/>
  <c r="AB183" i="1"/>
  <c r="AB184" i="1"/>
  <c r="AB185" i="1"/>
  <c r="AB186" i="1"/>
  <c r="AB187" i="1"/>
  <c r="AB188" i="1"/>
  <c r="AB189" i="1"/>
  <c r="AB190" i="1"/>
  <c r="AB191" i="1"/>
  <c r="AB192" i="1"/>
  <c r="AB193" i="1"/>
  <c r="AB194" i="1"/>
  <c r="AB195" i="1"/>
  <c r="AB196" i="1"/>
  <c r="AB197" i="1"/>
  <c r="AB198" i="1"/>
  <c r="AB199" i="1"/>
  <c r="AB200" i="1"/>
  <c r="AB205" i="1"/>
  <c r="AB206" i="1"/>
  <c r="AB207" i="1"/>
  <c r="AB208" i="1"/>
  <c r="AB209" i="1"/>
  <c r="AB210" i="1"/>
  <c r="AB211" i="1"/>
  <c r="AB212" i="1"/>
  <c r="AB213" i="1"/>
  <c r="AB214" i="1"/>
  <c r="AB215" i="1"/>
  <c r="AB216" i="1"/>
  <c r="AB219" i="1"/>
  <c r="AB220" i="1"/>
  <c r="AB221" i="1"/>
  <c r="AB222" i="1"/>
  <c r="AB223" i="1"/>
  <c r="AB224" i="1"/>
  <c r="AB225" i="1"/>
  <c r="AB226" i="1"/>
  <c r="AB227" i="1"/>
  <c r="AB229" i="1"/>
  <c r="AB230" i="1"/>
  <c r="AB232" i="1"/>
  <c r="AB233" i="1"/>
  <c r="AB240" i="1"/>
  <c r="AB241" i="1"/>
  <c r="AB242" i="1"/>
  <c r="AB243" i="1"/>
  <c r="AB244" i="1"/>
  <c r="AB245" i="1"/>
  <c r="AB246" i="1"/>
  <c r="AB247" i="1"/>
  <c r="AB248" i="1"/>
  <c r="AB249" i="1"/>
  <c r="AB256" i="1"/>
  <c r="AB257" i="1"/>
  <c r="AB258" i="1"/>
  <c r="AB259" i="1"/>
  <c r="AB281" i="1"/>
  <c r="AB282" i="1"/>
  <c r="AB285" i="1"/>
  <c r="AB286" i="1"/>
  <c r="AB287" i="1"/>
  <c r="AB288" i="1"/>
  <c r="AB289" i="1"/>
  <c r="AB290" i="1"/>
  <c r="AB291" i="1"/>
  <c r="AB292" i="1"/>
  <c r="AB293" i="1"/>
  <c r="AB294" i="1"/>
  <c r="AB295" i="1"/>
  <c r="AB296" i="1"/>
  <c r="AB297" i="1"/>
  <c r="AB298" i="1"/>
  <c r="AB299" i="1"/>
  <c r="AB300" i="1"/>
  <c r="AB301" i="1"/>
  <c r="AB302" i="1"/>
  <c r="AB303" i="1"/>
  <c r="AB304" i="1"/>
  <c r="AB305" i="1"/>
  <c r="AB306" i="1"/>
  <c r="AB308" i="1"/>
  <c r="AB309" i="1"/>
  <c r="AB310" i="1"/>
  <c r="AB311" i="1"/>
  <c r="AB312" i="1"/>
  <c r="AB313" i="1"/>
  <c r="AB314" i="1"/>
  <c r="AB315" i="1"/>
  <c r="AB316" i="1"/>
  <c r="AB317" i="1"/>
  <c r="AB318" i="1"/>
  <c r="AB319" i="1"/>
  <c r="AB320" i="1"/>
  <c r="AB321" i="1"/>
  <c r="AB322" i="1"/>
  <c r="AB323" i="1"/>
  <c r="AB324" i="1"/>
  <c r="AB325" i="1"/>
  <c r="AB326" i="1"/>
  <c r="AB327" i="1"/>
  <c r="AB328" i="1"/>
  <c r="AB329" i="1"/>
  <c r="AB330" i="1"/>
  <c r="AB331" i="1"/>
  <c r="AB332" i="1"/>
  <c r="AB333" i="1"/>
  <c r="AB334" i="1"/>
  <c r="AB335" i="1"/>
  <c r="AB336" i="1"/>
  <c r="AB337" i="1"/>
  <c r="AB338" i="1"/>
  <c r="AB339" i="1"/>
  <c r="AB340" i="1"/>
  <c r="AB341" i="1"/>
  <c r="AB342" i="1"/>
  <c r="AB343" i="1"/>
  <c r="AB344" i="1"/>
  <c r="AB345" i="1"/>
  <c r="AB346" i="1"/>
  <c r="AB347" i="1"/>
  <c r="AB348" i="1"/>
  <c r="AB349" i="1"/>
  <c r="AB350" i="1"/>
  <c r="AB351" i="1"/>
  <c r="AB352" i="1"/>
  <c r="AB353" i="1"/>
  <c r="AB354" i="1"/>
  <c r="AB355" i="1"/>
  <c r="AB356" i="1"/>
  <c r="AB357" i="1"/>
  <c r="AB358" i="1"/>
  <c r="AB359" i="1"/>
  <c r="AB360" i="1"/>
  <c r="AB361" i="1"/>
  <c r="AB362" i="1"/>
  <c r="AB363" i="1"/>
  <c r="AB364" i="1"/>
  <c r="AB365" i="1"/>
  <c r="AB366" i="1"/>
  <c r="AB367" i="1"/>
  <c r="AB368" i="1"/>
  <c r="AB369" i="1"/>
  <c r="AB370" i="1"/>
  <c r="AB371" i="1"/>
  <c r="AB372" i="1"/>
  <c r="AB373" i="1"/>
  <c r="AB374" i="1"/>
  <c r="AB375" i="1"/>
  <c r="AB376" i="1"/>
  <c r="AB377" i="1"/>
  <c r="AB378" i="1"/>
  <c r="AB379" i="1"/>
  <c r="AB380" i="1"/>
  <c r="AB381" i="1"/>
  <c r="AB382" i="1"/>
  <c r="AB383" i="1"/>
  <c r="AB384" i="1"/>
  <c r="AB385" i="1"/>
  <c r="AB386" i="1"/>
  <c r="AB387" i="1"/>
  <c r="AB388" i="1"/>
  <c r="AB389" i="1"/>
  <c r="AB390" i="1"/>
  <c r="AB391" i="1"/>
  <c r="AB396" i="1"/>
  <c r="AB397" i="1"/>
  <c r="AB398" i="1"/>
  <c r="AB399" i="1"/>
  <c r="AB400" i="1"/>
  <c r="AB401" i="1"/>
  <c r="AB402" i="1"/>
  <c r="AB403" i="1"/>
  <c r="AB404" i="1"/>
  <c r="AB405" i="1"/>
  <c r="AB406" i="1"/>
  <c r="AB407" i="1"/>
  <c r="AB408" i="1"/>
  <c r="AB409" i="1"/>
  <c r="AB410" i="1"/>
  <c r="AB411" i="1"/>
  <c r="AB412" i="1"/>
  <c r="AB413" i="1"/>
  <c r="AB414" i="1"/>
  <c r="AB415" i="1"/>
  <c r="AB416" i="1"/>
  <c r="AB417" i="1"/>
  <c r="AB418" i="1"/>
  <c r="AB419" i="1"/>
  <c r="AB420" i="1"/>
  <c r="AB421" i="1"/>
  <c r="AB422" i="1"/>
  <c r="AB423" i="1"/>
  <c r="AB424" i="1"/>
  <c r="AB425" i="1"/>
  <c r="AB426" i="1"/>
  <c r="AB427" i="1"/>
  <c r="AB428" i="1"/>
  <c r="AB429" i="1"/>
  <c r="AB430" i="1"/>
  <c r="AB431" i="1"/>
  <c r="AB432" i="1"/>
  <c r="AB433" i="1"/>
  <c r="AB434" i="1"/>
  <c r="AB435" i="1"/>
  <c r="AB436" i="1"/>
  <c r="AB437" i="1"/>
  <c r="AB438" i="1"/>
  <c r="AB439" i="1"/>
  <c r="AB440" i="1"/>
  <c r="AB441" i="1"/>
  <c r="AB442" i="1"/>
  <c r="AB443" i="1"/>
  <c r="AB444" i="1"/>
  <c r="AB445" i="1"/>
  <c r="AB446" i="1"/>
  <c r="AB447" i="1"/>
  <c r="AB448" i="1"/>
  <c r="AB449" i="1"/>
  <c r="AB450" i="1"/>
  <c r="AB451" i="1"/>
  <c r="AB452" i="1"/>
  <c r="AB453" i="1"/>
  <c r="AB454" i="1"/>
  <c r="AB455" i="1"/>
  <c r="AB456" i="1"/>
  <c r="AB457" i="1"/>
  <c r="AB458" i="1"/>
  <c r="AB459" i="1"/>
  <c r="AB460" i="1"/>
  <c r="AB461" i="1"/>
  <c r="AB462" i="1"/>
  <c r="AB463" i="1"/>
  <c r="AB464" i="1"/>
  <c r="AB465" i="1"/>
  <c r="AB466" i="1"/>
  <c r="AB467" i="1"/>
  <c r="AB468" i="1"/>
  <c r="AB469" i="1"/>
  <c r="AB470" i="1"/>
  <c r="AB471" i="1"/>
  <c r="AB472" i="1"/>
  <c r="AB473" i="1"/>
  <c r="AB474" i="1"/>
  <c r="AB475" i="1"/>
  <c r="AB476" i="1"/>
  <c r="AB477" i="1"/>
  <c r="AB478" i="1"/>
  <c r="AB479" i="1"/>
  <c r="AB480" i="1"/>
  <c r="AB481" i="1"/>
  <c r="AB482" i="1"/>
  <c r="AB483" i="1"/>
  <c r="AB484" i="1"/>
  <c r="AB485" i="1"/>
  <c r="AB486" i="1"/>
  <c r="AB487" i="1"/>
  <c r="AB488" i="1"/>
  <c r="AB489" i="1"/>
  <c r="AB490" i="1"/>
  <c r="AB491" i="1"/>
  <c r="AB492" i="1"/>
  <c r="AB493" i="1"/>
  <c r="AB494" i="1"/>
  <c r="AB495" i="1"/>
  <c r="AB496" i="1"/>
  <c r="AB497" i="1"/>
  <c r="AB498" i="1"/>
  <c r="AB499" i="1"/>
  <c r="AB500" i="1"/>
  <c r="AB501" i="1"/>
  <c r="AB502" i="1"/>
  <c r="AB503" i="1"/>
  <c r="AB504" i="1"/>
  <c r="AB505" i="1"/>
  <c r="AB506" i="1"/>
  <c r="AB507" i="1"/>
  <c r="AB508" i="1"/>
  <c r="AB509" i="1"/>
  <c r="AB510" i="1"/>
  <c r="AB511" i="1"/>
  <c r="AB512" i="1"/>
  <c r="AB513" i="1"/>
  <c r="AB514" i="1"/>
  <c r="AB515" i="1"/>
  <c r="AB516" i="1"/>
  <c r="AB517" i="1"/>
  <c r="AB518" i="1"/>
  <c r="AB519" i="1"/>
  <c r="AB520" i="1"/>
  <c r="AB528" i="1"/>
  <c r="AB529" i="1"/>
  <c r="AB530" i="1"/>
  <c r="AB531" i="1"/>
  <c r="AB532" i="1"/>
  <c r="AB533" i="1"/>
  <c r="AB535" i="1"/>
  <c r="AB536" i="1"/>
  <c r="AB537" i="1"/>
  <c r="AB538" i="1"/>
  <c r="AB539" i="1"/>
  <c r="AB540" i="1"/>
  <c r="AA399" i="1" l="1"/>
  <c r="AA398" i="1"/>
  <c r="AA397" i="1"/>
  <c r="AA396" i="1"/>
  <c r="AA395" i="1"/>
  <c r="AA313" i="1"/>
  <c r="AA314" i="1"/>
  <c r="AA529" i="1" l="1"/>
  <c r="AA530" i="1"/>
  <c r="AA505" i="1" l="1"/>
  <c r="AA506" i="1"/>
  <c r="AA507" i="1"/>
  <c r="AA532" i="1"/>
  <c r="AA533" i="1"/>
  <c r="AA541" i="1" l="1"/>
  <c r="AA542" i="1"/>
  <c r="AA543" i="1"/>
  <c r="AA544" i="1"/>
  <c r="AA545" i="1"/>
  <c r="AA546" i="1"/>
  <c r="AA547" i="1"/>
  <c r="AA548" i="1"/>
  <c r="AA549" i="1"/>
  <c r="AA550" i="1"/>
  <c r="AA551" i="1"/>
  <c r="AA552" i="1"/>
  <c r="AA540" i="1"/>
  <c r="AA536" i="1" l="1"/>
  <c r="H134" i="39" l="1"/>
  <c r="AA3" i="1"/>
  <c r="AA4" i="1"/>
  <c r="AA5" i="1"/>
  <c r="AA6" i="1"/>
  <c r="AA7" i="1"/>
  <c r="AA8" i="1"/>
  <c r="AA9" i="1"/>
  <c r="AA10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AA30" i="1"/>
  <c r="AA31" i="1"/>
  <c r="AA32" i="1"/>
  <c r="AA33" i="1"/>
  <c r="AA34" i="1"/>
  <c r="AA35" i="1"/>
  <c r="AA36" i="1"/>
  <c r="AA37" i="1"/>
  <c r="AA38" i="1"/>
  <c r="AA39" i="1"/>
  <c r="AA40" i="1"/>
  <c r="AA41" i="1"/>
  <c r="AA42" i="1"/>
  <c r="AA43" i="1"/>
  <c r="AA44" i="1"/>
  <c r="AA45" i="1"/>
  <c r="AA46" i="1"/>
  <c r="AA47" i="1"/>
  <c r="AA48" i="1"/>
  <c r="AA49" i="1"/>
  <c r="AA50" i="1"/>
  <c r="AA51" i="1"/>
  <c r="AA52" i="1"/>
  <c r="AA53" i="1"/>
  <c r="AA54" i="1"/>
  <c r="AA55" i="1"/>
  <c r="AA56" i="1"/>
  <c r="AA57" i="1"/>
  <c r="AA58" i="1"/>
  <c r="AA59" i="1"/>
  <c r="AA60" i="1"/>
  <c r="AA61" i="1"/>
  <c r="AA62" i="1"/>
  <c r="AA63" i="1"/>
  <c r="AA64" i="1"/>
  <c r="AA65" i="1"/>
  <c r="AA66" i="1"/>
  <c r="AA67" i="1"/>
  <c r="AA68" i="1"/>
  <c r="AA69" i="1"/>
  <c r="AA70" i="1"/>
  <c r="AA71" i="1"/>
  <c r="AA72" i="1"/>
  <c r="AA73" i="1"/>
  <c r="AA74" i="1"/>
  <c r="AA75" i="1"/>
  <c r="AA76" i="1"/>
  <c r="AA77" i="1"/>
  <c r="AA78" i="1"/>
  <c r="AA79" i="1"/>
  <c r="AA80" i="1"/>
  <c r="AA81" i="1"/>
  <c r="AA82" i="1"/>
  <c r="AA83" i="1"/>
  <c r="AA84" i="1"/>
  <c r="AA85" i="1"/>
  <c r="AA86" i="1"/>
  <c r="AA87" i="1"/>
  <c r="AA88" i="1"/>
  <c r="AA89" i="1"/>
  <c r="AA90" i="1"/>
  <c r="AA91" i="1"/>
  <c r="AA92" i="1"/>
  <c r="AA93" i="1"/>
  <c r="AA94" i="1"/>
  <c r="AA95" i="1"/>
  <c r="AA96" i="1"/>
  <c r="AA97" i="1"/>
  <c r="AA98" i="1"/>
  <c r="AA99" i="1"/>
  <c r="AA100" i="1"/>
  <c r="AA101" i="1"/>
  <c r="AA102" i="1"/>
  <c r="AA103" i="1"/>
  <c r="AA104" i="1"/>
  <c r="AA105" i="1"/>
  <c r="AA106" i="1"/>
  <c r="AA107" i="1"/>
  <c r="AA108" i="1"/>
  <c r="AA109" i="1"/>
  <c r="AA110" i="1"/>
  <c r="AA111" i="1"/>
  <c r="AA112" i="1"/>
  <c r="AA113" i="1"/>
  <c r="AA114" i="1"/>
  <c r="AA115" i="1"/>
  <c r="AA116" i="1"/>
  <c r="AA117" i="1"/>
  <c r="AA118" i="1"/>
  <c r="AA119" i="1"/>
  <c r="AA120" i="1"/>
  <c r="AA121" i="1"/>
  <c r="AA122" i="1"/>
  <c r="AA123" i="1"/>
  <c r="AA124" i="1"/>
  <c r="AA125" i="1"/>
  <c r="AA126" i="1"/>
  <c r="AA127" i="1"/>
  <c r="AA128" i="1"/>
  <c r="AA129" i="1"/>
  <c r="AA130" i="1"/>
  <c r="AA131" i="1"/>
  <c r="AA132" i="1"/>
  <c r="AA133" i="1"/>
  <c r="AA134" i="1"/>
  <c r="AA135" i="1"/>
  <c r="AA136" i="1"/>
  <c r="AA137" i="1"/>
  <c r="AA138" i="1"/>
  <c r="AA139" i="1"/>
  <c r="AA140" i="1"/>
  <c r="AA141" i="1"/>
  <c r="AA142" i="1"/>
  <c r="AA143" i="1"/>
  <c r="AA144" i="1"/>
  <c r="AA145" i="1"/>
  <c r="AA146" i="1"/>
  <c r="AA147" i="1"/>
  <c r="AA148" i="1"/>
  <c r="AA149" i="1"/>
  <c r="AA150" i="1"/>
  <c r="AA151" i="1"/>
  <c r="AA152" i="1"/>
  <c r="AA153" i="1"/>
  <c r="AA154" i="1"/>
  <c r="AA155" i="1"/>
  <c r="AA156" i="1"/>
  <c r="AA157" i="1"/>
  <c r="AA158" i="1"/>
  <c r="AA159" i="1"/>
  <c r="AA160" i="1"/>
  <c r="AA161" i="1"/>
  <c r="AA162" i="1"/>
  <c r="AA163" i="1"/>
  <c r="AA164" i="1"/>
  <c r="AA165" i="1"/>
  <c r="AA166" i="1"/>
  <c r="AA167" i="1"/>
  <c r="AA168" i="1"/>
  <c r="AA169" i="1"/>
  <c r="AA170" i="1"/>
  <c r="AA171" i="1"/>
  <c r="AA172" i="1"/>
  <c r="AA173" i="1"/>
  <c r="AA174" i="1"/>
  <c r="AA175" i="1"/>
  <c r="AA176" i="1"/>
  <c r="AA177" i="1"/>
  <c r="AA178" i="1"/>
  <c r="AA179" i="1"/>
  <c r="AA180" i="1"/>
  <c r="AA181" i="1"/>
  <c r="AA182" i="1"/>
  <c r="AA183" i="1"/>
  <c r="AA184" i="1"/>
  <c r="AA185" i="1"/>
  <c r="AA186" i="1"/>
  <c r="AA187" i="1"/>
  <c r="AA188" i="1"/>
  <c r="AA189" i="1"/>
  <c r="AA190" i="1"/>
  <c r="AA191" i="1"/>
  <c r="AA192" i="1"/>
  <c r="AA193" i="1"/>
  <c r="AA194" i="1"/>
  <c r="AA195" i="1"/>
  <c r="AA196" i="1"/>
  <c r="AA197" i="1"/>
  <c r="AA198" i="1"/>
  <c r="AA199" i="1"/>
  <c r="AA200" i="1"/>
  <c r="AA201" i="1"/>
  <c r="AA202" i="1"/>
  <c r="AA203" i="1"/>
  <c r="AA204" i="1"/>
  <c r="AA205" i="1"/>
  <c r="AA206" i="1"/>
  <c r="AA207" i="1"/>
  <c r="AA208" i="1"/>
  <c r="AA209" i="1"/>
  <c r="AA210" i="1"/>
  <c r="AA211" i="1"/>
  <c r="AA212" i="1"/>
  <c r="AA213" i="1"/>
  <c r="AA214" i="1"/>
  <c r="AA215" i="1"/>
  <c r="AA216" i="1"/>
  <c r="AA217" i="1"/>
  <c r="AA218" i="1"/>
  <c r="AA219" i="1"/>
  <c r="AA220" i="1"/>
  <c r="AA221" i="1"/>
  <c r="AA222" i="1"/>
  <c r="AA223" i="1"/>
  <c r="AA224" i="1"/>
  <c r="AA225" i="1"/>
  <c r="AA226" i="1"/>
  <c r="AA227" i="1"/>
  <c r="AA228" i="1"/>
  <c r="AA229" i="1"/>
  <c r="AA230" i="1"/>
  <c r="AA231" i="1"/>
  <c r="AA232" i="1"/>
  <c r="AA233" i="1"/>
  <c r="AA234" i="1"/>
  <c r="AA235" i="1"/>
  <c r="AA236" i="1"/>
  <c r="AA237" i="1"/>
  <c r="AA238" i="1"/>
  <c r="AA239" i="1"/>
  <c r="AA240" i="1"/>
  <c r="AA241" i="1"/>
  <c r="AA242" i="1"/>
  <c r="AA243" i="1"/>
  <c r="AA244" i="1"/>
  <c r="AA245" i="1"/>
  <c r="AA246" i="1"/>
  <c r="AA247" i="1"/>
  <c r="AA248" i="1"/>
  <c r="AA249" i="1"/>
  <c r="AA250" i="1"/>
  <c r="AA251" i="1"/>
  <c r="AA252" i="1"/>
  <c r="AA253" i="1"/>
  <c r="AA254" i="1"/>
  <c r="AA255" i="1"/>
  <c r="AA256" i="1"/>
  <c r="AA257" i="1"/>
  <c r="AA258" i="1"/>
  <c r="AA259" i="1"/>
  <c r="AA260" i="1"/>
  <c r="AA261" i="1"/>
  <c r="AA262" i="1"/>
  <c r="AA263" i="1"/>
  <c r="AA264" i="1"/>
  <c r="AA265" i="1"/>
  <c r="AA266" i="1"/>
  <c r="AA267" i="1"/>
  <c r="AA268" i="1"/>
  <c r="AA269" i="1"/>
  <c r="AA270" i="1"/>
  <c r="AA271" i="1"/>
  <c r="AA272" i="1"/>
  <c r="AA273" i="1"/>
  <c r="AA274" i="1"/>
  <c r="AA275" i="1"/>
  <c r="AA276" i="1"/>
  <c r="AA277" i="1"/>
  <c r="AA278" i="1"/>
  <c r="AA279" i="1"/>
  <c r="AA280" i="1"/>
  <c r="AA281" i="1"/>
  <c r="AA282" i="1"/>
  <c r="AA283" i="1"/>
  <c r="AA284" i="1"/>
  <c r="AA285" i="1"/>
  <c r="AA286" i="1"/>
  <c r="AA287" i="1"/>
  <c r="AA288" i="1"/>
  <c r="AA289" i="1"/>
  <c r="AA290" i="1"/>
  <c r="AA291" i="1"/>
  <c r="AA292" i="1"/>
  <c r="AA293" i="1"/>
  <c r="AA294" i="1"/>
  <c r="AA295" i="1"/>
  <c r="AA296" i="1"/>
  <c r="AA297" i="1"/>
  <c r="AA298" i="1"/>
  <c r="AA299" i="1"/>
  <c r="AA300" i="1"/>
  <c r="AA301" i="1"/>
  <c r="AA302" i="1"/>
  <c r="AA303" i="1"/>
  <c r="AA304" i="1"/>
  <c r="AA305" i="1"/>
  <c r="AA306" i="1"/>
  <c r="AA308" i="1"/>
  <c r="AA309" i="1"/>
  <c r="AA310" i="1"/>
  <c r="AA311" i="1"/>
  <c r="AA312" i="1"/>
  <c r="AA315" i="1"/>
  <c r="AA316" i="1"/>
  <c r="AA317" i="1"/>
  <c r="AA318" i="1"/>
  <c r="AA319" i="1"/>
  <c r="AA320" i="1"/>
  <c r="AA321" i="1"/>
  <c r="AA322" i="1"/>
  <c r="AA323" i="1"/>
  <c r="AA324" i="1"/>
  <c r="AA325" i="1"/>
  <c r="AA326" i="1"/>
  <c r="AA327" i="1"/>
  <c r="AA328" i="1"/>
  <c r="AA329" i="1"/>
  <c r="AA330" i="1"/>
  <c r="AA331" i="1"/>
  <c r="AA332" i="1"/>
  <c r="AA333" i="1"/>
  <c r="AA334" i="1"/>
  <c r="AA335" i="1"/>
  <c r="AA336" i="1"/>
  <c r="AA337" i="1"/>
  <c r="AA338" i="1"/>
  <c r="AA339" i="1"/>
  <c r="AA340" i="1"/>
  <c r="AA341" i="1"/>
  <c r="AA342" i="1"/>
  <c r="AA343" i="1"/>
  <c r="AA344" i="1"/>
  <c r="AA345" i="1"/>
  <c r="AA346" i="1"/>
  <c r="AA347" i="1"/>
  <c r="AA348" i="1"/>
  <c r="AA349" i="1"/>
  <c r="AA350" i="1"/>
  <c r="AA351" i="1"/>
  <c r="AA352" i="1"/>
  <c r="AA353" i="1"/>
  <c r="AA354" i="1"/>
  <c r="AA355" i="1"/>
  <c r="AA356" i="1"/>
  <c r="AA357" i="1"/>
  <c r="AA358" i="1"/>
  <c r="AA359" i="1"/>
  <c r="AA360" i="1"/>
  <c r="AA361" i="1"/>
  <c r="AA362" i="1"/>
  <c r="AA363" i="1"/>
  <c r="AA364" i="1"/>
  <c r="AA365" i="1"/>
  <c r="AA366" i="1"/>
  <c r="AA367" i="1"/>
  <c r="AA368" i="1"/>
  <c r="AA369" i="1"/>
  <c r="AA370" i="1"/>
  <c r="AA371" i="1"/>
  <c r="AA372" i="1"/>
  <c r="AA373" i="1"/>
  <c r="AA374" i="1"/>
  <c r="AA375" i="1"/>
  <c r="AA376" i="1"/>
  <c r="AA377" i="1"/>
  <c r="AA378" i="1"/>
  <c r="AA379" i="1"/>
  <c r="AA380" i="1"/>
  <c r="AA381" i="1"/>
  <c r="AA382" i="1"/>
  <c r="AA383" i="1"/>
  <c r="AA384" i="1"/>
  <c r="AA385" i="1"/>
  <c r="AA386" i="1"/>
  <c r="AA387" i="1"/>
  <c r="AA388" i="1"/>
  <c r="AA389" i="1"/>
  <c r="AA390" i="1"/>
  <c r="AA391" i="1"/>
  <c r="AA392" i="1"/>
  <c r="AA393" i="1"/>
  <c r="AA394" i="1"/>
  <c r="AA400" i="1"/>
  <c r="AA401" i="1"/>
  <c r="AA402" i="1"/>
  <c r="AA403" i="1"/>
  <c r="AA404" i="1"/>
  <c r="AA405" i="1"/>
  <c r="AA406" i="1"/>
  <c r="AA407" i="1"/>
  <c r="AA408" i="1"/>
  <c r="AA409" i="1"/>
  <c r="AA410" i="1"/>
  <c r="AA411" i="1"/>
  <c r="AA412" i="1"/>
  <c r="AA413" i="1"/>
  <c r="AA414" i="1"/>
  <c r="AA415" i="1"/>
  <c r="AA416" i="1"/>
  <c r="AA417" i="1"/>
  <c r="AA418" i="1"/>
  <c r="AA419" i="1"/>
  <c r="AA420" i="1"/>
  <c r="AA421" i="1"/>
  <c r="AA422" i="1"/>
  <c r="AA423" i="1"/>
  <c r="AA424" i="1"/>
  <c r="AA425" i="1"/>
  <c r="AA426" i="1"/>
  <c r="AA427" i="1"/>
  <c r="AA428" i="1"/>
  <c r="AA429" i="1"/>
  <c r="AA430" i="1"/>
  <c r="AA431" i="1"/>
  <c r="AA432" i="1"/>
  <c r="AA433" i="1"/>
  <c r="AA434" i="1"/>
  <c r="AA435" i="1"/>
  <c r="AA436" i="1"/>
  <c r="AA437" i="1"/>
  <c r="AA438" i="1"/>
  <c r="AA439" i="1"/>
  <c r="AA440" i="1"/>
  <c r="AA441" i="1"/>
  <c r="AA442" i="1"/>
  <c r="AA443" i="1"/>
  <c r="AA444" i="1"/>
  <c r="AA445" i="1"/>
  <c r="AA446" i="1"/>
  <c r="AA447" i="1"/>
  <c r="AA448" i="1"/>
  <c r="AA449" i="1"/>
  <c r="AA450" i="1"/>
  <c r="AA451" i="1"/>
  <c r="AA452" i="1"/>
  <c r="AA453" i="1"/>
  <c r="AA454" i="1"/>
  <c r="AA455" i="1"/>
  <c r="AA456" i="1"/>
  <c r="AA457" i="1"/>
  <c r="AA458" i="1"/>
  <c r="AA459" i="1"/>
  <c r="AA460" i="1"/>
  <c r="AA461" i="1"/>
  <c r="AA462" i="1"/>
  <c r="AA463" i="1"/>
  <c r="AA464" i="1"/>
  <c r="AA465" i="1"/>
  <c r="AA466" i="1"/>
  <c r="AA467" i="1"/>
  <c r="AA468" i="1"/>
  <c r="AA469" i="1"/>
  <c r="AA470" i="1"/>
  <c r="AA471" i="1"/>
  <c r="AA472" i="1"/>
  <c r="AA473" i="1"/>
  <c r="AA474" i="1"/>
  <c r="AA475" i="1"/>
  <c r="AA476" i="1"/>
  <c r="AA477" i="1"/>
  <c r="AA478" i="1"/>
  <c r="AA479" i="1"/>
  <c r="AA480" i="1"/>
  <c r="AA481" i="1"/>
  <c r="AA482" i="1"/>
  <c r="AA483" i="1"/>
  <c r="AA484" i="1"/>
  <c r="AA485" i="1"/>
  <c r="AA486" i="1"/>
  <c r="AA487" i="1"/>
  <c r="AA488" i="1"/>
  <c r="AA489" i="1"/>
  <c r="AA490" i="1"/>
  <c r="AA491" i="1"/>
  <c r="AA492" i="1"/>
  <c r="AA493" i="1"/>
  <c r="AA494" i="1"/>
  <c r="AA495" i="1"/>
  <c r="AA496" i="1"/>
  <c r="AA497" i="1"/>
  <c r="AA498" i="1"/>
  <c r="AA499" i="1"/>
  <c r="AA500" i="1"/>
  <c r="AA501" i="1"/>
  <c r="AA502" i="1"/>
  <c r="AA503" i="1"/>
  <c r="AA504" i="1"/>
  <c r="AA508" i="1"/>
  <c r="AA509" i="1"/>
  <c r="AA510" i="1"/>
  <c r="AA511" i="1"/>
  <c r="AA512" i="1"/>
  <c r="AA513" i="1"/>
  <c r="AA514" i="1"/>
  <c r="AA515" i="1"/>
  <c r="AA516" i="1"/>
  <c r="AA517" i="1"/>
  <c r="AA518" i="1"/>
  <c r="AA519" i="1"/>
  <c r="AA520" i="1"/>
  <c r="AA528" i="1"/>
  <c r="AA531" i="1"/>
  <c r="AA534" i="1"/>
  <c r="AA535" i="1"/>
  <c r="AA2" i="1"/>
  <c r="H150" i="39"/>
  <c r="A4" i="45" l="1"/>
  <c r="A5" i="45"/>
  <c r="A6" i="45"/>
  <c r="A7" i="45"/>
  <c r="A8" i="45"/>
  <c r="A9" i="45"/>
  <c r="A10" i="45"/>
  <c r="A11" i="45"/>
  <c r="A12" i="45"/>
  <c r="A13" i="45"/>
  <c r="A14" i="45"/>
  <c r="A15" i="45"/>
  <c r="A16" i="45"/>
  <c r="A17" i="45"/>
  <c r="A18" i="45"/>
  <c r="A19" i="45"/>
  <c r="A20" i="45"/>
  <c r="A21" i="45"/>
  <c r="A22" i="45"/>
  <c r="A23" i="45"/>
  <c r="A24" i="45"/>
  <c r="A25" i="45"/>
  <c r="A26" i="45"/>
  <c r="A27" i="45"/>
  <c r="A28" i="45"/>
  <c r="A29" i="45"/>
  <c r="A30" i="45"/>
  <c r="A31" i="45"/>
  <c r="A32" i="45"/>
  <c r="A33" i="45"/>
  <c r="A34" i="45"/>
  <c r="A35" i="45"/>
  <c r="A36" i="45"/>
  <c r="A37" i="45"/>
  <c r="A38" i="45"/>
  <c r="A39" i="45"/>
  <c r="A40" i="45"/>
  <c r="A41" i="45"/>
  <c r="A42" i="45"/>
  <c r="A3" i="45"/>
  <c r="B4" i="45" l="1"/>
  <c r="B5" i="45"/>
  <c r="B6" i="45"/>
  <c r="B7" i="45"/>
  <c r="B8" i="45"/>
  <c r="B9" i="45"/>
  <c r="B10" i="45"/>
  <c r="B11" i="45"/>
  <c r="B12" i="45"/>
  <c r="B13" i="45"/>
  <c r="B14" i="45"/>
  <c r="B15" i="45"/>
  <c r="B16" i="45"/>
  <c r="B17" i="45"/>
  <c r="B18" i="45"/>
  <c r="B19" i="45"/>
  <c r="B20" i="45"/>
  <c r="B21" i="45"/>
  <c r="B22" i="45"/>
  <c r="B23" i="45"/>
  <c r="B24" i="45"/>
  <c r="B25" i="45"/>
  <c r="B26" i="45"/>
  <c r="B27" i="45"/>
  <c r="B28" i="45"/>
  <c r="B29" i="45"/>
  <c r="B30" i="45"/>
  <c r="B31" i="45"/>
  <c r="B32" i="45"/>
  <c r="B33" i="45"/>
  <c r="B34" i="45"/>
  <c r="B35" i="45"/>
  <c r="B36" i="45"/>
  <c r="B37" i="45"/>
  <c r="B38" i="45"/>
  <c r="B39" i="45"/>
  <c r="B40" i="45"/>
  <c r="B41" i="45"/>
  <c r="B42" i="45"/>
  <c r="B3" i="45"/>
  <c r="E3" i="45"/>
  <c r="E4" i="45"/>
  <c r="E5" i="45"/>
  <c r="E6" i="45"/>
  <c r="E7" i="45"/>
  <c r="E8" i="45"/>
  <c r="E9" i="45"/>
  <c r="E10" i="45"/>
  <c r="E11" i="45"/>
  <c r="E12" i="45"/>
  <c r="E13" i="45"/>
  <c r="E14" i="45"/>
  <c r="E15" i="45"/>
  <c r="E16" i="45"/>
  <c r="E17" i="45"/>
  <c r="E18" i="45"/>
  <c r="E19" i="45"/>
  <c r="E20" i="45"/>
  <c r="E21" i="45"/>
  <c r="E22" i="45"/>
  <c r="E23" i="45"/>
  <c r="E24" i="45"/>
  <c r="E25" i="45"/>
  <c r="E26" i="45"/>
  <c r="E27" i="45"/>
  <c r="E28" i="45"/>
  <c r="E29" i="45"/>
  <c r="E30" i="45"/>
  <c r="E31" i="45"/>
  <c r="E32" i="45"/>
  <c r="E33" i="45"/>
  <c r="E34" i="45"/>
  <c r="E35" i="45"/>
  <c r="E36" i="45"/>
  <c r="E37" i="45"/>
  <c r="E38" i="45"/>
  <c r="E39" i="45"/>
  <c r="E40" i="45"/>
  <c r="E41" i="45"/>
  <c r="E42" i="45"/>
  <c r="C4" i="44" l="1"/>
  <c r="C5" i="44"/>
  <c r="C6" i="44"/>
  <c r="C8" i="44"/>
  <c r="C9" i="44"/>
  <c r="C10" i="44"/>
  <c r="C11" i="44"/>
  <c r="C12" i="44"/>
  <c r="C13" i="44"/>
  <c r="C14" i="44"/>
  <c r="C15" i="44"/>
  <c r="C16" i="44"/>
  <c r="C17" i="44"/>
  <c r="C18" i="44"/>
  <c r="C19" i="44"/>
  <c r="C20" i="44"/>
  <c r="C21" i="44"/>
  <c r="C22" i="44"/>
  <c r="C23" i="44"/>
  <c r="C24" i="44"/>
  <c r="C25" i="44"/>
  <c r="C26" i="44"/>
  <c r="C27" i="44"/>
  <c r="C28" i="44"/>
  <c r="C29" i="44"/>
  <c r="C30" i="44"/>
  <c r="C31" i="44"/>
  <c r="C3" i="44"/>
  <c r="H149" i="39" l="1"/>
  <c r="H148" i="39"/>
  <c r="H25" i="39"/>
  <c r="H26" i="39"/>
  <c r="H27" i="39"/>
  <c r="H28" i="39"/>
  <c r="H30" i="39"/>
  <c r="H31" i="39"/>
  <c r="H32" i="39"/>
  <c r="H33" i="39"/>
  <c r="H34" i="39"/>
  <c r="H35" i="39"/>
  <c r="H36" i="39"/>
  <c r="H37" i="39"/>
  <c r="H38" i="39"/>
  <c r="H39" i="39"/>
  <c r="H40" i="39"/>
  <c r="H41" i="39"/>
  <c r="H42" i="39"/>
  <c r="H43" i="39"/>
  <c r="H44" i="39"/>
  <c r="H45" i="39"/>
  <c r="H46" i="39"/>
  <c r="H47" i="39"/>
  <c r="H48" i="39"/>
  <c r="H49" i="39"/>
  <c r="H50" i="39"/>
  <c r="H51" i="39"/>
  <c r="H52" i="39"/>
  <c r="H53" i="39"/>
  <c r="H54" i="39"/>
  <c r="H55" i="39"/>
  <c r="H56" i="39"/>
  <c r="H57" i="39"/>
  <c r="H58" i="39"/>
  <c r="H59" i="39"/>
  <c r="H60" i="39"/>
  <c r="H61" i="39"/>
  <c r="H62" i="39"/>
  <c r="H63" i="39"/>
  <c r="H64" i="39"/>
  <c r="H65" i="39"/>
  <c r="H66" i="39"/>
  <c r="H67" i="39"/>
  <c r="H68" i="39"/>
  <c r="H69" i="39"/>
  <c r="H70" i="39"/>
  <c r="H71" i="39"/>
  <c r="H72" i="39"/>
  <c r="H73" i="39"/>
  <c r="H74" i="39"/>
  <c r="H75" i="39"/>
  <c r="H76" i="39"/>
  <c r="H77" i="39"/>
  <c r="H78" i="39"/>
  <c r="H79" i="39"/>
  <c r="H80" i="39"/>
  <c r="H81" i="39"/>
  <c r="H82" i="39"/>
  <c r="H83" i="39"/>
  <c r="H84" i="39"/>
  <c r="H85" i="39"/>
  <c r="H86" i="39"/>
  <c r="H87" i="39"/>
  <c r="H88" i="39"/>
  <c r="H89" i="39"/>
  <c r="H90" i="39"/>
  <c r="H91" i="39"/>
  <c r="H92" i="39"/>
  <c r="H93" i="39"/>
  <c r="H94" i="39"/>
  <c r="H95" i="39"/>
  <c r="H96" i="39"/>
  <c r="H97" i="39"/>
  <c r="H98" i="39"/>
  <c r="H99" i="39"/>
  <c r="H100" i="39"/>
  <c r="H101" i="39"/>
  <c r="H102" i="39"/>
  <c r="H103" i="39"/>
  <c r="H104" i="39"/>
  <c r="H105" i="39"/>
  <c r="H106" i="39"/>
  <c r="H107" i="39"/>
  <c r="H108" i="39"/>
  <c r="H109" i="39"/>
  <c r="H110" i="39"/>
  <c r="H111" i="39"/>
  <c r="H112" i="39"/>
  <c r="H113" i="39"/>
  <c r="H114" i="39"/>
  <c r="H115" i="39"/>
  <c r="H116" i="39"/>
  <c r="H117" i="39"/>
  <c r="H118" i="39"/>
  <c r="H119" i="39"/>
  <c r="H120" i="39"/>
  <c r="H121" i="39"/>
  <c r="H122" i="39"/>
  <c r="H123" i="39"/>
  <c r="H124" i="39"/>
  <c r="H125" i="39"/>
  <c r="H126" i="39"/>
  <c r="H127" i="39"/>
  <c r="H128" i="39"/>
  <c r="H129" i="39"/>
  <c r="H130" i="39"/>
  <c r="H131" i="39"/>
  <c r="H132" i="39"/>
  <c r="H133" i="39"/>
  <c r="H135" i="39"/>
  <c r="H136" i="39"/>
  <c r="H137" i="39"/>
  <c r="H138" i="39"/>
  <c r="H139" i="39"/>
  <c r="H140" i="39"/>
  <c r="H141" i="39"/>
  <c r="H142" i="39"/>
  <c r="H143" i="39"/>
  <c r="H144" i="39"/>
  <c r="H145" i="39"/>
  <c r="H146" i="39"/>
  <c r="H147" i="39"/>
  <c r="H16" i="39"/>
  <c r="H17" i="39"/>
  <c r="H24" i="39"/>
  <c r="H23" i="39"/>
  <c r="H22" i="39"/>
  <c r="H21" i="39"/>
  <c r="H20" i="39"/>
  <c r="H19" i="39"/>
  <c r="H18" i="39"/>
  <c r="D2" i="39" l="1"/>
  <c r="D3" i="39" l="1"/>
  <c r="D4" i="39"/>
  <c r="D5" i="39"/>
  <c r="D6" i="39"/>
  <c r="D7" i="39"/>
  <c r="D8" i="39"/>
  <c r="D9" i="39"/>
  <c r="D10" i="39"/>
  <c r="D11" i="39"/>
  <c r="D12" i="39"/>
  <c r="D13" i="39"/>
  <c r="D14" i="39"/>
  <c r="B319" i="9" l="1"/>
  <c r="B320" i="9"/>
  <c r="C320" i="9" s="1"/>
  <c r="B321" i="9"/>
  <c r="C321" i="9" s="1"/>
  <c r="B322" i="9"/>
  <c r="C322" i="9" s="1"/>
  <c r="B323" i="9"/>
  <c r="B324" i="9"/>
  <c r="C324" i="9" s="1"/>
  <c r="B325" i="9"/>
  <c r="C325" i="9" s="1"/>
  <c r="B326" i="9"/>
  <c r="C326" i="9" s="1"/>
  <c r="B327" i="9"/>
  <c r="B328" i="9"/>
  <c r="C328" i="9" s="1"/>
  <c r="B329" i="9"/>
  <c r="C329" i="9" s="1"/>
  <c r="B330" i="9"/>
  <c r="C330" i="9" s="1"/>
  <c r="B331" i="9"/>
  <c r="C331" i="9" s="1"/>
  <c r="B332" i="9"/>
  <c r="C332" i="9" s="1"/>
  <c r="B333" i="9"/>
  <c r="C333" i="9" s="1"/>
  <c r="B334" i="9"/>
  <c r="C334" i="9" s="1"/>
  <c r="B335" i="9"/>
  <c r="B336" i="9"/>
  <c r="C336" i="9" s="1"/>
  <c r="B337" i="9"/>
  <c r="C337" i="9" s="1"/>
  <c r="B338" i="9"/>
  <c r="C338" i="9" s="1"/>
  <c r="B339" i="9"/>
  <c r="B340" i="9"/>
  <c r="C340" i="9" s="1"/>
  <c r="B341" i="9"/>
  <c r="C341" i="9" s="1"/>
  <c r="B342" i="9"/>
  <c r="C342" i="9" s="1"/>
  <c r="B343" i="9"/>
  <c r="B344" i="9"/>
  <c r="C344" i="9" s="1"/>
  <c r="B345" i="9"/>
  <c r="C345" i="9" s="1"/>
  <c r="B346" i="9"/>
  <c r="C346" i="9" s="1"/>
  <c r="B347" i="9"/>
  <c r="C347" i="9" s="1"/>
  <c r="B348" i="9"/>
  <c r="C348" i="9" s="1"/>
  <c r="B349" i="9"/>
  <c r="C349" i="9" s="1"/>
  <c r="B350" i="9"/>
  <c r="C350" i="9" s="1"/>
  <c r="B351" i="9"/>
  <c r="C351" i="9" s="1"/>
  <c r="B352" i="9"/>
  <c r="C352" i="9" s="1"/>
  <c r="B353" i="9"/>
  <c r="C353" i="9" s="1"/>
  <c r="B354" i="9"/>
  <c r="C354" i="9" s="1"/>
  <c r="B355" i="9"/>
  <c r="C355" i="9" s="1"/>
  <c r="B356" i="9"/>
  <c r="C356" i="9" s="1"/>
  <c r="B357" i="9"/>
  <c r="C357" i="9" s="1"/>
  <c r="B358" i="9"/>
  <c r="C358" i="9" s="1"/>
  <c r="B359" i="9"/>
  <c r="C359" i="9" s="1"/>
  <c r="B360" i="9"/>
  <c r="C360" i="9" s="1"/>
  <c r="B361" i="9"/>
  <c r="C361" i="9" s="1"/>
  <c r="B362" i="9"/>
  <c r="C362" i="9" s="1"/>
  <c r="B363" i="9"/>
  <c r="C363" i="9" s="1"/>
  <c r="B364" i="9"/>
  <c r="C364" i="9" s="1"/>
  <c r="B365" i="9"/>
  <c r="C365" i="9" s="1"/>
  <c r="B366" i="9"/>
  <c r="C366" i="9" s="1"/>
  <c r="B367" i="9"/>
  <c r="C367" i="9" s="1"/>
  <c r="B368" i="9"/>
  <c r="C368" i="9" s="1"/>
  <c r="B369" i="9"/>
  <c r="C369" i="9" s="1"/>
  <c r="B370" i="9"/>
  <c r="C370" i="9" s="1"/>
  <c r="B371" i="9"/>
  <c r="C371" i="9" s="1"/>
  <c r="B372" i="9"/>
  <c r="C372" i="9" s="1"/>
  <c r="B373" i="9"/>
  <c r="C373" i="9" s="1"/>
  <c r="B374" i="9"/>
  <c r="C374" i="9" s="1"/>
  <c r="B375" i="9"/>
  <c r="C375" i="9" s="1"/>
  <c r="B376" i="9"/>
  <c r="C376" i="9" s="1"/>
  <c r="B377" i="9"/>
  <c r="C377" i="9" s="1"/>
  <c r="B378" i="9"/>
  <c r="C378" i="9" s="1"/>
  <c r="B379" i="9"/>
  <c r="C379" i="9" s="1"/>
  <c r="B380" i="9"/>
  <c r="C380" i="9" s="1"/>
  <c r="B381" i="9"/>
  <c r="C381" i="9" s="1"/>
  <c r="B382" i="9"/>
  <c r="C382" i="9" s="1"/>
  <c r="B383" i="9"/>
  <c r="C383" i="9" s="1"/>
  <c r="B384" i="9"/>
  <c r="C384" i="9" s="1"/>
  <c r="B385" i="9"/>
  <c r="C385" i="9" s="1"/>
  <c r="B386" i="9"/>
  <c r="C386" i="9" s="1"/>
  <c r="B387" i="9"/>
  <c r="C387" i="9" s="1"/>
  <c r="B388" i="9"/>
  <c r="C388" i="9" s="1"/>
  <c r="B389" i="9"/>
  <c r="C389" i="9" s="1"/>
  <c r="B390" i="9"/>
  <c r="C390" i="9" s="1"/>
  <c r="B391" i="9"/>
  <c r="C391" i="9" s="1"/>
  <c r="B392" i="9"/>
  <c r="C392" i="9" s="1"/>
  <c r="B393" i="9"/>
  <c r="C393" i="9" s="1"/>
  <c r="B394" i="9"/>
  <c r="C394" i="9" s="1"/>
  <c r="B395" i="9"/>
  <c r="C395" i="9" s="1"/>
  <c r="B396" i="9"/>
  <c r="C396" i="9" s="1"/>
  <c r="B397" i="9"/>
  <c r="C397" i="9" s="1"/>
  <c r="B398" i="9"/>
  <c r="C398" i="9" s="1"/>
  <c r="B399" i="9"/>
  <c r="C399" i="9" s="1"/>
  <c r="B400" i="9"/>
  <c r="C400" i="9" s="1"/>
  <c r="B401" i="9"/>
  <c r="C401" i="9" s="1"/>
  <c r="B402" i="9"/>
  <c r="C402" i="9" s="1"/>
  <c r="B403" i="9"/>
  <c r="C403" i="9" s="1"/>
  <c r="B404" i="9"/>
  <c r="C404" i="9" s="1"/>
  <c r="B405" i="9"/>
  <c r="C405" i="9" s="1"/>
  <c r="B406" i="9"/>
  <c r="C406" i="9" s="1"/>
  <c r="B407" i="9"/>
  <c r="C407" i="9" s="1"/>
  <c r="B408" i="9"/>
  <c r="C408" i="9" s="1"/>
  <c r="B409" i="9"/>
  <c r="C409" i="9" s="1"/>
  <c r="B410" i="9"/>
  <c r="C410" i="9" s="1"/>
  <c r="B411" i="9"/>
  <c r="C411" i="9" s="1"/>
  <c r="B412" i="9"/>
  <c r="C412" i="9" s="1"/>
  <c r="B413" i="9"/>
  <c r="C413" i="9" s="1"/>
  <c r="B414" i="9"/>
  <c r="C414" i="9" s="1"/>
  <c r="B415" i="9"/>
  <c r="C415" i="9" s="1"/>
  <c r="B416" i="9"/>
  <c r="C416" i="9" s="1"/>
  <c r="B417" i="9"/>
  <c r="C417" i="9" s="1"/>
  <c r="B418" i="9"/>
  <c r="C418" i="9" s="1"/>
  <c r="B419" i="9"/>
  <c r="C419" i="9" s="1"/>
  <c r="B420" i="9"/>
  <c r="C420" i="9" s="1"/>
  <c r="B421" i="9"/>
  <c r="C421" i="9" s="1"/>
  <c r="B422" i="9"/>
  <c r="C422" i="9" s="1"/>
  <c r="B423" i="9"/>
  <c r="C423" i="9" s="1"/>
  <c r="B424" i="9"/>
  <c r="C424" i="9" s="1"/>
  <c r="B425" i="9"/>
  <c r="C425" i="9" s="1"/>
  <c r="B426" i="9"/>
  <c r="C426" i="9" s="1"/>
  <c r="B427" i="9"/>
  <c r="C427" i="9" s="1"/>
  <c r="B428" i="9"/>
  <c r="C428" i="9" s="1"/>
  <c r="B429" i="9"/>
  <c r="C429" i="9" s="1"/>
  <c r="B430" i="9"/>
  <c r="C430" i="9" s="1"/>
  <c r="B431" i="9"/>
  <c r="C431" i="9" s="1"/>
  <c r="B432" i="9"/>
  <c r="C432" i="9" s="1"/>
  <c r="B433" i="9"/>
  <c r="C433" i="9" s="1"/>
  <c r="B434" i="9"/>
  <c r="C434" i="9" s="1"/>
  <c r="B435" i="9"/>
  <c r="C435" i="9" s="1"/>
  <c r="B436" i="9"/>
  <c r="C436" i="9" s="1"/>
  <c r="B437" i="9"/>
  <c r="C437" i="9" s="1"/>
  <c r="B438" i="9"/>
  <c r="C438" i="9" s="1"/>
  <c r="B439" i="9"/>
  <c r="C439" i="9" s="1"/>
  <c r="B440" i="9"/>
  <c r="C440" i="9" s="1"/>
  <c r="B441" i="9"/>
  <c r="C441" i="9" s="1"/>
  <c r="B442" i="9"/>
  <c r="C442" i="9" s="1"/>
  <c r="B443" i="9"/>
  <c r="C443" i="9" s="1"/>
  <c r="B444" i="9"/>
  <c r="C444" i="9" s="1"/>
  <c r="B445" i="9"/>
  <c r="C445" i="9" s="1"/>
  <c r="B446" i="9"/>
  <c r="C446" i="9" s="1"/>
  <c r="B447" i="9"/>
  <c r="C447" i="9" s="1"/>
  <c r="B448" i="9"/>
  <c r="C448" i="9" s="1"/>
  <c r="B449" i="9"/>
  <c r="C449" i="9" s="1"/>
  <c r="B450" i="9"/>
  <c r="C450" i="9" s="1"/>
  <c r="B451" i="9"/>
  <c r="C451" i="9" s="1"/>
  <c r="B452" i="9"/>
  <c r="C452" i="9" s="1"/>
  <c r="B453" i="9"/>
  <c r="C453" i="9" s="1"/>
  <c r="B454" i="9"/>
  <c r="C454" i="9" s="1"/>
  <c r="B455" i="9"/>
  <c r="C455" i="9" s="1"/>
  <c r="B456" i="9"/>
  <c r="C456" i="9" s="1"/>
  <c r="B457" i="9"/>
  <c r="C457" i="9" s="1"/>
  <c r="B458" i="9"/>
  <c r="C458" i="9" s="1"/>
  <c r="B459" i="9"/>
  <c r="C459" i="9" s="1"/>
  <c r="B460" i="9"/>
  <c r="C460" i="9" s="1"/>
  <c r="B461" i="9"/>
  <c r="C461" i="9" s="1"/>
  <c r="B462" i="9"/>
  <c r="C462" i="9" s="1"/>
  <c r="B463" i="9"/>
  <c r="C463" i="9" s="1"/>
  <c r="B464" i="9"/>
  <c r="C464" i="9" s="1"/>
  <c r="B465" i="9"/>
  <c r="C465" i="9" s="1"/>
  <c r="B466" i="9"/>
  <c r="C466" i="9" s="1"/>
  <c r="B467" i="9"/>
  <c r="C467" i="9" s="1"/>
  <c r="B468" i="9"/>
  <c r="C468" i="9" s="1"/>
  <c r="B469" i="9"/>
  <c r="C469" i="9" s="1"/>
  <c r="B470" i="9"/>
  <c r="C470" i="9" s="1"/>
  <c r="B471" i="9"/>
  <c r="C471" i="9" s="1"/>
  <c r="B472" i="9"/>
  <c r="C472" i="9" s="1"/>
  <c r="B473" i="9"/>
  <c r="C473" i="9" s="1"/>
  <c r="B474" i="9"/>
  <c r="C474" i="9" s="1"/>
  <c r="B475" i="9"/>
  <c r="C475" i="9" s="1"/>
  <c r="B476" i="9"/>
  <c r="C476" i="9" s="1"/>
  <c r="B477" i="9"/>
  <c r="C477" i="9" s="1"/>
  <c r="B478" i="9"/>
  <c r="C478" i="9" s="1"/>
  <c r="B479" i="9"/>
  <c r="C479" i="9" s="1"/>
  <c r="B480" i="9"/>
  <c r="C480" i="9" s="1"/>
  <c r="B481" i="9"/>
  <c r="C481" i="9" s="1"/>
  <c r="B482" i="9"/>
  <c r="C482" i="9" s="1"/>
  <c r="B483" i="9"/>
  <c r="C483" i="9" s="1"/>
  <c r="B484" i="9"/>
  <c r="C484" i="9" s="1"/>
  <c r="B485" i="9"/>
  <c r="C485" i="9" s="1"/>
  <c r="B486" i="9"/>
  <c r="C486" i="9" s="1"/>
  <c r="B487" i="9"/>
  <c r="C487" i="9" s="1"/>
  <c r="B488" i="9"/>
  <c r="C488" i="9" s="1"/>
  <c r="B489" i="9"/>
  <c r="C489" i="9" s="1"/>
  <c r="C319" i="9"/>
  <c r="C323" i="9"/>
  <c r="C327" i="9"/>
  <c r="C335" i="9"/>
  <c r="C339" i="9"/>
  <c r="C343" i="9"/>
  <c r="D319" i="9"/>
  <c r="D320" i="9"/>
  <c r="D321" i="9"/>
  <c r="D322" i="9"/>
  <c r="D323" i="9"/>
  <c r="D324" i="9"/>
  <c r="D325" i="9"/>
  <c r="D326" i="9"/>
  <c r="D327" i="9"/>
  <c r="D328" i="9"/>
  <c r="D329" i="9"/>
  <c r="D330" i="9"/>
  <c r="D331" i="9"/>
  <c r="D332" i="9"/>
  <c r="D333" i="9"/>
  <c r="D334" i="9"/>
  <c r="D335" i="9"/>
  <c r="D336" i="9"/>
  <c r="D337" i="9"/>
  <c r="D338" i="9"/>
  <c r="D339" i="9"/>
  <c r="D340" i="9"/>
  <c r="D341" i="9"/>
  <c r="D342" i="9"/>
  <c r="D343" i="9"/>
  <c r="D344" i="9"/>
  <c r="D345" i="9"/>
  <c r="D346" i="9"/>
  <c r="D347" i="9"/>
  <c r="D348" i="9"/>
  <c r="D349" i="9"/>
  <c r="D350" i="9"/>
  <c r="D351" i="9"/>
  <c r="D352" i="9"/>
  <c r="D353" i="9"/>
  <c r="D354" i="9"/>
  <c r="D355" i="9"/>
  <c r="D356" i="9"/>
  <c r="D357" i="9"/>
  <c r="D358" i="9"/>
  <c r="D359" i="9"/>
  <c r="D360" i="9"/>
  <c r="D361" i="9"/>
  <c r="D362" i="9"/>
  <c r="D363" i="9"/>
  <c r="D364" i="9"/>
  <c r="D365" i="9"/>
  <c r="D366" i="9"/>
  <c r="D367" i="9"/>
  <c r="D368" i="9"/>
  <c r="D369" i="9"/>
  <c r="D370" i="9"/>
  <c r="D371" i="9"/>
  <c r="D372" i="9"/>
  <c r="D373" i="9"/>
  <c r="D374" i="9"/>
  <c r="D375" i="9"/>
  <c r="D376" i="9"/>
  <c r="D377" i="9"/>
  <c r="D378" i="9"/>
  <c r="D379" i="9"/>
  <c r="D380" i="9"/>
  <c r="D381" i="9"/>
  <c r="D382" i="9"/>
  <c r="D383" i="9"/>
  <c r="D384" i="9"/>
  <c r="D385" i="9"/>
  <c r="D386" i="9"/>
  <c r="D387" i="9"/>
  <c r="D388" i="9"/>
  <c r="D389" i="9"/>
  <c r="D390" i="9"/>
  <c r="D391" i="9"/>
  <c r="D392" i="9"/>
  <c r="D393" i="9"/>
  <c r="D394" i="9"/>
  <c r="D395" i="9"/>
  <c r="D396" i="9"/>
  <c r="D397" i="9"/>
  <c r="D398" i="9"/>
  <c r="D399" i="9"/>
  <c r="D400" i="9"/>
  <c r="D401" i="9"/>
  <c r="D402" i="9"/>
  <c r="D403" i="9"/>
  <c r="D404" i="9"/>
  <c r="D405" i="9"/>
  <c r="D406" i="9"/>
  <c r="D407" i="9"/>
  <c r="D408" i="9"/>
  <c r="D409" i="9"/>
  <c r="D410" i="9"/>
  <c r="D411" i="9"/>
  <c r="D412" i="9"/>
  <c r="D413" i="9"/>
  <c r="D414" i="9"/>
  <c r="D415" i="9"/>
  <c r="D416" i="9"/>
  <c r="D417" i="9"/>
  <c r="D418" i="9"/>
  <c r="D419" i="9"/>
  <c r="D420" i="9"/>
  <c r="D421" i="9"/>
  <c r="D422" i="9"/>
  <c r="D423" i="9"/>
  <c r="D424" i="9"/>
  <c r="D425" i="9"/>
  <c r="D426" i="9"/>
  <c r="D427" i="9"/>
  <c r="D428" i="9"/>
  <c r="D429" i="9"/>
  <c r="D430" i="9"/>
  <c r="D431" i="9"/>
  <c r="D432" i="9"/>
  <c r="D433" i="9"/>
  <c r="D434" i="9"/>
  <c r="D435" i="9"/>
  <c r="D436" i="9"/>
  <c r="D437" i="9"/>
  <c r="D438" i="9"/>
  <c r="D439" i="9"/>
  <c r="D440" i="9"/>
  <c r="D441" i="9"/>
  <c r="D442" i="9"/>
  <c r="D443" i="9"/>
  <c r="D444" i="9"/>
  <c r="D445" i="9"/>
  <c r="D446" i="9"/>
  <c r="D447" i="9"/>
  <c r="D448" i="9"/>
  <c r="D449" i="9"/>
  <c r="D450" i="9"/>
  <c r="D451" i="9"/>
  <c r="D452" i="9"/>
  <c r="D453" i="9"/>
  <c r="D454" i="9"/>
  <c r="D455" i="9"/>
  <c r="D456" i="9"/>
  <c r="D457" i="9"/>
  <c r="D458" i="9"/>
  <c r="D459" i="9"/>
  <c r="D460" i="9"/>
  <c r="D461" i="9"/>
  <c r="D462" i="9"/>
  <c r="D463" i="9"/>
  <c r="D464" i="9"/>
  <c r="D465" i="9"/>
  <c r="D466" i="9"/>
  <c r="D467" i="9"/>
  <c r="D468" i="9"/>
  <c r="D469" i="9"/>
  <c r="D470" i="9"/>
  <c r="D471" i="9"/>
  <c r="D472" i="9"/>
  <c r="D473" i="9"/>
  <c r="D474" i="9"/>
  <c r="D475" i="9"/>
  <c r="D476" i="9"/>
  <c r="D477" i="9"/>
  <c r="D478" i="9"/>
  <c r="D479" i="9"/>
  <c r="D480" i="9"/>
  <c r="D481" i="9"/>
  <c r="D482" i="9"/>
  <c r="D483" i="9"/>
  <c r="D484" i="9"/>
  <c r="D485" i="9"/>
  <c r="D486" i="9"/>
  <c r="D487" i="9"/>
  <c r="D488" i="9"/>
  <c r="D489" i="9"/>
  <c r="E319" i="9"/>
  <c r="E320" i="9"/>
  <c r="E321" i="9"/>
  <c r="E322" i="9"/>
  <c r="E323" i="9"/>
  <c r="E324" i="9"/>
  <c r="E325" i="9"/>
  <c r="E326" i="9"/>
  <c r="E327" i="9"/>
  <c r="E328" i="9"/>
  <c r="E329" i="9"/>
  <c r="E330" i="9"/>
  <c r="E331" i="9"/>
  <c r="E332" i="9"/>
  <c r="E333" i="9"/>
  <c r="E334" i="9"/>
  <c r="E335" i="9"/>
  <c r="E336" i="9"/>
  <c r="E337" i="9"/>
  <c r="E338" i="9"/>
  <c r="E339" i="9"/>
  <c r="E340" i="9"/>
  <c r="E341" i="9"/>
  <c r="E342" i="9"/>
  <c r="E343" i="9"/>
  <c r="E344" i="9"/>
  <c r="E345" i="9"/>
  <c r="E346" i="9"/>
  <c r="E347" i="9"/>
  <c r="E348" i="9"/>
  <c r="E349" i="9"/>
  <c r="E350" i="9"/>
  <c r="E351" i="9"/>
  <c r="E352" i="9"/>
  <c r="E353" i="9"/>
  <c r="E354" i="9"/>
  <c r="E355" i="9"/>
  <c r="E356" i="9"/>
  <c r="E357" i="9"/>
  <c r="E358" i="9"/>
  <c r="E359" i="9"/>
  <c r="E360" i="9"/>
  <c r="E361" i="9"/>
  <c r="E362" i="9"/>
  <c r="E363" i="9"/>
  <c r="E364" i="9"/>
  <c r="E365" i="9"/>
  <c r="E366" i="9"/>
  <c r="E367" i="9"/>
  <c r="E368" i="9"/>
  <c r="E369" i="9"/>
  <c r="E370" i="9"/>
  <c r="E371" i="9"/>
  <c r="E372" i="9"/>
  <c r="E373" i="9"/>
  <c r="E374" i="9"/>
  <c r="E375" i="9"/>
  <c r="E376" i="9"/>
  <c r="E377" i="9"/>
  <c r="E378" i="9"/>
  <c r="E379" i="9"/>
  <c r="E380" i="9"/>
  <c r="E381" i="9"/>
  <c r="E382" i="9"/>
  <c r="E383" i="9"/>
  <c r="E384" i="9"/>
  <c r="E385" i="9"/>
  <c r="E386" i="9"/>
  <c r="E387" i="9"/>
  <c r="E388" i="9"/>
  <c r="E389" i="9"/>
  <c r="E390" i="9"/>
  <c r="E391" i="9"/>
  <c r="E392" i="9"/>
  <c r="E393" i="9"/>
  <c r="E394" i="9"/>
  <c r="E395" i="9"/>
  <c r="E396" i="9"/>
  <c r="E397" i="9"/>
  <c r="E398" i="9"/>
  <c r="E399" i="9"/>
  <c r="E400" i="9"/>
  <c r="E401" i="9"/>
  <c r="E402" i="9"/>
  <c r="E403" i="9"/>
  <c r="E404" i="9"/>
  <c r="E405" i="9"/>
  <c r="E406" i="9"/>
  <c r="E407" i="9"/>
  <c r="E408" i="9"/>
  <c r="E409" i="9"/>
  <c r="E410" i="9"/>
  <c r="E411" i="9"/>
  <c r="E412" i="9"/>
  <c r="E413" i="9"/>
  <c r="E414" i="9"/>
  <c r="E415" i="9"/>
  <c r="E416" i="9"/>
  <c r="E417" i="9"/>
  <c r="E418" i="9"/>
  <c r="E419" i="9"/>
  <c r="E420" i="9"/>
  <c r="E421" i="9"/>
  <c r="E422" i="9"/>
  <c r="E423" i="9"/>
  <c r="E424" i="9"/>
  <c r="E425" i="9"/>
  <c r="E426" i="9"/>
  <c r="E427" i="9"/>
  <c r="E428" i="9"/>
  <c r="E429" i="9"/>
  <c r="E430" i="9"/>
  <c r="E431" i="9"/>
  <c r="E432" i="9"/>
  <c r="E433" i="9"/>
  <c r="E434" i="9"/>
  <c r="E435" i="9"/>
  <c r="E436" i="9"/>
  <c r="E437" i="9"/>
  <c r="E438" i="9"/>
  <c r="E439" i="9"/>
  <c r="E440" i="9"/>
  <c r="E441" i="9"/>
  <c r="E442" i="9"/>
  <c r="E443" i="9"/>
  <c r="E444" i="9"/>
  <c r="E445" i="9"/>
  <c r="E446" i="9"/>
  <c r="E447" i="9"/>
  <c r="E448" i="9"/>
  <c r="E449" i="9"/>
  <c r="E450" i="9"/>
  <c r="E451" i="9"/>
  <c r="E452" i="9"/>
  <c r="E453" i="9"/>
  <c r="E454" i="9"/>
  <c r="E455" i="9"/>
  <c r="E456" i="9"/>
  <c r="E457" i="9"/>
  <c r="E458" i="9"/>
  <c r="E459" i="9"/>
  <c r="E460" i="9"/>
  <c r="E461" i="9"/>
  <c r="E462" i="9"/>
  <c r="E463" i="9"/>
  <c r="E464" i="9"/>
  <c r="E465" i="9"/>
  <c r="E466" i="9"/>
  <c r="E467" i="9"/>
  <c r="E468" i="9"/>
  <c r="E469" i="9"/>
  <c r="E470" i="9"/>
  <c r="E471" i="9"/>
  <c r="E472" i="9"/>
  <c r="E473" i="9"/>
  <c r="E474" i="9"/>
  <c r="E475" i="9"/>
  <c r="E476" i="9"/>
  <c r="E477" i="9"/>
  <c r="E478" i="9"/>
  <c r="E479" i="9"/>
  <c r="E480" i="9"/>
  <c r="E481" i="9"/>
  <c r="E482" i="9"/>
  <c r="E483" i="9"/>
  <c r="E484" i="9"/>
  <c r="E485" i="9"/>
  <c r="E486" i="9"/>
  <c r="E487" i="9"/>
  <c r="E488" i="9"/>
  <c r="E489" i="9"/>
  <c r="B303" i="9"/>
  <c r="B304" i="9"/>
  <c r="C304" i="9" s="1"/>
  <c r="B305" i="9"/>
  <c r="C305" i="9" s="1"/>
  <c r="B306" i="9"/>
  <c r="C306" i="9" s="1"/>
  <c r="B307" i="9"/>
  <c r="C307" i="9" s="1"/>
  <c r="B308" i="9"/>
  <c r="B309" i="9"/>
  <c r="C309" i="9" s="1"/>
  <c r="B310" i="9"/>
  <c r="C310" i="9" s="1"/>
  <c r="B311" i="9"/>
  <c r="C311" i="9" s="1"/>
  <c r="B312" i="9"/>
  <c r="C312" i="9" s="1"/>
  <c r="B313" i="9"/>
  <c r="C313" i="9" s="1"/>
  <c r="B314" i="9"/>
  <c r="C314" i="9" s="1"/>
  <c r="B315" i="9"/>
  <c r="C315" i="9" s="1"/>
  <c r="B316" i="9"/>
  <c r="C316" i="9" s="1"/>
  <c r="B317" i="9"/>
  <c r="C317" i="9" s="1"/>
  <c r="B318" i="9"/>
  <c r="C318" i="9" s="1"/>
  <c r="C303" i="9"/>
  <c r="C308" i="9"/>
  <c r="D303" i="9"/>
  <c r="D304" i="9"/>
  <c r="D305" i="9"/>
  <c r="D306" i="9"/>
  <c r="D307" i="9"/>
  <c r="D308" i="9"/>
  <c r="D309" i="9"/>
  <c r="D310" i="9"/>
  <c r="D311" i="9"/>
  <c r="D312" i="9"/>
  <c r="D313" i="9"/>
  <c r="D314" i="9"/>
  <c r="D315" i="9"/>
  <c r="D316" i="9"/>
  <c r="D317" i="9"/>
  <c r="D318" i="9"/>
  <c r="E303" i="9"/>
  <c r="E304" i="9"/>
  <c r="E305" i="9"/>
  <c r="E306" i="9"/>
  <c r="E307" i="9"/>
  <c r="E308" i="9"/>
  <c r="E309" i="9"/>
  <c r="E310" i="9"/>
  <c r="E311" i="9"/>
  <c r="E312" i="9"/>
  <c r="E313" i="9"/>
  <c r="E314" i="9"/>
  <c r="E315" i="9"/>
  <c r="E316" i="9"/>
  <c r="E317" i="9"/>
  <c r="E318" i="9"/>
  <c r="E8" i="30" l="1"/>
  <c r="B3" i="30" l="1"/>
  <c r="B2" i="30"/>
  <c r="C1" i="21" l="1"/>
  <c r="C2" i="21"/>
  <c r="C3" i="21"/>
  <c r="C4" i="21"/>
  <c r="C5" i="21"/>
  <c r="C6" i="21"/>
  <c r="C7" i="21"/>
  <c r="C8" i="21"/>
  <c r="C9" i="21"/>
  <c r="C10" i="21"/>
  <c r="C11" i="21"/>
  <c r="C12" i="21"/>
  <c r="C13" i="21"/>
  <c r="C14" i="21"/>
  <c r="C15" i="21"/>
  <c r="C16" i="21"/>
  <c r="C17" i="21"/>
  <c r="C18" i="21"/>
  <c r="C19" i="21"/>
  <c r="C20" i="21"/>
  <c r="C21" i="21"/>
  <c r="C22" i="21"/>
  <c r="C23" i="21"/>
  <c r="C24" i="21"/>
  <c r="C25" i="21"/>
  <c r="C26" i="21"/>
  <c r="C27" i="21"/>
  <c r="C28" i="21"/>
  <c r="C29" i="21"/>
  <c r="C30" i="21"/>
  <c r="C31" i="21"/>
  <c r="C32" i="21"/>
  <c r="C33" i="21"/>
  <c r="C34" i="21"/>
  <c r="C35" i="21"/>
  <c r="C36" i="21"/>
  <c r="C37" i="21"/>
  <c r="C38" i="21"/>
  <c r="C39" i="21"/>
  <c r="C40" i="21"/>
  <c r="C41" i="21"/>
  <c r="C42" i="21"/>
  <c r="C43" i="21"/>
  <c r="C44" i="21"/>
  <c r="C45" i="21"/>
  <c r="C46" i="21"/>
  <c r="C47" i="21"/>
  <c r="C48" i="21"/>
  <c r="C49" i="21"/>
  <c r="C50" i="21"/>
  <c r="C51" i="21"/>
  <c r="C52" i="21"/>
  <c r="C53" i="21"/>
  <c r="C54" i="21"/>
  <c r="C55" i="21"/>
  <c r="C56" i="21"/>
  <c r="C57" i="21"/>
  <c r="C58" i="21"/>
  <c r="C59" i="21"/>
  <c r="C60" i="21"/>
  <c r="C61" i="21"/>
  <c r="C62" i="21"/>
  <c r="C63" i="21"/>
  <c r="C64" i="21"/>
  <c r="C65" i="21"/>
  <c r="C66" i="21"/>
  <c r="C67" i="21"/>
  <c r="C68" i="21"/>
  <c r="C69" i="21"/>
  <c r="C70" i="21"/>
  <c r="C71" i="21"/>
  <c r="C72" i="21"/>
  <c r="C73" i="21"/>
  <c r="C74" i="21"/>
  <c r="C75" i="21"/>
  <c r="C76" i="21"/>
  <c r="C77" i="21"/>
  <c r="C78" i="21"/>
  <c r="C79" i="21"/>
  <c r="C80" i="21"/>
  <c r="C81" i="21"/>
  <c r="C82" i="21"/>
  <c r="C83" i="21"/>
  <c r="C84" i="21"/>
  <c r="C85" i="21"/>
  <c r="C86" i="21"/>
  <c r="C87" i="21"/>
  <c r="C88" i="21"/>
  <c r="C89" i="21"/>
  <c r="C90" i="21"/>
  <c r="C91" i="21"/>
  <c r="C92" i="21"/>
  <c r="C93" i="21"/>
  <c r="C94" i="21"/>
  <c r="C95" i="21"/>
  <c r="C96" i="21"/>
  <c r="C97" i="21"/>
  <c r="D111" i="9" l="1"/>
  <c r="E2" i="9"/>
  <c r="E3" i="9"/>
  <c r="E4" i="9"/>
  <c r="E5" i="9"/>
  <c r="E6" i="9"/>
  <c r="E7" i="9"/>
  <c r="E8" i="9"/>
  <c r="E9" i="9"/>
  <c r="E10" i="9"/>
  <c r="E11" i="9"/>
  <c r="E12" i="9"/>
  <c r="E13" i="9"/>
  <c r="E14" i="9"/>
  <c r="E15" i="9"/>
  <c r="E16" i="9"/>
  <c r="E17" i="9"/>
  <c r="E18" i="9"/>
  <c r="E19" i="9"/>
  <c r="E20" i="9"/>
  <c r="E21" i="9"/>
  <c r="E22" i="9"/>
  <c r="E23" i="9"/>
  <c r="E24" i="9"/>
  <c r="E25" i="9"/>
  <c r="E26" i="9"/>
  <c r="E27" i="9"/>
  <c r="E28" i="9"/>
  <c r="E29" i="9"/>
  <c r="E30" i="9"/>
  <c r="E31" i="9"/>
  <c r="E32" i="9"/>
  <c r="E33" i="9"/>
  <c r="E34" i="9"/>
  <c r="E35" i="9"/>
  <c r="E36" i="9"/>
  <c r="E37" i="9"/>
  <c r="E38" i="9"/>
  <c r="E39" i="9"/>
  <c r="E40" i="9"/>
  <c r="E41" i="9"/>
  <c r="E42" i="9"/>
  <c r="E43" i="9"/>
  <c r="E44" i="9"/>
  <c r="E45" i="9"/>
  <c r="E46" i="9"/>
  <c r="E47" i="9"/>
  <c r="E48" i="9"/>
  <c r="E49" i="9"/>
  <c r="E50" i="9"/>
  <c r="E51" i="9"/>
  <c r="E52" i="9"/>
  <c r="E53" i="9"/>
  <c r="E54" i="9"/>
  <c r="E55" i="9"/>
  <c r="E56" i="9"/>
  <c r="E57" i="9"/>
  <c r="E58" i="9"/>
  <c r="E59" i="9"/>
  <c r="E60" i="9"/>
  <c r="E61" i="9"/>
  <c r="E62" i="9"/>
  <c r="E63" i="9"/>
  <c r="E64" i="9"/>
  <c r="E65" i="9"/>
  <c r="E66" i="9"/>
  <c r="E67" i="9"/>
  <c r="E68" i="9"/>
  <c r="E69" i="9"/>
  <c r="E70" i="9"/>
  <c r="E71" i="9"/>
  <c r="E72" i="9"/>
  <c r="E73" i="9"/>
  <c r="E74" i="9"/>
  <c r="E75" i="9"/>
  <c r="E76" i="9"/>
  <c r="E77" i="9"/>
  <c r="E78" i="9"/>
  <c r="E79" i="9"/>
  <c r="E80" i="9"/>
  <c r="E81" i="9"/>
  <c r="E82" i="9"/>
  <c r="E83" i="9"/>
  <c r="E84" i="9"/>
  <c r="E85" i="9"/>
  <c r="E86" i="9"/>
  <c r="E87" i="9"/>
  <c r="E88" i="9"/>
  <c r="E89" i="9"/>
  <c r="E90" i="9"/>
  <c r="E91" i="9"/>
  <c r="E92" i="9"/>
  <c r="E93" i="9"/>
  <c r="E94" i="9"/>
  <c r="E95" i="9"/>
  <c r="E96" i="9"/>
  <c r="E97" i="9"/>
  <c r="E98" i="9"/>
  <c r="E99" i="9"/>
  <c r="E100" i="9"/>
  <c r="E101" i="9"/>
  <c r="E102" i="9"/>
  <c r="E103" i="9"/>
  <c r="E104" i="9"/>
  <c r="E105" i="9"/>
  <c r="E106" i="9"/>
  <c r="E107" i="9"/>
  <c r="E108" i="9"/>
  <c r="E109" i="9"/>
  <c r="E110" i="9"/>
  <c r="E111" i="9"/>
  <c r="E112" i="9"/>
  <c r="E113" i="9"/>
  <c r="E114" i="9"/>
  <c r="E115" i="9"/>
  <c r="E116" i="9"/>
  <c r="E117" i="9"/>
  <c r="E118" i="9"/>
  <c r="E119" i="9"/>
  <c r="E120" i="9"/>
  <c r="E121" i="9"/>
  <c r="E122" i="9"/>
  <c r="E123" i="9"/>
  <c r="E124" i="9"/>
  <c r="E125" i="9"/>
  <c r="E126" i="9"/>
  <c r="E127" i="9"/>
  <c r="E128" i="9"/>
  <c r="E129" i="9"/>
  <c r="E130" i="9"/>
  <c r="E131" i="9"/>
  <c r="E132" i="9"/>
  <c r="E133" i="9"/>
  <c r="E134" i="9"/>
  <c r="E135" i="9"/>
  <c r="E136" i="9"/>
  <c r="E137" i="9"/>
  <c r="E138" i="9"/>
  <c r="E139" i="9"/>
  <c r="E140" i="9"/>
  <c r="E141" i="9"/>
  <c r="E142" i="9"/>
  <c r="E143" i="9"/>
  <c r="E144" i="9"/>
  <c r="E145" i="9"/>
  <c r="E146" i="9"/>
  <c r="E147" i="9"/>
  <c r="E148" i="9"/>
  <c r="E149" i="9"/>
  <c r="E150" i="9"/>
  <c r="E151" i="9"/>
  <c r="E152" i="9"/>
  <c r="E153" i="9"/>
  <c r="E154" i="9"/>
  <c r="E155" i="9"/>
  <c r="E156" i="9"/>
  <c r="E157" i="9"/>
  <c r="E158" i="9"/>
  <c r="E159" i="9"/>
  <c r="E160" i="9"/>
  <c r="E161" i="9"/>
  <c r="E162" i="9"/>
  <c r="E163" i="9"/>
  <c r="E164" i="9"/>
  <c r="E165" i="9"/>
  <c r="E166" i="9"/>
  <c r="E167" i="9"/>
  <c r="E168" i="9"/>
  <c r="E169" i="9"/>
  <c r="E170" i="9"/>
  <c r="E171" i="9"/>
  <c r="E172" i="9"/>
  <c r="E173" i="9"/>
  <c r="E174" i="9"/>
  <c r="E175" i="9"/>
  <c r="E176" i="9"/>
  <c r="E177" i="9"/>
  <c r="E178" i="9"/>
  <c r="E179" i="9"/>
  <c r="E180" i="9"/>
  <c r="E181" i="9"/>
  <c r="E182" i="9"/>
  <c r="E183" i="9"/>
  <c r="E184" i="9"/>
  <c r="E185" i="9"/>
  <c r="E186" i="9"/>
  <c r="E187" i="9"/>
  <c r="E188" i="9"/>
  <c r="E189" i="9"/>
  <c r="E190" i="9"/>
  <c r="E191" i="9"/>
  <c r="E192" i="9"/>
  <c r="E193" i="9"/>
  <c r="E194" i="9"/>
  <c r="E195" i="9"/>
  <c r="E196" i="9"/>
  <c r="E197" i="9"/>
  <c r="E198" i="9"/>
  <c r="E199" i="9"/>
  <c r="E200" i="9"/>
  <c r="E201" i="9"/>
  <c r="E202" i="9"/>
  <c r="E203" i="9"/>
  <c r="E204" i="9"/>
  <c r="E205" i="9"/>
  <c r="E206" i="9"/>
  <c r="E207" i="9"/>
  <c r="E208" i="9"/>
  <c r="E209" i="9"/>
  <c r="E210" i="9"/>
  <c r="E211" i="9"/>
  <c r="E212" i="9"/>
  <c r="E213" i="9"/>
  <c r="E214" i="9"/>
  <c r="E215" i="9"/>
  <c r="E216" i="9"/>
  <c r="E217" i="9"/>
  <c r="E218" i="9"/>
  <c r="E219" i="9"/>
  <c r="E220" i="9"/>
  <c r="E221" i="9"/>
  <c r="E222" i="9"/>
  <c r="E223" i="9"/>
  <c r="E224" i="9"/>
  <c r="E225" i="9"/>
  <c r="E226" i="9"/>
  <c r="E227" i="9"/>
  <c r="E228" i="9"/>
  <c r="E229" i="9"/>
  <c r="E230" i="9"/>
  <c r="E231" i="9"/>
  <c r="E232" i="9"/>
  <c r="E233" i="9"/>
  <c r="E234" i="9"/>
  <c r="E235" i="9"/>
  <c r="E236" i="9"/>
  <c r="E237" i="9"/>
  <c r="E238" i="9"/>
  <c r="E239" i="9"/>
  <c r="E240" i="9"/>
  <c r="E241" i="9"/>
  <c r="E242" i="9"/>
  <c r="E243" i="9"/>
  <c r="E244" i="9"/>
  <c r="E245" i="9"/>
  <c r="E246" i="9"/>
  <c r="E247" i="9"/>
  <c r="E248" i="9"/>
  <c r="E249" i="9"/>
  <c r="E250" i="9"/>
  <c r="E251" i="9"/>
  <c r="E252" i="9"/>
  <c r="E253" i="9"/>
  <c r="E254" i="9"/>
  <c r="E255" i="9"/>
  <c r="E256" i="9"/>
  <c r="E257" i="9"/>
  <c r="E258" i="9"/>
  <c r="E259" i="9"/>
  <c r="E260" i="9"/>
  <c r="E261" i="9"/>
  <c r="E262" i="9"/>
  <c r="E263" i="9"/>
  <c r="E264" i="9"/>
  <c r="E265" i="9"/>
  <c r="E266" i="9"/>
  <c r="E267" i="9"/>
  <c r="E268" i="9"/>
  <c r="E269" i="9"/>
  <c r="E270" i="9"/>
  <c r="E271" i="9"/>
  <c r="E272" i="9"/>
  <c r="E273" i="9"/>
  <c r="E274" i="9"/>
  <c r="E275" i="9"/>
  <c r="E276" i="9"/>
  <c r="E277" i="9"/>
  <c r="E278" i="9"/>
  <c r="E279" i="9"/>
  <c r="E280" i="9"/>
  <c r="E281" i="9"/>
  <c r="E282" i="9"/>
  <c r="E283" i="9"/>
  <c r="E284" i="9"/>
  <c r="E285" i="9"/>
  <c r="E286" i="9"/>
  <c r="E287" i="9"/>
  <c r="E288" i="9"/>
  <c r="E289" i="9"/>
  <c r="E290" i="9"/>
  <c r="E291" i="9"/>
  <c r="E292" i="9"/>
  <c r="E293" i="9"/>
  <c r="E294" i="9"/>
  <c r="E295" i="9"/>
  <c r="E296" i="9"/>
  <c r="E297" i="9"/>
  <c r="E298" i="9"/>
  <c r="E299" i="9"/>
  <c r="E300" i="9"/>
  <c r="E301" i="9"/>
  <c r="E302" i="9"/>
  <c r="B2" i="9"/>
  <c r="C2" i="9" s="1"/>
  <c r="D2" i="9"/>
  <c r="D3" i="9"/>
  <c r="D4" i="9"/>
  <c r="D5" i="9"/>
  <c r="D6" i="9"/>
  <c r="D7" i="9"/>
  <c r="D8" i="9"/>
  <c r="D9" i="9"/>
  <c r="D10" i="9"/>
  <c r="D11" i="9"/>
  <c r="D12" i="9"/>
  <c r="D13" i="9"/>
  <c r="D14" i="9"/>
  <c r="D15" i="9"/>
  <c r="D16" i="9"/>
  <c r="D17" i="9"/>
  <c r="D18" i="9"/>
  <c r="D19" i="9"/>
  <c r="D20" i="9"/>
  <c r="D21" i="9"/>
  <c r="D22" i="9"/>
  <c r="D23" i="9"/>
  <c r="D24" i="9"/>
  <c r="D25" i="9"/>
  <c r="D26" i="9"/>
  <c r="D27" i="9"/>
  <c r="D28" i="9"/>
  <c r="D29" i="9"/>
  <c r="D30" i="9"/>
  <c r="D31" i="9"/>
  <c r="D32" i="9"/>
  <c r="D33" i="9"/>
  <c r="D34" i="9"/>
  <c r="D35" i="9"/>
  <c r="D36" i="9"/>
  <c r="D37" i="9"/>
  <c r="D38" i="9"/>
  <c r="D39" i="9"/>
  <c r="D40" i="9"/>
  <c r="D41" i="9"/>
  <c r="D42" i="9"/>
  <c r="D43" i="9"/>
  <c r="D44" i="9"/>
  <c r="D45" i="9"/>
  <c r="D46" i="9"/>
  <c r="D47" i="9"/>
  <c r="D48" i="9"/>
  <c r="D49" i="9"/>
  <c r="D50" i="9"/>
  <c r="D51" i="9"/>
  <c r="D52" i="9"/>
  <c r="D53" i="9"/>
  <c r="D54" i="9"/>
  <c r="D55" i="9"/>
  <c r="D56" i="9"/>
  <c r="D57" i="9"/>
  <c r="D58" i="9"/>
  <c r="D59" i="9"/>
  <c r="D60" i="9"/>
  <c r="D61" i="9"/>
  <c r="D62" i="9"/>
  <c r="D63" i="9"/>
  <c r="D64" i="9"/>
  <c r="D65" i="9"/>
  <c r="D66" i="9"/>
  <c r="D67" i="9"/>
  <c r="D68" i="9"/>
  <c r="D69" i="9"/>
  <c r="D70" i="9"/>
  <c r="D71" i="9"/>
  <c r="D72" i="9"/>
  <c r="D73" i="9"/>
  <c r="D74" i="9"/>
  <c r="D75" i="9"/>
  <c r="D76" i="9"/>
  <c r="D77" i="9"/>
  <c r="D78" i="9"/>
  <c r="D79" i="9"/>
  <c r="D80" i="9"/>
  <c r="D81" i="9"/>
  <c r="D82" i="9"/>
  <c r="D83" i="9"/>
  <c r="D84" i="9"/>
  <c r="D85" i="9"/>
  <c r="D86" i="9"/>
  <c r="D87" i="9"/>
  <c r="D88" i="9"/>
  <c r="D89" i="9"/>
  <c r="D90" i="9"/>
  <c r="D91" i="9"/>
  <c r="D92" i="9"/>
  <c r="D93" i="9"/>
  <c r="D94" i="9"/>
  <c r="D95" i="9"/>
  <c r="D96" i="9"/>
  <c r="D97" i="9"/>
  <c r="D98" i="9"/>
  <c r="D99" i="9"/>
  <c r="D100" i="9"/>
  <c r="D101" i="9"/>
  <c r="D102" i="9"/>
  <c r="D103" i="9"/>
  <c r="D104" i="9"/>
  <c r="D105" i="9"/>
  <c r="D106" i="9"/>
  <c r="D107" i="9"/>
  <c r="D108" i="9"/>
  <c r="D109" i="9"/>
  <c r="D110" i="9"/>
  <c r="D112" i="9"/>
  <c r="D113" i="9"/>
  <c r="D114" i="9"/>
  <c r="D115" i="9"/>
  <c r="D116" i="9"/>
  <c r="D117" i="9"/>
  <c r="D118" i="9"/>
  <c r="D119" i="9"/>
  <c r="D120" i="9"/>
  <c r="D121" i="9"/>
  <c r="D122" i="9"/>
  <c r="D123" i="9"/>
  <c r="D124" i="9"/>
  <c r="D125" i="9"/>
  <c r="D126" i="9"/>
  <c r="D127" i="9"/>
  <c r="D128" i="9"/>
  <c r="D129" i="9"/>
  <c r="D130" i="9"/>
  <c r="D131" i="9"/>
  <c r="D132" i="9"/>
  <c r="D133" i="9"/>
  <c r="D134" i="9"/>
  <c r="D135" i="9"/>
  <c r="D136" i="9"/>
  <c r="D137" i="9"/>
  <c r="D138" i="9"/>
  <c r="D139" i="9"/>
  <c r="D140" i="9"/>
  <c r="D141" i="9"/>
  <c r="D142" i="9"/>
  <c r="D143" i="9"/>
  <c r="D144" i="9"/>
  <c r="D145" i="9"/>
  <c r="D146" i="9"/>
  <c r="D147" i="9"/>
  <c r="D148" i="9"/>
  <c r="D149" i="9"/>
  <c r="D150" i="9"/>
  <c r="D151" i="9"/>
  <c r="D152" i="9"/>
  <c r="D153" i="9"/>
  <c r="D154" i="9"/>
  <c r="D155" i="9"/>
  <c r="D156" i="9"/>
  <c r="D157" i="9"/>
  <c r="D158" i="9"/>
  <c r="D159" i="9"/>
  <c r="D160" i="9"/>
  <c r="D161" i="9"/>
  <c r="D162" i="9"/>
  <c r="D163" i="9"/>
  <c r="D164" i="9"/>
  <c r="D165" i="9"/>
  <c r="D166" i="9"/>
  <c r="D167" i="9"/>
  <c r="D168" i="9"/>
  <c r="D169" i="9"/>
  <c r="D170" i="9"/>
  <c r="D171" i="9"/>
  <c r="D172" i="9"/>
  <c r="D173" i="9"/>
  <c r="D174" i="9"/>
  <c r="D175" i="9"/>
  <c r="D176" i="9"/>
  <c r="D177" i="9"/>
  <c r="D178" i="9"/>
  <c r="D179" i="9"/>
  <c r="D180" i="9"/>
  <c r="D181" i="9"/>
  <c r="D182" i="9"/>
  <c r="D183" i="9"/>
  <c r="D184" i="9"/>
  <c r="D185" i="9"/>
  <c r="D186" i="9"/>
  <c r="D187" i="9"/>
  <c r="D188" i="9"/>
  <c r="D189" i="9"/>
  <c r="D190" i="9"/>
  <c r="D191" i="9"/>
  <c r="D192" i="9"/>
  <c r="D193" i="9"/>
  <c r="D194" i="9"/>
  <c r="D195" i="9"/>
  <c r="D196" i="9"/>
  <c r="D197" i="9"/>
  <c r="D198" i="9"/>
  <c r="D199" i="9"/>
  <c r="D200" i="9"/>
  <c r="D201" i="9"/>
  <c r="D202" i="9"/>
  <c r="D203" i="9"/>
  <c r="D204" i="9"/>
  <c r="D205" i="9"/>
  <c r="D206" i="9"/>
  <c r="D207" i="9"/>
  <c r="D208" i="9"/>
  <c r="D209" i="9"/>
  <c r="D210" i="9"/>
  <c r="D211" i="9"/>
  <c r="D212" i="9"/>
  <c r="D213" i="9"/>
  <c r="D214" i="9"/>
  <c r="D215" i="9"/>
  <c r="D216" i="9"/>
  <c r="D217" i="9"/>
  <c r="D218" i="9"/>
  <c r="D219" i="9"/>
  <c r="D220" i="9"/>
  <c r="D221" i="9"/>
  <c r="D222" i="9"/>
  <c r="D223" i="9"/>
  <c r="D224" i="9"/>
  <c r="D225" i="9"/>
  <c r="D226" i="9"/>
  <c r="D227" i="9"/>
  <c r="D228" i="9"/>
  <c r="D229" i="9"/>
  <c r="D230" i="9"/>
  <c r="D231" i="9"/>
  <c r="D232" i="9"/>
  <c r="D233" i="9"/>
  <c r="D234" i="9"/>
  <c r="D235" i="9"/>
  <c r="D236" i="9"/>
  <c r="D237" i="9"/>
  <c r="D238" i="9"/>
  <c r="D239" i="9"/>
  <c r="D240" i="9"/>
  <c r="D241" i="9"/>
  <c r="D242" i="9"/>
  <c r="D243" i="9"/>
  <c r="D244" i="9"/>
  <c r="D245" i="9"/>
  <c r="D246" i="9"/>
  <c r="D247" i="9"/>
  <c r="D248" i="9"/>
  <c r="D249" i="9"/>
  <c r="D250" i="9"/>
  <c r="D251" i="9"/>
  <c r="D252" i="9"/>
  <c r="D253" i="9"/>
  <c r="D254" i="9"/>
  <c r="D255" i="9"/>
  <c r="D256" i="9"/>
  <c r="D257" i="9"/>
  <c r="D258" i="9"/>
  <c r="D259" i="9"/>
  <c r="D260" i="9"/>
  <c r="D261" i="9"/>
  <c r="D262" i="9"/>
  <c r="D263" i="9"/>
  <c r="D264" i="9"/>
  <c r="D265" i="9"/>
  <c r="D266" i="9"/>
  <c r="D267" i="9"/>
  <c r="D268" i="9"/>
  <c r="D269" i="9"/>
  <c r="D270" i="9"/>
  <c r="D271" i="9"/>
  <c r="D272" i="9"/>
  <c r="D273" i="9"/>
  <c r="D274" i="9"/>
  <c r="D275" i="9"/>
  <c r="D276" i="9"/>
  <c r="D277" i="9"/>
  <c r="D278" i="9"/>
  <c r="D279" i="9"/>
  <c r="D280" i="9"/>
  <c r="D281" i="9"/>
  <c r="D282" i="9"/>
  <c r="D283" i="9"/>
  <c r="D284" i="9"/>
  <c r="D285" i="9"/>
  <c r="D286" i="9"/>
  <c r="D287" i="9"/>
  <c r="D288" i="9"/>
  <c r="D289" i="9"/>
  <c r="D290" i="9"/>
  <c r="D291" i="9"/>
  <c r="D292" i="9"/>
  <c r="D293" i="9"/>
  <c r="D294" i="9"/>
  <c r="D295" i="9"/>
  <c r="D296" i="9"/>
  <c r="D297" i="9"/>
  <c r="D298" i="9"/>
  <c r="D299" i="9"/>
  <c r="D300" i="9"/>
  <c r="D301" i="9"/>
  <c r="D302" i="9"/>
  <c r="B3" i="9"/>
  <c r="C3" i="9" s="1"/>
  <c r="B4" i="9"/>
  <c r="C4" i="9" s="1"/>
  <c r="B5" i="9"/>
  <c r="C5" i="9" s="1"/>
  <c r="B6" i="9"/>
  <c r="C6" i="9" s="1"/>
  <c r="B7" i="9"/>
  <c r="C7" i="9" s="1"/>
  <c r="B8" i="9"/>
  <c r="C8" i="9" s="1"/>
  <c r="B9" i="9"/>
  <c r="C9" i="9" s="1"/>
  <c r="B10" i="9"/>
  <c r="C10" i="9" s="1"/>
  <c r="B11" i="9"/>
  <c r="C11" i="9" s="1"/>
  <c r="B12" i="9"/>
  <c r="C12" i="9" s="1"/>
  <c r="B13" i="9"/>
  <c r="C13" i="9" s="1"/>
  <c r="B14" i="9"/>
  <c r="C14" i="9" s="1"/>
  <c r="B15" i="9"/>
  <c r="C15" i="9" s="1"/>
  <c r="B16" i="9"/>
  <c r="C16" i="9" s="1"/>
  <c r="B17" i="9"/>
  <c r="C17" i="9" s="1"/>
  <c r="B18" i="9"/>
  <c r="C18" i="9" s="1"/>
  <c r="B19" i="9"/>
  <c r="C19" i="9" s="1"/>
  <c r="B20" i="9"/>
  <c r="C20" i="9" s="1"/>
  <c r="B21" i="9"/>
  <c r="C21" i="9" s="1"/>
  <c r="B22" i="9"/>
  <c r="C22" i="9" s="1"/>
  <c r="B23" i="9"/>
  <c r="C23" i="9" s="1"/>
  <c r="B24" i="9"/>
  <c r="C24" i="9" s="1"/>
  <c r="B25" i="9"/>
  <c r="C25" i="9" s="1"/>
  <c r="B26" i="9"/>
  <c r="C26" i="9" s="1"/>
  <c r="B27" i="9"/>
  <c r="C27" i="9" s="1"/>
  <c r="B28" i="9"/>
  <c r="C28" i="9" s="1"/>
  <c r="B29" i="9"/>
  <c r="C29" i="9" s="1"/>
  <c r="B30" i="9"/>
  <c r="C30" i="9" s="1"/>
  <c r="B31" i="9"/>
  <c r="C31" i="9" s="1"/>
  <c r="B32" i="9"/>
  <c r="C32" i="9" s="1"/>
  <c r="B33" i="9"/>
  <c r="C33" i="9" s="1"/>
  <c r="B34" i="9"/>
  <c r="C34" i="9" s="1"/>
  <c r="B35" i="9"/>
  <c r="C35" i="9" s="1"/>
  <c r="B36" i="9"/>
  <c r="C36" i="9" s="1"/>
  <c r="B37" i="9"/>
  <c r="C37" i="9" s="1"/>
  <c r="B38" i="9"/>
  <c r="C38" i="9" s="1"/>
  <c r="B39" i="9"/>
  <c r="C39" i="9" s="1"/>
  <c r="B40" i="9"/>
  <c r="C40" i="9" s="1"/>
  <c r="B41" i="9"/>
  <c r="C41" i="9" s="1"/>
  <c r="B42" i="9"/>
  <c r="C42" i="9" s="1"/>
  <c r="B43" i="9"/>
  <c r="C43" i="9" s="1"/>
  <c r="B44" i="9"/>
  <c r="C44" i="9" s="1"/>
  <c r="B45" i="9"/>
  <c r="C45" i="9" s="1"/>
  <c r="B46" i="9"/>
  <c r="C46" i="9" s="1"/>
  <c r="B47" i="9"/>
  <c r="C47" i="9" s="1"/>
  <c r="B48" i="9"/>
  <c r="C48" i="9" s="1"/>
  <c r="B49" i="9"/>
  <c r="C49" i="9" s="1"/>
  <c r="B50" i="9"/>
  <c r="C50" i="9" s="1"/>
  <c r="B51" i="9"/>
  <c r="C51" i="9" s="1"/>
  <c r="B52" i="9"/>
  <c r="C52" i="9" s="1"/>
  <c r="B53" i="9"/>
  <c r="C53" i="9" s="1"/>
  <c r="B54" i="9"/>
  <c r="C54" i="9" s="1"/>
  <c r="B55" i="9"/>
  <c r="C55" i="9" s="1"/>
  <c r="B56" i="9"/>
  <c r="C56" i="9" s="1"/>
  <c r="B57" i="9"/>
  <c r="C57" i="9" s="1"/>
  <c r="B58" i="9"/>
  <c r="C58" i="9" s="1"/>
  <c r="B59" i="9"/>
  <c r="C59" i="9" s="1"/>
  <c r="B60" i="9"/>
  <c r="C60" i="9" s="1"/>
  <c r="B61" i="9"/>
  <c r="C61" i="9" s="1"/>
  <c r="B62" i="9"/>
  <c r="C62" i="9" s="1"/>
  <c r="B63" i="9"/>
  <c r="C63" i="9" s="1"/>
  <c r="B64" i="9"/>
  <c r="C64" i="9" s="1"/>
  <c r="B65" i="9"/>
  <c r="C65" i="9" s="1"/>
  <c r="B66" i="9"/>
  <c r="C66" i="9" s="1"/>
  <c r="B67" i="9"/>
  <c r="C67" i="9" s="1"/>
  <c r="B68" i="9"/>
  <c r="C68" i="9" s="1"/>
  <c r="B69" i="9"/>
  <c r="C69" i="9" s="1"/>
  <c r="B70" i="9"/>
  <c r="C70" i="9" s="1"/>
  <c r="B71" i="9"/>
  <c r="C71" i="9" s="1"/>
  <c r="B72" i="9"/>
  <c r="C72" i="9" s="1"/>
  <c r="B73" i="9"/>
  <c r="C73" i="9" s="1"/>
  <c r="B74" i="9"/>
  <c r="C74" i="9" s="1"/>
  <c r="B75" i="9"/>
  <c r="C75" i="9" s="1"/>
  <c r="B76" i="9"/>
  <c r="C76" i="9" s="1"/>
  <c r="B77" i="9"/>
  <c r="C77" i="9" s="1"/>
  <c r="B78" i="9"/>
  <c r="C78" i="9" s="1"/>
  <c r="B79" i="9"/>
  <c r="C79" i="9" s="1"/>
  <c r="B80" i="9"/>
  <c r="C80" i="9" s="1"/>
  <c r="B81" i="9"/>
  <c r="C81" i="9" s="1"/>
  <c r="B82" i="9"/>
  <c r="C82" i="9" s="1"/>
  <c r="B83" i="9"/>
  <c r="C83" i="9" s="1"/>
  <c r="B84" i="9"/>
  <c r="C84" i="9" s="1"/>
  <c r="B85" i="9"/>
  <c r="C85" i="9" s="1"/>
  <c r="B86" i="9"/>
  <c r="C86" i="9" s="1"/>
  <c r="B87" i="9"/>
  <c r="C87" i="9" s="1"/>
  <c r="B88" i="9"/>
  <c r="C88" i="9" s="1"/>
  <c r="B89" i="9"/>
  <c r="C89" i="9" s="1"/>
  <c r="B90" i="9"/>
  <c r="C90" i="9" s="1"/>
  <c r="B91" i="9"/>
  <c r="C91" i="9" s="1"/>
  <c r="B92" i="9"/>
  <c r="C92" i="9" s="1"/>
  <c r="B93" i="9"/>
  <c r="C93" i="9" s="1"/>
  <c r="B94" i="9"/>
  <c r="C94" i="9" s="1"/>
  <c r="B95" i="9"/>
  <c r="C95" i="9" s="1"/>
  <c r="B96" i="9"/>
  <c r="C96" i="9" s="1"/>
  <c r="B97" i="9"/>
  <c r="C97" i="9" s="1"/>
  <c r="B98" i="9"/>
  <c r="C98" i="9" s="1"/>
  <c r="B99" i="9"/>
  <c r="C99" i="9" s="1"/>
  <c r="B100" i="9"/>
  <c r="C100" i="9" s="1"/>
  <c r="B101" i="9"/>
  <c r="C101" i="9" s="1"/>
  <c r="B102" i="9"/>
  <c r="C102" i="9" s="1"/>
  <c r="B103" i="9"/>
  <c r="C103" i="9" s="1"/>
  <c r="B104" i="9"/>
  <c r="C104" i="9" s="1"/>
  <c r="B105" i="9"/>
  <c r="C105" i="9" s="1"/>
  <c r="B106" i="9"/>
  <c r="C106" i="9" s="1"/>
  <c r="B107" i="9"/>
  <c r="C107" i="9" s="1"/>
  <c r="B108" i="9"/>
  <c r="C108" i="9" s="1"/>
  <c r="B109" i="9"/>
  <c r="C109" i="9" s="1"/>
  <c r="B110" i="9"/>
  <c r="C110" i="9" s="1"/>
  <c r="B111" i="9"/>
  <c r="C111" i="9" s="1"/>
  <c r="B112" i="9"/>
  <c r="C112" i="9" s="1"/>
  <c r="B113" i="9"/>
  <c r="C113" i="9" s="1"/>
  <c r="B114" i="9"/>
  <c r="C114" i="9" s="1"/>
  <c r="B115" i="9"/>
  <c r="C115" i="9" s="1"/>
  <c r="B116" i="9"/>
  <c r="C116" i="9" s="1"/>
  <c r="B117" i="9"/>
  <c r="C117" i="9" s="1"/>
  <c r="B118" i="9"/>
  <c r="C118" i="9" s="1"/>
  <c r="B119" i="9"/>
  <c r="C119" i="9" s="1"/>
  <c r="B120" i="9"/>
  <c r="C120" i="9" s="1"/>
  <c r="B121" i="9"/>
  <c r="C121" i="9" s="1"/>
  <c r="B122" i="9"/>
  <c r="C122" i="9" s="1"/>
  <c r="B123" i="9"/>
  <c r="C123" i="9" s="1"/>
  <c r="B124" i="9"/>
  <c r="C124" i="9" s="1"/>
  <c r="B125" i="9"/>
  <c r="C125" i="9" s="1"/>
  <c r="B126" i="9"/>
  <c r="C126" i="9" s="1"/>
  <c r="B127" i="9"/>
  <c r="C127" i="9" s="1"/>
  <c r="B128" i="9"/>
  <c r="C128" i="9" s="1"/>
  <c r="B129" i="9"/>
  <c r="C129" i="9" s="1"/>
  <c r="B130" i="9"/>
  <c r="C130" i="9" s="1"/>
  <c r="B131" i="9"/>
  <c r="C131" i="9" s="1"/>
  <c r="B132" i="9"/>
  <c r="C132" i="9" s="1"/>
  <c r="B133" i="9"/>
  <c r="C133" i="9" s="1"/>
  <c r="B134" i="9"/>
  <c r="C134" i="9" s="1"/>
  <c r="B135" i="9"/>
  <c r="C135" i="9" s="1"/>
  <c r="B136" i="9"/>
  <c r="C136" i="9" s="1"/>
  <c r="B137" i="9"/>
  <c r="C137" i="9" s="1"/>
  <c r="B138" i="9"/>
  <c r="C138" i="9" s="1"/>
  <c r="B139" i="9"/>
  <c r="C139" i="9" s="1"/>
  <c r="B140" i="9"/>
  <c r="C140" i="9" s="1"/>
  <c r="B141" i="9"/>
  <c r="C141" i="9" s="1"/>
  <c r="B142" i="9"/>
  <c r="C142" i="9" s="1"/>
  <c r="B143" i="9"/>
  <c r="C143" i="9" s="1"/>
  <c r="B144" i="9"/>
  <c r="C144" i="9" s="1"/>
  <c r="B145" i="9"/>
  <c r="C145" i="9" s="1"/>
  <c r="B146" i="9"/>
  <c r="C146" i="9" s="1"/>
  <c r="B147" i="9"/>
  <c r="C147" i="9" s="1"/>
  <c r="B148" i="9"/>
  <c r="C148" i="9" s="1"/>
  <c r="B149" i="9"/>
  <c r="C149" i="9" s="1"/>
  <c r="B150" i="9"/>
  <c r="C150" i="9" s="1"/>
  <c r="B151" i="9"/>
  <c r="C151" i="9" s="1"/>
  <c r="B152" i="9"/>
  <c r="C152" i="9" s="1"/>
  <c r="B153" i="9"/>
  <c r="C153" i="9" s="1"/>
  <c r="B154" i="9"/>
  <c r="C154" i="9" s="1"/>
  <c r="B155" i="9"/>
  <c r="C155" i="9" s="1"/>
  <c r="B156" i="9"/>
  <c r="C156" i="9" s="1"/>
  <c r="B157" i="9"/>
  <c r="C157" i="9" s="1"/>
  <c r="B158" i="9"/>
  <c r="C158" i="9" s="1"/>
  <c r="B159" i="9"/>
  <c r="C159" i="9" s="1"/>
  <c r="B160" i="9"/>
  <c r="C160" i="9" s="1"/>
  <c r="B161" i="9"/>
  <c r="C161" i="9" s="1"/>
  <c r="B162" i="9"/>
  <c r="C162" i="9" s="1"/>
  <c r="B163" i="9"/>
  <c r="C163" i="9" s="1"/>
  <c r="B164" i="9"/>
  <c r="C164" i="9" s="1"/>
  <c r="B165" i="9"/>
  <c r="C165" i="9" s="1"/>
  <c r="B166" i="9"/>
  <c r="C166" i="9" s="1"/>
  <c r="B167" i="9"/>
  <c r="C167" i="9" s="1"/>
  <c r="B168" i="9"/>
  <c r="C168" i="9" s="1"/>
  <c r="B169" i="9"/>
  <c r="C169" i="9" s="1"/>
  <c r="B170" i="9"/>
  <c r="C170" i="9" s="1"/>
  <c r="B171" i="9"/>
  <c r="C171" i="9" s="1"/>
  <c r="B172" i="9"/>
  <c r="C172" i="9" s="1"/>
  <c r="B173" i="9"/>
  <c r="C173" i="9" s="1"/>
  <c r="B174" i="9"/>
  <c r="C174" i="9" s="1"/>
  <c r="B175" i="9"/>
  <c r="C175" i="9" s="1"/>
  <c r="B176" i="9"/>
  <c r="C176" i="9" s="1"/>
  <c r="B177" i="9"/>
  <c r="C177" i="9" s="1"/>
  <c r="B178" i="9"/>
  <c r="C178" i="9" s="1"/>
  <c r="B179" i="9"/>
  <c r="C179" i="9" s="1"/>
  <c r="B180" i="9"/>
  <c r="C180" i="9" s="1"/>
  <c r="B181" i="9"/>
  <c r="C181" i="9" s="1"/>
  <c r="B182" i="9"/>
  <c r="C182" i="9" s="1"/>
  <c r="B183" i="9"/>
  <c r="C183" i="9" s="1"/>
  <c r="B184" i="9"/>
  <c r="C184" i="9" s="1"/>
  <c r="B185" i="9"/>
  <c r="C185" i="9" s="1"/>
  <c r="B186" i="9"/>
  <c r="C186" i="9" s="1"/>
  <c r="B187" i="9"/>
  <c r="C187" i="9" s="1"/>
  <c r="B188" i="9"/>
  <c r="C188" i="9" s="1"/>
  <c r="B189" i="9"/>
  <c r="C189" i="9" s="1"/>
  <c r="B190" i="9"/>
  <c r="C190" i="9" s="1"/>
  <c r="B191" i="9"/>
  <c r="C191" i="9" s="1"/>
  <c r="B192" i="9"/>
  <c r="C192" i="9" s="1"/>
  <c r="B193" i="9"/>
  <c r="C193" i="9" s="1"/>
  <c r="B194" i="9"/>
  <c r="C194" i="9" s="1"/>
  <c r="B195" i="9"/>
  <c r="C195" i="9" s="1"/>
  <c r="B196" i="9"/>
  <c r="C196" i="9" s="1"/>
  <c r="B197" i="9"/>
  <c r="C197" i="9" s="1"/>
  <c r="B198" i="9"/>
  <c r="C198" i="9" s="1"/>
  <c r="B199" i="9"/>
  <c r="C199" i="9" s="1"/>
  <c r="B200" i="9"/>
  <c r="C200" i="9" s="1"/>
  <c r="B201" i="9"/>
  <c r="C201" i="9" s="1"/>
  <c r="B202" i="9"/>
  <c r="C202" i="9" s="1"/>
  <c r="B203" i="9"/>
  <c r="C203" i="9" s="1"/>
  <c r="B204" i="9"/>
  <c r="C204" i="9" s="1"/>
  <c r="B205" i="9"/>
  <c r="C205" i="9" s="1"/>
  <c r="B206" i="9"/>
  <c r="C206" i="9" s="1"/>
  <c r="B207" i="9"/>
  <c r="C207" i="9" s="1"/>
  <c r="B208" i="9"/>
  <c r="C208" i="9" s="1"/>
  <c r="B209" i="9"/>
  <c r="C209" i="9" s="1"/>
  <c r="B210" i="9"/>
  <c r="C210" i="9" s="1"/>
  <c r="B211" i="9"/>
  <c r="C211" i="9" s="1"/>
  <c r="B212" i="9"/>
  <c r="C212" i="9" s="1"/>
  <c r="B213" i="9"/>
  <c r="C213" i="9" s="1"/>
  <c r="B214" i="9"/>
  <c r="C214" i="9" s="1"/>
  <c r="B215" i="9"/>
  <c r="C215" i="9" s="1"/>
  <c r="B216" i="9"/>
  <c r="C216" i="9" s="1"/>
  <c r="B217" i="9"/>
  <c r="C217" i="9" s="1"/>
  <c r="B218" i="9"/>
  <c r="C218" i="9" s="1"/>
  <c r="B219" i="9"/>
  <c r="C219" i="9" s="1"/>
  <c r="B220" i="9"/>
  <c r="C220" i="9" s="1"/>
  <c r="B221" i="9"/>
  <c r="C221" i="9" s="1"/>
  <c r="B222" i="9"/>
  <c r="C222" i="9" s="1"/>
  <c r="B223" i="9"/>
  <c r="C223" i="9" s="1"/>
  <c r="B224" i="9"/>
  <c r="C224" i="9" s="1"/>
  <c r="B225" i="9"/>
  <c r="C225" i="9" s="1"/>
  <c r="B226" i="9"/>
  <c r="C226" i="9" s="1"/>
  <c r="B227" i="9"/>
  <c r="C227" i="9" s="1"/>
  <c r="B228" i="9"/>
  <c r="C228" i="9" s="1"/>
  <c r="B229" i="9"/>
  <c r="C229" i="9" s="1"/>
  <c r="B230" i="9"/>
  <c r="C230" i="9" s="1"/>
  <c r="B231" i="9"/>
  <c r="C231" i="9" s="1"/>
  <c r="B232" i="9"/>
  <c r="C232" i="9" s="1"/>
  <c r="B233" i="9"/>
  <c r="C233" i="9" s="1"/>
  <c r="B234" i="9"/>
  <c r="C234" i="9" s="1"/>
  <c r="B235" i="9"/>
  <c r="C235" i="9" s="1"/>
  <c r="B236" i="9"/>
  <c r="C236" i="9" s="1"/>
  <c r="B237" i="9"/>
  <c r="C237" i="9" s="1"/>
  <c r="B238" i="9"/>
  <c r="C238" i="9" s="1"/>
  <c r="B239" i="9"/>
  <c r="C239" i="9" s="1"/>
  <c r="B240" i="9"/>
  <c r="C240" i="9" s="1"/>
  <c r="B241" i="9"/>
  <c r="C241" i="9" s="1"/>
  <c r="B242" i="9"/>
  <c r="C242" i="9" s="1"/>
  <c r="B243" i="9"/>
  <c r="C243" i="9" s="1"/>
  <c r="B244" i="9"/>
  <c r="C244" i="9" s="1"/>
  <c r="B245" i="9"/>
  <c r="C245" i="9" s="1"/>
  <c r="B246" i="9"/>
  <c r="C246" i="9" s="1"/>
  <c r="B247" i="9"/>
  <c r="C247" i="9" s="1"/>
  <c r="B248" i="9"/>
  <c r="C248" i="9" s="1"/>
  <c r="B249" i="9"/>
  <c r="C249" i="9" s="1"/>
  <c r="B250" i="9"/>
  <c r="C250" i="9" s="1"/>
  <c r="B251" i="9"/>
  <c r="C251" i="9" s="1"/>
  <c r="B252" i="9"/>
  <c r="C252" i="9" s="1"/>
  <c r="B253" i="9"/>
  <c r="C253" i="9" s="1"/>
  <c r="B254" i="9"/>
  <c r="C254" i="9" s="1"/>
  <c r="B255" i="9"/>
  <c r="C255" i="9" s="1"/>
  <c r="B256" i="9"/>
  <c r="C256" i="9" s="1"/>
  <c r="B257" i="9"/>
  <c r="C257" i="9" s="1"/>
  <c r="B258" i="9"/>
  <c r="C258" i="9" s="1"/>
  <c r="B259" i="9"/>
  <c r="C259" i="9" s="1"/>
  <c r="B260" i="9"/>
  <c r="C260" i="9" s="1"/>
  <c r="B261" i="9"/>
  <c r="C261" i="9" s="1"/>
  <c r="B262" i="9"/>
  <c r="C262" i="9" s="1"/>
  <c r="B263" i="9"/>
  <c r="C263" i="9" s="1"/>
  <c r="B264" i="9"/>
  <c r="C264" i="9" s="1"/>
  <c r="B265" i="9"/>
  <c r="C265" i="9" s="1"/>
  <c r="B266" i="9"/>
  <c r="C266" i="9" s="1"/>
  <c r="B267" i="9"/>
  <c r="C267" i="9" s="1"/>
  <c r="B268" i="9"/>
  <c r="C268" i="9" s="1"/>
  <c r="B269" i="9"/>
  <c r="C269" i="9" s="1"/>
  <c r="B270" i="9"/>
  <c r="C270" i="9" s="1"/>
  <c r="B271" i="9"/>
  <c r="C271" i="9" s="1"/>
  <c r="B272" i="9"/>
  <c r="C272" i="9" s="1"/>
  <c r="B273" i="9"/>
  <c r="C273" i="9" s="1"/>
  <c r="B274" i="9"/>
  <c r="C274" i="9" s="1"/>
  <c r="B275" i="9"/>
  <c r="C275" i="9" s="1"/>
  <c r="B276" i="9"/>
  <c r="C276" i="9" s="1"/>
  <c r="B277" i="9"/>
  <c r="C277" i="9" s="1"/>
  <c r="B278" i="9"/>
  <c r="C278" i="9" s="1"/>
  <c r="B279" i="9"/>
  <c r="C279" i="9" s="1"/>
  <c r="B280" i="9"/>
  <c r="C280" i="9" s="1"/>
  <c r="B281" i="9"/>
  <c r="C281" i="9" s="1"/>
  <c r="B282" i="9"/>
  <c r="C282" i="9" s="1"/>
  <c r="B283" i="9"/>
  <c r="C283" i="9" s="1"/>
  <c r="B284" i="9"/>
  <c r="C284" i="9" s="1"/>
  <c r="B285" i="9"/>
  <c r="C285" i="9" s="1"/>
  <c r="B286" i="9"/>
  <c r="C286" i="9" s="1"/>
  <c r="B287" i="9"/>
  <c r="C287" i="9" s="1"/>
  <c r="B288" i="9"/>
  <c r="C288" i="9" s="1"/>
  <c r="B289" i="9"/>
  <c r="C289" i="9" s="1"/>
  <c r="B290" i="9"/>
  <c r="C290" i="9" s="1"/>
  <c r="B291" i="9"/>
  <c r="C291" i="9" s="1"/>
  <c r="B292" i="9"/>
  <c r="C292" i="9" s="1"/>
  <c r="B293" i="9"/>
  <c r="C293" i="9" s="1"/>
  <c r="B294" i="9"/>
  <c r="C294" i="9" s="1"/>
  <c r="B295" i="9"/>
  <c r="C295" i="9" s="1"/>
  <c r="B296" i="9"/>
  <c r="C296" i="9" s="1"/>
  <c r="B297" i="9"/>
  <c r="C297" i="9" s="1"/>
  <c r="B298" i="9"/>
  <c r="C298" i="9" s="1"/>
  <c r="B299" i="9"/>
  <c r="C299" i="9" s="1"/>
  <c r="B300" i="9"/>
  <c r="C300" i="9" s="1"/>
  <c r="B301" i="9"/>
  <c r="C301" i="9" s="1"/>
  <c r="B302" i="9"/>
  <c r="C302" i="9" s="1"/>
  <c r="B1" i="30" l="1"/>
  <c r="B4" i="30" s="1"/>
  <c r="E7" i="30" s="1"/>
  <c r="E9" i="3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PLAMEN DIMITROV</author>
  </authors>
  <commentList>
    <comment ref="A15" authorId="0" shapeId="0" xr:uid="{F79CBF05-FF2E-4F71-AB45-2E60A8F2C186}">
      <text>
        <r>
          <rPr>
            <b/>
            <sz val="9"/>
            <color indexed="81"/>
            <rFont val="Tahoma"/>
            <family val="2"/>
          </rPr>
          <t>PLAMEN DIMITROV:</t>
        </r>
        <r>
          <rPr>
            <sz val="9"/>
            <color indexed="81"/>
            <rFont val="Tahoma"/>
            <family val="2"/>
          </rPr>
          <t xml:space="preserve">
general</t>
        </r>
      </text>
    </comment>
    <comment ref="G15" authorId="0" shapeId="0" xr:uid="{0B6383B9-BC69-4136-B24F-4B3FD061D2F0}">
      <text>
        <r>
          <rPr>
            <b/>
            <sz val="9"/>
            <color indexed="81"/>
            <rFont val="Tahoma"/>
            <family val="2"/>
          </rPr>
          <t>PLAMEN DIMITROV:</t>
        </r>
        <r>
          <rPr>
            <sz val="9"/>
            <color indexed="81"/>
            <rFont val="Tahoma"/>
            <family val="2"/>
          </rPr>
          <t xml:space="preserve">
general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PLAMEN DIMITROV</author>
  </authors>
  <commentList>
    <comment ref="A1" authorId="0" shapeId="0" xr:uid="{DBAB46D6-1840-457F-BD64-C99F0A752DD5}">
      <text>
        <r>
          <rPr>
            <b/>
            <sz val="9"/>
            <color indexed="81"/>
            <rFont val="Tahoma"/>
            <family val="2"/>
          </rPr>
          <t>PLAMEN DIMITROV:</t>
        </r>
        <r>
          <rPr>
            <sz val="9"/>
            <color indexed="81"/>
            <rFont val="Tahoma"/>
            <family val="2"/>
          </rPr>
          <t xml:space="preserve">
general</t>
        </r>
      </text>
    </comment>
    <comment ref="D1" authorId="0" shapeId="0" xr:uid="{B5925462-E552-4145-B604-6180FEA92904}">
      <text>
        <r>
          <rPr>
            <b/>
            <sz val="9"/>
            <color indexed="81"/>
            <rFont val="Tahoma"/>
            <family val="2"/>
          </rPr>
          <t>PLAMEN DIMITROV:</t>
        </r>
        <r>
          <rPr>
            <sz val="9"/>
            <color indexed="81"/>
            <rFont val="Tahoma"/>
            <family val="2"/>
          </rPr>
          <t xml:space="preserve">
general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684C52B-8218-4B17-AE88-D844CC75129C}" keepAlive="1" name="Query - engine" description="Connection to the 'engine' query in the workbook." type="5" refreshedVersion="8" background="1" saveData="1">
    <dbPr connection="Provider=Microsoft.Mashup.OleDb.1;Data Source=$Workbook$;Location=engine;Extended Properties=&quot;&quot;" command="SELECT * FROM [engine]"/>
  </connection>
  <connection id="2" xr16:uid="{0F7D1117-E3EC-4CB8-BFBE-46AFF2593489}" keepAlive="1" name="Query - engine progress" description="Connection to the 'engine progress' query in the workbook." type="5" refreshedVersion="8" background="1" saveData="1">
    <dbPr connection="Provider=Microsoft.Mashup.OleDb.1;Data Source=$Workbook$;Location=&quot;engine progress&quot;;Extended Properties=&quot;&quot;" command="SELECT * FROM [engine progress]"/>
  </connection>
  <connection id="3" xr16:uid="{C5399746-FFEF-4776-B1D5-67A49B5962E3}" keepAlive="1" name="Query - h248EngineAdd" description="Connection to the 'h248EngineAdd' query in the workbook." type="5" refreshedVersion="8" background="1" saveData="1">
    <dbPr connection="Provider=Microsoft.Mashup.OleDb.1;Data Source=$Workbook$;Location=h248EngineAdd;Extended Properties=&quot;&quot;" command="SELECT * FROM [h248EngineAdd]"/>
  </connection>
  <connection id="4" xr16:uid="{432527AF-2F9D-4448-A5AC-175CF5FA7F87}" keepAlive="1" name="Query - h248LL" description="Connection to the 'h248LL' query in the workbook." type="5" refreshedVersion="8" background="1" saveData="1">
    <dbPr connection="Provider=Microsoft.Mashup.OleDb.1;Data Source=$Workbook$;Location=h248LL;Extended Properties=&quot;&quot;" command="SELECT * FROM [h248LL]"/>
  </connection>
  <connection id="5" xr16:uid="{4C6CF620-ED6B-4470-B940-EB050941FCD8}" keepAlive="1" name="Query - h248RL" description="Connection to the 'h248RL' query in the workbook." type="5" refreshedVersion="8" background="1" saveData="1">
    <dbPr connection="Provider=Microsoft.Mashup.OleDb.1;Data Source=$Workbook$;Location=h248RL;Extended Properties=&quot;&quot;" command="SELECT * FROM [h248RL]"/>
  </connection>
  <connection id="6" xr16:uid="{5346EF46-61B2-4E0F-AE31-61BFAAABB585}" keepAlive="1" name="Query - h248SABoardsCCB" description="Connection to the 'h248SABoardsCCB' query in the workbook." type="5" refreshedVersion="8" background="1" saveData="1">
    <dbPr connection="Provider=Microsoft.Mashup.OleDb.1;Data Source=$Workbook$;Location=h248SABoardsCCB;Extended Properties=&quot;&quot;" command="SELECT * FROM [h248SABoardsCCB]"/>
  </connection>
  <connection id="7" xr16:uid="{D74131AC-F5D8-4082-9725-94CCCD90A9E6}" keepAlive="1" name="Query - materials" description="Connection to the 'materials' query in the workbook." type="5" refreshedVersion="8" background="1" saveData="1">
    <dbPr connection="Provider=Microsoft.Mashup.OleDb.1;Data Source=$Workbook$;Location=materials;Extended Properties=&quot;&quot;" command="SELECT * FROM [materials]"/>
  </connection>
  <connection id="8" xr16:uid="{C9044B01-43EB-4602-B90C-83E4AB3EFCF5}" keepAlive="1" name="Query - Query1" description="Connection to the 'Query1' query in the workbook." type="5" refreshedVersion="8" background="1" saveData="1">
    <dbPr connection="Provider=Microsoft.Mashup.OleDb.1;Data Source=$Workbook$;Location=Query1;Extended Properties=&quot;&quot;" command="SELECT * FROM [Query1]"/>
  </connection>
  <connection id="9" xr16:uid="{08597B15-F497-4188-B744-BC46B1F2BB79}" keepAlive="1" name="Query - Query1 (2)" description="Connection to the 'Query1 (2)' query in the workbook." type="5" refreshedVersion="8" background="1" saveData="1">
    <dbPr connection="Provider=Microsoft.Mashup.OleDb.1;Data Source=$Workbook$;Location=&quot;Query1 (2)&quot;;Extended Properties=&quot;&quot;" command="SELECT * FROM [Query1 (2)]"/>
  </connection>
  <connection id="10" xr16:uid="{32991CFE-709B-42CD-B71B-1D73C7F25802}" keepAlive="1" name="Query - Query2" description="Connection to the 'Query2' query in the workbook." type="5" refreshedVersion="8" background="1" saveData="1">
    <dbPr connection="Provider=Microsoft.Mashup.OleDb.1;Data Source=$Workbook$;Location=Query2;Extended Properties=&quot;&quot;" command="SELECT * FROM [Query2]"/>
  </connection>
  <connection id="11" xr16:uid="{F88485BB-4AA5-48E6-AC64-7AF2D2ADD8F7}" keepAlive="1" name="Query - Query3" description="Connection to the 'Query3' query in the workbook." type="5" refreshedVersion="8" background="1" saveData="1">
    <dbPr connection="Provider=Microsoft.Mashup.OleDb.1;Data Source=$Workbook$;Location=Query3;Extended Properties=&quot;&quot;" command="SELECT * FROM [Query3]"/>
  </connection>
  <connection id="12" xr16:uid="{C72AD30C-BC64-49EA-82EA-62649B6D19E8}" keepAlive="1" name="Query - Query4" description="Connection to the 'Query4' query in the workbook." type="5" refreshedVersion="8" background="1" saveData="1">
    <dbPr connection="Provider=Microsoft.Mashup.OleDb.1;Data Source=$Workbook$;Location=Query4;Extended Properties=&quot;&quot;" command="SELECT * FROM [Query4]"/>
  </connection>
  <connection id="13" xr16:uid="{53B48E85-63F1-4C74-A2B7-855D40DE159E}" keepAlive="1" name="Query - Query4 (2)" description="Connection to the 'Query4 (2)' query in the workbook." type="5" refreshedVersion="8" background="1" saveData="1">
    <dbPr connection="Provider=Microsoft.Mashup.OleDb.1;Data Source=$Workbook$;Location=&quot;Query4 (2)&quot;;Extended Properties=&quot;&quot;" command="SELECT * FROM [Query4 (2)]"/>
  </connection>
  <connection id="14" xr16:uid="{72488FCD-9ABE-451B-AFCF-5D07B2A10116}" keepAlive="1" name="Query - Query5" description="Connection to the 'Query5' query in the workbook." type="5" refreshedVersion="8" background="1" saveData="1">
    <dbPr connection="Provider=Microsoft.Mashup.OleDb.1;Data Source=$Workbook$;Location=Query5;Extended Properties=&quot;&quot;" command="SELECT * FROM [Query5]"/>
  </connection>
</connections>
</file>

<file path=xl/sharedStrings.xml><?xml version="1.0" encoding="utf-8"?>
<sst xmlns="http://schemas.openxmlformats.org/spreadsheetml/2006/main" count="9608" uniqueCount="2256">
  <si>
    <t>MA_Number</t>
  </si>
  <si>
    <t>Product_Name</t>
  </si>
  <si>
    <t>Description</t>
  </si>
  <si>
    <t>Is_Assembly</t>
  </si>
  <si>
    <t>Part_Number</t>
  </si>
  <si>
    <t>Part_Qty</t>
  </si>
  <si>
    <t>Part_Length</t>
  </si>
  <si>
    <t>Part_Width</t>
  </si>
  <si>
    <t>Part_Height</t>
  </si>
  <si>
    <t>Assembly_Order</t>
  </si>
  <si>
    <t>Steel</t>
  </si>
  <si>
    <t>ch</t>
  </si>
  <si>
    <t>price_offer_num</t>
  </si>
  <si>
    <t>created_at</t>
  </si>
  <si>
    <t>updated_at</t>
  </si>
  <si>
    <t>created_by</t>
  </si>
  <si>
    <t>type_code</t>
  </si>
  <si>
    <t>type_name</t>
  </si>
  <si>
    <t>description</t>
  </si>
  <si>
    <t>connector holder</t>
  </si>
  <si>
    <t>pneumatic connector holder</t>
  </si>
  <si>
    <t>JB fork</t>
  </si>
  <si>
    <t>batch_id</t>
  </si>
  <si>
    <t>qty</t>
  </si>
  <si>
    <t>POM</t>
  </si>
  <si>
    <t>material_code</t>
  </si>
  <si>
    <t>material_name</t>
  </si>
  <si>
    <t>category</t>
  </si>
  <si>
    <t>density_kg_per_m3</t>
  </si>
  <si>
    <t>tensile_strength_mpa</t>
  </si>
  <si>
    <t>cost_per_kg</t>
  </si>
  <si>
    <t>is_active</t>
  </si>
  <si>
    <t>color_code</t>
  </si>
  <si>
    <t>color_name</t>
  </si>
  <si>
    <t>rgb_value</t>
  </si>
  <si>
    <t>pantone_code</t>
  </si>
  <si>
    <t>white</t>
  </si>
  <si>
    <t>black</t>
  </si>
  <si>
    <t>STL</t>
  </si>
  <si>
    <t>Derlin</t>
  </si>
  <si>
    <t>BR</t>
  </si>
  <si>
    <t>Brass</t>
  </si>
  <si>
    <t>parent_ma</t>
  </si>
  <si>
    <t>blue</t>
  </si>
  <si>
    <t>brown</t>
  </si>
  <si>
    <t>green</t>
  </si>
  <si>
    <t>red</t>
  </si>
  <si>
    <t>yellow</t>
  </si>
  <si>
    <t>WH</t>
  </si>
  <si>
    <t>BK</t>
  </si>
  <si>
    <t>BL</t>
  </si>
  <si>
    <t>BN</t>
  </si>
  <si>
    <t>GN</t>
  </si>
  <si>
    <t>RD</t>
  </si>
  <si>
    <t>YE</t>
  </si>
  <si>
    <t>color_name_bg</t>
  </si>
  <si>
    <t>БЯЛ</t>
  </si>
  <si>
    <t>ЧЕРЕН</t>
  </si>
  <si>
    <t>СИН</t>
  </si>
  <si>
    <t>КАФЯВ</t>
  </si>
  <si>
    <t>ЗЕЛЕН</t>
  </si>
  <si>
    <t>ЧЕРВЕН</t>
  </si>
  <si>
    <t>ЖЪЛТ</t>
  </si>
  <si>
    <t>material_name_bg</t>
  </si>
  <si>
    <t>СТОМАНА</t>
  </si>
  <si>
    <t>МЕСИНГ</t>
  </si>
  <si>
    <t>AL</t>
  </si>
  <si>
    <t>Aluminium</t>
  </si>
  <si>
    <t>АЛУМИНИЙ</t>
  </si>
  <si>
    <t>НЕРЪЖДАВЕЙКА</t>
  </si>
  <si>
    <t>Stainless steel</t>
  </si>
  <si>
    <t>SS</t>
  </si>
  <si>
    <t>process_cut</t>
  </si>
  <si>
    <t>process_mill</t>
  </si>
  <si>
    <t>10.21.80758A</t>
  </si>
  <si>
    <t>10.21.72966C</t>
  </si>
  <si>
    <t>10.21.72968A</t>
  </si>
  <si>
    <t>10.21.83798A</t>
  </si>
  <si>
    <t>10.21.35131A</t>
  </si>
  <si>
    <t>10.21.35334A</t>
  </si>
  <si>
    <t>10.21.89505A</t>
  </si>
  <si>
    <t>10.21.77121A</t>
  </si>
  <si>
    <t>10.21.27914A</t>
  </si>
  <si>
    <t>10.21.36860F</t>
  </si>
  <si>
    <t>10.21.54168C</t>
  </si>
  <si>
    <t>10.21.80751A</t>
  </si>
  <si>
    <t>10.21.35002C</t>
  </si>
  <si>
    <t>10.21.35003A</t>
  </si>
  <si>
    <t>10.21.77073A</t>
  </si>
  <si>
    <t>10.21.77045A</t>
  </si>
  <si>
    <t>10.21.83680A</t>
  </si>
  <si>
    <t>10.21.36271A</t>
  </si>
  <si>
    <t>10.21.83709A</t>
  </si>
  <si>
    <t>10.21.47236A</t>
  </si>
  <si>
    <t>10.21.83671B</t>
  </si>
  <si>
    <t>10.21.77085A</t>
  </si>
  <si>
    <t>10.21.73050A</t>
  </si>
  <si>
    <t>10.21.80748A</t>
  </si>
  <si>
    <t>10.21.42593A</t>
  </si>
  <si>
    <t>10.21.77076A</t>
  </si>
  <si>
    <t>10.21.72974A</t>
  </si>
  <si>
    <t>10.21.77049A</t>
  </si>
  <si>
    <t>10.21.42674D</t>
  </si>
  <si>
    <t>10.21.72978A</t>
  </si>
  <si>
    <t>10.21.83656D</t>
  </si>
  <si>
    <t>10.21.83657E</t>
  </si>
  <si>
    <t>10.21.35851A</t>
  </si>
  <si>
    <t>10.21.28074A</t>
  </si>
  <si>
    <t>10.21.76956B</t>
  </si>
  <si>
    <t>10.21.47066D</t>
  </si>
  <si>
    <t>10.21.47047D</t>
  </si>
  <si>
    <t>10.21.47065D</t>
  </si>
  <si>
    <t>10.21.96493A</t>
  </si>
  <si>
    <t>10.21.80753C</t>
  </si>
  <si>
    <t>10.21.83630A</t>
  </si>
  <si>
    <t>10.21.80775B</t>
  </si>
  <si>
    <t>10.21.80733A</t>
  </si>
  <si>
    <t>10.21.73031A</t>
  </si>
  <si>
    <t>10.21.72982A</t>
  </si>
  <si>
    <t>10.21.83758A</t>
  </si>
  <si>
    <t>10.21.80743B</t>
  </si>
  <si>
    <t>10.21.77054A</t>
  </si>
  <si>
    <t>10.21.77084A</t>
  </si>
  <si>
    <t>10.21.77047A</t>
  </si>
  <si>
    <t>10.21.35898A</t>
  </si>
  <si>
    <t>10.21.77160A</t>
  </si>
  <si>
    <t>10.21.77162A</t>
  </si>
  <si>
    <t>10.21.47100C</t>
  </si>
  <si>
    <t>10.21.83783A</t>
  </si>
  <si>
    <t>10.21.77152A</t>
  </si>
  <si>
    <t>10.21.76940C</t>
  </si>
  <si>
    <t>10.21.80752A</t>
  </si>
  <si>
    <t>10.21.47195A</t>
  </si>
  <si>
    <t>10.21.76987A</t>
  </si>
  <si>
    <t>10.21.76981A</t>
  </si>
  <si>
    <t>10.21.77157A</t>
  </si>
  <si>
    <t>10.21.77155A</t>
  </si>
  <si>
    <t>10.21.77156A</t>
  </si>
  <si>
    <t>10.21.76988A</t>
  </si>
  <si>
    <t>10.21.76967A</t>
  </si>
  <si>
    <t>10.21.35998A</t>
  </si>
  <si>
    <t>10.21.27982A</t>
  </si>
  <si>
    <t>10.21.73069A</t>
  </si>
  <si>
    <t>10.21.73067A</t>
  </si>
  <si>
    <t>10.21.77187A</t>
  </si>
  <si>
    <t>10.21.73076A</t>
  </si>
  <si>
    <t>10.21.73073A</t>
  </si>
  <si>
    <t>10.21.77066A</t>
  </si>
  <si>
    <t>10.21.77068A</t>
  </si>
  <si>
    <t>10.21.77069A</t>
  </si>
  <si>
    <t>10.21.77070A</t>
  </si>
  <si>
    <t>10.21.77038A</t>
  </si>
  <si>
    <t>10.21.77040A</t>
  </si>
  <si>
    <t>10.21.77039A</t>
  </si>
  <si>
    <t>10.21.77041A</t>
  </si>
  <si>
    <t>10.21.73066A</t>
  </si>
  <si>
    <t>10.21.77089A</t>
  </si>
  <si>
    <t>10.21.83646A</t>
  </si>
  <si>
    <t>10.21.77128A</t>
  </si>
  <si>
    <t>10.21.96496A</t>
  </si>
  <si>
    <t>10.21.96494A</t>
  </si>
  <si>
    <t>10.21.83677A</t>
  </si>
  <si>
    <t>10.21.50179G</t>
  </si>
  <si>
    <t>10.21.77159A</t>
  </si>
  <si>
    <t>10.21.80727A</t>
  </si>
  <si>
    <t>10.21.35125A</t>
  </si>
  <si>
    <t>10.21.83685A</t>
  </si>
  <si>
    <t>10.21.83672A</t>
  </si>
  <si>
    <t>10.21.77126A</t>
  </si>
  <si>
    <t>10.21.73070A</t>
  </si>
  <si>
    <t>10.21.79593A</t>
  </si>
  <si>
    <t>10.21.10820</t>
  </si>
  <si>
    <t>10.21.08826</t>
  </si>
  <si>
    <t>10.21.84626</t>
  </si>
  <si>
    <t>10.21.39356</t>
  </si>
  <si>
    <t>10.21.54460A</t>
  </si>
  <si>
    <t>10.21.10182</t>
  </si>
  <si>
    <t>10.21.37737</t>
  </si>
  <si>
    <t>10.21.35018</t>
  </si>
  <si>
    <t>10.21.96730E</t>
  </si>
  <si>
    <t>10.21.96716</t>
  </si>
  <si>
    <t>10.21.35019</t>
  </si>
  <si>
    <t>10.21.96734</t>
  </si>
  <si>
    <t>10.21.37442</t>
  </si>
  <si>
    <t>10.21.04100</t>
  </si>
  <si>
    <t>10.21.96728</t>
  </si>
  <si>
    <t>10.21.27932B</t>
  </si>
  <si>
    <t>10.21.34352</t>
  </si>
  <si>
    <t>10.21.19220</t>
  </si>
  <si>
    <t>10.21.84635</t>
  </si>
  <si>
    <t>10.21.96733</t>
  </si>
  <si>
    <t>10.21.76983B</t>
  </si>
  <si>
    <t>10.21.96697</t>
  </si>
  <si>
    <t>10.21.96501A</t>
  </si>
  <si>
    <t>10.21.83613A</t>
  </si>
  <si>
    <t>10.21.63361A</t>
  </si>
  <si>
    <t>10.21.77127C</t>
  </si>
  <si>
    <t>10.21.77190A</t>
  </si>
  <si>
    <t>10.21.77132A</t>
  </si>
  <si>
    <t>10.21.77083A</t>
  </si>
  <si>
    <t>10.21.83795A</t>
  </si>
  <si>
    <t>10.21.96498A</t>
  </si>
  <si>
    <t>10.21.80734A</t>
  </si>
  <si>
    <t>10.21.77149A</t>
  </si>
  <si>
    <t>10.21.79594A</t>
  </si>
  <si>
    <t>10.21.79595A</t>
  </si>
  <si>
    <t>10.21.77179A</t>
  </si>
  <si>
    <t>10.21.77151A</t>
  </si>
  <si>
    <t>10.21.35000A</t>
  </si>
  <si>
    <t>10.21.80774C</t>
  </si>
  <si>
    <t>10.21.83782A</t>
  </si>
  <si>
    <t>7075236930(X1PO2363)</t>
  </si>
  <si>
    <t>7118641830+7173344320</t>
  </si>
  <si>
    <t>7119101830+7274131020A</t>
  </si>
  <si>
    <t>7119127830+7234894130A</t>
  </si>
  <si>
    <t>7119632530+7119632630+72742614A</t>
  </si>
  <si>
    <t>71196683+7173344320+X1PO2488</t>
  </si>
  <si>
    <t>7119670830+7274290770A</t>
  </si>
  <si>
    <t>7119648630+7274171430A</t>
  </si>
  <si>
    <t>7183288530+7183288630+72742612A</t>
  </si>
  <si>
    <t>7185173030+7185173130+72742608A</t>
  </si>
  <si>
    <t>71884821+7134425740</t>
  </si>
  <si>
    <t>7188503730+7174152230A(7177097330)</t>
  </si>
  <si>
    <t>7189811530+7289811830+72741554A</t>
  </si>
  <si>
    <t>7189668330+7274136090A</t>
  </si>
  <si>
    <t>7189730210+7274146260A</t>
  </si>
  <si>
    <t>7198277430+7198277530+72741954A</t>
  </si>
  <si>
    <t>7198762530+7198600430+7274261190A</t>
  </si>
  <si>
    <t>7198774930+7198947430+72742908A</t>
  </si>
  <si>
    <t>7198809140+7274268930A</t>
  </si>
  <si>
    <t>7198914830+7234497030</t>
  </si>
  <si>
    <t>7289811630+7289811730+72741551A</t>
  </si>
  <si>
    <t>7289811630+7289811730+7274155220A</t>
  </si>
  <si>
    <t>72897304+72895207</t>
  </si>
  <si>
    <t>A1729821302_EYELET V2</t>
  </si>
  <si>
    <t>A1729821302_EYELET V3 2-KS</t>
  </si>
  <si>
    <t>A1729821302_EYELET V3 3-KS</t>
  </si>
  <si>
    <t>A1729821302_EYELET V3 4-KS</t>
  </si>
  <si>
    <t>ASSY_123024541</t>
  </si>
  <si>
    <t>ASSY_59Z063DC0B</t>
  </si>
  <si>
    <t>ASSY_59Z063DC0C</t>
  </si>
  <si>
    <t>ASSY_AMZ005DC0C</t>
  </si>
  <si>
    <t>ASSY_AMZ005DC0D</t>
  </si>
  <si>
    <t>ASSY_AMZ005DC0B</t>
  </si>
  <si>
    <t>ASSY_AMZ040C00B</t>
  </si>
  <si>
    <t>ASSY_AMZ040C00C</t>
  </si>
  <si>
    <t>ASSY_AMZ040C00D</t>
  </si>
  <si>
    <t>ASSY_AMZ040C00E</t>
  </si>
  <si>
    <t>ASSY_CA288A15199XXX</t>
  </si>
  <si>
    <t>ASSY_CA288A25199XXX</t>
  </si>
  <si>
    <t>ASSY_CA288A35199XXX</t>
  </si>
  <si>
    <t>ASSY_CA288B1519XXXX</t>
  </si>
  <si>
    <t>ASSY_D4Z001DC0C</t>
  </si>
  <si>
    <t>7075226730(X1PP5707)</t>
  </si>
  <si>
    <t>X1PP5M18</t>
  </si>
  <si>
    <t>ASSY_59Z006-T00D</t>
  </si>
  <si>
    <t>7187903970+7187904070</t>
  </si>
  <si>
    <t>X1PO2539</t>
  </si>
  <si>
    <t>71196683+7173344320+7173807630</t>
  </si>
  <si>
    <t>7289808930+7274153930</t>
  </si>
  <si>
    <t>ASSY_59Z006T00E</t>
  </si>
  <si>
    <t>ASSY_D4Z002DC0D</t>
  </si>
  <si>
    <t>7278246930/7298196130</t>
  </si>
  <si>
    <t>7118673890+7173344320</t>
  </si>
  <si>
    <t>7219678730+7134811530A</t>
  </si>
  <si>
    <t>7178412830+7198277430+72743637</t>
  </si>
  <si>
    <t>7177363290+7173344320</t>
  </si>
  <si>
    <t>ASSY_E6Z017DC1C</t>
  </si>
  <si>
    <t>7198810230+72742686A</t>
  </si>
  <si>
    <t>I10017Rev01</t>
  </si>
  <si>
    <t>105x35x47-(x5PCS)</t>
  </si>
  <si>
    <t>138x35x40-(x5PCS)</t>
  </si>
  <si>
    <t>160x45x40-(x5PCS)</t>
  </si>
  <si>
    <t>138x36x47-(x5PCS)</t>
  </si>
  <si>
    <t>type</t>
  </si>
  <si>
    <t>sc35h</t>
  </si>
  <si>
    <t>10.21.72967B</t>
  </si>
  <si>
    <t>10.21.73052A</t>
  </si>
  <si>
    <t>10.21.73082A</t>
  </si>
  <si>
    <t>CH</t>
  </si>
  <si>
    <t>PCH</t>
  </si>
  <si>
    <t>FORK</t>
  </si>
  <si>
    <t>CLIP H</t>
  </si>
  <si>
    <t>clip holder</t>
  </si>
  <si>
    <t>X1PO2003A</t>
  </si>
  <si>
    <t>7198913290+7189662430</t>
  </si>
  <si>
    <t>7198279630+7274154030</t>
  </si>
  <si>
    <t>7119162130+7274025390</t>
  </si>
  <si>
    <t>10.21.76983_B</t>
  </si>
  <si>
    <t>10.21.36176A</t>
  </si>
  <si>
    <t>10.21.73078A</t>
  </si>
  <si>
    <t>A1729821302_EYELETV1</t>
  </si>
  <si>
    <t>ASSY_59Z006T00C</t>
  </si>
  <si>
    <t>10.21.83587A</t>
  </si>
  <si>
    <t>26/20/35, РЯЗАНЕ, СИН, ДЕРЛИН</t>
  </si>
  <si>
    <t>10.21.76946A</t>
  </si>
  <si>
    <t>10.21.83610A</t>
  </si>
  <si>
    <t>10.21.77067A</t>
  </si>
  <si>
    <t>10.21.83700A</t>
  </si>
  <si>
    <t>ASSY_PPI0001107</t>
  </si>
  <si>
    <t>10.21.36071A</t>
  </si>
  <si>
    <t>10.21.11655A</t>
  </si>
  <si>
    <t>10.21.80755A</t>
  </si>
  <si>
    <t>10.21.65866A</t>
  </si>
  <si>
    <t>10.21.77061A</t>
  </si>
  <si>
    <t>ASSY_123024542+ASSY_23024521</t>
  </si>
  <si>
    <t>X1PO4566+7247502430</t>
  </si>
  <si>
    <t>job_order_number</t>
  </si>
  <si>
    <t>quantity</t>
  </si>
  <si>
    <t>ma_number</t>
  </si>
  <si>
    <t>name</t>
  </si>
  <si>
    <t>type_id</t>
  </si>
  <si>
    <t>261495</t>
  </si>
  <si>
    <t>261496</t>
  </si>
  <si>
    <t>261497</t>
  </si>
  <si>
    <t>261498</t>
  </si>
  <si>
    <t>261499</t>
  </si>
  <si>
    <t>261500</t>
  </si>
  <si>
    <t>7119639830</t>
  </si>
  <si>
    <t>261501</t>
  </si>
  <si>
    <t>261502</t>
  </si>
  <si>
    <t>261503</t>
  </si>
  <si>
    <t>261504</t>
  </si>
  <si>
    <t>71196714</t>
  </si>
  <si>
    <t>261505</t>
  </si>
  <si>
    <t>261506</t>
  </si>
  <si>
    <t>261507</t>
  </si>
  <si>
    <t>261508</t>
  </si>
  <si>
    <t>261509</t>
  </si>
  <si>
    <t>261510</t>
  </si>
  <si>
    <t>261511</t>
  </si>
  <si>
    <t>261512</t>
  </si>
  <si>
    <t>261513</t>
  </si>
  <si>
    <t>261514</t>
  </si>
  <si>
    <t>261515</t>
  </si>
  <si>
    <t>71986562</t>
  </si>
  <si>
    <t>261516</t>
  </si>
  <si>
    <t>261517</t>
  </si>
  <si>
    <t>261518</t>
  </si>
  <si>
    <t>261519</t>
  </si>
  <si>
    <t>261520</t>
  </si>
  <si>
    <t>261521</t>
  </si>
  <si>
    <t>7271007230</t>
  </si>
  <si>
    <t>261522</t>
  </si>
  <si>
    <t>261523</t>
  </si>
  <si>
    <t>261524</t>
  </si>
  <si>
    <t>261525</t>
  </si>
  <si>
    <t>261526</t>
  </si>
  <si>
    <t>261527</t>
  </si>
  <si>
    <t>261528</t>
  </si>
  <si>
    <t>261529</t>
  </si>
  <si>
    <t>261530</t>
  </si>
  <si>
    <t>261531</t>
  </si>
  <si>
    <t>261532</t>
  </si>
  <si>
    <t>261533</t>
  </si>
  <si>
    <t>261534</t>
  </si>
  <si>
    <t>261535</t>
  </si>
  <si>
    <t>261536</t>
  </si>
  <si>
    <t>261537</t>
  </si>
  <si>
    <t>261538</t>
  </si>
  <si>
    <t>261539</t>
  </si>
  <si>
    <t>261540</t>
  </si>
  <si>
    <t>261541</t>
  </si>
  <si>
    <t>261542</t>
  </si>
  <si>
    <t>7047135830</t>
  </si>
  <si>
    <t>261543</t>
  </si>
  <si>
    <t>7047186030</t>
  </si>
  <si>
    <t>261544</t>
  </si>
  <si>
    <t>261545</t>
  </si>
  <si>
    <t>261546</t>
  </si>
  <si>
    <t>7052161430</t>
  </si>
  <si>
    <t>261547</t>
  </si>
  <si>
    <t>261548</t>
  </si>
  <si>
    <t>7147882430</t>
  </si>
  <si>
    <t>261549</t>
  </si>
  <si>
    <t>261550</t>
  </si>
  <si>
    <t>261551</t>
  </si>
  <si>
    <t>261552</t>
  </si>
  <si>
    <t>261553</t>
  </si>
  <si>
    <t>7247760930</t>
  </si>
  <si>
    <t>261554</t>
  </si>
  <si>
    <t>7247761330</t>
  </si>
  <si>
    <t>261555</t>
  </si>
  <si>
    <t>261556</t>
  </si>
  <si>
    <t>7247781230</t>
  </si>
  <si>
    <t>261557</t>
  </si>
  <si>
    <t>7247781730</t>
  </si>
  <si>
    <t>261558</t>
  </si>
  <si>
    <t>261559</t>
  </si>
  <si>
    <t>72478572</t>
  </si>
  <si>
    <t>261560</t>
  </si>
  <si>
    <t>7252726530</t>
  </si>
  <si>
    <t>261561</t>
  </si>
  <si>
    <t>7252735930</t>
  </si>
  <si>
    <t>261562</t>
  </si>
  <si>
    <t>7252779130</t>
  </si>
  <si>
    <t>261563</t>
  </si>
  <si>
    <t>7252785330</t>
  </si>
  <si>
    <t>261564</t>
  </si>
  <si>
    <t>7252815130</t>
  </si>
  <si>
    <t>261565</t>
  </si>
  <si>
    <t>261566</t>
  </si>
  <si>
    <t>261567</t>
  </si>
  <si>
    <t>261568</t>
  </si>
  <si>
    <t>261569</t>
  </si>
  <si>
    <t>261570</t>
  </si>
  <si>
    <t>261571</t>
  </si>
  <si>
    <t>261572</t>
  </si>
  <si>
    <t>261573</t>
  </si>
  <si>
    <t>261574</t>
  </si>
  <si>
    <t>261575</t>
  </si>
  <si>
    <t>261576</t>
  </si>
  <si>
    <t>261577</t>
  </si>
  <si>
    <t>261578</t>
  </si>
  <si>
    <t>261579</t>
  </si>
  <si>
    <t>is_3d_part</t>
  </si>
  <si>
    <t>ДЕЛРИН</t>
  </si>
  <si>
    <t>10.21.77162A - 1</t>
  </si>
  <si>
    <t>10.21.77162A - 2</t>
  </si>
  <si>
    <t>10.21.77162A - 3</t>
  </si>
  <si>
    <t>10.21.77162A - 4</t>
  </si>
  <si>
    <t>10.21.77162A - 5</t>
  </si>
  <si>
    <t>ypn</t>
  </si>
  <si>
    <t>10.21.43811A</t>
  </si>
  <si>
    <t>10.21.38043A</t>
  </si>
  <si>
    <t>10.21.77371A</t>
  </si>
  <si>
    <t>10.21.37931A</t>
  </si>
  <si>
    <t>10.21.38690A</t>
  </si>
  <si>
    <t>10.21.77048A</t>
  </si>
  <si>
    <t>10.21.80749</t>
  </si>
  <si>
    <t>10.21.84407</t>
  </si>
  <si>
    <t>10.21.77033</t>
  </si>
  <si>
    <t>10.21.80724</t>
  </si>
  <si>
    <t>10.21.63723C</t>
  </si>
  <si>
    <t>10.21.39390A</t>
  </si>
  <si>
    <t>10.21.51985A</t>
  </si>
  <si>
    <t>10.21.77353A</t>
  </si>
  <si>
    <t>10.21.90707</t>
  </si>
  <si>
    <t>10.21.73020B</t>
  </si>
  <si>
    <t>10.21.77353</t>
  </si>
  <si>
    <t>10.21.43782</t>
  </si>
  <si>
    <t>10.21.77348A</t>
  </si>
  <si>
    <t>10.21.80721A</t>
  </si>
  <si>
    <t>10.21.73035A</t>
  </si>
  <si>
    <t>10.21.77058A</t>
  </si>
  <si>
    <t>10.21.69492</t>
  </si>
  <si>
    <t>10.21.83796A</t>
  </si>
  <si>
    <t>10.21.43814A</t>
  </si>
  <si>
    <t>10.21.71225A</t>
  </si>
  <si>
    <t>10.21.38917A</t>
  </si>
  <si>
    <t>10.21.43817B</t>
  </si>
  <si>
    <t>10.21.37966A</t>
  </si>
  <si>
    <t>10.21.43818A</t>
  </si>
  <si>
    <t>10.21.37967A</t>
  </si>
  <si>
    <t>10.21.37930A</t>
  </si>
  <si>
    <t>10.21.84399</t>
  </si>
  <si>
    <t>10.21.77335A</t>
  </si>
  <si>
    <t>10.21.84405A</t>
  </si>
  <si>
    <t>10.21.84406A</t>
  </si>
  <si>
    <t>10.21.43819D</t>
  </si>
  <si>
    <t>10.21.37913A</t>
  </si>
  <si>
    <t>10.21.76959</t>
  </si>
  <si>
    <t>10.21.73033B</t>
  </si>
  <si>
    <t>10.21.77369A</t>
  </si>
  <si>
    <t>10.21.45806B</t>
  </si>
  <si>
    <t>10.21.43822B</t>
  </si>
  <si>
    <t>10.21.39767A</t>
  </si>
  <si>
    <t>10.21.43823A</t>
  </si>
  <si>
    <t>10.21.48060A</t>
  </si>
  <si>
    <t>10.21.48627A</t>
  </si>
  <si>
    <t>10.21.38686A</t>
  </si>
  <si>
    <t>10.21.84747F</t>
  </si>
  <si>
    <t>10.21.96418I</t>
  </si>
  <si>
    <t>10.21.94327</t>
  </si>
  <si>
    <t>10.21.77357</t>
  </si>
  <si>
    <t>10.21.84421</t>
  </si>
  <si>
    <t>10.21.37883B</t>
  </si>
  <si>
    <t>10.21.37965A</t>
  </si>
  <si>
    <t>10.21.37964A</t>
  </si>
  <si>
    <t>10.21.38683A</t>
  </si>
  <si>
    <t>10.21.37986A</t>
  </si>
  <si>
    <t>10.21.37988A</t>
  </si>
  <si>
    <t>10.21.37887A</t>
  </si>
  <si>
    <t>10.21.39764A</t>
  </si>
  <si>
    <t>10.21.38507A</t>
  </si>
  <si>
    <t>10.21.52058A</t>
  </si>
  <si>
    <t>10.21.80873A</t>
  </si>
  <si>
    <t>10.21.80773A</t>
  </si>
  <si>
    <t>10.21.77300</t>
  </si>
  <si>
    <t>10.21.77302</t>
  </si>
  <si>
    <t>10.21.77374</t>
  </si>
  <si>
    <t>10.21.81212A</t>
  </si>
  <si>
    <t>10.21.65867A</t>
  </si>
  <si>
    <t>10.21.73023B</t>
  </si>
  <si>
    <t>10.21.73034</t>
  </si>
  <si>
    <t>10.21.77347</t>
  </si>
  <si>
    <t>10.21.77032</t>
  </si>
  <si>
    <t>10.21.77344</t>
  </si>
  <si>
    <t>10.21.77362</t>
  </si>
  <si>
    <t>10.21.73022B</t>
  </si>
  <si>
    <t>10.21.76952</t>
  </si>
  <si>
    <t>10.21.44739A</t>
  </si>
  <si>
    <t>7003293002(RINGTERMINAL)</t>
  </si>
  <si>
    <t>10.21.83556A</t>
  </si>
  <si>
    <t>7003803202(RINGTERMINAL)</t>
  </si>
  <si>
    <t>10.21.83557A</t>
  </si>
  <si>
    <t>10.21.80779A</t>
  </si>
  <si>
    <t>10.21.77118B</t>
  </si>
  <si>
    <t>10.21.80780A</t>
  </si>
  <si>
    <t>10.21.77120A</t>
  </si>
  <si>
    <t>7075231830(X1PO2395)</t>
  </si>
  <si>
    <t>10.21.80874C</t>
  </si>
  <si>
    <t>7075231930(X1PO2518)</t>
  </si>
  <si>
    <t>10.21.77378A</t>
  </si>
  <si>
    <t>10.21.77381A</t>
  </si>
  <si>
    <t>71186683+7173344320</t>
  </si>
  <si>
    <t>10.21.80708A</t>
  </si>
  <si>
    <t>10.21.77057A</t>
  </si>
  <si>
    <t>10.21.37852A</t>
  </si>
  <si>
    <t>7119127830+7234894130</t>
  </si>
  <si>
    <t>10.21.38711A</t>
  </si>
  <si>
    <t>7119140530+7119140640+72741359</t>
  </si>
  <si>
    <t>10.21.83585B</t>
  </si>
  <si>
    <t>10.21.80880A</t>
  </si>
  <si>
    <t>10.21.77029A</t>
  </si>
  <si>
    <t>10.21.38505</t>
  </si>
  <si>
    <t>7119648630+7274171430</t>
  </si>
  <si>
    <t>10.21.38730B</t>
  </si>
  <si>
    <t>10.21.77015A</t>
  </si>
  <si>
    <t>7176861930(X1PO2578)</t>
  </si>
  <si>
    <t>10.21.78863A</t>
  </si>
  <si>
    <t>7176862030(X1PO2580)</t>
  </si>
  <si>
    <t>10.21.78862A</t>
  </si>
  <si>
    <t>7176862130(X1PO2557)</t>
  </si>
  <si>
    <t>10.21.77386A</t>
  </si>
  <si>
    <t>7176862330(X1PO2559)</t>
  </si>
  <si>
    <t>10.21.77387A</t>
  </si>
  <si>
    <t>7176862730(X1PO2563)</t>
  </si>
  <si>
    <t>10.21.77390A</t>
  </si>
  <si>
    <t>7176862930(X1PO2407)</t>
  </si>
  <si>
    <t>10.21.77384A</t>
  </si>
  <si>
    <t>7176863030(X1PO2408)</t>
  </si>
  <si>
    <t>10.21.77391A</t>
  </si>
  <si>
    <t>7176874730(X1PO2553)</t>
  </si>
  <si>
    <t>10.21.77388A</t>
  </si>
  <si>
    <t>10.21.96345</t>
  </si>
  <si>
    <t>10.21.77032A</t>
  </si>
  <si>
    <t>7185173030+7185173130+72742608</t>
  </si>
  <si>
    <t>10.21.77013A</t>
  </si>
  <si>
    <t>10.21.43296A</t>
  </si>
  <si>
    <t>10.21.80862B</t>
  </si>
  <si>
    <t>7189730210+7274146260</t>
  </si>
  <si>
    <t>10.21.80863G</t>
  </si>
  <si>
    <t>10.21.73026B</t>
  </si>
  <si>
    <t>10.21.84415</t>
  </si>
  <si>
    <t>10.21.83762A</t>
  </si>
  <si>
    <t>7198762530+7198600430+7274261190</t>
  </si>
  <si>
    <t>10.21.83658C</t>
  </si>
  <si>
    <t>7198762530+7198600430+72743034</t>
  </si>
  <si>
    <t>10.21.76953B</t>
  </si>
  <si>
    <t>10.21.80875B</t>
  </si>
  <si>
    <t>10.21.83586B</t>
  </si>
  <si>
    <t>10.21.80744B</t>
  </si>
  <si>
    <t>10.21.80789A</t>
  </si>
  <si>
    <t>7219678730+7134811530</t>
  </si>
  <si>
    <t>7271007030(X1PO2536+X1PO2299)</t>
  </si>
  <si>
    <t>10.21.80644A</t>
  </si>
  <si>
    <t>10.21.80872A</t>
  </si>
  <si>
    <t>7278242730+7173825540+7174342530</t>
  </si>
  <si>
    <t>10.21.77148A</t>
  </si>
  <si>
    <t>10.21.83737A</t>
  </si>
  <si>
    <t>7289256230+7174167930A</t>
  </si>
  <si>
    <t>10.21.77342B</t>
  </si>
  <si>
    <t>7289488430+7274297830</t>
  </si>
  <si>
    <t>10.21.77169A</t>
  </si>
  <si>
    <t>10.21.73062A</t>
  </si>
  <si>
    <t>10.21.43362C</t>
  </si>
  <si>
    <t>10.21.73028A</t>
  </si>
  <si>
    <t>10.21.73029A</t>
  </si>
  <si>
    <t>7289811630+7289811730+7274166590</t>
  </si>
  <si>
    <t>10.21.80690A</t>
  </si>
  <si>
    <t>7298341860+7297341730+7247502430</t>
  </si>
  <si>
    <t>10.21.64864A</t>
  </si>
  <si>
    <t>10.21.73212</t>
  </si>
  <si>
    <t>A1729821302_EYELETV2</t>
  </si>
  <si>
    <t>A1729821302_EYELETV3</t>
  </si>
  <si>
    <t>10.21.77183</t>
  </si>
  <si>
    <t>A1729821302_EYELETV4_1</t>
  </si>
  <si>
    <t>A1729821302_EYELETV4_3</t>
  </si>
  <si>
    <t>ASSY_118021051</t>
  </si>
  <si>
    <t>10.21.76915A</t>
  </si>
  <si>
    <t>10.21.74208</t>
  </si>
  <si>
    <t>ASSY_123024542</t>
  </si>
  <si>
    <t>10.21.73060</t>
  </si>
  <si>
    <t>ASSY_59Z006T00B</t>
  </si>
  <si>
    <t>10.21.41555A</t>
  </si>
  <si>
    <t>ASSY_59Z006T00D</t>
  </si>
  <si>
    <t>10.21.77112A</t>
  </si>
  <si>
    <t>10.21.41556A</t>
  </si>
  <si>
    <t>ASSY_59Z063DC0A</t>
  </si>
  <si>
    <t>10.21.37924A</t>
  </si>
  <si>
    <t>10.21.37923A</t>
  </si>
  <si>
    <t>10.21.41552A</t>
  </si>
  <si>
    <t>ASSY_59Z063DC0F</t>
  </si>
  <si>
    <t>10.21.73214</t>
  </si>
  <si>
    <t>ASSY_59Z145DC0F</t>
  </si>
  <si>
    <t>10.21.73061</t>
  </si>
  <si>
    <t>ASSY_59Z163003F</t>
  </si>
  <si>
    <t>10.21.57692A</t>
  </si>
  <si>
    <t>ASSY_AMZ005000B</t>
  </si>
  <si>
    <t>10.21.79345</t>
  </si>
  <si>
    <t>10.21.73079</t>
  </si>
  <si>
    <t>ASSY_AMZ005DC0E</t>
  </si>
  <si>
    <t>10.21.83181B</t>
  </si>
  <si>
    <t>ASSY_AMZ005DC0F</t>
  </si>
  <si>
    <t>10.21.81225A</t>
  </si>
  <si>
    <t>10.21.77055A</t>
  </si>
  <si>
    <t>10.21.77052A</t>
  </si>
  <si>
    <t>10.21.77053A</t>
  </si>
  <si>
    <t>10.21.77056A</t>
  </si>
  <si>
    <t>10.21.37857</t>
  </si>
  <si>
    <t>10.21.77074</t>
  </si>
  <si>
    <t>10.21.77077</t>
  </si>
  <si>
    <t>10.21.77080</t>
  </si>
  <si>
    <t>ASSY_D4K2RE1D5A5BDC</t>
  </si>
  <si>
    <t>10.21.48078</t>
  </si>
  <si>
    <t>10.21.38926A</t>
  </si>
  <si>
    <t>ASSY_D4Z001DC0D</t>
  </si>
  <si>
    <t>10.21.71080A</t>
  </si>
  <si>
    <t>10.21.80674</t>
  </si>
  <si>
    <t>PDCBOX</t>
  </si>
  <si>
    <t>10.21.83565A</t>
  </si>
  <si>
    <t>10.21.77385A</t>
  </si>
  <si>
    <t>X1PO2395</t>
  </si>
  <si>
    <t>10.21.77379A</t>
  </si>
  <si>
    <t>X1PO2519</t>
  </si>
  <si>
    <t>10.21.80786A</t>
  </si>
  <si>
    <t>X1PO2538</t>
  </si>
  <si>
    <t>10.21.80748C</t>
  </si>
  <si>
    <t>7075226830X1PP5350</t>
  </si>
  <si>
    <t>7075231830X1PO2395</t>
  </si>
  <si>
    <t>7176862130X1PO2557</t>
  </si>
  <si>
    <t>7176862930X1PO2407</t>
  </si>
  <si>
    <t>7176863030X1PO2408</t>
  </si>
  <si>
    <t>7176874730X1PO2553</t>
  </si>
  <si>
    <t>71782472X1PO2221</t>
  </si>
  <si>
    <t>71979249+CLIP5110</t>
  </si>
  <si>
    <t>7198762530+7198600430+X1PO1C35A</t>
  </si>
  <si>
    <t>7198809140+7274268930</t>
  </si>
  <si>
    <t>7278242730+7174342530+7173825540</t>
  </si>
  <si>
    <t>7289488430+7274297830A</t>
  </si>
  <si>
    <t>7298341860+7297341730</t>
  </si>
  <si>
    <t>A1729821302</t>
  </si>
  <si>
    <t>A1729821302_EYELETV34-KS</t>
  </si>
  <si>
    <t>ASSY_59K24K1XX92A4C</t>
  </si>
  <si>
    <t>ASSY_59Z063DC0F/ASSY_59Z063-DC0F</t>
  </si>
  <si>
    <t>ASSY_59Z163003F/ASSY_59Z163DC0F</t>
  </si>
  <si>
    <t>ASSY_D4K2RE1D5A5BDC/ASSY_D4K2RE1D5A5B</t>
  </si>
  <si>
    <t>ASSY_PPI0001107+ASSY_CA288A25199XXX+ASSY_CA288A35199XXX</t>
  </si>
  <si>
    <t>ASSY_PPI0001107+ASSY_PPI0001651+ASSY_PPI0001652</t>
  </si>
  <si>
    <t>X1PO2007</t>
  </si>
  <si>
    <t>X1PO2518</t>
  </si>
  <si>
    <t>X1PO-2538</t>
  </si>
  <si>
    <t>X1PO2559</t>
  </si>
  <si>
    <t>X1PO2562</t>
  </si>
  <si>
    <t>X1PO2578</t>
  </si>
  <si>
    <t>X1PO2580</t>
  </si>
  <si>
    <t>X1PO3875+X1PO3876+X1PO3877A</t>
  </si>
  <si>
    <t>FoamholderX18_2-2-B_V1</t>
  </si>
  <si>
    <t>FOAMHOLDERX35_RHD</t>
  </si>
  <si>
    <t>FOAMHOLDERA1261-B_V1RHD</t>
  </si>
  <si>
    <t/>
  </si>
  <si>
    <t>10.21.77405I</t>
  </si>
  <si>
    <t>10.21.64080A</t>
  </si>
  <si>
    <t>10.21.9113B</t>
  </si>
  <si>
    <t>10.21.83747A</t>
  </si>
  <si>
    <t>10.21.37968A</t>
  </si>
  <si>
    <t>10.21.38177B</t>
  </si>
  <si>
    <t>10.21.43818</t>
  </si>
  <si>
    <t>10.21.38047A</t>
  </si>
  <si>
    <t>10.21.58455</t>
  </si>
  <si>
    <t>10.21.66609A</t>
  </si>
  <si>
    <t>10.21.80574A</t>
  </si>
  <si>
    <t>10.21.80876A</t>
  </si>
  <si>
    <t>10.21.80724A</t>
  </si>
  <si>
    <t>10.21.38685A</t>
  </si>
  <si>
    <t>10.21.73056A</t>
  </si>
  <si>
    <t>10.21.73080A</t>
  </si>
  <si>
    <t>10.21.83593A</t>
  </si>
  <si>
    <t>10.21.83761A</t>
  </si>
  <si>
    <t>10.21.77024A</t>
  </si>
  <si>
    <t>10.21.83666A</t>
  </si>
  <si>
    <t>10.21.47926A</t>
  </si>
  <si>
    <t>10.21.4788B</t>
  </si>
  <si>
    <t>10.21.37810E</t>
  </si>
  <si>
    <t>10.21.7213E</t>
  </si>
  <si>
    <t>10.21.37551B</t>
  </si>
  <si>
    <t>10.21.69750F</t>
  </si>
  <si>
    <t>10.21.78001B</t>
  </si>
  <si>
    <t>10.21.80883A</t>
  </si>
  <si>
    <t>10.21.48718A</t>
  </si>
  <si>
    <t>10.21.37987A</t>
  </si>
  <si>
    <t>10.21.83736A</t>
  </si>
  <si>
    <t>10.21.51519B</t>
  </si>
  <si>
    <t>10.21.77300A</t>
  </si>
  <si>
    <t>10.21.83757A</t>
  </si>
  <si>
    <t>10.21.77357A</t>
  </si>
  <si>
    <t>10.21.73034A</t>
  </si>
  <si>
    <t>10.21.77347A</t>
  </si>
  <si>
    <t>10.21.73032A</t>
  </si>
  <si>
    <t>10.21.77362A</t>
  </si>
  <si>
    <t>10.21.76952A</t>
  </si>
  <si>
    <t>10.21.73212A</t>
  </si>
  <si>
    <t>10.21.76951A</t>
  </si>
  <si>
    <t>10.21.73060A</t>
  </si>
  <si>
    <t>10.21.42191A</t>
  </si>
  <si>
    <t>10.21.44428A</t>
  </si>
  <si>
    <t>10.21.73214A</t>
  </si>
  <si>
    <t>10.21.73061A</t>
  </si>
  <si>
    <t>10.21.65863A</t>
  </si>
  <si>
    <t>10.21.73079A</t>
  </si>
  <si>
    <t>10.21.73064B</t>
  </si>
  <si>
    <t>10.21.73075A</t>
  </si>
  <si>
    <t>10.21.73059A</t>
  </si>
  <si>
    <t>10.21.71084A</t>
  </si>
  <si>
    <t>10.21.77033A</t>
  </si>
  <si>
    <t>10.21.77378Aor72966C</t>
  </si>
  <si>
    <t>10.21.80648C</t>
  </si>
  <si>
    <t>10.21.77000B</t>
  </si>
  <si>
    <t>10.21.83706A</t>
  </si>
  <si>
    <t>10.21.83716A</t>
  </si>
  <si>
    <t>10.21.83717A</t>
  </si>
  <si>
    <t>10.21.80877B</t>
  </si>
  <si>
    <t>10.21.53368A</t>
  </si>
  <si>
    <t>10.21.53369B</t>
  </si>
  <si>
    <t>7187903970+7187904070+7274060970A</t>
  </si>
  <si>
    <t>trim</t>
  </si>
  <si>
    <t>check string</t>
  </si>
  <si>
    <t>check equal</t>
  </si>
  <si>
    <t>ma_final</t>
  </si>
  <si>
    <t>c</t>
  </si>
  <si>
    <t>10.21.45821C</t>
  </si>
  <si>
    <t>10.21.76946A - 1</t>
  </si>
  <si>
    <t>10.21.76946A - 2</t>
  </si>
  <si>
    <t>10.21.76946A - 3</t>
  </si>
  <si>
    <t>10.21.77125A</t>
  </si>
  <si>
    <t>10.21.76941A</t>
  </si>
  <si>
    <t>7183288530+7183288630+72742612 - 7119632530+7119632630+72742614A</t>
  </si>
  <si>
    <t>qty_per_group</t>
  </si>
  <si>
    <t>group_processing</t>
  </si>
  <si>
    <t>dimension_x_g</t>
  </si>
  <si>
    <t>dimension_y_g</t>
  </si>
  <si>
    <t>dimension_z_g</t>
  </si>
  <si>
    <t>I9987</t>
  </si>
  <si>
    <t>project_name</t>
  </si>
  <si>
    <t>10.21.28341A</t>
  </si>
  <si>
    <t>10.21.83799A</t>
  </si>
  <si>
    <t>10.21.83616A</t>
  </si>
  <si>
    <t>10.21.83584A</t>
  </si>
  <si>
    <t>10.21.76999A</t>
  </si>
  <si>
    <t>10.21.42697A</t>
  </si>
  <si>
    <t>10.21.83618A</t>
  </si>
  <si>
    <t>10.21.83617A</t>
  </si>
  <si>
    <t>10.21.83619A</t>
  </si>
  <si>
    <t>10.21.80728A</t>
  </si>
  <si>
    <t>10.21.76992A</t>
  </si>
  <si>
    <t>10.21.35897A</t>
  </si>
  <si>
    <t>10.21.76989A</t>
  </si>
  <si>
    <t>10.21.54167A</t>
  </si>
  <si>
    <t>10.21.47366B</t>
  </si>
  <si>
    <t>10.21.76985A</t>
  </si>
  <si>
    <t>10.21.35126A</t>
  </si>
  <si>
    <t>10.21.47158B</t>
  </si>
  <si>
    <t>10.21.36272A</t>
  </si>
  <si>
    <t>10.21.73046A</t>
  </si>
  <si>
    <t>10.21.47450E</t>
  </si>
  <si>
    <t>10.21.54157A</t>
  </si>
  <si>
    <t>10.21.80759A</t>
  </si>
  <si>
    <t>10.21.72973</t>
  </si>
  <si>
    <t>10.21.80722A</t>
  </si>
  <si>
    <t>10.21.59093D</t>
  </si>
  <si>
    <t>10.21.76980B</t>
  </si>
  <si>
    <t>10.21.76978C</t>
  </si>
  <si>
    <t>10.21.76961A</t>
  </si>
  <si>
    <t>10.21.72976A</t>
  </si>
  <si>
    <t>10.21.76965A</t>
  </si>
  <si>
    <t>10.21.77186A</t>
  </si>
  <si>
    <t>7274114630+7289488430A</t>
  </si>
  <si>
    <t>10.21.42430A</t>
  </si>
  <si>
    <t>10.21.83667A</t>
  </si>
  <si>
    <t>10.21.42628C</t>
  </si>
  <si>
    <t>X1PO2363</t>
  </si>
  <si>
    <t>X1PP5350</t>
  </si>
  <si>
    <t>X1PO2348</t>
  </si>
  <si>
    <t>X1PP5707</t>
  </si>
  <si>
    <t>alt_name</t>
  </si>
  <si>
    <t>10.21.49811L</t>
  </si>
  <si>
    <t>10.21.77006A</t>
  </si>
  <si>
    <t>7118605030+7152511030</t>
  </si>
  <si>
    <t>10.21.80868A</t>
  </si>
  <si>
    <t>10.21.77113A</t>
  </si>
  <si>
    <t>X1PO2109</t>
  </si>
  <si>
    <t>10.21.76979B</t>
  </si>
  <si>
    <t>10.21.54176B</t>
  </si>
  <si>
    <t>10.21.83644A</t>
  </si>
  <si>
    <t>10.21.83668A</t>
  </si>
  <si>
    <t>10.21.83614A</t>
  </si>
  <si>
    <t>10.21.77004A</t>
  </si>
  <si>
    <t>10.21.63360A</t>
  </si>
  <si>
    <t>10.21.35008A</t>
  </si>
  <si>
    <t>10.21.83692A</t>
  </si>
  <si>
    <t>10.21.83669A</t>
  </si>
  <si>
    <t>10.21.72971A</t>
  </si>
  <si>
    <t>7198940330+7198940430+72742881A</t>
  </si>
  <si>
    <t>7271007030</t>
  </si>
  <si>
    <t>261580</t>
  </si>
  <si>
    <t>261581</t>
  </si>
  <si>
    <t>261582</t>
  </si>
  <si>
    <t>261583</t>
  </si>
  <si>
    <t>261584</t>
  </si>
  <si>
    <t>261585</t>
  </si>
  <si>
    <t>261586</t>
  </si>
  <si>
    <t>261587</t>
  </si>
  <si>
    <t>261588</t>
  </si>
  <si>
    <t>10.21.76963A</t>
  </si>
  <si>
    <t>A1729821302_EYELET V1</t>
  </si>
  <si>
    <t>7298947030+7172174830</t>
  </si>
  <si>
    <t>10.21.89507А</t>
  </si>
  <si>
    <t>10.21.83703А</t>
  </si>
  <si>
    <t>10.21.02366А</t>
  </si>
  <si>
    <t>AL Part</t>
  </si>
  <si>
    <t>X1PO2527</t>
  </si>
  <si>
    <t>10.21.77174A</t>
  </si>
  <si>
    <t>10.21.83697A</t>
  </si>
  <si>
    <t>7035990430</t>
  </si>
  <si>
    <t>7075231930</t>
  </si>
  <si>
    <t>job_order_id</t>
  </si>
  <si>
    <t>cut</t>
  </si>
  <si>
    <t>cnc</t>
  </si>
  <si>
    <t>assembly</t>
  </si>
  <si>
    <t>qc</t>
  </si>
  <si>
    <t>not passed</t>
  </si>
  <si>
    <t>passed</t>
  </si>
  <si>
    <t>7189668330+7274135020A</t>
  </si>
  <si>
    <t>7289811630+7289811730+7274166590A</t>
  </si>
  <si>
    <t>ASSY_AMZ005000E/ASSY_AMZ005DC0E</t>
  </si>
  <si>
    <t>ASSY_AMZ005000F/ASSY_AMZ005DC0F</t>
  </si>
  <si>
    <t>ASSY_AMZ005000B/ASSY_AMZ005DC0B</t>
  </si>
  <si>
    <t>10.21.83604A</t>
  </si>
  <si>
    <t>10.21.83605A</t>
  </si>
  <si>
    <t>10.21.83601A</t>
  </si>
  <si>
    <t>10.21.83602A</t>
  </si>
  <si>
    <t>71191993</t>
  </si>
  <si>
    <t>project_description</t>
  </si>
  <si>
    <t>main RHD+LHD H248 x 1jb</t>
  </si>
  <si>
    <t>engine H248 1 jb</t>
  </si>
  <si>
    <t>10.21.77046A</t>
  </si>
  <si>
    <t>10.21.77091A</t>
  </si>
  <si>
    <t>10.21.42632B</t>
  </si>
  <si>
    <t>7047135830S_DP</t>
  </si>
  <si>
    <t>2 part</t>
  </si>
  <si>
    <t>10.21.72847A</t>
  </si>
  <si>
    <t>10.21.72847A - 1</t>
  </si>
  <si>
    <t>10.21.72847A - 2</t>
  </si>
  <si>
    <t>7047186030D_DP</t>
  </si>
  <si>
    <t>10.21.54326E</t>
  </si>
  <si>
    <t>10.21.54326E - 1</t>
  </si>
  <si>
    <t>10.21.54326E - 2</t>
  </si>
  <si>
    <t>7035964930, X1PO2518, X1PP5823</t>
  </si>
  <si>
    <t>rest 11 jb</t>
  </si>
  <si>
    <t>71897277</t>
  </si>
  <si>
    <t>for test</t>
  </si>
  <si>
    <t>10.21.00001T</t>
  </si>
  <si>
    <t>remark</t>
  </si>
  <si>
    <t>ASSY_PPI0001651, ASSY_PPI0001652</t>
  </si>
  <si>
    <t>10.21.72843E</t>
  </si>
  <si>
    <t>10.21.72843E - 1</t>
  </si>
  <si>
    <t>10.21.72843E - 2</t>
  </si>
  <si>
    <t>10.21.83606A</t>
  </si>
  <si>
    <t>I10073</t>
  </si>
  <si>
    <t>I10074/5</t>
  </si>
  <si>
    <t>j</t>
  </si>
  <si>
    <t>y</t>
  </si>
  <si>
    <t>e</t>
  </si>
  <si>
    <t>l</t>
  </si>
  <si>
    <t>X</t>
  </si>
  <si>
    <t>Y</t>
  </si>
  <si>
    <t>Z</t>
  </si>
  <si>
    <t>jig bottom</t>
  </si>
  <si>
    <t>j left or right</t>
  </si>
  <si>
    <t>lock</t>
  </si>
  <si>
    <t>ear</t>
  </si>
  <si>
    <t>x conn</t>
  </si>
  <si>
    <t>y conn</t>
  </si>
  <si>
    <t>z conn</t>
  </si>
  <si>
    <t>ejector</t>
  </si>
  <si>
    <t>V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</si>
  <si>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</si>
  <si>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</si>
  <si>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</si>
  <si>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</si>
  <si>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</si>
  <si>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</si>
  <si>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</si>
  <si>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</si>
  <si>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</si>
  <si>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</si>
  <si>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</si>
  <si>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</si>
  <si>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</si>
  <si>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</si>
  <si>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</si>
  <si>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I10061</t>
  </si>
  <si>
    <t>I10062</t>
  </si>
  <si>
    <t>I10063</t>
  </si>
  <si>
    <t>I10064</t>
  </si>
  <si>
    <t>ASSY_R197136A85</t>
  </si>
  <si>
    <t>?????</t>
  </si>
  <si>
    <t>X1PP5F69</t>
  </si>
  <si>
    <t>X1PP5M25</t>
  </si>
  <si>
    <t>няма създаден</t>
  </si>
  <si>
    <t>YPN</t>
  </si>
  <si>
    <t>PO</t>
  </si>
  <si>
    <t>cap</t>
  </si>
  <si>
    <t>grommet</t>
  </si>
  <si>
    <t>leter</t>
  </si>
  <si>
    <t>n</t>
  </si>
  <si>
    <t>terminal</t>
  </si>
  <si>
    <t>foam</t>
  </si>
  <si>
    <t>m</t>
  </si>
  <si>
    <t>h</t>
  </si>
  <si>
    <t>op16</t>
  </si>
  <si>
    <t>o</t>
  </si>
  <si>
    <t>123x30x48-(x5PCS)</t>
  </si>
  <si>
    <t>I10060</t>
  </si>
  <si>
    <t>10.21.96554A</t>
  </si>
  <si>
    <t>X1PP6144</t>
  </si>
  <si>
    <t>10.21.75457A</t>
  </si>
  <si>
    <t>10.21.75457A - 1</t>
  </si>
  <si>
    <t>10.21.75457A - 2</t>
  </si>
  <si>
    <t>10.21.75456A</t>
  </si>
  <si>
    <t>10.21.75456A - 1</t>
  </si>
  <si>
    <t>10.21.75456A - 2</t>
  </si>
  <si>
    <t>10.21.75455A</t>
  </si>
  <si>
    <t>10.21.75455A - 1</t>
  </si>
  <si>
    <t>10.21.75455A - 2</t>
  </si>
  <si>
    <t>10.21.75458А</t>
  </si>
  <si>
    <t>10.21.75458А - 1</t>
  </si>
  <si>
    <t>10.21.75458А - 2</t>
  </si>
  <si>
    <t>test</t>
  </si>
  <si>
    <t>10.21.96563A</t>
  </si>
  <si>
    <t>note</t>
  </si>
  <si>
    <t>I10017Rev01 - 15jb</t>
  </si>
  <si>
    <t>additional</t>
  </si>
  <si>
    <t>10.21.75459A</t>
  </si>
  <si>
    <t>10.21.75459A - 1</t>
  </si>
  <si>
    <t>10.21.75459A - 2</t>
  </si>
  <si>
    <t>10.21.96569A</t>
  </si>
  <si>
    <t>main RHD+LHD H248</t>
  </si>
  <si>
    <t>Only cap</t>
  </si>
  <si>
    <t>H248</t>
  </si>
  <si>
    <t>10.21.28242A</t>
  </si>
  <si>
    <t>A30</t>
  </si>
  <si>
    <t>10.21.83679A</t>
  </si>
  <si>
    <t>10.21.27972B</t>
  </si>
  <si>
    <t>10.21.54489A</t>
  </si>
  <si>
    <t>RIGHT</t>
  </si>
  <si>
    <t>LEFT</t>
  </si>
  <si>
    <t>10.21.96570A</t>
  </si>
  <si>
    <t>10.21.82666A</t>
  </si>
  <si>
    <t>10.21.96568A</t>
  </si>
  <si>
    <t>10.21.96571A</t>
  </si>
  <si>
    <t>Open up</t>
  </si>
  <si>
    <t>10.21.96572A</t>
  </si>
  <si>
    <t>3 part</t>
  </si>
  <si>
    <t>10.21.96572A - 1</t>
  </si>
  <si>
    <t>10.21.96572A - 2</t>
  </si>
  <si>
    <t>10.21.96572A - 3</t>
  </si>
  <si>
    <t>MA</t>
  </si>
  <si>
    <t>10.21.96575A</t>
  </si>
  <si>
    <t xml:space="preserve">10.21.96575A - 1 </t>
  </si>
  <si>
    <t>10.21.96575A - 2</t>
  </si>
  <si>
    <t>10.21.96576A</t>
  </si>
  <si>
    <t>10.21.96576A - 1</t>
  </si>
  <si>
    <t>10.21.96576A - 2</t>
  </si>
  <si>
    <t>ok</t>
  </si>
  <si>
    <t>10.21.96573A</t>
  </si>
  <si>
    <t>10.21.96574A</t>
  </si>
  <si>
    <t>10.21.84747</t>
  </si>
  <si>
    <t>10.21.69750</t>
  </si>
  <si>
    <t>10.21.79644</t>
  </si>
  <si>
    <t>10.21.79266</t>
  </si>
  <si>
    <t>10.21.72183</t>
  </si>
  <si>
    <t>10.21.69559</t>
  </si>
  <si>
    <t>10.21.72173</t>
  </si>
  <si>
    <t>10.21.89716</t>
  </si>
  <si>
    <t>10.21.77265</t>
  </si>
  <si>
    <t>10.21.38987</t>
  </si>
  <si>
    <t>10.21.37556</t>
  </si>
  <si>
    <t>10.21.70526</t>
  </si>
  <si>
    <t>10.21.90095</t>
  </si>
  <si>
    <t>10.21.77267</t>
  </si>
  <si>
    <t>10.21.90093</t>
  </si>
  <si>
    <t>10.21.90094</t>
  </si>
  <si>
    <t>10.21.96577A</t>
  </si>
  <si>
    <t>10.21.96577A - 1</t>
  </si>
  <si>
    <t>10.21.96577A - 2</t>
  </si>
  <si>
    <t>7147882430D_DP</t>
  </si>
  <si>
    <t xml:space="preserve">TR - eroziina </t>
  </si>
  <si>
    <t>erozina TR</t>
  </si>
  <si>
    <t>10.21.71356G</t>
  </si>
  <si>
    <t>10.21.79644C</t>
  </si>
  <si>
    <t>GR</t>
  </si>
  <si>
    <t>gray</t>
  </si>
  <si>
    <t>СИВ</t>
  </si>
  <si>
    <t>7289811630+8117030+7274166590</t>
  </si>
  <si>
    <t>7187903970+904070+7274060970AE</t>
  </si>
  <si>
    <t>7289063430E</t>
  </si>
  <si>
    <t>7189730210+7274146260AE</t>
  </si>
  <si>
    <t>7198914830+7234497030E</t>
  </si>
  <si>
    <t>7119131620E</t>
  </si>
  <si>
    <t>7289405830E</t>
  </si>
  <si>
    <t>7219622130E</t>
  </si>
  <si>
    <t>7119146730E</t>
  </si>
  <si>
    <t>71196401E</t>
  </si>
  <si>
    <t>7119172930E</t>
  </si>
  <si>
    <t>7189663170E</t>
  </si>
  <si>
    <t>7289405130E</t>
  </si>
  <si>
    <t>71191993E</t>
  </si>
  <si>
    <t>7119131530E</t>
  </si>
  <si>
    <t>7119163630E</t>
  </si>
  <si>
    <t>7119639830E</t>
  </si>
  <si>
    <t>7198762530+7198600430+274261190A</t>
  </si>
  <si>
    <t>72988085E</t>
  </si>
  <si>
    <t>7298913730E</t>
  </si>
  <si>
    <t>7271007030AE</t>
  </si>
  <si>
    <t>7289488430+7274297830E</t>
  </si>
  <si>
    <t>7183288530+7183288630+72742612AE</t>
  </si>
  <si>
    <t>7278242730+173825540+174342530AE(X1PO3875+X1PO3876+X1PO3877A)</t>
  </si>
  <si>
    <t>7119670830+7274290770AE</t>
  </si>
  <si>
    <t>7289811630+7289811730+72741551AE</t>
  </si>
  <si>
    <t>7289811630/811730+7274155220AE</t>
  </si>
  <si>
    <t>7119648630+7274171430AE</t>
  </si>
  <si>
    <t>71782472E</t>
  </si>
  <si>
    <t>7119101830+7274131020AE</t>
  </si>
  <si>
    <t>7119131260E</t>
  </si>
  <si>
    <t>7271007230AE</t>
  </si>
  <si>
    <t>7119668820E</t>
  </si>
  <si>
    <t>7119140530+7119140640+72711359E</t>
  </si>
  <si>
    <t>7289059730E</t>
  </si>
  <si>
    <t>7198277430+7198277530+72741954E</t>
  </si>
  <si>
    <t>7289690230E</t>
  </si>
  <si>
    <t>7189811530+7289811830+72741554AE</t>
  </si>
  <si>
    <t>7219632230E</t>
  </si>
  <si>
    <t>7289896430E</t>
  </si>
  <si>
    <t>7289921730E</t>
  </si>
  <si>
    <t>7219182630E</t>
  </si>
  <si>
    <t>7198948560E</t>
  </si>
  <si>
    <t>7198796290E</t>
  </si>
  <si>
    <t>7219632030E</t>
  </si>
  <si>
    <t>7298677930E</t>
  </si>
  <si>
    <t>7298948930E</t>
  </si>
  <si>
    <t>71897277E</t>
  </si>
  <si>
    <t>7198916130E</t>
  </si>
  <si>
    <t>7297914930E</t>
  </si>
  <si>
    <t>7298913330E</t>
  </si>
  <si>
    <t>71986562E</t>
  </si>
  <si>
    <t>7297944190E</t>
  </si>
  <si>
    <t>7298912930E</t>
  </si>
  <si>
    <t>7298949030E</t>
  </si>
  <si>
    <t>71196714E</t>
  </si>
  <si>
    <t>72897304E_72895207E</t>
  </si>
  <si>
    <t>71781227E</t>
  </si>
  <si>
    <t>FOAM HOLDER</t>
  </si>
  <si>
    <t>7119-1621-30+7274-0253-90A</t>
  </si>
  <si>
    <t>ASSY_D4Z001DC0CE</t>
  </si>
  <si>
    <t>ASSY_59Z063DC0AE</t>
  </si>
  <si>
    <t>ASSY_59Z063DC0BE</t>
  </si>
  <si>
    <t>ASSY_59Z063DC0CE</t>
  </si>
  <si>
    <t>ASSY_D4Z001-DC0D(ASSY_022820534)</t>
  </si>
  <si>
    <t>ASSY-59Z006T00C</t>
  </si>
  <si>
    <t>ASSY_59Z063DC0FE</t>
  </si>
  <si>
    <t>ASSY_AMZ005DC0EE</t>
  </si>
  <si>
    <t>ASSY_AMZ005DC0FE</t>
  </si>
  <si>
    <t>ASSY_AMZ005DC0DE</t>
  </si>
  <si>
    <t>ASSY_118021051E</t>
  </si>
  <si>
    <t>ASSY_59Z145DC0FE</t>
  </si>
  <si>
    <t>ASSY_123024541E</t>
  </si>
  <si>
    <t>ASSY_CA288A25199XXXE</t>
  </si>
  <si>
    <t>7119605590E</t>
  </si>
  <si>
    <t>7187948430E</t>
  </si>
  <si>
    <t>70521459</t>
  </si>
  <si>
    <t>7047251030U</t>
  </si>
  <si>
    <t>7047275330S</t>
  </si>
  <si>
    <t>70475017D</t>
  </si>
  <si>
    <t>7047798230S</t>
  </si>
  <si>
    <t>7047798330S</t>
  </si>
  <si>
    <t>7247001130S</t>
  </si>
  <si>
    <t>7247758130S</t>
  </si>
  <si>
    <t>7247792930S</t>
  </si>
  <si>
    <t>7252803330S</t>
  </si>
  <si>
    <t>7176862930 (X1PO2407)</t>
  </si>
  <si>
    <t>7176863030 (X1PO2408)</t>
  </si>
  <si>
    <t>X1PO2562 -A1748211900</t>
  </si>
  <si>
    <t>X1PO2578 - 7176 8619 30</t>
  </si>
  <si>
    <t>X1PO2580 - 7176 8620 30</t>
  </si>
  <si>
    <t>X1PO 2519</t>
  </si>
  <si>
    <t>7176862130 - X1PO 2557</t>
  </si>
  <si>
    <t>7176862330 - X1PO 2559</t>
  </si>
  <si>
    <t>7176862730 - X1PO 2563</t>
  </si>
  <si>
    <t>7176874730 - X1PO 2553</t>
  </si>
  <si>
    <t>7075236930 - X1PO2363</t>
  </si>
  <si>
    <t>7075226830(X1PP5350)</t>
  </si>
  <si>
    <t>7075231830 - X1PO 2395</t>
  </si>
  <si>
    <t>7177097330A RIGHT  +HALFMOON</t>
  </si>
  <si>
    <t>7075231930 IR33</t>
  </si>
  <si>
    <t>7289-4643-30E+COVER</t>
  </si>
  <si>
    <t>21.50646.C/10.21.80718B</t>
  </si>
  <si>
    <t>21.37930.A</t>
  </si>
  <si>
    <t>21.37965.A</t>
  </si>
  <si>
    <t>21.37870.A</t>
  </si>
  <si>
    <t>10.21.79584B</t>
  </si>
  <si>
    <t>21.37986.A</t>
  </si>
  <si>
    <t>21.43822.B</t>
  </si>
  <si>
    <t>21.37966.A</t>
  </si>
  <si>
    <t>21.38690.a</t>
  </si>
  <si>
    <t>21.37967.a</t>
  </si>
  <si>
    <t>21.37913.a</t>
  </si>
  <si>
    <t>21.38683.a</t>
  </si>
  <si>
    <t>21.38043.A</t>
  </si>
  <si>
    <t>21.38917.A</t>
  </si>
  <si>
    <t>21.43818.</t>
  </si>
  <si>
    <t>21.38505.</t>
  </si>
  <si>
    <t>21.83586.B</t>
  </si>
  <si>
    <t>21.73035.A</t>
  </si>
  <si>
    <t>10.21.77020B</t>
  </si>
  <si>
    <t>21.37883.B</t>
  </si>
  <si>
    <t>21.37887.A</t>
  </si>
  <si>
    <t>21.43823.A</t>
  </si>
  <si>
    <t>21.38507.A</t>
  </si>
  <si>
    <t>10.21.52058B</t>
  </si>
  <si>
    <t>21.77369.a</t>
  </si>
  <si>
    <t>21.73033.B</t>
  </si>
  <si>
    <t>21.65867.A</t>
  </si>
  <si>
    <t>21.73022.B</t>
  </si>
  <si>
    <t>21.39390.A</t>
  </si>
  <si>
    <t>21.77024.A</t>
  </si>
  <si>
    <t>21.77353.A</t>
  </si>
  <si>
    <t>10.21.77374A</t>
  </si>
  <si>
    <t>10.21.80749A</t>
  </si>
  <si>
    <t>10.21.84407A</t>
  </si>
  <si>
    <t>10.21.83715A</t>
  </si>
  <si>
    <t>10.21.77027A</t>
  </si>
  <si>
    <t>10.21.44457E</t>
  </si>
  <si>
    <t>21.38926.a</t>
  </si>
  <si>
    <t>21.37924.a</t>
  </si>
  <si>
    <t>21.37923.a</t>
  </si>
  <si>
    <t>21.41552.a</t>
  </si>
  <si>
    <t>10.21.77077A</t>
  </si>
  <si>
    <t>10.21.83645B</t>
  </si>
  <si>
    <t>10.21.73055A</t>
  </si>
  <si>
    <t>21.71080.A</t>
  </si>
  <si>
    <t>21.37857A</t>
  </si>
  <si>
    <t>10.21.77080A</t>
  </si>
  <si>
    <t>10.21.48078B</t>
  </si>
  <si>
    <t>10.21.73065B</t>
  </si>
  <si>
    <t>21.83181.b</t>
  </si>
  <si>
    <t>21.76915.a</t>
  </si>
  <si>
    <t>10.21.73061А</t>
  </si>
  <si>
    <t>10.21.73057A</t>
  </si>
  <si>
    <t>10.21.77074A</t>
  </si>
  <si>
    <t>10.21.77312A</t>
  </si>
  <si>
    <t>10.21.58455A</t>
  </si>
  <si>
    <t>10.21.79591A</t>
  </si>
  <si>
    <t>10.21.79653B</t>
  </si>
  <si>
    <t>MA10.21.64080A</t>
  </si>
  <si>
    <t>10.21.90090B</t>
  </si>
  <si>
    <t>10.21.75011I</t>
  </si>
  <si>
    <t>10.21.11128A</t>
  </si>
  <si>
    <t>2120329B</t>
  </si>
  <si>
    <t>10.21.77383А</t>
  </si>
  <si>
    <t>10.2180874C</t>
  </si>
  <si>
    <t>10.21.80877A</t>
  </si>
  <si>
    <t>big fuse box/10.21.77343A</t>
  </si>
  <si>
    <t>21.77378.A</t>
  </si>
  <si>
    <t>21.37425.A</t>
  </si>
  <si>
    <t>10.21.37808C</t>
  </si>
  <si>
    <t>PCC</t>
  </si>
  <si>
    <t>pneumatic connector clip</t>
  </si>
  <si>
    <t>10.21.80788A</t>
  </si>
  <si>
    <t>A1729821302_EYELET V1E</t>
  </si>
  <si>
    <t>{"pin0": {"dia":  "8.0 mm", "length": "38.4 mm"}, "pin1": {"dia": "4.6 mm", "length": "12.0 mm"}}</t>
  </si>
  <si>
    <t>10.21.80788A-1</t>
  </si>
  <si>
    <t>10.21.80788A-2</t>
  </si>
  <si>
    <t>10.21.80788A-3</t>
  </si>
  <si>
    <t>testing</t>
  </si>
  <si>
    <t>10.21.69542I</t>
  </si>
  <si>
    <t>10.16.n/a-1</t>
  </si>
  <si>
    <t>10.21.77065A</t>
  </si>
  <si>
    <t>sample waiting</t>
  </si>
  <si>
    <t>{"info": {"type" : "mold", "supplier": "TR"}}</t>
  </si>
  <si>
    <t>Straight cover</t>
  </si>
  <si>
    <t>code</t>
  </si>
  <si>
    <t>test1</t>
  </si>
  <si>
    <t>test2</t>
  </si>
  <si>
    <t>test4</t>
  </si>
  <si>
    <t>oo</t>
  </si>
  <si>
    <t>result code</t>
  </si>
  <si>
    <t>WRFT10</t>
  </si>
  <si>
    <t>10.78.11960</t>
  </si>
  <si>
    <t>ASSY_123024501+ASSY_023024521</t>
  </si>
  <si>
    <t>WAVES_3</t>
  </si>
  <si>
    <t>10.21.77088A</t>
  </si>
  <si>
    <t>10.21.77146A</t>
  </si>
  <si>
    <t>X1PO2536</t>
  </si>
  <si>
    <t>7047052330D_DP</t>
  </si>
  <si>
    <t>7047186030S_DP</t>
  </si>
  <si>
    <t>7047186030U_DP</t>
  </si>
  <si>
    <t>7052161430S_DP</t>
  </si>
  <si>
    <t>7119101830+7274131020</t>
  </si>
  <si>
    <t>7177097330 (LEFT)</t>
  </si>
  <si>
    <t>7177097330 (RIGHT)</t>
  </si>
  <si>
    <t>7187903970/904070+7274060970A</t>
  </si>
  <si>
    <t>7189482930+72741357</t>
  </si>
  <si>
    <t>7189811530+7289811830+72741554</t>
  </si>
  <si>
    <t>7198277430+7198277530+72741954</t>
  </si>
  <si>
    <t>7198774930+7198947430+72742908</t>
  </si>
  <si>
    <t>71987958A</t>
  </si>
  <si>
    <t>7247760930S_DP</t>
  </si>
  <si>
    <t>7247761330U_DP</t>
  </si>
  <si>
    <t>7247781230S_DP</t>
  </si>
  <si>
    <t>72478572U_DP</t>
  </si>
  <si>
    <t>7252779130D_DP</t>
  </si>
  <si>
    <t>7252779130S_DP</t>
  </si>
  <si>
    <t>7252785330D_DP</t>
  </si>
  <si>
    <t>7252785330S_DP</t>
  </si>
  <si>
    <t>7252809330S_DP</t>
  </si>
  <si>
    <t>7289811630+7289811730+72741551</t>
  </si>
  <si>
    <t>7289811630+7289811730+7274155220</t>
  </si>
  <si>
    <t>A1729821302_EYELET V4_3</t>
  </si>
  <si>
    <t>WASHERTUBE X1PP6144 (180º BLACK)</t>
  </si>
  <si>
    <t>original</t>
  </si>
  <si>
    <t>7187903970+7187904070+7274060970</t>
  </si>
  <si>
    <t>clip</t>
  </si>
  <si>
    <t>gr</t>
  </si>
  <si>
    <t>special</t>
  </si>
  <si>
    <t>clip db</t>
  </si>
  <si>
    <t>removed, new layout</t>
  </si>
  <si>
    <t>add, new layout</t>
  </si>
  <si>
    <t>10.21.00026T</t>
  </si>
  <si>
    <t>10.21.00025T</t>
  </si>
  <si>
    <t>Engine H248 16jb</t>
  </si>
  <si>
    <t>Main LHD H248 28jb</t>
  </si>
  <si>
    <t>72897304</t>
  </si>
  <si>
    <t>262557</t>
  </si>
  <si>
    <t>262558</t>
  </si>
  <si>
    <t>71186354</t>
  </si>
  <si>
    <t>262559</t>
  </si>
  <si>
    <t>7118670020</t>
  </si>
  <si>
    <t>262560</t>
  </si>
  <si>
    <t>7119131530</t>
  </si>
  <si>
    <t>262561</t>
  </si>
  <si>
    <t>262562</t>
  </si>
  <si>
    <t>71196401</t>
  </si>
  <si>
    <t>262563</t>
  </si>
  <si>
    <t>262564</t>
  </si>
  <si>
    <t>71899503</t>
  </si>
  <si>
    <t>262565</t>
  </si>
  <si>
    <t>7198796290</t>
  </si>
  <si>
    <t>262566</t>
  </si>
  <si>
    <t>71988082</t>
  </si>
  <si>
    <t>262567</t>
  </si>
  <si>
    <t>71989162</t>
  </si>
  <si>
    <t>262568</t>
  </si>
  <si>
    <t>7198948560</t>
  </si>
  <si>
    <t>262569</t>
  </si>
  <si>
    <t>262570</t>
  </si>
  <si>
    <t>262571</t>
  </si>
  <si>
    <t>7297944190</t>
  </si>
  <si>
    <t>262572</t>
  </si>
  <si>
    <t>262573</t>
  </si>
  <si>
    <t>262574</t>
  </si>
  <si>
    <t>262575</t>
  </si>
  <si>
    <t>262576</t>
  </si>
  <si>
    <t>262577</t>
  </si>
  <si>
    <t>262578</t>
  </si>
  <si>
    <t>262579</t>
  </si>
  <si>
    <t>262580</t>
  </si>
  <si>
    <t>262581</t>
  </si>
  <si>
    <t>262582</t>
  </si>
  <si>
    <t>262583</t>
  </si>
  <si>
    <t>262584</t>
  </si>
  <si>
    <t>262585</t>
  </si>
  <si>
    <t>7003756102</t>
  </si>
  <si>
    <t>262586</t>
  </si>
  <si>
    <t>batch</t>
  </si>
  <si>
    <t>I10129</t>
  </si>
  <si>
    <t>I10130</t>
  </si>
  <si>
    <t>262588</t>
  </si>
  <si>
    <t>262597</t>
  </si>
  <si>
    <t>7035990930</t>
  </si>
  <si>
    <t>262589</t>
  </si>
  <si>
    <t>262593</t>
  </si>
  <si>
    <t>7235053630</t>
  </si>
  <si>
    <t>262592</t>
  </si>
  <si>
    <t>262587</t>
  </si>
  <si>
    <t>262596</t>
  </si>
  <si>
    <t>262590</t>
  </si>
  <si>
    <t>262591</t>
  </si>
  <si>
    <t>262594</t>
  </si>
  <si>
    <t>262595</t>
  </si>
  <si>
    <t>10.21.77160A-1</t>
  </si>
  <si>
    <t>10.21.77160A-2</t>
  </si>
  <si>
    <t>160x45x40-, 126x45x40-(x4PCS)</t>
  </si>
  <si>
    <t>stock</t>
  </si>
  <si>
    <t>qtyx1</t>
  </si>
  <si>
    <t>7047186030D</t>
  </si>
  <si>
    <t>7047186030S</t>
  </si>
  <si>
    <t>7147882430D</t>
  </si>
  <si>
    <t>7147882430S</t>
  </si>
  <si>
    <t>7247781730U</t>
  </si>
  <si>
    <t>7252726530D</t>
  </si>
  <si>
    <t>7252779130D</t>
  </si>
  <si>
    <t>7252779130S</t>
  </si>
  <si>
    <t>7252785330D</t>
  </si>
  <si>
    <t>7252785330S</t>
  </si>
  <si>
    <t>7252785330U</t>
  </si>
  <si>
    <t>7252815130S</t>
  </si>
  <si>
    <t>7252815130U</t>
  </si>
  <si>
    <t>assembly_position</t>
  </si>
  <si>
    <t>qtyx28</t>
  </si>
  <si>
    <t>Side</t>
  </si>
  <si>
    <t>Up</t>
  </si>
  <si>
    <t>Down</t>
  </si>
  <si>
    <t>Указание за монтаж на клипс-холдър - H248 LHD</t>
  </si>
  <si>
    <t>C164</t>
  </si>
  <si>
    <t>sc35h true</t>
  </si>
  <si>
    <t>C167</t>
  </si>
  <si>
    <t>Zone</t>
  </si>
  <si>
    <t>status</t>
  </si>
  <si>
    <t>10.21.96697A</t>
  </si>
  <si>
    <t>10.21.08826A</t>
  </si>
  <si>
    <t>262609</t>
  </si>
  <si>
    <t>262608</t>
  </si>
  <si>
    <t>262598</t>
  </si>
  <si>
    <t>262599</t>
  </si>
  <si>
    <t>262602</t>
  </si>
  <si>
    <t>262601</t>
  </si>
  <si>
    <t>7047052330</t>
  </si>
  <si>
    <t>262605</t>
  </si>
  <si>
    <t>262607</t>
  </si>
  <si>
    <t>262604</t>
  </si>
  <si>
    <t>262606</t>
  </si>
  <si>
    <t>262603</t>
  </si>
  <si>
    <t>262600</t>
  </si>
  <si>
    <t>7252809330</t>
  </si>
  <si>
    <t>10.21.77157</t>
  </si>
  <si>
    <t>10.21.83671</t>
  </si>
  <si>
    <t>10.21.76983</t>
  </si>
  <si>
    <t>10.21.77132</t>
  </si>
  <si>
    <t>10.21.77190</t>
  </si>
  <si>
    <t>10.21.76985</t>
  </si>
  <si>
    <t>10.21.83758</t>
  </si>
  <si>
    <t>10.21.72840A</t>
  </si>
  <si>
    <t>"+2 more new layout, old 13 pcs"</t>
  </si>
  <si>
    <t>JON</t>
  </si>
  <si>
    <t>10.21.96564A</t>
  </si>
  <si>
    <t>83x60x80</t>
  </si>
  <si>
    <t>10.21.96564A-1</t>
  </si>
  <si>
    <t>10.21.69487</t>
  </si>
  <si>
    <t>10.16.19542-1</t>
  </si>
  <si>
    <t>30x30x35</t>
  </si>
  <si>
    <t>10.21.64080A-1</t>
  </si>
  <si>
    <t>47x30x54</t>
  </si>
  <si>
    <t>10.21.64080A-2</t>
  </si>
  <si>
    <t>75x30x35</t>
  </si>
  <si>
    <t>10.21.64080A-3</t>
  </si>
  <si>
    <t>10.21.70526A</t>
  </si>
  <si>
    <t>25x20x35</t>
  </si>
  <si>
    <t>10.21.70526A-1</t>
  </si>
  <si>
    <t>43x20x47</t>
  </si>
  <si>
    <t>10.21.70526A-2</t>
  </si>
  <si>
    <t>10.21.69492I</t>
  </si>
  <si>
    <t>10.16.18257-1</t>
  </si>
  <si>
    <t>10.21.77265A</t>
  </si>
  <si>
    <t>27x20x40</t>
  </si>
  <si>
    <t>10.21.77265A-1</t>
  </si>
  <si>
    <t>10.21.90091B</t>
  </si>
  <si>
    <t>28x28x36</t>
  </si>
  <si>
    <t>10.21.90091B-1</t>
  </si>
  <si>
    <t>7075231930E</t>
  </si>
  <si>
    <t>93x52x75</t>
  </si>
  <si>
    <t>10.21.77378A-1</t>
  </si>
  <si>
    <t>7119131260</t>
  </si>
  <si>
    <t>{"pin0": {"dia":  "8.0 mm", "length": "33.5 mm"}}</t>
  </si>
  <si>
    <t>50x39x44</t>
  </si>
  <si>
    <t>10.21.71225A-1</t>
  </si>
  <si>
    <t>50x39x30</t>
  </si>
  <si>
    <t>10.21.71225A-2</t>
  </si>
  <si>
    <t>50x39x21</t>
  </si>
  <si>
    <t>10.21.71225A-3</t>
  </si>
  <si>
    <t>{"pin0": {"dia":  "8.0 mm", "length": "36.1 mm"}}</t>
  </si>
  <si>
    <t>55x39x48</t>
  </si>
  <si>
    <t>10.21.38917A-1</t>
  </si>
  <si>
    <t>55x39x30</t>
  </si>
  <si>
    <t>10.21.38917A-2</t>
  </si>
  <si>
    <t>55x39x21</t>
  </si>
  <si>
    <t>10.21.38917A-3</t>
  </si>
  <si>
    <t>{"pin0": {"dia": "8.0 mm", "length": "34.6 mm"}}</t>
  </si>
  <si>
    <t>54x40x44</t>
  </si>
  <si>
    <t>10.21.79584B-1</t>
  </si>
  <si>
    <t>54x40x30</t>
  </si>
  <si>
    <t>10.21.79584B-2</t>
  </si>
  <si>
    <t>54x40x21</t>
  </si>
  <si>
    <t>10.21.79584B-3</t>
  </si>
  <si>
    <t>7119141030E</t>
  </si>
  <si>
    <t>{"pin0": {"dia":  "8.0 mm", "length": "38.5 mm"}}</t>
  </si>
  <si>
    <t>50x39x46</t>
  </si>
  <si>
    <t>10.21.43817B-1</t>
  </si>
  <si>
    <t>10.21.43817B-2</t>
  </si>
  <si>
    <t>10.21.43817B-3</t>
  </si>
  <si>
    <t>26x21x25</t>
  </si>
  <si>
    <t>10.21.43817B-4</t>
  </si>
  <si>
    <t>{"pin0": {"dia":  "8.0 mm", "length": "37.0 mm"}}</t>
  </si>
  <si>
    <t>50x39x47</t>
  </si>
  <si>
    <t>10.21.38043A-1</t>
  </si>
  <si>
    <t>10.21.38043A-2</t>
  </si>
  <si>
    <t>10.21.38043A-3</t>
  </si>
  <si>
    <t>7119626030E</t>
  </si>
  <si>
    <t>{"pin0": {"dia":  "8.0 mm", "length": "39.5 mm"}}</t>
  </si>
  <si>
    <t>50x39x50</t>
  </si>
  <si>
    <t>10.21.37930A-1</t>
  </si>
  <si>
    <t>10.21.37930A-2</t>
  </si>
  <si>
    <t>50x39x20</t>
  </si>
  <si>
    <t>10.21.37930A-3</t>
  </si>
  <si>
    <t>28x24x29</t>
  </si>
  <si>
    <t>10.21.79644C-1</t>
  </si>
  <si>
    <t>48x22x44</t>
  </si>
  <si>
    <t>10.21.79644C-2</t>
  </si>
  <si>
    <t>79x30x35</t>
  </si>
  <si>
    <t>10.21.79644C-3</t>
  </si>
  <si>
    <t>71781405E</t>
  </si>
  <si>
    <t>{"pin0": {"dia":  "8.0 mm", "length": "33.7 mm"}, "pin1": {"dia":  "8.0 mm", "length": "38.5 mm"}}</t>
  </si>
  <si>
    <t>53x45x43</t>
  </si>
  <si>
    <t>10.21.77033A-1</t>
  </si>
  <si>
    <t>53x45x30</t>
  </si>
  <si>
    <t>10.21.77033A-2</t>
  </si>
  <si>
    <t>53x45x20</t>
  </si>
  <si>
    <t>10.21.77033A-3</t>
  </si>
  <si>
    <t>71834835E</t>
  </si>
  <si>
    <t>{"pin0": {"dia":  "8.0 mm", "length": "49.0 mm"}}</t>
  </si>
  <si>
    <t>59x39x58</t>
  </si>
  <si>
    <t>10.21.63723C-1</t>
  </si>
  <si>
    <t>59x39x30</t>
  </si>
  <si>
    <t>10.21.63723C-2</t>
  </si>
  <si>
    <t>59x39x21</t>
  </si>
  <si>
    <t>10.21.63723C-3</t>
  </si>
  <si>
    <t>34x21x25</t>
  </si>
  <si>
    <t>10.21.63723C-4</t>
  </si>
  <si>
    <t>10.21.84415A</t>
  </si>
  <si>
    <t>71980943E</t>
  </si>
  <si>
    <t>58x35x47</t>
  </si>
  <si>
    <t>10.21.84415A-1</t>
  </si>
  <si>
    <t>58x35x30</t>
  </si>
  <si>
    <t>10.21.84415A-2</t>
  </si>
  <si>
    <t>58x35x20</t>
  </si>
  <si>
    <t>10.21.84415A-3</t>
  </si>
  <si>
    <t>{"pin0": {"dia":  "8.0 mm", "length": "32.5 mm"}}</t>
  </si>
  <si>
    <t>54x39x42</t>
  </si>
  <si>
    <t>10.21.73033B-1</t>
  </si>
  <si>
    <t>54x39x30</t>
  </si>
  <si>
    <t>10.21.73033B-2</t>
  </si>
  <si>
    <t>54x39x20</t>
  </si>
  <si>
    <t>10.21.73033B-3</t>
  </si>
  <si>
    <t>7198810230+72742686E</t>
  </si>
  <si>
    <t>{"pin0": {"dia":  "8.0 mm", "length": "60.2 mm"}}</t>
  </si>
  <si>
    <t>50x52x69</t>
  </si>
  <si>
    <t>10.21.83586B-1</t>
  </si>
  <si>
    <t>50x52x30</t>
  </si>
  <si>
    <t>10.21.83586B-2</t>
  </si>
  <si>
    <t>50x52x20</t>
  </si>
  <si>
    <t>10.21.83586B-3</t>
  </si>
  <si>
    <t>{"pin0": {"dia":  "8.0 mm", "length": "32.2 mm"}}</t>
  </si>
  <si>
    <t>52x34x43</t>
  </si>
  <si>
    <t>10.21.77369A-1</t>
  </si>
  <si>
    <t>52x34x30</t>
  </si>
  <si>
    <t>10.21.77369A-2</t>
  </si>
  <si>
    <t>52x34x20</t>
  </si>
  <si>
    <t>10.21.77369A-3</t>
  </si>
  <si>
    <t>{"pin0": {"dia":  "8.0 mm", "length": "39.4 mm"}}</t>
  </si>
  <si>
    <t>64x42x52</t>
  </si>
  <si>
    <t>10.21.43822B-1</t>
  </si>
  <si>
    <t>64x42x30</t>
  </si>
  <si>
    <t>10.21.43822B-2</t>
  </si>
  <si>
    <t>64x42x21</t>
  </si>
  <si>
    <t>10.21.43822B-3</t>
  </si>
  <si>
    <t>{"pin0": {"dia":  "8.0 mm", "length": "38.0 mm"}, "pin1": {"dia":  "8.0 mm", "length": "43.0 mm"}}</t>
  </si>
  <si>
    <t>65x39x60</t>
  </si>
  <si>
    <t>10.21.43823A-1</t>
  </si>
  <si>
    <t>65x39x30</t>
  </si>
  <si>
    <t>10.21.43823A-2</t>
  </si>
  <si>
    <t>65x39x21</t>
  </si>
  <si>
    <t>10.21.43823A-3</t>
  </si>
  <si>
    <t>10.21.43823A-4</t>
  </si>
  <si>
    <t>7219652330E</t>
  </si>
  <si>
    <t>{"pin0": {"dia":  "8.0 mm", "length": "38.8 mm"}}</t>
  </si>
  <si>
    <t>64x48x52</t>
  </si>
  <si>
    <t>10.21.48627A-1</t>
  </si>
  <si>
    <t>64x48x30</t>
  </si>
  <si>
    <t>10.21.48627A-2</t>
  </si>
  <si>
    <t>64x48x20</t>
  </si>
  <si>
    <t>10.21.48627A-3</t>
  </si>
  <si>
    <t>10.16.18255-1</t>
  </si>
  <si>
    <t>22x27x35</t>
  </si>
  <si>
    <t>10.21.72183I</t>
  </si>
  <si>
    <t>23x24x35</t>
  </si>
  <si>
    <t>10.21.72183I-1</t>
  </si>
  <si>
    <t>25x25x35</t>
  </si>
  <si>
    <t>10.21.84747F-1</t>
  </si>
  <si>
    <t>45x25x47</t>
  </si>
  <si>
    <t>10.21.84747F-2</t>
  </si>
  <si>
    <t>78x30x35</t>
  </si>
  <si>
    <t>10.21.84747F-3</t>
  </si>
  <si>
    <t>10.21.72173E</t>
  </si>
  <si>
    <t>22x25x35</t>
  </si>
  <si>
    <t>10.21.72173E-1</t>
  </si>
  <si>
    <t>{"pin0": {"dia":  "8.0 mm", "length": "40.3 mm"}, "info": "3D codding part (Black PLA)-MA10.16.11403"}</t>
  </si>
  <si>
    <t>33x30x32</t>
  </si>
  <si>
    <t>10.21.37808C-1</t>
  </si>
  <si>
    <t>52x30x47</t>
  </si>
  <si>
    <t>10.21.37808C-2</t>
  </si>
  <si>
    <t>74x30x35</t>
  </si>
  <si>
    <t>10.21.37808C-3</t>
  </si>
  <si>
    <t>10.21.79266A</t>
  </si>
  <si>
    <t>22x24x35</t>
  </si>
  <si>
    <t>10.21.79266A-1</t>
  </si>
  <si>
    <t>10.21.79308B</t>
  </si>
  <si>
    <t>10.16.18256-1</t>
  </si>
  <si>
    <t>10.21.79265A</t>
  </si>
  <si>
    <t>10.21.90094A</t>
  </si>
  <si>
    <t>35x35x35</t>
  </si>
  <si>
    <t>10.21.90094A-1</t>
  </si>
  <si>
    <t>10.21.48718А</t>
  </si>
  <si>
    <t>7283837230E</t>
  </si>
  <si>
    <t>{"pin0": {"dia":  "8.0 mm", "length": "39.8 mm"}}</t>
  </si>
  <si>
    <t>60x40x53</t>
  </si>
  <si>
    <t>10.21.48718А-1</t>
  </si>
  <si>
    <t>60x40x30</t>
  </si>
  <si>
    <t>10.21.48718А-2</t>
  </si>
  <si>
    <t>60x40x20</t>
  </si>
  <si>
    <t>10.21.48718А-3</t>
  </si>
  <si>
    <t>{"pin0": {"dia":  "8.0 mm", "length": "34.0 mm"}}</t>
  </si>
  <si>
    <t>61x55x48</t>
  </si>
  <si>
    <t>10.21.37965A-1</t>
  </si>
  <si>
    <t>61x55x30</t>
  </si>
  <si>
    <t>10.21.37965A-2</t>
  </si>
  <si>
    <t>61x55x20</t>
  </si>
  <si>
    <t>10.21.37965A-3</t>
  </si>
  <si>
    <t>72893837E</t>
  </si>
  <si>
    <t>{"pin0": {"dia":  "8.0 mm", "length": "41.5 mm"}}</t>
  </si>
  <si>
    <t>61x42x53</t>
  </si>
  <si>
    <t>10.21.37987A-1</t>
  </si>
  <si>
    <t>61x42x30</t>
  </si>
  <si>
    <t>10.21.37987A-2</t>
  </si>
  <si>
    <t>61x42x20</t>
  </si>
  <si>
    <t>10.21.37987A-3</t>
  </si>
  <si>
    <t>{"pin0": {"dia":  "8.0 mm", "length": "34.9 mm"}}</t>
  </si>
  <si>
    <t>60x46x47</t>
  </si>
  <si>
    <t>10.21.38683A-1</t>
  </si>
  <si>
    <t>60x46x30</t>
  </si>
  <si>
    <t>10.21.38683A-2</t>
  </si>
  <si>
    <t>60x46x20</t>
  </si>
  <si>
    <t>10.21.38683A-3</t>
  </si>
  <si>
    <t>{"pin0": {"dia":  "8.0 mm", "length": "52.5 mm"}}</t>
  </si>
  <si>
    <t>60x41x51</t>
  </si>
  <si>
    <t>10.21.37986A-1</t>
  </si>
  <si>
    <t>60x41x30</t>
  </si>
  <si>
    <t>10.21.37986A-2</t>
  </si>
  <si>
    <t>60x41x20</t>
  </si>
  <si>
    <t>10.21.37986A-3</t>
  </si>
  <si>
    <t>7289464330E</t>
  </si>
  <si>
    <t>{"pin0": {"dia":  "8.0 mm", "length": "40.8 mm"}}</t>
  </si>
  <si>
    <t>61x42x52</t>
  </si>
  <si>
    <t>10.21.37988A-1</t>
  </si>
  <si>
    <t>10.21.37988A-2</t>
  </si>
  <si>
    <t>61x42x21</t>
  </si>
  <si>
    <t>10.21.37988A-3</t>
  </si>
  <si>
    <t>10.21.37885C</t>
  </si>
  <si>
    <t>7289539430E</t>
  </si>
  <si>
    <t>{"pin0": {"dia":  "8.0 mm", "length": "47.5 mm"}}</t>
  </si>
  <si>
    <t>61x43x63</t>
  </si>
  <si>
    <t>10.21.37885C-1</t>
  </si>
  <si>
    <t>61x43x30</t>
  </si>
  <si>
    <t>10.21.37885C-2</t>
  </si>
  <si>
    <t>61x43x20</t>
  </si>
  <si>
    <t>10.21.37885C-3</t>
  </si>
  <si>
    <t>{"pin0": {"dia":  "8.0 mm", "length": "51.0 mm"}}</t>
  </si>
  <si>
    <t>61x39x65</t>
  </si>
  <si>
    <t>10.21.37887A-1</t>
  </si>
  <si>
    <t>61x39x30</t>
  </si>
  <si>
    <t>10.21.37887A-2</t>
  </si>
  <si>
    <t>61x39x20</t>
  </si>
  <si>
    <t>10.21.37887A-3</t>
  </si>
  <si>
    <t>65x50x85</t>
  </si>
  <si>
    <t>10.21.52058A-1</t>
  </si>
  <si>
    <t>65x50x30</t>
  </si>
  <si>
    <t>10.21.52058A-2</t>
  </si>
  <si>
    <t>65x50x20</t>
  </si>
  <si>
    <t>10.21.52058A-3</t>
  </si>
  <si>
    <t>10.21.83767A</t>
  </si>
  <si>
    <t>7297913630E</t>
  </si>
  <si>
    <t>{"pin0": {"dia":  "8.0 mm", "length": "44.1 mm"}}</t>
  </si>
  <si>
    <t>84x48x53</t>
  </si>
  <si>
    <t>10.21.83767A-1</t>
  </si>
  <si>
    <t>84x48x30</t>
  </si>
  <si>
    <t>10.21.83767A-2</t>
  </si>
  <si>
    <t>84x48x20</t>
  </si>
  <si>
    <t>10.21.83767A-3</t>
  </si>
  <si>
    <t>83x54x54</t>
  </si>
  <si>
    <t>10.21.83757A-1</t>
  </si>
  <si>
    <t>83x54x30</t>
  </si>
  <si>
    <t>10.21.83757A-2</t>
  </si>
  <si>
    <t>83x54x20</t>
  </si>
  <si>
    <t>10.21.83757A-3</t>
  </si>
  <si>
    <t>10.21.77164A</t>
  </si>
  <si>
    <t>7298081740E</t>
  </si>
  <si>
    <t>{"pin0": {"dia":  "8.0 mm", "length": "54.2 mm"}}</t>
  </si>
  <si>
    <t>67x60x63</t>
  </si>
  <si>
    <t>10.21.77164A-1</t>
  </si>
  <si>
    <t>67x60x30</t>
  </si>
  <si>
    <t>10.21.77164A-2</t>
  </si>
  <si>
    <t>67x60x20</t>
  </si>
  <si>
    <t>10.21.77164A-3</t>
  </si>
  <si>
    <t>{"pin0": {"dia":  "8.0 mm", "length": "43.5 mm"}}</t>
  </si>
  <si>
    <t>61x39x53</t>
  </si>
  <si>
    <t>10.21.65867A-1</t>
  </si>
  <si>
    <t>10.21.65867A-2</t>
  </si>
  <si>
    <t>61x39x21</t>
  </si>
  <si>
    <t>10.21.65867A-3</t>
  </si>
  <si>
    <t>7298761730E</t>
  </si>
  <si>
    <t>{"pin0": {"dia":  "8.0 mm", "length": "44.0 mm"}}</t>
  </si>
  <si>
    <t>61x36x53</t>
  </si>
  <si>
    <t>10.21.73023B-1</t>
  </si>
  <si>
    <t>61x36x30</t>
  </si>
  <si>
    <t>10.21.73023B-2</t>
  </si>
  <si>
    <t>61x36x21</t>
  </si>
  <si>
    <t>10.21.73023B-3</t>
  </si>
  <si>
    <t>{"pin0": {"dia":  "8.0 mm", "length": "44.2 mm"}}</t>
  </si>
  <si>
    <t>10.21.73032A-1</t>
  </si>
  <si>
    <t>10.21.73032A-2</t>
  </si>
  <si>
    <t>10.21.73032A-3</t>
  </si>
  <si>
    <t>10.21.73022B-1</t>
  </si>
  <si>
    <t>10.21.73022B-2</t>
  </si>
  <si>
    <t>10.21.73022B-3</t>
  </si>
  <si>
    <t>56x51x53</t>
  </si>
  <si>
    <t>10.21.76952A-1</t>
  </si>
  <si>
    <t>56x51x30</t>
  </si>
  <si>
    <t>10.21.76952A-2</t>
  </si>
  <si>
    <t>56x51x20</t>
  </si>
  <si>
    <t>10.21.76952A-3</t>
  </si>
  <si>
    <t>66x47x48</t>
  </si>
  <si>
    <t>66x47x30</t>
  </si>
  <si>
    <t>66x47x20</t>
  </si>
  <si>
    <t>A1729821302_EYELET V2E</t>
  </si>
  <si>
    <t>{"pin0": {"dia":  "8.0 mm", "length": "42.8 mm"}}</t>
  </si>
  <si>
    <t>56x50x52</t>
  </si>
  <si>
    <t>10.21.76951A-1</t>
  </si>
  <si>
    <t>56x50x30</t>
  </si>
  <si>
    <t>10.21.76951A-2</t>
  </si>
  <si>
    <t>56x50x20</t>
  </si>
  <si>
    <t>10.21.76951A-3</t>
  </si>
  <si>
    <t>10.2137923A</t>
  </si>
  <si>
    <t>ASSY_59Z063DC0BE/ASSY_59Z063-DC0BE</t>
  </si>
  <si>
    <t>60x40x46</t>
  </si>
  <si>
    <t>10.2137923A-1</t>
  </si>
  <si>
    <t>10.2137923A-2</t>
  </si>
  <si>
    <t>10.2137923A-3</t>
  </si>
  <si>
    <t>{"pin0": {"dia":  "8.0 mm", "length": "37.0 mm"}, "pin1":"Pin_pnm-MA10.16.01811", "part": "PNM holder switch_MA10.01.02415"}</t>
  </si>
  <si>
    <t>60x39x47</t>
  </si>
  <si>
    <t>10.21.41552A-1</t>
  </si>
  <si>
    <t>60x39x30</t>
  </si>
  <si>
    <t>10.21.41552A-2</t>
  </si>
  <si>
    <t>60x39x21</t>
  </si>
  <si>
    <t>10.21.41552A-3</t>
  </si>
  <si>
    <t>{"pin0": {"dia":  "8.0 mm", "length": "37.5 mm"}}</t>
  </si>
  <si>
    <t>57x40x47</t>
  </si>
  <si>
    <t>10.21.73061A-1</t>
  </si>
  <si>
    <t>57x40x30</t>
  </si>
  <si>
    <t>10.21.73061A-2</t>
  </si>
  <si>
    <t>57x40x21</t>
  </si>
  <si>
    <t>10.21.73061A-3</t>
  </si>
  <si>
    <t>X1PP6144E</t>
  </si>
  <si>
    <t>10.21.00027T</t>
  </si>
  <si>
    <t>H248 SA boards</t>
  </si>
  <si>
    <t>I10111- I10121</t>
  </si>
  <si>
    <t>TR- design files 06/2026</t>
  </si>
  <si>
    <t>10.21.96594A</t>
  </si>
  <si>
    <t>+Cover</t>
  </si>
  <si>
    <t>10.21.77184А</t>
  </si>
  <si>
    <t>10.21.77184А-1</t>
  </si>
  <si>
    <t>10.21.77184А-2</t>
  </si>
  <si>
    <t>10.21.77184А-3</t>
  </si>
  <si>
    <t>10.21.38065А</t>
  </si>
  <si>
    <t>10.21.38065А-1</t>
  </si>
  <si>
    <t>10.21.38065А-2</t>
  </si>
  <si>
    <t>10.21.00035Т</t>
  </si>
  <si>
    <t>10.21.00031T</t>
  </si>
  <si>
    <t>10.21.00032T</t>
  </si>
  <si>
    <t>position UP</t>
  </si>
  <si>
    <t>position RIGHT</t>
  </si>
  <si>
    <t>I10111-I10121</t>
  </si>
  <si>
    <t>mark</t>
  </si>
  <si>
    <t>oposite 90</t>
  </si>
  <si>
    <t>maroco</t>
  </si>
  <si>
    <t>oposite 180</t>
  </si>
  <si>
    <t>262725</t>
  </si>
  <si>
    <t>7289405830</t>
  </si>
  <si>
    <t>262727</t>
  </si>
  <si>
    <t>71782472</t>
  </si>
  <si>
    <t>262724</t>
  </si>
  <si>
    <t>262715</t>
  </si>
  <si>
    <t>262712</t>
  </si>
  <si>
    <t>7198916130</t>
  </si>
  <si>
    <t>262718</t>
  </si>
  <si>
    <t>262713</t>
  </si>
  <si>
    <t>7289896430</t>
  </si>
  <si>
    <t>262728</t>
  </si>
  <si>
    <t>7289982670</t>
  </si>
  <si>
    <t>262714</t>
  </si>
  <si>
    <t>262708</t>
  </si>
  <si>
    <t>262711</t>
  </si>
  <si>
    <t>262716</t>
  </si>
  <si>
    <t>262729</t>
  </si>
  <si>
    <t>7075181330</t>
  </si>
  <si>
    <t>262719</t>
  </si>
  <si>
    <t>262731</t>
  </si>
  <si>
    <t>7287547130</t>
  </si>
  <si>
    <t>262726</t>
  </si>
  <si>
    <t>262730</t>
  </si>
  <si>
    <t>7198599230</t>
  </si>
  <si>
    <t>262707</t>
  </si>
  <si>
    <t>262721</t>
  </si>
  <si>
    <t>7183753630</t>
  </si>
  <si>
    <t>262709</t>
  </si>
  <si>
    <t>7189663170</t>
  </si>
  <si>
    <t>262710</t>
  </si>
  <si>
    <t>7189982830</t>
  </si>
  <si>
    <t>262717</t>
  </si>
  <si>
    <t>7119146730</t>
  </si>
  <si>
    <t>262720</t>
  </si>
  <si>
    <t>71781227</t>
  </si>
  <si>
    <t>262723</t>
  </si>
  <si>
    <t>262722</t>
  </si>
  <si>
    <t>10.21.69559F</t>
  </si>
  <si>
    <t>10.21.69559F-1</t>
  </si>
  <si>
    <t>h248 lhd</t>
  </si>
  <si>
    <t>10.21.92147A</t>
  </si>
  <si>
    <t>10.21.92187A</t>
  </si>
  <si>
    <t>h248 lhd up</t>
  </si>
  <si>
    <t>10.21.96092</t>
  </si>
  <si>
    <t>10.21.89682A</t>
  </si>
  <si>
    <t>262706</t>
  </si>
  <si>
    <t>I10131</t>
  </si>
  <si>
    <t>Column1</t>
  </si>
  <si>
    <t>qPer board</t>
  </si>
  <si>
    <t>boards</t>
  </si>
  <si>
    <t>need price difference</t>
  </si>
  <si>
    <t>need price diference</t>
  </si>
  <si>
    <t>10.21.91617A</t>
  </si>
  <si>
    <t>10.21.91617A-1</t>
  </si>
  <si>
    <t>10.21.91617A-2</t>
  </si>
  <si>
    <t>10.21.91617A-3</t>
  </si>
  <si>
    <t>10.21.89579A</t>
  </si>
  <si>
    <t>262822</t>
  </si>
  <si>
    <t>7119641970</t>
  </si>
  <si>
    <t>262818</t>
  </si>
  <si>
    <t>7235952330</t>
  </si>
  <si>
    <t>262817</t>
  </si>
  <si>
    <t>7035964930</t>
  </si>
  <si>
    <t>262816</t>
  </si>
  <si>
    <t>262820</t>
  </si>
  <si>
    <t>262815</t>
  </si>
  <si>
    <t>262819</t>
  </si>
  <si>
    <t>262821</t>
  </si>
  <si>
    <t>I10134 - 1 pcs</t>
  </si>
  <si>
    <t>hold on shelf</t>
  </si>
  <si>
    <t>10.21.83294A</t>
  </si>
  <si>
    <t>10.21.83294A-1</t>
  </si>
  <si>
    <t>10.21.83294A-2</t>
  </si>
  <si>
    <t>10.21.83295A</t>
  </si>
  <si>
    <t>10.21.83295A-1</t>
  </si>
  <si>
    <t>10.21.83295A-2</t>
  </si>
  <si>
    <t>10.21.83295A-3</t>
  </si>
  <si>
    <t>262642</t>
  </si>
  <si>
    <t>262690</t>
  </si>
  <si>
    <t>262639</t>
  </si>
  <si>
    <t>262705</t>
  </si>
  <si>
    <t>262682</t>
  </si>
  <si>
    <t>262678</t>
  </si>
  <si>
    <t>262667</t>
  </si>
  <si>
    <t>262693</t>
  </si>
  <si>
    <t>262674</t>
  </si>
  <si>
    <t>7247781530</t>
  </si>
  <si>
    <t>262648</t>
  </si>
  <si>
    <t>262640</t>
  </si>
  <si>
    <t>7047009730</t>
  </si>
  <si>
    <t>262664</t>
  </si>
  <si>
    <t>262653</t>
  </si>
  <si>
    <t>262687</t>
  </si>
  <si>
    <t>262703</t>
  </si>
  <si>
    <t>262669</t>
  </si>
  <si>
    <t>7247374530</t>
  </si>
  <si>
    <t>262661</t>
  </si>
  <si>
    <t>262683</t>
  </si>
  <si>
    <t>262650</t>
  </si>
  <si>
    <t>7075244730</t>
  </si>
  <si>
    <t>262684</t>
  </si>
  <si>
    <t>262656</t>
  </si>
  <si>
    <t>262701</t>
  </si>
  <si>
    <t>262694</t>
  </si>
  <si>
    <t>262647</t>
  </si>
  <si>
    <t>262672</t>
  </si>
  <si>
    <t>262659</t>
  </si>
  <si>
    <t>262685</t>
  </si>
  <si>
    <t>262655</t>
  </si>
  <si>
    <t>262658</t>
  </si>
  <si>
    <t>262645</t>
  </si>
  <si>
    <t>7052109630</t>
  </si>
  <si>
    <t>262651</t>
  </si>
  <si>
    <t>262663</t>
  </si>
  <si>
    <t>262700</t>
  </si>
  <si>
    <t>262643</t>
  </si>
  <si>
    <t>262646</t>
  </si>
  <si>
    <t>262670</t>
  </si>
  <si>
    <t>10.21.69559A</t>
  </si>
  <si>
    <t>7247760830</t>
  </si>
  <si>
    <t>262695</t>
  </si>
  <si>
    <t>262671</t>
  </si>
  <si>
    <t>262680</t>
  </si>
  <si>
    <t>262668</t>
  </si>
  <si>
    <t>262660</t>
  </si>
  <si>
    <t>262654</t>
  </si>
  <si>
    <t>262673</t>
  </si>
  <si>
    <t>7247764130</t>
  </si>
  <si>
    <t>262652</t>
  </si>
  <si>
    <t>262666</t>
  </si>
  <si>
    <t>262649</t>
  </si>
  <si>
    <t>262665</t>
  </si>
  <si>
    <t>262681</t>
  </si>
  <si>
    <t>262686</t>
  </si>
  <si>
    <t>262702</t>
  </si>
  <si>
    <t>262689</t>
  </si>
  <si>
    <t>262662</t>
  </si>
  <si>
    <t>262697</t>
  </si>
  <si>
    <t>262692</t>
  </si>
  <si>
    <t>262696</t>
  </si>
  <si>
    <t>262676</t>
  </si>
  <si>
    <t>262704</t>
  </si>
  <si>
    <t>262679</t>
  </si>
  <si>
    <t>262657</t>
  </si>
  <si>
    <t>7147878930</t>
  </si>
  <si>
    <t>262675</t>
  </si>
  <si>
    <t>7247787730</t>
  </si>
  <si>
    <t>262641</t>
  </si>
  <si>
    <t>262698</t>
  </si>
  <si>
    <t>262644</t>
  </si>
  <si>
    <t>7047273930</t>
  </si>
  <si>
    <t>262677</t>
  </si>
  <si>
    <t>262691</t>
  </si>
  <si>
    <t>262688</t>
  </si>
  <si>
    <t>10.21.89517A</t>
  </si>
  <si>
    <t>10.21.89402A</t>
  </si>
  <si>
    <t>10.21.89402A-1</t>
  </si>
  <si>
    <t>10.21.89402A-2</t>
  </si>
  <si>
    <t>10.21.66000A</t>
  </si>
  <si>
    <t>EDM</t>
  </si>
  <si>
    <t>10.21.66000A-1</t>
  </si>
  <si>
    <t>10.21.66000A-2</t>
  </si>
  <si>
    <t>10.21.38065А-3</t>
  </si>
  <si>
    <t>10.21.96356E</t>
  </si>
  <si>
    <t>10.21.96356E-1</t>
  </si>
  <si>
    <t>10.21.96356E-2</t>
  </si>
  <si>
    <t>10.21.96356E-3</t>
  </si>
  <si>
    <t>{"position": "right"} H248 SaBoard</t>
  </si>
  <si>
    <t>262828</t>
  </si>
  <si>
    <t>Item</t>
  </si>
  <si>
    <t>Purchase Order No-Item</t>
  </si>
  <si>
    <t>Offer NO</t>
  </si>
  <si>
    <t>Product Description</t>
  </si>
  <si>
    <t>MA number</t>
  </si>
  <si>
    <t>Quantity</t>
  </si>
  <si>
    <t>10.21.96649A</t>
  </si>
  <si>
    <t>10.21.96506A</t>
  </si>
  <si>
    <t>10.21.96649A-1</t>
  </si>
  <si>
    <t>10.21.96649A-2</t>
  </si>
  <si>
    <t>10.21.96649A-3</t>
  </si>
  <si>
    <t>10.21.96506A-1</t>
  </si>
  <si>
    <t>10.21.96506A-2</t>
  </si>
  <si>
    <t>10.21.96506A-3</t>
  </si>
  <si>
    <t>STR</t>
  </si>
  <si>
    <t>SIDE</t>
  </si>
  <si>
    <t>cfp</t>
  </si>
  <si>
    <t>3d part</t>
  </si>
  <si>
    <t>10.21.92212A</t>
  </si>
  <si>
    <t>10.21.92211A</t>
  </si>
  <si>
    <t>262838</t>
  </si>
  <si>
    <t>262839</t>
  </si>
  <si>
    <t>262840</t>
  </si>
  <si>
    <t>262841</t>
  </si>
  <si>
    <t>262842</t>
  </si>
  <si>
    <t>262843</t>
  </si>
  <si>
    <t>262844</t>
  </si>
  <si>
    <t>262845</t>
  </si>
  <si>
    <t>262846</t>
  </si>
  <si>
    <t>262847</t>
  </si>
  <si>
    <t>262848</t>
  </si>
  <si>
    <t>262849</t>
  </si>
  <si>
    <t>262850</t>
  </si>
  <si>
    <t>262851</t>
  </si>
  <si>
    <t>262852</t>
  </si>
  <si>
    <t>262853</t>
  </si>
  <si>
    <t>262854</t>
  </si>
  <si>
    <t>262855</t>
  </si>
  <si>
    <t>262856</t>
  </si>
  <si>
    <t>262857</t>
  </si>
  <si>
    <t>262858</t>
  </si>
  <si>
    <t>262859</t>
  </si>
  <si>
    <t>262860</t>
  </si>
  <si>
    <t>262861</t>
  </si>
  <si>
    <t>262862</t>
  </si>
  <si>
    <t>262863</t>
  </si>
  <si>
    <t>262864</t>
  </si>
  <si>
    <t>262865</t>
  </si>
  <si>
    <t>262866</t>
  </si>
  <si>
    <t>262867</t>
  </si>
  <si>
    <t>262868</t>
  </si>
  <si>
    <t>262869</t>
  </si>
  <si>
    <t>262870</t>
  </si>
  <si>
    <t>262871</t>
  </si>
  <si>
    <t>262872</t>
  </si>
  <si>
    <t>262873</t>
  </si>
  <si>
    <t>262874</t>
  </si>
  <si>
    <t>262875</t>
  </si>
  <si>
    <t>262876</t>
  </si>
  <si>
    <t>262877</t>
  </si>
  <si>
    <t>262878</t>
  </si>
  <si>
    <t>262879</t>
  </si>
  <si>
    <t>262880</t>
  </si>
  <si>
    <t>262881</t>
  </si>
  <si>
    <t>262882</t>
  </si>
  <si>
    <t>262883</t>
  </si>
  <si>
    <t>262884</t>
  </si>
  <si>
    <t>262885</t>
  </si>
  <si>
    <t>262886</t>
  </si>
  <si>
    <t>262887</t>
  </si>
  <si>
    <t>262888</t>
  </si>
  <si>
    <t>262889</t>
  </si>
  <si>
    <t>262890</t>
  </si>
  <si>
    <t>262891</t>
  </si>
  <si>
    <t>262892</t>
  </si>
  <si>
    <t>262893</t>
  </si>
  <si>
    <t>262894</t>
  </si>
  <si>
    <t>262895</t>
  </si>
  <si>
    <t>262896</t>
  </si>
  <si>
    <t>262897</t>
  </si>
  <si>
    <t>262898</t>
  </si>
  <si>
    <t>262899</t>
  </si>
  <si>
    <t>262900</t>
  </si>
  <si>
    <t>10.21.91455A</t>
  </si>
  <si>
    <t>10.21.91937A</t>
  </si>
  <si>
    <t>cfpx3</t>
  </si>
  <si>
    <t>10.21.91954A</t>
  </si>
  <si>
    <t>10.21.91954A-1</t>
  </si>
  <si>
    <t>10.21.91954A-2</t>
  </si>
  <si>
    <t>cfpx2</t>
  </si>
  <si>
    <t>262902</t>
  </si>
  <si>
    <t>262903</t>
  </si>
  <si>
    <t>262904</t>
  </si>
  <si>
    <t>262905</t>
  </si>
  <si>
    <t>262906</t>
  </si>
  <si>
    <t>262907</t>
  </si>
  <si>
    <t>262908</t>
  </si>
  <si>
    <t>262909</t>
  </si>
  <si>
    <t>262910</t>
  </si>
  <si>
    <t>262911</t>
  </si>
  <si>
    <t>262912</t>
  </si>
  <si>
    <t>262913</t>
  </si>
  <si>
    <t>262914</t>
  </si>
  <si>
    <t>262915</t>
  </si>
  <si>
    <t>262916</t>
  </si>
  <si>
    <t>262917</t>
  </si>
  <si>
    <t>262918</t>
  </si>
  <si>
    <t>262919</t>
  </si>
  <si>
    <t>262901</t>
  </si>
  <si>
    <t>WAVES_4</t>
  </si>
  <si>
    <t>Engine16</t>
  </si>
  <si>
    <t>Main LHD28</t>
  </si>
  <si>
    <t>Main RHD 14</t>
  </si>
  <si>
    <t>WAVES_2</t>
  </si>
  <si>
    <t>WAVES_26</t>
  </si>
  <si>
    <t>Total</t>
  </si>
  <si>
    <t>10.21.89527A</t>
  </si>
  <si>
    <t>cfp2</t>
  </si>
  <si>
    <t>10.21.91938A</t>
  </si>
  <si>
    <t>10.21.91938A-1</t>
  </si>
  <si>
    <t>10.21.91938A-2</t>
  </si>
  <si>
    <t>10.21.92157A</t>
  </si>
  <si>
    <t>10.21.89635A</t>
  </si>
  <si>
    <t>h248 lhd WASHERTUBE X1PP6144 (180º BLACK)</t>
  </si>
  <si>
    <t>262928</t>
  </si>
  <si>
    <t>262929</t>
  </si>
  <si>
    <t>262924</t>
  </si>
  <si>
    <t>262952</t>
  </si>
  <si>
    <t>71979512</t>
  </si>
  <si>
    <t>262927</t>
  </si>
  <si>
    <t>262950</t>
  </si>
  <si>
    <t>7223686530</t>
  </si>
  <si>
    <t>262930</t>
  </si>
  <si>
    <t>262949</t>
  </si>
  <si>
    <t>262931</t>
  </si>
  <si>
    <t>262925</t>
  </si>
  <si>
    <t>262951</t>
  </si>
  <si>
    <t>262926</t>
  </si>
  <si>
    <t>10.21.96494_A</t>
  </si>
  <si>
    <t>10.21.77040_A</t>
  </si>
  <si>
    <t>ASSY_PPI0001107, ASSY_PPI0001651, ASSY_PPI0001652</t>
  </si>
  <si>
    <t>h248 SaBoards/h248 rhd</t>
  </si>
  <si>
    <t>10.21.91457A</t>
  </si>
  <si>
    <t>10.21.91458A</t>
  </si>
  <si>
    <t>10.21.91459A</t>
  </si>
  <si>
    <t>10.21.92249A</t>
  </si>
  <si>
    <t>qty, pcs</t>
  </si>
  <si>
    <t xml:space="preserve">      </t>
  </si>
  <si>
    <t>262958</t>
  </si>
  <si>
    <t>262957</t>
  </si>
  <si>
    <t>262960</t>
  </si>
  <si>
    <t>262955</t>
  </si>
  <si>
    <t>262959</t>
  </si>
  <si>
    <t>262956</t>
  </si>
  <si>
    <t>total qty</t>
  </si>
  <si>
    <t>count</t>
  </si>
  <si>
    <t>sum</t>
  </si>
  <si>
    <t>processing…</t>
  </si>
  <si>
    <t>10.21.47236A-M</t>
  </si>
  <si>
    <t>10.21.91924A</t>
  </si>
  <si>
    <t>10.21.91924A-1</t>
  </si>
  <si>
    <t>10.21.91924A-2</t>
  </si>
  <si>
    <t>10.21.49114C</t>
  </si>
  <si>
    <t>3d</t>
  </si>
  <si>
    <t>10.21.36860A</t>
  </si>
  <si>
    <t>10.21.91929A</t>
  </si>
  <si>
    <t>10.21.91929A-1</t>
  </si>
  <si>
    <t>10.21.91929A-2</t>
  </si>
  <si>
    <t>263001</t>
  </si>
  <si>
    <t>263004</t>
  </si>
  <si>
    <t>7119172930</t>
  </si>
  <si>
    <t>263006</t>
  </si>
  <si>
    <t>263005</t>
  </si>
  <si>
    <t>263002</t>
  </si>
  <si>
    <t>71196506</t>
  </si>
  <si>
    <t>263003</t>
  </si>
  <si>
    <t>a30</t>
  </si>
  <si>
    <t>10.21.42632B-M</t>
  </si>
  <si>
    <t>10.21.96672A</t>
  </si>
  <si>
    <t>special requrment from Todor</t>
  </si>
  <si>
    <t>no sample</t>
  </si>
  <si>
    <t>10.21.89494A</t>
  </si>
  <si>
    <t>tr</t>
  </si>
  <si>
    <t>no need</t>
  </si>
  <si>
    <t>kosta</t>
  </si>
  <si>
    <t>263008</t>
  </si>
  <si>
    <t>7119163630</t>
  </si>
  <si>
    <t>263009</t>
  </si>
  <si>
    <t>7119668820</t>
  </si>
  <si>
    <t>263010</t>
  </si>
  <si>
    <t>H248 Engine additional</t>
  </si>
  <si>
    <t>7119140530+7119140640A</t>
  </si>
  <si>
    <t>10.21.77041A-M</t>
  </si>
  <si>
    <t>263021</t>
  </si>
  <si>
    <t>10.21.83655B</t>
  </si>
  <si>
    <t>10.21.96679B</t>
  </si>
  <si>
    <t>H248 Engine</t>
  </si>
  <si>
    <t>10.21.96681B</t>
  </si>
  <si>
    <t>10.21.96678B</t>
  </si>
  <si>
    <t>10.21.96680A</t>
  </si>
  <si>
    <t>h248 lhd/h248 engine</t>
  </si>
  <si>
    <t>263011</t>
  </si>
  <si>
    <t>263012</t>
  </si>
  <si>
    <t>263013</t>
  </si>
  <si>
    <t>263014</t>
  </si>
  <si>
    <t>7035990830</t>
  </si>
  <si>
    <t>263015</t>
  </si>
  <si>
    <t>263016</t>
  </si>
  <si>
    <t>263017</t>
  </si>
  <si>
    <t>7003789102</t>
  </si>
  <si>
    <t>263018</t>
  </si>
  <si>
    <t>7003803702</t>
  </si>
  <si>
    <t>263019</t>
  </si>
  <si>
    <t>7009741502</t>
  </si>
  <si>
    <t>263020</t>
  </si>
  <si>
    <t>7003803502</t>
  </si>
  <si>
    <t>263029</t>
  </si>
  <si>
    <t>263030</t>
  </si>
  <si>
    <t>7009630402</t>
  </si>
  <si>
    <t>263031</t>
  </si>
  <si>
    <t>7009639402</t>
  </si>
  <si>
    <t>263032</t>
  </si>
  <si>
    <t>263033</t>
  </si>
  <si>
    <t>7003292202</t>
  </si>
  <si>
    <t>263034</t>
  </si>
  <si>
    <t>10.21.96682</t>
  </si>
  <si>
    <t>10.21.96683</t>
  </si>
  <si>
    <t>h248 engine</t>
  </si>
  <si>
    <t>10.21.96684</t>
  </si>
  <si>
    <t>263035</t>
  </si>
  <si>
    <t>263036</t>
  </si>
  <si>
    <t>7289921730</t>
  </si>
  <si>
    <t>263037</t>
  </si>
  <si>
    <t>72895381</t>
  </si>
  <si>
    <t>Main RHD H248 14+3jb</t>
  </si>
  <si>
    <t>263038</t>
  </si>
  <si>
    <t xml:space="preserve"> </t>
  </si>
  <si>
    <t>10.21.92202A</t>
  </si>
  <si>
    <t>10.21.92202A-1</t>
  </si>
  <si>
    <t>10.21.92202A-2</t>
  </si>
  <si>
    <t>10.21.96677A</t>
  </si>
  <si>
    <t>10.21.96677A-1</t>
  </si>
  <si>
    <t>10.21.96677A-2</t>
  </si>
  <si>
    <t>10.21.89505A-M</t>
  </si>
  <si>
    <t>263041</t>
  </si>
  <si>
    <t>263040</t>
  </si>
  <si>
    <t>263039</t>
  </si>
  <si>
    <t>A1729821302_EYELET</t>
  </si>
  <si>
    <t>A1729821302_EYELET V3</t>
  </si>
  <si>
    <t>ASSY_59Z006T00B/ASSY_59Z006T00B ASSY_59Z006-T00B</t>
  </si>
  <si>
    <t>h248 rhd</t>
  </si>
  <si>
    <t>h248 l/r hd</t>
  </si>
  <si>
    <t>h49 rhd</t>
  </si>
  <si>
    <t>263062</t>
  </si>
  <si>
    <t>263067</t>
  </si>
  <si>
    <t>263068</t>
  </si>
  <si>
    <t>263076</t>
  </si>
  <si>
    <t>263059</t>
  </si>
  <si>
    <t>263054</t>
  </si>
  <si>
    <t>263050</t>
  </si>
  <si>
    <t>263045</t>
  </si>
  <si>
    <t>263047</t>
  </si>
  <si>
    <t>263053</t>
  </si>
  <si>
    <t>263058</t>
  </si>
  <si>
    <t>263051</t>
  </si>
  <si>
    <t>263077</t>
  </si>
  <si>
    <t>263078</t>
  </si>
  <si>
    <t>263048</t>
  </si>
  <si>
    <t>263074</t>
  </si>
  <si>
    <t>263056</t>
  </si>
  <si>
    <t>263075</t>
  </si>
  <si>
    <t>263066</t>
  </si>
  <si>
    <t>263072</t>
  </si>
  <si>
    <t>263069</t>
  </si>
  <si>
    <t>263052</t>
  </si>
  <si>
    <t>263065</t>
  </si>
  <si>
    <t>263063</t>
  </si>
  <si>
    <t>263079</t>
  </si>
  <si>
    <t>263055</t>
  </si>
  <si>
    <t>263080</t>
  </si>
  <si>
    <t>263071</t>
  </si>
  <si>
    <t>263046</t>
  </si>
  <si>
    <t>263070</t>
  </si>
  <si>
    <t>263064</t>
  </si>
  <si>
    <t>263049</t>
  </si>
  <si>
    <t>7289063430</t>
  </si>
  <si>
    <t>263060</t>
  </si>
  <si>
    <t>263073</t>
  </si>
  <si>
    <t>263057</t>
  </si>
  <si>
    <t>263061</t>
  </si>
  <si>
    <t>Word</t>
  </si>
  <si>
    <t>Count</t>
  </si>
  <si>
    <t>up</t>
  </si>
  <si>
    <t>left</t>
  </si>
  <si>
    <t>right</t>
  </si>
  <si>
    <t>left/right</t>
  </si>
  <si>
    <t>rotary</t>
  </si>
  <si>
    <t xml:space="preserve">RIGHT </t>
  </si>
  <si>
    <t>part 2</t>
  </si>
  <si>
    <t>v2 527,203,521,204</t>
  </si>
  <si>
    <t>v1 525,472</t>
  </si>
  <si>
    <t>v3 440</t>
  </si>
  <si>
    <t>v4 241,284,281,179,188,149,135,166,190</t>
  </si>
  <si>
    <t>209, 212, 232, 267, 221,  239</t>
  </si>
  <si>
    <t>215, 237, 277, 229</t>
  </si>
  <si>
    <t>Указание за монтаж на SC35H - H248 RHD /серия 30 - 40/</t>
  </si>
  <si>
    <t>qtyx14+3</t>
  </si>
  <si>
    <t>C313</t>
  </si>
  <si>
    <t>C149</t>
  </si>
  <si>
    <t>Указание за монтаж на клипс-холдър - H248 RHD</t>
  </si>
  <si>
    <t>I10202</t>
  </si>
  <si>
    <t xml:space="preserve">Указание за монтаж на SC35H - H248 LHD </t>
  </si>
  <si>
    <t>ready</t>
  </si>
  <si>
    <t>h248 lhd/rhd</t>
  </si>
  <si>
    <t>10.21.97019A</t>
  </si>
  <si>
    <t>10.21.97019A-1</t>
  </si>
  <si>
    <t>10.21.97019A-2</t>
  </si>
  <si>
    <t>12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</si>
  <si>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</si>
  <si>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</si>
  <si>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</si>
  <si>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</si>
  <si>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</si>
  <si>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</si>
  <si>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</si>
  <si>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</si>
  <si>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</si>
  <si>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</si>
  <si>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</si>
  <si>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</si>
  <si>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</si>
  <si>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</si>
  <si>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</si>
  <si>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</si>
  <si>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</si>
  <si>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</si>
  <si>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</si>
  <si>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</si>
  <si>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</si>
  <si>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</si>
  <si>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</si>
  <si>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</si>
  <si>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</si>
  <si>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</si>
  <si>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</si>
  <si>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exeption</t>
  </si>
  <si>
    <t>added in last layout need price difference</t>
  </si>
  <si>
    <t>removed last layout</t>
  </si>
  <si>
    <t>DN</t>
  </si>
  <si>
    <t>Pof</t>
  </si>
  <si>
    <t>DN new</t>
  </si>
  <si>
    <t>263102</t>
  </si>
  <si>
    <t>7298949030</t>
  </si>
  <si>
    <t>263101</t>
  </si>
  <si>
    <t>7298948930</t>
  </si>
  <si>
    <t>263103</t>
  </si>
  <si>
    <t>263104</t>
  </si>
  <si>
    <t>I10206</t>
  </si>
  <si>
    <t>263099</t>
  </si>
  <si>
    <t>317, 318</t>
  </si>
  <si>
    <t>155, 491</t>
  </si>
  <si>
    <t>134, 490</t>
  </si>
  <si>
    <t>10.21.70526A-3</t>
  </si>
  <si>
    <t>project_code</t>
  </si>
  <si>
    <t>start_date</t>
  </si>
  <si>
    <t>end_date</t>
  </si>
  <si>
    <t>H248 Main LHD</t>
  </si>
  <si>
    <t>H248 Main RHD</t>
  </si>
  <si>
    <t>10.21.98948A</t>
  </si>
  <si>
    <t>H248 MAIN LHD</t>
  </si>
  <si>
    <t>I10202, I10162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</si>
</sst>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General"/>
  </numFmts>
  <fonts count="2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b/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1"/>
      <name val="Libre Barcode 39"/>
    </font>
    <font>
      <sz val="48"/>
      <color theme="1"/>
      <name val="Libre Barcode 39"/>
    </font>
    <font>
      <sz val="11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4"/>
      <color theme="1"/>
      <name val="Calibri"/>
      <family val="2"/>
      <scheme val="minor"/>
    </font>
    <font>
      <b/>
      <sz val="10"/>
      <color rgb="FF000000"/>
      <name val="Arial"/>
      <family val="2"/>
    </font>
    <font>
      <sz val="12"/>
      <color rgb="FF000000"/>
      <name val="Calibri"/>
      <family val="2"/>
    </font>
    <font>
      <sz val="12"/>
      <color rgb="FF000000"/>
      <name val="Arial"/>
      <family val="2"/>
    </font>
    <font>
      <sz val="9"/>
      <name val="Arial"/>
      <family val="2"/>
      <charset val="186"/>
    </font>
    <font>
      <b/>
      <i/>
      <sz val="14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66"/>
      <color theme="1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DDDDDD"/>
        <bgColor indexed="64"/>
      </patternFill>
    </fill>
    <fill>
      <patternFill patternType="solid">
        <fgColor rgb="FFD4D4D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8" tint="0.39997558519241921"/>
        <bgColor indexed="64"/>
      </patternFill>
    </fill>
  </fills>
  <borders count="24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auto="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auto="1"/>
      </right>
      <top style="thin">
        <color theme="4" tint="0.3999755851924192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rgb="FF808080"/>
      </bottom>
      <diagonal/>
    </border>
    <border>
      <left/>
      <right style="medium">
        <color rgb="FF808080"/>
      </right>
      <top/>
      <bottom style="medium">
        <color rgb="FF808080"/>
      </bottom>
      <diagonal/>
    </border>
    <border>
      <left style="thin">
        <color auto="1"/>
      </left>
      <right/>
      <top style="thin">
        <color indexed="64"/>
      </top>
      <bottom/>
      <diagonal/>
    </border>
    <border>
      <left/>
      <right style="thin">
        <color auto="1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rgb="FF808080"/>
      </right>
      <top/>
      <bottom/>
      <diagonal/>
    </border>
  </borders>
  <cellStyleXfs count="3">
    <xf numFmtId="0" fontId="0" fillId="0" borderId="0"/>
    <xf numFmtId="164" fontId="2" fillId="0" borderId="0"/>
    <xf numFmtId="0" fontId="11" fillId="0" borderId="0"/>
  </cellStyleXfs>
  <cellXfs count="103">
    <xf numFmtId="0" fontId="0" fillId="0" borderId="0" xfId="0"/>
    <xf numFmtId="0" fontId="0" fillId="0" borderId="0" xfId="0" applyAlignment="1">
      <alignment horizontal="left" vertical="top"/>
    </xf>
    <xf numFmtId="0" fontId="0" fillId="0" borderId="0" xfId="0" quotePrefix="1" applyAlignment="1">
      <alignment horizontal="left" vertical="top"/>
    </xf>
    <xf numFmtId="0" fontId="0" fillId="0" borderId="0" xfId="0" quotePrefix="1"/>
    <xf numFmtId="0" fontId="0" fillId="0" borderId="0" xfId="0" applyAlignment="1">
      <alignment horizontal="left"/>
    </xf>
    <xf numFmtId="49" fontId="3" fillId="2" borderId="1" xfId="0" applyNumberFormat="1" applyFont="1" applyFill="1" applyBorder="1" applyAlignment="1">
      <alignment horizontal="left" vertical="center" wrapText="1"/>
    </xf>
    <xf numFmtId="49" fontId="0" fillId="0" borderId="0" xfId="0" applyNumberFormat="1" applyAlignment="1">
      <alignment horizontal="left" vertical="center"/>
    </xf>
    <xf numFmtId="49" fontId="4" fillId="0" borderId="0" xfId="0" applyNumberFormat="1" applyFont="1" applyAlignment="1">
      <alignment horizontal="left" vertical="center" wrapText="1"/>
    </xf>
    <xf numFmtId="49" fontId="3" fillId="2" borderId="0" xfId="0" applyNumberFormat="1" applyFont="1" applyFill="1" applyAlignment="1">
      <alignment horizontal="left" vertical="center" wrapText="1"/>
    </xf>
    <xf numFmtId="49" fontId="0" fillId="0" borderId="0" xfId="0" applyNumberFormat="1" applyAlignment="1">
      <alignment horizontal="left"/>
    </xf>
    <xf numFmtId="0" fontId="0" fillId="3" borderId="2" xfId="0" applyFill="1" applyBorder="1"/>
    <xf numFmtId="0" fontId="0" fillId="0" borderId="2" xfId="0" applyBorder="1"/>
    <xf numFmtId="0" fontId="0" fillId="0" borderId="3" xfId="0" applyBorder="1"/>
    <xf numFmtId="0" fontId="5" fillId="0" borderId="0" xfId="0" applyFont="1"/>
    <xf numFmtId="0" fontId="0" fillId="0" borderId="0" xfId="0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0" fillId="3" borderId="5" xfId="0" applyFill="1" applyBorder="1"/>
    <xf numFmtId="0" fontId="0" fillId="0" borderId="6" xfId="0" applyBorder="1"/>
    <xf numFmtId="0" fontId="0" fillId="5" borderId="11" xfId="0" applyFill="1" applyBorder="1" applyAlignment="1">
      <alignment horizontal="center" vertical="center"/>
    </xf>
    <xf numFmtId="0" fontId="0" fillId="4" borderId="7" xfId="0" applyFill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0" fillId="4" borderId="9" xfId="0" applyFill="1" applyBorder="1" applyAlignment="1">
      <alignment horizontal="center" vertical="center"/>
    </xf>
    <xf numFmtId="0" fontId="0" fillId="4" borderId="10" xfId="0" applyFill="1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/>
    </xf>
    <xf numFmtId="0" fontId="0" fillId="4" borderId="11" xfId="0" applyFill="1" applyBorder="1" applyAlignment="1">
      <alignment horizontal="center" vertical="center"/>
    </xf>
    <xf numFmtId="0" fontId="0" fillId="5" borderId="10" xfId="0" applyFill="1" applyBorder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7" borderId="7" xfId="0" applyFill="1" applyBorder="1" applyAlignment="1">
      <alignment horizontal="center" vertical="center"/>
    </xf>
    <xf numFmtId="0" fontId="0" fillId="7" borderId="8" xfId="0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0" fontId="0" fillId="7" borderId="10" xfId="0" applyFill="1" applyBorder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7" borderId="11" xfId="0" applyFill="1" applyBorder="1" applyAlignment="1">
      <alignment horizontal="center" vertical="center"/>
    </xf>
    <xf numFmtId="0" fontId="0" fillId="7" borderId="12" xfId="0" applyFill="1" applyBorder="1" applyAlignment="1">
      <alignment horizontal="center" vertical="center"/>
    </xf>
    <xf numFmtId="0" fontId="0" fillId="7" borderId="13" xfId="0" applyFill="1" applyBorder="1" applyAlignment="1">
      <alignment horizontal="center" vertical="center"/>
    </xf>
    <xf numFmtId="0" fontId="0" fillId="7" borderId="14" xfId="0" applyFill="1" applyBorder="1" applyAlignment="1">
      <alignment horizontal="center" vertical="center"/>
    </xf>
    <xf numFmtId="0" fontId="0" fillId="5" borderId="12" xfId="0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0" fontId="0" fillId="4" borderId="12" xfId="0" applyFill="1" applyBorder="1" applyAlignment="1">
      <alignment horizontal="center" vertical="center"/>
    </xf>
    <xf numFmtId="0" fontId="0" fillId="4" borderId="13" xfId="0" applyFill="1" applyBorder="1" applyAlignment="1">
      <alignment horizontal="center" vertical="center"/>
    </xf>
    <xf numFmtId="0" fontId="0" fillId="4" borderId="14" xfId="0" applyFill="1" applyBorder="1" applyAlignment="1">
      <alignment horizontal="center" vertical="center"/>
    </xf>
    <xf numFmtId="1" fontId="0" fillId="0" borderId="0" xfId="0" applyNumberFormat="1"/>
    <xf numFmtId="0" fontId="8" fillId="8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0" fillId="9" borderId="0" xfId="0" applyFill="1"/>
    <xf numFmtId="0" fontId="0" fillId="0" borderId="4" xfId="0" applyBorder="1"/>
    <xf numFmtId="0" fontId="0" fillId="0" borderId="4" xfId="0" applyBorder="1" applyAlignment="1">
      <alignment horizontal="left"/>
    </xf>
    <xf numFmtId="0" fontId="10" fillId="0" borderId="4" xfId="0" applyFont="1" applyBorder="1"/>
    <xf numFmtId="0" fontId="4" fillId="0" borderId="0" xfId="0" applyFont="1" applyAlignment="1">
      <alignment horizontal="left"/>
    </xf>
    <xf numFmtId="0" fontId="0" fillId="0" borderId="15" xfId="0" applyBorder="1"/>
    <xf numFmtId="0" fontId="0" fillId="0" borderId="16" xfId="0" applyBorder="1"/>
    <xf numFmtId="0" fontId="12" fillId="0" borderId="4" xfId="0" applyFont="1" applyBorder="1"/>
    <xf numFmtId="0" fontId="0" fillId="10" borderId="0" xfId="0" applyFill="1"/>
    <xf numFmtId="0" fontId="0" fillId="11" borderId="0" xfId="0" applyFill="1"/>
    <xf numFmtId="0" fontId="15" fillId="0" borderId="4" xfId="0" applyFont="1" applyBorder="1"/>
    <xf numFmtId="0" fontId="0" fillId="0" borderId="5" xfId="0" applyBorder="1"/>
    <xf numFmtId="0" fontId="0" fillId="3" borderId="15" xfId="0" applyFill="1" applyBorder="1"/>
    <xf numFmtId="0" fontId="10" fillId="0" borderId="4" xfId="0" applyFont="1" applyBorder="1" applyAlignment="1">
      <alignment horizontal="left" wrapText="1"/>
    </xf>
    <xf numFmtId="16" fontId="0" fillId="0" borderId="0" xfId="0" applyNumberFormat="1"/>
    <xf numFmtId="0" fontId="17" fillId="0" borderId="17" xfId="0" applyFont="1" applyBorder="1" applyAlignment="1">
      <alignment horizontal="center" vertical="center"/>
    </xf>
    <xf numFmtId="0" fontId="18" fillId="12" borderId="18" xfId="0" applyFont="1" applyFill="1" applyBorder="1" applyAlignment="1">
      <alignment horizontal="center" vertical="center"/>
    </xf>
    <xf numFmtId="0" fontId="18" fillId="12" borderId="19" xfId="0" applyFont="1" applyFill="1" applyBorder="1" applyAlignment="1">
      <alignment horizontal="center" vertical="center"/>
    </xf>
    <xf numFmtId="0" fontId="17" fillId="0" borderId="14" xfId="0" applyFont="1" applyBorder="1" applyAlignment="1">
      <alignment horizontal="center" vertical="center"/>
    </xf>
    <xf numFmtId="0" fontId="16" fillId="0" borderId="14" xfId="0" applyFont="1" applyBorder="1" applyAlignment="1">
      <alignment horizontal="center" vertical="center"/>
    </xf>
    <xf numFmtId="0" fontId="18" fillId="12" borderId="19" xfId="0" applyFont="1" applyFill="1" applyBorder="1" applyAlignment="1">
      <alignment horizontal="center" vertical="center" wrapText="1"/>
    </xf>
    <xf numFmtId="0" fontId="19" fillId="0" borderId="4" xfId="0" applyFont="1" applyBorder="1" applyAlignment="1">
      <alignment horizontal="center" vertical="center"/>
    </xf>
    <xf numFmtId="0" fontId="12" fillId="0" borderId="0" xfId="0" applyFont="1"/>
    <xf numFmtId="0" fontId="0" fillId="0" borderId="4" xfId="0" applyBorder="1" applyAlignment="1">
      <alignment horizontal="left" vertical="top"/>
    </xf>
    <xf numFmtId="0" fontId="12" fillId="0" borderId="0" xfId="0" applyFont="1" applyAlignment="1">
      <alignment horizontal="left" vertical="top"/>
    </xf>
    <xf numFmtId="0" fontId="20" fillId="0" borderId="4" xfId="0" applyFont="1" applyBorder="1"/>
    <xf numFmtId="0" fontId="0" fillId="14" borderId="0" xfId="0" applyFill="1"/>
    <xf numFmtId="0" fontId="12" fillId="14" borderId="0" xfId="0" applyFont="1" applyFill="1"/>
    <xf numFmtId="0" fontId="0" fillId="3" borderId="5" xfId="0" applyFill="1" applyBorder="1" applyAlignment="1">
      <alignment horizontal="left" vertical="top"/>
    </xf>
    <xf numFmtId="0" fontId="0" fillId="11" borderId="4" xfId="0" applyFill="1" applyBorder="1" applyAlignment="1">
      <alignment horizontal="left"/>
    </xf>
    <xf numFmtId="0" fontId="0" fillId="11" borderId="4" xfId="0" applyFill="1" applyBorder="1"/>
    <xf numFmtId="0" fontId="9" fillId="0" borderId="4" xfId="0" applyFont="1" applyBorder="1" applyAlignment="1">
      <alignment horizontal="center"/>
    </xf>
    <xf numFmtId="0" fontId="9" fillId="0" borderId="0" xfId="0" applyFont="1" applyAlignment="1">
      <alignment horizontal="center"/>
    </xf>
    <xf numFmtId="0" fontId="9" fillId="0" borderId="1" xfId="0" applyFont="1" applyBorder="1" applyAlignment="1">
      <alignment horizontal="center"/>
    </xf>
    <xf numFmtId="0" fontId="0" fillId="13" borderId="4" xfId="0" applyFill="1" applyBorder="1" applyAlignment="1">
      <alignment horizontal="center"/>
    </xf>
    <xf numFmtId="0" fontId="0" fillId="0" borderId="0" xfId="0" applyFill="1"/>
    <xf numFmtId="0" fontId="0" fillId="0" borderId="0" xfId="0" applyFill="1" applyAlignment="1">
      <alignment horizontal="left" vertical="top"/>
    </xf>
    <xf numFmtId="0" fontId="0" fillId="0" borderId="0" xfId="0" applyNumberFormat="1" applyFill="1"/>
    <xf numFmtId="0" fontId="0" fillId="0" borderId="0" xfId="0" applyNumberFormat="1"/>
    <xf numFmtId="3" fontId="0" fillId="0" borderId="0" xfId="0" applyNumberFormat="1" applyFill="1"/>
    <xf numFmtId="0" fontId="21" fillId="0" borderId="0" xfId="0" applyFont="1"/>
    <xf numFmtId="0" fontId="0" fillId="15" borderId="0" xfId="0" applyFill="1"/>
    <xf numFmtId="0" fontId="0" fillId="16" borderId="0" xfId="0" applyFill="1"/>
    <xf numFmtId="0" fontId="10" fillId="0" borderId="4" xfId="0" applyFont="1" applyFill="1" applyBorder="1"/>
    <xf numFmtId="0" fontId="15" fillId="0" borderId="4" xfId="0" applyNumberFormat="1" applyFont="1" applyFill="1" applyBorder="1"/>
    <xf numFmtId="0" fontId="10" fillId="0" borderId="21" xfId="0" applyFont="1" applyFill="1" applyBorder="1" applyAlignment="1">
      <alignment horizontal="left" wrapText="1"/>
    </xf>
    <xf numFmtId="0" fontId="10" fillId="0" borderId="22" xfId="0" applyFont="1" applyFill="1" applyBorder="1"/>
    <xf numFmtId="0" fontId="15" fillId="0" borderId="22" xfId="0" applyNumberFormat="1" applyFont="1" applyFill="1" applyBorder="1"/>
    <xf numFmtId="0" fontId="10" fillId="0" borderId="20" xfId="0" applyFont="1" applyFill="1" applyBorder="1"/>
    <xf numFmtId="0" fontId="10" fillId="0" borderId="4" xfId="0" applyFont="1" applyFill="1" applyBorder="1" applyAlignment="1">
      <alignment horizontal="left" wrapText="1"/>
    </xf>
    <xf numFmtId="0" fontId="17" fillId="0" borderId="11" xfId="0" applyFont="1" applyBorder="1" applyAlignment="1">
      <alignment horizontal="center" vertical="center"/>
    </xf>
    <xf numFmtId="0" fontId="18" fillId="12" borderId="0" xfId="0" applyFont="1" applyFill="1" applyBorder="1" applyAlignment="1">
      <alignment horizontal="center" vertical="center"/>
    </xf>
    <xf numFmtId="0" fontId="18" fillId="12" borderId="23" xfId="0" applyFont="1" applyFill="1" applyBorder="1" applyAlignment="1">
      <alignment horizontal="center" vertical="center"/>
    </xf>
    <xf numFmtId="0" fontId="0" fillId="5" borderId="0" xfId="0" applyFill="1"/>
    <xf numFmtId="0" fontId="22" fillId="0" borderId="4" xfId="0" applyFont="1" applyBorder="1" applyAlignment="1">
      <alignment horizontal="center" vertical="center"/>
    </xf>
  </cellXfs>
  <cellStyles count="3">
    <cellStyle name="Excel Built-in Normal" xfId="1" xr:uid="{FC05862D-A32D-41BF-B86F-FCDFEB09A0C7}"/>
    <cellStyle name="Normal" xfId="0" builtinId="0"/>
    <cellStyle name="Normal 2 2" xfId="2" xr:uid="{A4FBF281-33E9-4B26-94D1-DCC04C82109A}"/>
  </cellStyles>
  <dxfs count="125"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4"/>
        <color rgb="FF000000"/>
        <name val="Calibri"/>
        <family val="2"/>
        <scheme val="none"/>
      </font>
      <fill>
        <patternFill patternType="none">
          <fgColor rgb="FF000000"/>
          <bgColor rgb="FFFFFFFF"/>
        </patternFill>
      </fill>
    </dxf>
    <dxf>
      <font>
        <b/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fill>
        <patternFill patternType="none">
          <fgColor rgb="FF000000"/>
          <bgColor rgb="FFFFFFFF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left" vertical="bottom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textRotation="0" indent="0" justifyLastLine="0" shrinkToFit="0" readingOrder="0"/>
    </dxf>
    <dxf>
      <border outline="0">
        <left style="thin">
          <color auto="1"/>
        </left>
        <right style="thin">
          <color auto="1"/>
        </right>
        <top style="thin">
          <color indexed="64"/>
        </top>
        <bottom style="thin">
          <color auto="1"/>
        </bottom>
      </border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"/>
        <family val="2"/>
        <scheme val="none"/>
      </font>
      <fill>
        <patternFill patternType="solid">
          <fgColor indexed="64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rgb="FF808080"/>
        </right>
        <top/>
        <bottom style="medium">
          <color rgb="FF80808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"/>
        <family val="2"/>
        <scheme val="none"/>
      </font>
      <fill>
        <patternFill patternType="solid">
          <fgColor indexed="64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rgb="FF808080"/>
        </right>
        <top/>
        <bottom style="medium">
          <color rgb="FF80808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"/>
        <family val="2"/>
        <scheme val="none"/>
      </font>
      <fill>
        <patternFill patternType="solid">
          <fgColor indexed="64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rgb="FF808080"/>
        </right>
        <top/>
        <bottom style="medium">
          <color rgb="FF80808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"/>
        <family val="2"/>
        <scheme val="none"/>
      </font>
      <fill>
        <patternFill patternType="solid">
          <fgColor indexed="64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/>
        <bottom style="medium">
          <color rgb="FF80808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 style="medium">
          <color indexed="64"/>
        </bottom>
        <vertical/>
        <horizontal/>
      </border>
    </dxf>
    <dxf>
      <border outline="0">
        <left style="medium">
          <color indexed="64"/>
        </left>
        <top style="medium">
          <color indexed="64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"/>
        <family val="2"/>
        <scheme val="none"/>
      </font>
      <fill>
        <patternFill patternType="solid">
          <fgColor indexed="64"/>
          <bgColor rgb="FFFFFFFF"/>
        </patternFill>
      </fill>
      <alignment horizontal="center" vertical="center" textRotation="0" wrapText="0" indent="0" justifyLastLine="0" shrinkToFit="0" readingOrder="0"/>
    </dxf>
    <dxf>
      <border outline="0"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</dxf>
    <dxf>
      <numFmt numFmtId="0" formatCode="General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left" vertical="bottom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4"/>
        <color rgb="FF000000"/>
        <name val="Calibri"/>
        <family val="2"/>
        <scheme val="none"/>
      </font>
      <fill>
        <patternFill patternType="none">
          <fgColor rgb="FF000000"/>
          <bgColor rgb="FFFFFFFF"/>
        </patternFill>
      </fill>
    </dxf>
    <dxf>
      <font>
        <b/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/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top" textRotation="0" wrapText="0" indent="0" justifyLastLine="0" shrinkToFit="0" readingOrder="0"/>
    </dxf>
    <dxf>
      <fill>
        <patternFill patternType="none">
          <bgColor auto="1"/>
        </patternFill>
      </fill>
      <alignment horizontal="left" vertical="top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</dxfs>
  <tableStyles count="0" defaultTableStyle="TableStyleMedium2" defaultPivotStyle="PivotStyleLight16"/>
  <colors>
    <mruColors>
      <color rgb="FFFFFFFF"/>
      <color rgb="FFDDDDD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onnections" Target="connection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8" Type="http://schemas.openxmlformats.org/officeDocument/2006/relationships/worksheet" Target="worksheets/sheet8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64F4F81E-F028-414B-9D26-0836B0316BFB}" autoFormatId="16" applyNumberFormats="0" applyBorderFormats="0" applyFontFormats="0" applyPatternFormats="0" applyAlignmentFormats="0" applyWidthHeightFormats="0">
  <queryTableRefresh nextId="19" unboundColumnsRight="3">
    <queryTableFields count="14">
      <queryTableField id="1" name="job_order_id" tableColumnId="10"/>
      <queryTableField id="2" name="job_order_number" tableColumnId="2"/>
      <queryTableField id="12" name="ma_number" tableColumnId="1"/>
      <queryTableField id="3" name="name" tableColumnId="3"/>
      <queryTableField id="10" name="type_id" tableColumnId="11"/>
      <queryTableField id="4" name="batch_id" tableColumnId="4"/>
      <queryTableField id="5" name="quantity" tableColumnId="5"/>
      <queryTableField id="6" name="cut" tableColumnId="6"/>
      <queryTableField id="7" name="cnc" tableColumnId="7"/>
      <queryTableField id="8" name="assembly" tableColumnId="8"/>
      <queryTableField id="9" name="qc" tableColumnId="9"/>
      <queryTableField id="16" dataBound="0" tableColumnId="14"/>
      <queryTableField id="17" dataBound="0" tableColumnId="15"/>
      <queryTableField id="18" dataBound="0" tableColumnId="1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EB19FB17-96EF-44B9-B5DF-5F57057A3A6B}" autoFormatId="16" applyNumberFormats="0" applyBorderFormats="0" applyFontFormats="0" applyPatternFormats="0" applyAlignmentFormats="0" applyWidthHeightFormats="0">
  <queryTableRefresh nextId="45">
    <queryTableFields count="11">
      <queryTableField id="1" name="job_order_id" tableColumnId="10"/>
      <queryTableField id="2" name="job_order_number" tableColumnId="2"/>
      <queryTableField id="12" name="ma_number" tableColumnId="1"/>
      <queryTableField id="3" name="name" tableColumnId="3"/>
      <queryTableField id="10" name="type_id" tableColumnId="11"/>
      <queryTableField id="4" name="batch_id" tableColumnId="4"/>
      <queryTableField id="5" name="quantity" tableColumnId="5"/>
      <queryTableField id="6" name="cut" tableColumnId="6"/>
      <queryTableField id="7" name="cnc" tableColumnId="7"/>
      <queryTableField id="8" name="assembly" tableColumnId="8"/>
      <queryTableField id="9" name="qc" tableColumnId="9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DD7A858F-41FB-4FDC-B4D7-47454D668BF8}" autoFormatId="16" applyNumberFormats="0" applyBorderFormats="0" applyFontFormats="0" applyPatternFormats="0" applyAlignmentFormats="0" applyWidthHeightFormats="0">
  <queryTableRefresh nextId="14">
    <queryTableFields count="11">
      <queryTableField id="1" name="job_order_id" tableColumnId="10"/>
      <queryTableField id="2" name="job_order_number" tableColumnId="2"/>
      <queryTableField id="12" name="ma_number" tableColumnId="1"/>
      <queryTableField id="3" name="name" tableColumnId="3"/>
      <queryTableField id="10" name="type_id" tableColumnId="11"/>
      <queryTableField id="4" name="batch_id" tableColumnId="4"/>
      <queryTableField id="5" name="quantity" tableColumnId="5"/>
      <queryTableField id="6" name="cut" tableColumnId="6"/>
      <queryTableField id="7" name="cnc" tableColumnId="7"/>
      <queryTableField id="8" name="assembly" tableColumnId="8"/>
      <queryTableField id="9" name="qc" tableColumnId="9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48ED3E88-01ED-489E-B42B-493CEB7FC138}" autoFormatId="16" applyNumberFormats="0" applyBorderFormats="0" applyFontFormats="0" applyPatternFormats="0" applyAlignmentFormats="0" applyWidthHeightFormats="0">
  <queryTableRefresh nextId="15" unboundColumnsRight="1">
    <queryTableFields count="12">
      <queryTableField id="1" name="job_order_id" tableColumnId="10"/>
      <queryTableField id="2" name="job_order_number" tableColumnId="2"/>
      <queryTableField id="12" name="ma_number" tableColumnId="1"/>
      <queryTableField id="3" name="name" tableColumnId="3"/>
      <queryTableField id="10" name="type_id" tableColumnId="11"/>
      <queryTableField id="4" name="batch_id" tableColumnId="4"/>
      <queryTableField id="5" name="quantity" tableColumnId="5"/>
      <queryTableField id="6" name="cut" tableColumnId="6"/>
      <queryTableField id="7" name="cnc" tableColumnId="7"/>
      <queryTableField id="8" name="assembly" tableColumnId="8"/>
      <queryTableField id="9" name="qc" tableColumnId="9"/>
      <queryTableField id="14" dataBound="0" tableColumnId="12"/>
    </queryTableFields>
  </queryTableRefresh>
</queryTable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1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FD4EFE6-1099-438A-9D64-1AFEA3E877E1}" name="Table1" displayName="Table1" ref="A1:AC591" totalsRowShown="0" headerRowDxfId="124" dataDxfId="123">
  <autoFilter ref="A1:AC591" xr:uid="{4FD4EFE6-1099-438A-9D64-1AFEA3E877E1}">
    <filterColumn colId="1">
      <filters>
        <filter val="7278246930"/>
        <filter val="7278246930/7298196130"/>
      </filters>
    </filterColumn>
  </autoFilter>
  <tableColumns count="29">
    <tableColumn id="1" xr3:uid="{3B7E460A-E4F8-4748-BDB7-69F9DF95E095}" name="MA_Number" dataDxfId="122"/>
    <tableColumn id="2" xr3:uid="{0C86C14C-C734-4C14-9D15-5BF628634433}" name="Product_Name" dataDxfId="121"/>
    <tableColumn id="30" xr3:uid="{050D8DE9-BC74-4050-94FA-10894F23596C}" name="alt_name" dataDxfId="120"/>
    <tableColumn id="5" xr3:uid="{B7270D78-2CE2-41E9-A475-02143C2A7D02}" name="type_code" dataDxfId="119"/>
    <tableColumn id="3" xr3:uid="{80614BD7-785D-4865-A2C0-9EC9C8EACE03}" name="Description" dataDxfId="118"/>
    <tableColumn id="4" xr3:uid="{712E4162-81D9-47C7-8EEF-73A898972DF4}" name="Is_Assembly" dataDxfId="117"/>
    <tableColumn id="16" xr3:uid="{499F8FD0-A2A3-4176-A552-313DDDC5BA39}" name="parent_ma" dataDxfId="116"/>
    <tableColumn id="7" xr3:uid="{D05F0B8F-F449-4B71-BFD4-5C771658ED9C}" name="Part_Number" dataDxfId="115"/>
    <tableColumn id="8" xr3:uid="{B643C364-3099-4EEB-AED1-F61689849DDE}" name="Part_Qty" dataDxfId="114"/>
    <tableColumn id="9" xr3:uid="{1FB793F0-5C0E-4E9E-A553-69662201D95E}" name="Part_Length" dataDxfId="113"/>
    <tableColumn id="10" xr3:uid="{A46D0FCB-3E53-48F9-A53C-473B67948093}" name="Part_Width" dataDxfId="112"/>
    <tableColumn id="11" xr3:uid="{60D16FF4-D45B-4799-81B5-5A76D0C9B75F}" name="Part_Height" dataDxfId="111"/>
    <tableColumn id="12" xr3:uid="{9236BC38-CC48-4A88-8E0F-CC0CF0FD23E8}" name="color_code" dataDxfId="110"/>
    <tableColumn id="13" xr3:uid="{733327CD-E162-4FAD-AEA1-3C7B2D569A38}" name="material_code" dataDxfId="109"/>
    <tableColumn id="18" xr3:uid="{71BB0E28-DF33-49EB-86CF-D06CFB367F4F}" name="process_cut" dataDxfId="108"/>
    <tableColumn id="19" xr3:uid="{A88BCE54-C957-4D13-B884-66299105378A}" name="process_mill" dataDxfId="107"/>
    <tableColumn id="22" xr3:uid="{470DB65E-5747-4C8C-9238-C17C0675B78F}" name="group_processing" dataDxfId="106"/>
    <tableColumn id="25" xr3:uid="{30741311-55D9-429E-B38B-6427F3C29609}" name="dimension_x_g" dataDxfId="105"/>
    <tableColumn id="24" xr3:uid="{18A9B155-40E3-47EE-8E28-F4D7F3F4192C}" name="dimension_y_g" dataDxfId="104"/>
    <tableColumn id="23" xr3:uid="{F373FF10-9E7B-464C-898A-9AC55A93F09E}" name="dimension_z_g" dataDxfId="103"/>
    <tableColumn id="26" xr3:uid="{7F78AD9C-5261-4F67-A5CE-87A37B6268AB}" name="qty_per_group" dataDxfId="102"/>
    <tableColumn id="21" xr3:uid="{9058C990-680C-4FA0-A028-47CC2085F6BD}" name="is_3d_part" dataDxfId="101"/>
    <tableColumn id="14" xr3:uid="{02DB0385-C9D0-43F2-90B3-4B0F2B4A9E03}" name="Assembly_Order" dataDxfId="100"/>
    <tableColumn id="6" xr3:uid="{FF75CC84-E8C7-4A41-8450-E0DE1E70A57B}" name="batch_id" dataDxfId="99"/>
    <tableColumn id="28" xr3:uid="{03B3B8F9-EB68-4209-AA14-D3B5927A7071}" name="project_name" dataDxfId="45"/>
    <tableColumn id="29" xr3:uid="{12B189CF-C74C-455B-9190-7429F88EABD4}" name="price_offer_num" dataDxfId="44"/>
    <tableColumn id="15" xr3:uid="{CA727344-6660-47E3-8037-BC628C2DE7FA}" name="qty" dataDxfId="98">
      <calculatedColumnFormula>Table1[[#This Row],[qPer board]]*Table1[[#This Row],[boards]]</calculatedColumnFormula>
    </tableColumn>
    <tableColumn id="20" xr3:uid="{3A0B6352-4B27-4D73-AFD3-C44D92AE0AF6}" name="qPer board" dataDxfId="97">
      <calculatedColumnFormula>VLOOKUP(Table1[[#This Row],[MA_Number]],#REF!, 2,FALSE)</calculatedColumnFormula>
    </tableColumn>
    <tableColumn id="27" xr3:uid="{A532D005-1250-4010-B0C4-372C0604AEAE}" name="boards" dataDxfId="9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FCEE75A9-4206-42D9-9E61-31E926C19243}" name="Table14" displayName="Table14" ref="A1:E57" totalsRowShown="0">
  <autoFilter ref="A1:E57" xr:uid="{FCEE75A9-4206-42D9-9E61-31E926C19243}"/>
  <tableColumns count="5">
    <tableColumn id="1" xr3:uid="{4FA8D71F-A016-41AC-B792-FE5D9238CC29}" name="batch_id"/>
    <tableColumn id="2" xr3:uid="{7F70CD30-A47D-4BB0-9BF4-579ED688475B}" name="project_description"/>
    <tableColumn id="3" xr3:uid="{F4529EB0-8AFF-4481-B45C-2D5DEB14A659}" name="is_active"/>
    <tableColumn id="4" xr3:uid="{176B93D4-B91D-46D9-878E-BD66C9E16C9F}" name="remark"/>
    <tableColumn id="5" xr3:uid="{56E67AC3-BFDA-4BAB-B6D7-C94A587B0857}" name="Column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3B6D6ACE-34A4-432C-A78A-6A7213C2CDA0}" name="Table2118" displayName="Table2118" ref="A2:E28" totalsRowShown="0" headerRowDxfId="52" dataDxfId="51">
  <autoFilter ref="A2:E28" xr:uid="{9AA6459D-2BA3-4DCE-8DD8-A89C7C049A96}">
    <filterColumn colId="0">
      <filters>
        <filter val="7252785330D"/>
        <filter val="7252785330D_DP"/>
        <filter val="7252785330S"/>
        <filter val="7252785330U"/>
      </filters>
    </filterColumn>
  </autoFilter>
  <tableColumns count="5">
    <tableColumn id="1" xr3:uid="{1A055051-0F2E-46ED-9488-2F49E27AE4FC}" name="name" dataDxfId="50"/>
    <tableColumn id="2" xr3:uid="{850339EB-3085-40C9-B81B-57A137155111}" name="qtyx1" dataDxfId="49"/>
    <tableColumn id="3" xr3:uid="{A0D2C954-52EA-4F73-BAD9-081BE7B13E7F}" name="qtyx14+3" dataDxfId="48">
      <calculatedColumnFormula>B3*17</calculatedColumnFormula>
    </tableColumn>
    <tableColumn id="4" xr3:uid="{0C4812C8-14FE-4F91-A1FE-8E1F712D2A84}" name="assembly_position" dataDxfId="47"/>
    <tableColumn id="5" xr3:uid="{A7AC0F75-1A0C-4E0A-9440-7DDFD1DE61C1}" name="status" dataDxfId="46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CC642CE5-3BE1-4FD9-8BB0-8621B5684139}" name="Table21" displayName="Table21" ref="A2:E31" totalsRowShown="0" headerRowDxfId="94" dataDxfId="93">
  <autoFilter ref="A2:E31" xr:uid="{9AA6459D-2BA3-4DCE-8DD8-A89C7C049A96}">
    <filterColumn colId="0">
      <filters>
        <filter val="7047186030D"/>
        <filter val="7047186030D_DP"/>
        <filter val="7047186030S"/>
        <filter val="7047186030S_DP"/>
        <filter val="7047186030U_DP"/>
      </filters>
    </filterColumn>
  </autoFilter>
  <tableColumns count="5">
    <tableColumn id="1" xr3:uid="{756A7530-3445-4E09-B2D4-E6220A7C7E4B}" name="name" dataDxfId="92"/>
    <tableColumn id="2" xr3:uid="{12AA66ED-01B7-416F-A504-6DB7FFA8A29D}" name="qtyx1" dataDxfId="91"/>
    <tableColumn id="3" xr3:uid="{592CF1E9-C507-4794-AC13-0255DD011EF8}" name="qtyx28" dataDxfId="90">
      <calculatedColumnFormula>B3*28</calculatedColumnFormula>
    </tableColumn>
    <tableColumn id="4" xr3:uid="{0C73800E-0FF5-45BE-823F-6BB8ACABDBA8}" name="assembly_position" dataDxfId="89"/>
    <tableColumn id="5" xr3:uid="{907E01ED-22E9-41C1-A066-6E71847DDDF4}" name="status" dataDxfId="88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148C7DDD-0B6F-4464-B0A2-09F92ABA5AEE}" name="Table212314" displayName="Table212314" ref="C2:G123" totalsRowShown="0" headerRowDxfId="59" dataDxfId="53">
  <autoFilter ref="C2:G123" xr:uid="{9AA6459D-2BA3-4DCE-8DD8-A89C7C049A96}">
    <filterColumn colId="4">
      <customFilters>
        <customFilter operator="notEqual" val=" "/>
      </customFilters>
    </filterColumn>
  </autoFilter>
  <tableColumns count="5">
    <tableColumn id="1" xr3:uid="{D79F54D6-D649-4357-A0B6-3496C191F496}" name="name" dataDxfId="58"/>
    <tableColumn id="2" xr3:uid="{5B119DB2-F242-4B3F-A724-85FBE765F7FD}" name="qtyx1" dataDxfId="57"/>
    <tableColumn id="3" xr3:uid="{06E332DB-BA2C-4F3D-ACDD-D7B5358D55E0}" name="qtyx14+3" dataDxfId="56">
      <calculatedColumnFormula>Table212314[[#This Row],[qtyx1]]*17</calculatedColumnFormula>
    </tableColumn>
    <tableColumn id="4" xr3:uid="{CA51266A-9CD5-422F-BD44-AD898FA7FA28}" name="Zone" dataDxfId="55"/>
    <tableColumn id="5" xr3:uid="{E9908AC7-96CD-4844-9608-AB30A0908F9F}" name="status" dataDxfId="54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A15E16A6-8164-4D95-B866-89A0BDE46E33}" name="Table2123" displayName="Table2123" ref="C2:G44" totalsRowShown="0" headerRowDxfId="87" dataDxfId="86">
  <autoFilter ref="C2:G44" xr:uid="{9AA6459D-2BA3-4DCE-8DD8-A89C7C049A96}">
    <filterColumn colId="0">
      <filters>
        <filter val="7118670020"/>
      </filters>
    </filterColumn>
  </autoFilter>
  <tableColumns count="5">
    <tableColumn id="1" xr3:uid="{41AD1F83-D5D1-4960-B725-0ABBCC60E358}" name="name" dataDxfId="85"/>
    <tableColumn id="2" xr3:uid="{5FA011EA-38FD-4A81-B8A4-2D659771776A}" name="qtyx1" dataDxfId="84"/>
    <tableColumn id="3" xr3:uid="{8EAF81D7-2BAF-43F9-9678-235C01E0D50A}" name="qtyx28" dataDxfId="83">
      <calculatedColumnFormula>Table2123[[#This Row],[qtyx1]]*28</calculatedColumnFormula>
    </tableColumn>
    <tableColumn id="4" xr3:uid="{D9532E54-4950-4B3D-8CB6-A95BAA789078}" name="Zone" dataDxfId="82"/>
    <tableColumn id="5" xr3:uid="{F8F1C49E-3F8C-42D4-9FDA-4E5ADD122B93}" name="status" dataDxfId="81"/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4237879B-F9C5-4499-A362-AD0E613FCD8B}" name="h248EngineAdd" displayName="h248EngineAdd" ref="A1:N21" tableType="queryTable" totalsRowShown="0">
  <autoFilter ref="A1:N21" xr:uid="{A19E5BE4-3314-481D-B5D9-FBDB974CBE79}"/>
  <tableColumns count="14">
    <tableColumn id="10" xr3:uid="{001BD385-5FEF-4085-86A5-5BEA06DDCD83}" uniqueName="10" name="job_order_id" queryTableFieldId="1"/>
    <tableColumn id="2" xr3:uid="{8BA3CA7E-8409-40A9-85B0-981C5927079F}" uniqueName="2" name="job_order_number" queryTableFieldId="2"/>
    <tableColumn id="1" xr3:uid="{A33C537C-6D6F-4C13-928D-8BBB19CCEC62}" uniqueName="1" name="ma_number" queryTableFieldId="12" dataDxfId="2"/>
    <tableColumn id="3" xr3:uid="{700946F1-21C3-4D78-8D3B-B0E05BCAF872}" uniqueName="3" name="name" queryTableFieldId="3"/>
    <tableColumn id="11" xr3:uid="{2A8C78B9-C0E6-44D3-B1C1-3802B80289DF}" uniqueName="11" name="type_id" queryTableFieldId="10"/>
    <tableColumn id="4" xr3:uid="{15512A4E-5F12-452D-8955-9CE98434F564}" uniqueName="4" name="batch_id" queryTableFieldId="4"/>
    <tableColumn id="5" xr3:uid="{F6869693-0690-4E72-9EF6-77F3149158A8}" uniqueName="5" name="quantity" queryTableFieldId="5"/>
    <tableColumn id="6" xr3:uid="{CEEB724A-D8FB-481C-A17B-BF4E84A1082D}" uniqueName="6" name="cut" queryTableFieldId="6"/>
    <tableColumn id="7" xr3:uid="{F48B1ADB-557E-4ED4-B287-BBE85D8195F5}" uniqueName="7" name="cnc" queryTableFieldId="7"/>
    <tableColumn id="8" xr3:uid="{A2B4CEC6-1163-48EF-AC59-93591380FF5A}" uniqueName="8" name="assembly" queryTableFieldId="8"/>
    <tableColumn id="9" xr3:uid="{D09221A3-E716-405E-8610-58ED322D147C}" uniqueName="9" name="qc" queryTableFieldId="9"/>
    <tableColumn id="14" xr3:uid="{84C049B9-8450-47FD-97C9-4AF2EB8C9FF5}" uniqueName="14" name="Pof" queryTableFieldId="16"/>
    <tableColumn id="15" xr3:uid="{E8483F68-4D0A-49CC-8BB6-02BC694F715D}" uniqueName="15" name="DN" queryTableFieldId="17"/>
    <tableColumn id="16" xr3:uid="{EA7C6BF5-BAFC-4AEA-A488-145DAF63185B}" uniqueName="16" name="DN new" queryTableFieldId="18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9933DB6-918E-4FEA-999F-8E2F371FD542}" name="Table7" displayName="Table7" ref="A1:F11" totalsRowShown="0" headerRowDxfId="78" dataDxfId="76" headerRowBorderDxfId="77" tableBorderDxfId="75">
  <autoFilter ref="A1:F11" xr:uid="{E9933DB6-918E-4FEA-999F-8E2F371FD542}"/>
  <tableColumns count="6">
    <tableColumn id="1" xr3:uid="{1D09E4AC-6D58-4BE4-BC90-DFEC76898D89}" name="Item" dataDxfId="74"/>
    <tableColumn id="2" xr3:uid="{A2CE1B8C-DBD4-4C83-8917-697CA1986FD4}" name="Purchase Order No-Item" dataDxfId="73"/>
    <tableColumn id="3" xr3:uid="{EEE537D3-7E73-406F-A614-6B74A315CF42}" name="Offer NO" dataDxfId="72"/>
    <tableColumn id="4" xr3:uid="{0FEBE92D-3744-4748-AD70-1678488652A2}" name="Product Description" dataDxfId="71"/>
    <tableColumn id="5" xr3:uid="{0066E08B-BEF2-4D9A-A801-494D08E8536D}" name="MA number" dataDxfId="70"/>
    <tableColumn id="6" xr3:uid="{8B6E2938-CF5D-42D9-B3C9-4E094B70314D}" name="Quantity" dataDxfId="69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204FEE07-DC93-4E55-8744-E19738550E80}" name="h248LL" displayName="h248LL" ref="A1:K123" tableType="queryTable" totalsRowShown="0">
  <autoFilter ref="A1:K123" xr:uid="{A19E5BE4-3314-481D-B5D9-FBDB974CBE79}"/>
  <tableColumns count="11">
    <tableColumn id="10" xr3:uid="{994EB8FD-6E9A-4EA6-A5B6-E57D2319C8DF}" uniqueName="10" name="job_order_id" queryTableFieldId="1"/>
    <tableColumn id="2" xr3:uid="{3CB649C8-D0FB-4EEF-A51E-70EFBAB20661}" uniqueName="2" name="job_order_number" queryTableFieldId="2"/>
    <tableColumn id="1" xr3:uid="{3744A83D-0CB6-4944-B236-AA4D11A096C2}" uniqueName="1" name="ma_number" queryTableFieldId="12" dataDxfId="1"/>
    <tableColumn id="3" xr3:uid="{E1C28CCD-8D10-4D63-A0D7-809F770CA8A2}" uniqueName="3" name="name" queryTableFieldId="3"/>
    <tableColumn id="11" xr3:uid="{F7022B89-3C0F-4477-A4ED-3B05FE9992CD}" uniqueName="11" name="type_id" queryTableFieldId="10"/>
    <tableColumn id="4" xr3:uid="{F79A8695-776D-4976-9AA7-F08A05A54D57}" uniqueName="4" name="batch_id" queryTableFieldId="4"/>
    <tableColumn id="5" xr3:uid="{975A8E4B-D0AC-43E8-8EAC-D45FDA0057AF}" uniqueName="5" name="quantity" queryTableFieldId="5"/>
    <tableColumn id="6" xr3:uid="{0D4EDA80-7184-4FA3-BD7A-C23223FF42DA}" uniqueName="6" name="cut" queryTableFieldId="6"/>
    <tableColumn id="7" xr3:uid="{A90B12E3-BC44-4D5F-8263-5336149E627F}" uniqueName="7" name="cnc" queryTableFieldId="7"/>
    <tableColumn id="8" xr3:uid="{9A6518B2-EB3E-4CC4-A1AB-DF45FEC93672}" uniqueName="8" name="assembly" queryTableFieldId="8"/>
    <tableColumn id="9" xr3:uid="{A286BEFA-8AE4-43C4-90B0-EF02A0FACA59}" uniqueName="9" name="qc" queryTableFieldId="9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2DBB7012-246E-49B1-BE6E-6BA20FD6D5A2}" name="projects" displayName="projects" ref="A1:I27" totalsRowShown="0">
  <autoFilter ref="A1:I27" xr:uid="{2DBB7012-246E-49B1-BE6E-6BA20FD6D5A2}"/>
  <tableColumns count="9">
    <tableColumn id="1" xr3:uid="{B57EA333-F15D-495E-92F1-E0556DF4116F}" name="project_code"/>
    <tableColumn id="2" xr3:uid="{8131886C-D572-40DC-B3A6-2E1AA6C06586}" name="project_name"/>
    <tableColumn id="3" xr3:uid="{7587A849-B7B0-4152-8406-41DD71185D1D}" name="description"/>
    <tableColumn id="4" xr3:uid="{C922867D-6A1C-4904-8115-13028027E774}" name="start_date"/>
    <tableColumn id="5" xr3:uid="{A1ED638D-4232-4185-920F-5F7F4F8335B3}" name="end_date"/>
    <tableColumn id="6" xr3:uid="{EA2C259B-DD85-484F-912D-759F66C8E868}" name="status"/>
    <tableColumn id="7" xr3:uid="{6F53D43C-EAC1-4349-BB6A-7F18C36B5ECE}" name="created_at"/>
    <tableColumn id="8" xr3:uid="{43BF7DD1-071C-441C-9E23-6DEC3514966B}" name="updated_at"/>
    <tableColumn id="9" xr3:uid="{0B19E219-62EF-45D8-AA64-330E62DB5C31}" name="created_by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D200223-9A6A-41A6-83DC-360D1C2A6F22}" name="h248RL" displayName="h248RL" ref="A1:K119" tableType="queryTable" totalsRowShown="0">
  <autoFilter ref="A1:K119" xr:uid="{A19E5BE4-3314-481D-B5D9-FBDB974CBE79}">
    <filterColumn colId="3">
      <filters>
        <filter val="7047186030"/>
        <filter val="7118605030+7152511030"/>
      </filters>
    </filterColumn>
  </autoFilter>
  <tableColumns count="11">
    <tableColumn id="10" xr3:uid="{0CC95C5E-A6E3-4D4F-9EB8-A9F25DC08112}" uniqueName="10" name="job_order_id" queryTableFieldId="1"/>
    <tableColumn id="2" xr3:uid="{FE11F563-440F-4384-A127-8F83FB9A1550}" uniqueName="2" name="job_order_number" queryTableFieldId="2"/>
    <tableColumn id="1" xr3:uid="{5568D4E3-264A-49A0-BF7F-4F101C81CE67}" uniqueName="1" name="ma_number" queryTableFieldId="12" dataDxfId="0"/>
    <tableColumn id="3" xr3:uid="{683A91CB-2A53-46F2-B3E9-5D5068B40FC2}" uniqueName="3" name="name" queryTableFieldId="3"/>
    <tableColumn id="11" xr3:uid="{1A5058AA-D452-4592-972D-55F9F0775571}" uniqueName="11" name="type_id" queryTableFieldId="10"/>
    <tableColumn id="4" xr3:uid="{991A2C31-E055-422C-9074-2F12A6435100}" uniqueName="4" name="batch_id" queryTableFieldId="4"/>
    <tableColumn id="5" xr3:uid="{69D69C2A-A74E-4B6E-BEF7-9575B6AB66E1}" uniqueName="5" name="quantity" queryTableFieldId="5"/>
    <tableColumn id="6" xr3:uid="{F526F179-1262-499C-A4D3-005DAD58AE6D}" uniqueName="6" name="cut" queryTableFieldId="6"/>
    <tableColumn id="7" xr3:uid="{3ABE3F08-9453-4A8F-870A-EC290BAC2234}" uniqueName="7" name="cnc" queryTableFieldId="7"/>
    <tableColumn id="8" xr3:uid="{65EDBE27-5F4D-4FA7-991C-215FCDE8F03A}" uniqueName="8" name="assembly" queryTableFieldId="8"/>
    <tableColumn id="9" xr3:uid="{A3A476C0-C9F7-4BFB-B237-67657A47AC0B}" uniqueName="9" name="qc" queryTableFieldId="9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141380B-8236-4B79-8DB9-9C9113FC2C47}" name="Table3" displayName="Table3" ref="A1:F6" totalsRowShown="0">
  <autoFilter ref="A1:F6" xr:uid="{9141380B-8236-4B79-8DB9-9C9113FC2C47}"/>
  <tableColumns count="6">
    <tableColumn id="1" xr3:uid="{55F84D4F-9142-4A30-9787-35E7A399FA65}" name="type_code"/>
    <tableColumn id="2" xr3:uid="{A455EA27-82BC-42DB-A59F-DAA682332A1D}" name="type_name"/>
    <tableColumn id="3" xr3:uid="{2F9CEC10-0094-48CC-B3CD-7CFB3D8B0A8C}" name="description"/>
    <tableColumn id="4" xr3:uid="{CA63B818-D4A6-411D-B5DF-758E64C6C9A4}" name="created_at"/>
    <tableColumn id="5" xr3:uid="{6ECD55E8-66D7-40A7-82A5-1716404F8A25}" name="updated_at"/>
    <tableColumn id="6" xr3:uid="{B6EE05E8-5503-4E31-AF67-3FAAA36001E6}" name="created_by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6A92250-65D3-4736-A483-3D1D4A61531C}" name="Table2" displayName="Table2" ref="A1:D8" totalsRowShown="0">
  <autoFilter ref="A1:D8" xr:uid="{B6A92250-65D3-4736-A483-3D1D4A61531C}"/>
  <tableColumns count="4">
    <tableColumn id="1" xr3:uid="{5D985C09-8D29-4404-A2F9-7EA438EF64D2}" name="price_offer_num" dataDxfId="79"/>
    <tableColumn id="2" xr3:uid="{79F85416-FBFB-4025-80E1-A579E77C9771}" name="created_at"/>
    <tableColumn id="3" xr3:uid="{9EB286FA-F381-49FF-8332-AFF68BD4C287}" name="updated_at"/>
    <tableColumn id="4" xr3:uid="{21A374BC-9677-49D1-AC83-5F4AABB5EFE4}" name="created_by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9645311-CC6C-492D-B7C5-5D699985BED9}" name="Table6" displayName="Table6" ref="A1:I9" totalsRowShown="0">
  <autoFilter ref="A1:I9" xr:uid="{B9645311-CC6C-492D-B7C5-5D699985BED9}"/>
  <tableColumns count="9">
    <tableColumn id="1" xr3:uid="{7107930E-8449-4FA5-9EFB-73F82076086A}" name="color_code"/>
    <tableColumn id="2" xr3:uid="{B88664DC-B138-4920-809C-E6E720975BCA}" name="color_name"/>
    <tableColumn id="9" xr3:uid="{440A1156-8A15-43BD-B654-B9DE52F33BB8}" name="color_name_bg"/>
    <tableColumn id="3" xr3:uid="{49FFFC89-9ABD-4576-8EEB-F1AC5B6642B3}" name="rgb_value"/>
    <tableColumn id="4" xr3:uid="{12D32FA1-1F69-491C-A1B0-7ADB7E614640}" name="pantone_code"/>
    <tableColumn id="5" xr3:uid="{278EC752-D297-4241-BB3C-C634EBBCB6FA}" name="is_active"/>
    <tableColumn id="6" xr3:uid="{54D6F0B3-0424-412E-98C5-09758D2F293C}" name="created_at"/>
    <tableColumn id="7" xr3:uid="{7A86999D-AC8B-4859-B7CA-E3BF1FD65D2E}" name="updated_at"/>
    <tableColumn id="8" xr3:uid="{570FD0EC-8592-4299-8370-768C9551C39F}" name="created_by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1755227-7A8D-4D43-A37C-53FA2E020984}" name="Table5" displayName="Table5" ref="A1:K6" totalsRowShown="0">
  <autoFilter ref="A1:K6" xr:uid="{81755227-7A8D-4D43-A37C-53FA2E020984}"/>
  <tableColumns count="11">
    <tableColumn id="1" xr3:uid="{C5153D17-FA5C-4FC0-A5CF-E316306521BE}" name="material_code"/>
    <tableColumn id="2" xr3:uid="{95110EAC-6F13-4F84-B241-9701770446B7}" name="material_name"/>
    <tableColumn id="11" xr3:uid="{2AD9C688-B30E-484F-9566-8244BE685254}" name="material_name_bg"/>
    <tableColumn id="3" xr3:uid="{FCB0B99F-4714-4C69-B77D-55E78738476E}" name="category"/>
    <tableColumn id="4" xr3:uid="{248CADA7-C7DB-42F6-B42C-5C54D067D712}" name="density_kg_per_m3"/>
    <tableColumn id="5" xr3:uid="{6D511D0E-E7B3-400B-94C7-0CD8083127AA}" name="tensile_strength_mpa"/>
    <tableColumn id="6" xr3:uid="{A030AB38-2AC6-4578-B8AD-A7FF0A90BD2E}" name="cost_per_kg"/>
    <tableColumn id="7" xr3:uid="{ABE281A3-0566-4F9B-9358-AD8FD5855238}" name="is_active"/>
    <tableColumn id="8" xr3:uid="{4EA5A0D8-17DB-464D-A17B-F01BB9BA1A89}" name="created_at"/>
    <tableColumn id="9" xr3:uid="{1CE8739B-A682-4CAC-B322-013ED64EE9C2}" name="updated_at"/>
    <tableColumn id="10" xr3:uid="{F89FF5FB-77DD-48F7-9205-55EC0191A5E7}" name="created_by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19993065-9726-4AC6-B5BF-4A8572FC38C3}" name="Table1517" displayName="Table1517" ref="A18:C320" totalsRowShown="0">
  <autoFilter ref="A18:C320" xr:uid="{19993065-9726-4AC6-B5BF-4A8572FC38C3}"/>
  <tableColumns count="3">
    <tableColumn id="1" xr3:uid="{D1072E37-8AC2-4C6C-904E-7CB201DD373C}" name="YPN"/>
    <tableColumn id="2" xr3:uid="{4CD7FDEE-F30D-4E24-B8D8-6CECB8889BC0}" name="PO"/>
    <tableColumn id="8" xr3:uid="{1AC9A228-601E-4188-BD4A-9DA51A4F872A}" name="leter" dataDxfId="68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A9173522-17CD-4565-8CCD-653DFE65883A}" name="Table15" displayName="Table15" ref="A1:D268" totalsRowShown="0">
  <autoFilter ref="A1:D268" xr:uid="{A9173522-17CD-4565-8CCD-653DFE65883A}"/>
  <tableColumns count="4">
    <tableColumn id="1" xr3:uid="{67A74505-E5A7-4365-A89B-35FF6C51DB96}" name="YPN"/>
    <tableColumn id="2" xr3:uid="{11A6BF73-BBC8-4A4D-9B25-9D922D3F292D}" name="PO"/>
    <tableColumn id="8" xr3:uid="{117F4935-8BF2-4A5E-BB51-59B8506FBF2B}" name="leter" dataDxfId="67"/>
    <tableColumn id="9" xr3:uid="{A55174F8-209F-4A5A-AF03-9E12DB86B311}" name="remark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003C9C0-5B77-46A7-96FA-AD43C9191ADA}" name="Table4" displayName="Table4" ref="A1:G489" totalsRowShown="0" tableBorderDxfId="66">
  <autoFilter ref="A1:G489" xr:uid="{8003C9C0-5B77-46A7-96FA-AD43C9191ADA}"/>
  <tableColumns count="7">
    <tableColumn id="1" xr3:uid="{A8CED59A-1BC4-4ED2-84AB-9F7502AA4B79}" name="ypn" dataDxfId="65"/>
    <tableColumn id="6" xr3:uid="{0B5D0403-385A-41EE-8D3C-DE6487E266A8}" name="trim" dataDxfId="64">
      <calculatedColumnFormula>TRIM(Table4[[#This Row],[ypn]])</calculatedColumnFormula>
    </tableColumn>
    <tableColumn id="7" xr3:uid="{761C3012-0CF8-4D0E-9149-F4D039E6FC4A}" name="check equal" dataDxfId="63">
      <calculatedColumnFormula>Table4[[#This Row],[ypn]]=Table4[[#This Row],[trim]]</calculatedColumnFormula>
    </tableColumn>
    <tableColumn id="8" xr3:uid="{89621021-7EC7-4A86-AE34-00ED0C97D3B3}" name="check string" dataDxfId="62">
      <calculatedColumnFormula>Table4[[#This Row],[ypn]]*1</calculatedColumnFormula>
    </tableColumn>
    <tableColumn id="10" xr3:uid="{23BD3994-3453-4EB6-B6EF-F287F710DDE4}" name="type" dataDxfId="61">
      <calculatedColumnFormula>TYPE(Table4[[#This Row],[ypn]])</calculatedColumnFormula>
    </tableColumn>
    <tableColumn id="11" xr3:uid="{E0AA51D6-CA16-464C-B3CE-9CE1017F69D6}" name="ma_final"/>
    <tableColumn id="12" xr3:uid="{0536542E-9880-43E5-ADF4-CE1A0B325727}" name="note" dataDxfId="60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7712BAE5-B718-4CEC-B5A0-5B4332D66C09}" name="h248SABoardsCCB" displayName="h248SABoardsCCB" ref="A1:L69" tableType="queryTable" totalsRowShown="0">
  <autoFilter ref="A1:L69" xr:uid="{7712BAE5-B718-4CEC-B5A0-5B4332D66C09}">
    <filterColumn colId="10">
      <filters>
        <filter val="not passed"/>
      </filters>
    </filterColumn>
  </autoFilter>
  <tableColumns count="12">
    <tableColumn id="10" xr3:uid="{FA478760-6A5A-4900-B72C-6C69ADEB285D}" uniqueName="10" name="job_order_id" queryTableFieldId="1"/>
    <tableColumn id="2" xr3:uid="{9258C593-18EB-44F5-A4CA-323658541E84}" uniqueName="2" name="job_order_number" queryTableFieldId="2"/>
    <tableColumn id="1" xr3:uid="{4BAB9BA1-468E-4E12-AF37-478C6A6179CA}" uniqueName="1" name="ma_number" queryTableFieldId="12" dataDxfId="80"/>
    <tableColumn id="3" xr3:uid="{FE07A147-D81F-47EE-8C5F-13338025438B}" uniqueName="3" name="name" queryTableFieldId="3"/>
    <tableColumn id="11" xr3:uid="{C0A0349D-4775-47E0-A2EB-607C5C2FFC39}" uniqueName="11" name="type_id" queryTableFieldId="10"/>
    <tableColumn id="4" xr3:uid="{1FDC7F8B-D7A9-4F6B-95D2-FD96EE676086}" uniqueName="4" name="batch_id" queryTableFieldId="4"/>
    <tableColumn id="5" xr3:uid="{E83C6107-8BAA-456A-BC9E-38D99D7C5BDA}" uniqueName="5" name="quantity" queryTableFieldId="5"/>
    <tableColumn id="6" xr3:uid="{658917C6-70B9-4EA8-992C-5B44958BBB47}" uniqueName="6" name="cut" queryTableFieldId="6"/>
    <tableColumn id="7" xr3:uid="{158026FD-C455-4B81-9EBA-C308DC37F8AA}" uniqueName="7" name="cnc" queryTableFieldId="7"/>
    <tableColumn id="8" xr3:uid="{86980F0F-3128-46AC-9779-BA2F4FF79232}" uniqueName="8" name="assembly" queryTableFieldId="8"/>
    <tableColumn id="9" xr3:uid="{D87FDD1C-D54A-4CA4-9816-5BF61F7A4C2C}" uniqueName="9" name="qc" queryTableFieldId="9"/>
    <tableColumn id="12" xr3:uid="{A126FB1C-A71D-467A-9EF8-9ECD12C37332}" uniqueName="12" name="Column1" queryTableFieldId="1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10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2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3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5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17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1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AC591"/>
  <sheetViews>
    <sheetView tabSelected="1" topLeftCell="Q1" zoomScaleNormal="100" workbookViewId="0">
      <selection activeCell="V607" sqref="V607"/>
    </sheetView>
  </sheetViews>
  <sheetFormatPr defaultRowHeight="14.4" x14ac:dyDescent="0.3"/>
  <cols>
    <col min="1" max="1" width="18.77734375" customWidth="1"/>
    <col min="2" max="2" width="65.109375" style="1" bestFit="1" customWidth="1"/>
    <col min="3" max="3" width="21.33203125" customWidth="1"/>
    <col min="4" max="4" width="24" customWidth="1"/>
    <col min="5" max="5" width="29.88671875" customWidth="1"/>
    <col min="6" max="6" width="12.5546875" customWidth="1"/>
    <col min="7" max="7" width="15.33203125" customWidth="1"/>
    <col min="8" max="8" width="15.44140625" customWidth="1"/>
    <col min="9" max="9" width="13.109375" customWidth="1"/>
    <col min="10" max="10" width="12.44140625" customWidth="1"/>
    <col min="11" max="11" width="14.33203125" customWidth="1"/>
    <col min="12" max="12" width="16.6640625" customWidth="1"/>
    <col min="13" max="15" width="14.33203125" customWidth="1"/>
    <col min="16" max="16" width="15.6640625" customWidth="1"/>
    <col min="17" max="17" width="18.21875" customWidth="1"/>
    <col min="18" max="20" width="15.6640625" customWidth="1"/>
    <col min="21" max="21" width="19.109375" customWidth="1"/>
    <col min="22" max="22" width="17.109375" customWidth="1"/>
    <col min="23" max="23" width="10.44140625" customWidth="1"/>
    <col min="24" max="24" width="8.88671875" customWidth="1"/>
    <col min="25" max="25" width="15" bestFit="1" customWidth="1"/>
    <col min="26" max="26" width="17.44140625" bestFit="1" customWidth="1"/>
    <col min="27" max="27" width="27.88671875" customWidth="1"/>
    <col min="28" max="28" width="12.5546875" bestFit="1" customWidth="1"/>
    <col min="29" max="29" width="10.88671875" customWidth="1"/>
  </cols>
  <sheetData>
    <row r="1" spans="1:29" x14ac:dyDescent="0.3">
      <c r="A1" t="s">
        <v>0</v>
      </c>
      <c r="B1" t="s">
        <v>1</v>
      </c>
      <c r="C1" t="s">
        <v>795</v>
      </c>
      <c r="D1" t="s">
        <v>16</v>
      </c>
      <c r="E1" t="s">
        <v>2</v>
      </c>
      <c r="F1" t="s">
        <v>3</v>
      </c>
      <c r="G1" t="s">
        <v>42</v>
      </c>
      <c r="H1" t="s">
        <v>4</v>
      </c>
      <c r="I1" t="s">
        <v>5</v>
      </c>
      <c r="J1" t="s">
        <v>6</v>
      </c>
      <c r="K1" t="s">
        <v>7</v>
      </c>
      <c r="L1" t="s">
        <v>8</v>
      </c>
      <c r="M1" t="s">
        <v>32</v>
      </c>
      <c r="N1" t="s">
        <v>25</v>
      </c>
      <c r="O1" t="s">
        <v>72</v>
      </c>
      <c r="P1" t="s">
        <v>73</v>
      </c>
      <c r="Q1" t="s">
        <v>749</v>
      </c>
      <c r="R1" t="s">
        <v>750</v>
      </c>
      <c r="S1" t="s">
        <v>751</v>
      </c>
      <c r="T1" t="s">
        <v>752</v>
      </c>
      <c r="U1" t="s">
        <v>748</v>
      </c>
      <c r="V1" t="s">
        <v>415</v>
      </c>
      <c r="W1" t="s">
        <v>9</v>
      </c>
      <c r="X1" t="s">
        <v>22</v>
      </c>
      <c r="Y1" t="s">
        <v>754</v>
      </c>
      <c r="Z1" t="s">
        <v>12</v>
      </c>
      <c r="AA1" t="s">
        <v>23</v>
      </c>
      <c r="AB1" t="s">
        <v>1764</v>
      </c>
      <c r="AC1" t="s">
        <v>1765</v>
      </c>
    </row>
    <row r="2" spans="1:29" hidden="1" x14ac:dyDescent="0.3">
      <c r="A2" t="s">
        <v>74</v>
      </c>
      <c r="B2" s="1">
        <v>7075231830</v>
      </c>
      <c r="C2" s="1" t="s">
        <v>633</v>
      </c>
      <c r="D2" t="s">
        <v>279</v>
      </c>
      <c r="F2" t="b">
        <v>0</v>
      </c>
      <c r="I2">
        <v>1</v>
      </c>
      <c r="J2">
        <v>90</v>
      </c>
      <c r="K2">
        <v>90</v>
      </c>
      <c r="L2">
        <v>65</v>
      </c>
      <c r="M2" t="s">
        <v>49</v>
      </c>
      <c r="N2" t="s">
        <v>24</v>
      </c>
      <c r="O2" t="b">
        <v>1</v>
      </c>
      <c r="AA2">
        <f>Table1[[#This Row],[qPer board]]*Table1[[#This Row],[boards]]</f>
        <v>17</v>
      </c>
      <c r="AB2">
        <v>1</v>
      </c>
      <c r="AC2">
        <v>17</v>
      </c>
    </row>
    <row r="3" spans="1:29" hidden="1" x14ac:dyDescent="0.3">
      <c r="A3" t="s">
        <v>75</v>
      </c>
      <c r="B3" s="1">
        <v>7075231930</v>
      </c>
      <c r="C3" s="1" t="s">
        <v>868</v>
      </c>
      <c r="D3" t="s">
        <v>279</v>
      </c>
      <c r="F3" t="b">
        <v>0</v>
      </c>
      <c r="I3">
        <v>1</v>
      </c>
      <c r="J3">
        <v>83</v>
      </c>
      <c r="K3">
        <v>57</v>
      </c>
      <c r="L3">
        <v>77</v>
      </c>
      <c r="M3" t="s">
        <v>49</v>
      </c>
      <c r="N3" t="s">
        <v>24</v>
      </c>
      <c r="O3" t="b">
        <v>1</v>
      </c>
      <c r="X3">
        <v>30</v>
      </c>
      <c r="AA3" t="e">
        <f>Table1[[#This Row],[qPer board]]*Table1[[#This Row],[boards]]</f>
        <v>#REF!</v>
      </c>
      <c r="AB3" t="e">
        <f>VLOOKUP(Table1[[#This Row],[MA_Number]],#REF!, 2,FALSE)</f>
        <v>#REF!</v>
      </c>
      <c r="AC3">
        <v>17</v>
      </c>
    </row>
    <row r="4" spans="1:29" hidden="1" x14ac:dyDescent="0.3">
      <c r="A4" t="s">
        <v>76</v>
      </c>
      <c r="B4" s="1">
        <v>7075236930</v>
      </c>
      <c r="C4" s="1" t="s">
        <v>791</v>
      </c>
      <c r="D4" t="s">
        <v>279</v>
      </c>
      <c r="F4" t="b">
        <v>0</v>
      </c>
      <c r="I4">
        <v>1</v>
      </c>
      <c r="J4">
        <v>60</v>
      </c>
      <c r="K4">
        <v>43</v>
      </c>
      <c r="L4">
        <v>65</v>
      </c>
      <c r="M4" t="s">
        <v>49</v>
      </c>
      <c r="N4" t="s">
        <v>24</v>
      </c>
      <c r="O4" t="b">
        <v>1</v>
      </c>
      <c r="AA4" t="e">
        <f>Table1[[#This Row],[qPer board]]*Table1[[#This Row],[boards]]</f>
        <v>#REF!</v>
      </c>
      <c r="AB4" t="e">
        <f>VLOOKUP(Table1[[#This Row],[MA_Number]],#REF!, 2,FALSE)</f>
        <v>#REF!</v>
      </c>
      <c r="AC4">
        <v>17</v>
      </c>
    </row>
    <row r="5" spans="1:29" hidden="1" x14ac:dyDescent="0.3">
      <c r="A5" t="s">
        <v>77</v>
      </c>
      <c r="B5" s="1">
        <v>7075244730</v>
      </c>
      <c r="C5" s="1"/>
      <c r="D5" t="s">
        <v>279</v>
      </c>
      <c r="F5" t="b">
        <v>0</v>
      </c>
      <c r="I5">
        <v>1</v>
      </c>
      <c r="J5">
        <v>60</v>
      </c>
      <c r="K5">
        <v>37</v>
      </c>
      <c r="L5">
        <v>60</v>
      </c>
      <c r="M5" t="s">
        <v>49</v>
      </c>
      <c r="N5" t="s">
        <v>24</v>
      </c>
      <c r="O5" t="b">
        <v>1</v>
      </c>
      <c r="AA5" t="e">
        <f>Table1[[#This Row],[qPer board]]*Table1[[#This Row],[boards]]</f>
        <v>#REF!</v>
      </c>
      <c r="AB5" t="e">
        <f>VLOOKUP(Table1[[#This Row],[MA_Number]],#REF!, 2,FALSE)</f>
        <v>#REF!</v>
      </c>
      <c r="AC5">
        <v>17</v>
      </c>
    </row>
    <row r="6" spans="1:29" hidden="1" x14ac:dyDescent="0.3">
      <c r="A6" t="s">
        <v>78</v>
      </c>
      <c r="B6" s="1">
        <v>71186354</v>
      </c>
      <c r="C6" s="1"/>
      <c r="D6" t="s">
        <v>279</v>
      </c>
      <c r="F6" t="b">
        <v>0</v>
      </c>
      <c r="I6">
        <v>1</v>
      </c>
      <c r="J6">
        <v>48</v>
      </c>
      <c r="K6">
        <v>43</v>
      </c>
      <c r="L6">
        <v>51</v>
      </c>
      <c r="M6" t="s">
        <v>48</v>
      </c>
      <c r="N6" t="s">
        <v>24</v>
      </c>
      <c r="O6" t="b">
        <v>1</v>
      </c>
      <c r="X6">
        <v>30</v>
      </c>
      <c r="AA6" t="e">
        <f>Table1[[#This Row],[qPer board]]*Table1[[#This Row],[boards]]</f>
        <v>#REF!</v>
      </c>
      <c r="AB6" t="e">
        <f>VLOOKUP(Table1[[#This Row],[MA_Number]],#REF!, 2,FALSE)</f>
        <v>#REF!</v>
      </c>
      <c r="AC6">
        <v>17</v>
      </c>
    </row>
    <row r="7" spans="1:29" hidden="1" x14ac:dyDescent="0.3">
      <c r="A7" t="s">
        <v>79</v>
      </c>
      <c r="B7" s="1" t="s">
        <v>212</v>
      </c>
      <c r="C7" s="1"/>
      <c r="D7" t="s">
        <v>279</v>
      </c>
      <c r="F7" t="b">
        <v>0</v>
      </c>
      <c r="I7">
        <v>1</v>
      </c>
      <c r="J7">
        <v>64</v>
      </c>
      <c r="K7">
        <v>50</v>
      </c>
      <c r="L7">
        <v>75</v>
      </c>
      <c r="M7" t="s">
        <v>49</v>
      </c>
      <c r="N7" t="s">
        <v>24</v>
      </c>
      <c r="O7" t="b">
        <v>1</v>
      </c>
      <c r="AA7" t="e">
        <f>Table1[[#This Row],[qPer board]]*Table1[[#This Row],[boards]]</f>
        <v>#REF!</v>
      </c>
      <c r="AB7" t="e">
        <f>VLOOKUP(Table1[[#This Row],[MA_Number]],#REF!, 2,FALSE)</f>
        <v>#REF!</v>
      </c>
      <c r="AC7">
        <v>17</v>
      </c>
    </row>
    <row r="8" spans="1:29" hidden="1" x14ac:dyDescent="0.3">
      <c r="A8" t="s">
        <v>80</v>
      </c>
      <c r="B8" s="1" t="s">
        <v>515</v>
      </c>
      <c r="C8" s="1"/>
      <c r="D8" t="s">
        <v>279</v>
      </c>
      <c r="E8" t="s">
        <v>1755</v>
      </c>
      <c r="F8" t="b">
        <v>0</v>
      </c>
      <c r="I8">
        <v>1</v>
      </c>
      <c r="J8">
        <v>73</v>
      </c>
      <c r="K8">
        <v>74</v>
      </c>
      <c r="L8">
        <v>65</v>
      </c>
      <c r="M8" t="s">
        <v>48</v>
      </c>
      <c r="N8" t="s">
        <v>24</v>
      </c>
      <c r="O8" t="b">
        <v>1</v>
      </c>
      <c r="X8">
        <v>30</v>
      </c>
      <c r="AA8" t="e">
        <f>Table1[[#This Row],[qPer board]]*Table1[[#This Row],[boards]]</f>
        <v>#REF!</v>
      </c>
      <c r="AB8" t="e">
        <f>VLOOKUP(Table1[[#This Row],[MA_Number]],#REF!, 2,FALSE)</f>
        <v>#REF!</v>
      </c>
      <c r="AC8">
        <v>17</v>
      </c>
    </row>
    <row r="9" spans="1:29" hidden="1" x14ac:dyDescent="0.3">
      <c r="A9" t="s">
        <v>81</v>
      </c>
      <c r="B9" s="1">
        <v>7118670020</v>
      </c>
      <c r="C9" s="1"/>
      <c r="D9" t="s">
        <v>279</v>
      </c>
      <c r="F9" t="b">
        <v>0</v>
      </c>
      <c r="I9">
        <v>1</v>
      </c>
      <c r="J9">
        <v>50</v>
      </c>
      <c r="K9">
        <v>47</v>
      </c>
      <c r="L9">
        <v>51</v>
      </c>
      <c r="M9" t="s">
        <v>53</v>
      </c>
      <c r="N9" t="s">
        <v>24</v>
      </c>
      <c r="O9" t="b">
        <v>1</v>
      </c>
      <c r="X9">
        <v>30</v>
      </c>
      <c r="AA9" t="e">
        <f>Table1[[#This Row],[qPer board]]*Table1[[#This Row],[boards]]</f>
        <v>#REF!</v>
      </c>
      <c r="AB9" t="e">
        <f>VLOOKUP(Table1[[#This Row],[MA_Number]],#REF!, 2,FALSE)</f>
        <v>#REF!</v>
      </c>
      <c r="AC9">
        <v>17</v>
      </c>
    </row>
    <row r="10" spans="1:29" hidden="1" x14ac:dyDescent="0.3">
      <c r="A10" t="s">
        <v>82</v>
      </c>
      <c r="B10" s="1" t="s">
        <v>1219</v>
      </c>
      <c r="C10" s="1"/>
      <c r="D10" t="s">
        <v>279</v>
      </c>
      <c r="F10" t="b">
        <v>0</v>
      </c>
      <c r="I10">
        <v>1</v>
      </c>
      <c r="J10">
        <v>56</v>
      </c>
      <c r="K10">
        <v>48</v>
      </c>
      <c r="L10">
        <v>50</v>
      </c>
      <c r="M10" t="s">
        <v>53</v>
      </c>
      <c r="N10" t="s">
        <v>24</v>
      </c>
      <c r="O10" t="b">
        <v>1</v>
      </c>
      <c r="AA10" t="e">
        <f>Table1[[#This Row],[qPer board]]*Table1[[#This Row],[boards]]</f>
        <v>#REF!</v>
      </c>
      <c r="AB10" t="e">
        <f>VLOOKUP(Table1[[#This Row],[MA_Number]],#REF!, 2,FALSE)</f>
        <v>#REF!</v>
      </c>
      <c r="AC10">
        <v>17</v>
      </c>
    </row>
    <row r="11" spans="1:29" hidden="1" x14ac:dyDescent="0.3">
      <c r="A11" t="s">
        <v>83</v>
      </c>
      <c r="B11" s="1" t="s">
        <v>214</v>
      </c>
      <c r="C11" s="1"/>
      <c r="D11" t="s">
        <v>279</v>
      </c>
      <c r="F11" t="b">
        <v>0</v>
      </c>
      <c r="I11">
        <v>1</v>
      </c>
      <c r="J11">
        <v>57</v>
      </c>
      <c r="K11">
        <v>48</v>
      </c>
      <c r="L11">
        <v>50</v>
      </c>
      <c r="M11" t="s">
        <v>49</v>
      </c>
      <c r="N11" t="s">
        <v>24</v>
      </c>
      <c r="O11" t="b">
        <v>1</v>
      </c>
      <c r="V11" t="b">
        <v>1</v>
      </c>
      <c r="AA11" t="e">
        <f>Table1[[#This Row],[qPer board]]*Table1[[#This Row],[boards]]</f>
        <v>#REF!</v>
      </c>
      <c r="AB11" t="e">
        <f>VLOOKUP(Table1[[#This Row],[MA_Number]],#REF!, 2,FALSE)</f>
        <v>#REF!</v>
      </c>
      <c r="AC11">
        <v>17</v>
      </c>
    </row>
    <row r="12" spans="1:29" hidden="1" x14ac:dyDescent="0.3">
      <c r="A12" t="s">
        <v>84</v>
      </c>
      <c r="B12" s="1">
        <v>7119131530</v>
      </c>
      <c r="C12" s="1"/>
      <c r="D12" t="s">
        <v>279</v>
      </c>
      <c r="F12" t="b">
        <v>0</v>
      </c>
      <c r="I12">
        <v>1</v>
      </c>
      <c r="J12">
        <v>42</v>
      </c>
      <c r="K12">
        <v>34</v>
      </c>
      <c r="L12">
        <v>42</v>
      </c>
      <c r="M12" t="s">
        <v>49</v>
      </c>
      <c r="N12" t="s">
        <v>24</v>
      </c>
      <c r="O12" t="b">
        <v>1</v>
      </c>
      <c r="X12">
        <v>30</v>
      </c>
      <c r="AA12" t="e">
        <f>Table1[[#This Row],[qPer board]]*Table1[[#This Row],[boards]]</f>
        <v>#REF!</v>
      </c>
      <c r="AB12" t="e">
        <f>VLOOKUP(Table1[[#This Row],[MA_Number]],#REF!, 2,FALSE)</f>
        <v>#REF!</v>
      </c>
      <c r="AC12">
        <v>17</v>
      </c>
    </row>
    <row r="13" spans="1:29" hidden="1" x14ac:dyDescent="0.3">
      <c r="A13" t="s">
        <v>85</v>
      </c>
      <c r="B13" s="1" t="s">
        <v>521</v>
      </c>
      <c r="C13" s="1"/>
      <c r="D13" t="s">
        <v>279</v>
      </c>
      <c r="F13" t="b">
        <v>0</v>
      </c>
      <c r="I13">
        <v>1</v>
      </c>
      <c r="J13">
        <v>90</v>
      </c>
      <c r="K13">
        <v>50</v>
      </c>
      <c r="L13">
        <v>52</v>
      </c>
      <c r="M13" t="s">
        <v>48</v>
      </c>
      <c r="N13" t="s">
        <v>24</v>
      </c>
      <c r="O13" t="b">
        <v>1</v>
      </c>
      <c r="V13" t="b">
        <v>1</v>
      </c>
      <c r="AA13" t="e">
        <f>Table1[[#This Row],[qPer board]]*Table1[[#This Row],[boards]]</f>
        <v>#REF!</v>
      </c>
      <c r="AB13" t="e">
        <f>VLOOKUP(Table1[[#This Row],[MA_Number]],#REF!, 2,FALSE)</f>
        <v>#REF!</v>
      </c>
      <c r="AC13">
        <v>17</v>
      </c>
    </row>
    <row r="14" spans="1:29" hidden="1" x14ac:dyDescent="0.3">
      <c r="A14" t="s">
        <v>86</v>
      </c>
      <c r="B14" s="1">
        <v>7119146730</v>
      </c>
      <c r="C14" s="1"/>
      <c r="D14" t="s">
        <v>279</v>
      </c>
      <c r="F14" t="b">
        <v>0</v>
      </c>
      <c r="I14">
        <v>1</v>
      </c>
      <c r="J14">
        <v>42</v>
      </c>
      <c r="K14">
        <v>38</v>
      </c>
      <c r="L14">
        <v>42</v>
      </c>
      <c r="M14" t="s">
        <v>49</v>
      </c>
      <c r="N14" t="s">
        <v>24</v>
      </c>
      <c r="O14" t="b">
        <v>1</v>
      </c>
      <c r="X14">
        <v>30</v>
      </c>
      <c r="AA14" t="e">
        <f>Table1[[#This Row],[qPer board]]*Table1[[#This Row],[boards]]</f>
        <v>#REF!</v>
      </c>
      <c r="AB14" t="e">
        <f>VLOOKUP(Table1[[#This Row],[MA_Number]],#REF!, 2,FALSE)</f>
        <v>#REF!</v>
      </c>
      <c r="AC14">
        <v>17</v>
      </c>
    </row>
    <row r="15" spans="1:29" hidden="1" x14ac:dyDescent="0.3">
      <c r="A15" t="s">
        <v>87</v>
      </c>
      <c r="B15" s="1">
        <v>71191993</v>
      </c>
      <c r="C15" s="1"/>
      <c r="D15" t="s">
        <v>279</v>
      </c>
      <c r="F15" t="b">
        <v>0</v>
      </c>
      <c r="I15">
        <v>1</v>
      </c>
      <c r="J15">
        <v>42</v>
      </c>
      <c r="K15">
        <v>35</v>
      </c>
      <c r="L15">
        <v>44</v>
      </c>
      <c r="M15" t="s">
        <v>48</v>
      </c>
      <c r="N15" t="s">
        <v>24</v>
      </c>
      <c r="O15" t="b">
        <v>1</v>
      </c>
      <c r="X15">
        <v>30</v>
      </c>
      <c r="AA15" t="e">
        <f>Table1[[#This Row],[qPer board]]*Table1[[#This Row],[boards]]</f>
        <v>#REF!</v>
      </c>
      <c r="AB15" t="e">
        <f>VLOOKUP(Table1[[#This Row],[MA_Number]],#REF!, 2,FALSE)</f>
        <v>#REF!</v>
      </c>
      <c r="AC15">
        <v>17</v>
      </c>
    </row>
    <row r="16" spans="1:29" hidden="1" x14ac:dyDescent="0.3">
      <c r="A16" t="s">
        <v>88</v>
      </c>
      <c r="B16" s="1">
        <v>71196180</v>
      </c>
      <c r="C16" s="1"/>
      <c r="D16" t="s">
        <v>279</v>
      </c>
      <c r="F16" t="b">
        <v>0</v>
      </c>
      <c r="I16">
        <v>1</v>
      </c>
      <c r="J16">
        <v>40</v>
      </c>
      <c r="K16">
        <v>40</v>
      </c>
      <c r="L16">
        <v>52</v>
      </c>
      <c r="M16" t="s">
        <v>48</v>
      </c>
      <c r="N16" t="s">
        <v>24</v>
      </c>
      <c r="O16" t="b">
        <v>1</v>
      </c>
      <c r="AA16" t="e">
        <f>Table1[[#This Row],[qPer board]]*Table1[[#This Row],[boards]]</f>
        <v>#REF!</v>
      </c>
      <c r="AB16" t="e">
        <f>VLOOKUP(Table1[[#This Row],[MA_Number]],#REF!, 2,FALSE)</f>
        <v>#REF!</v>
      </c>
      <c r="AC16">
        <v>17</v>
      </c>
    </row>
    <row r="17" spans="1:29" hidden="1" x14ac:dyDescent="0.3">
      <c r="A17" t="s">
        <v>89</v>
      </c>
      <c r="B17" s="1" t="s">
        <v>747</v>
      </c>
      <c r="C17" s="1"/>
      <c r="D17" t="s">
        <v>279</v>
      </c>
      <c r="F17" t="b">
        <v>0</v>
      </c>
      <c r="I17">
        <v>1</v>
      </c>
      <c r="J17">
        <v>82</v>
      </c>
      <c r="K17">
        <v>77</v>
      </c>
      <c r="L17">
        <v>52</v>
      </c>
      <c r="M17" t="s">
        <v>48</v>
      </c>
      <c r="N17" t="s">
        <v>24</v>
      </c>
      <c r="O17" t="b">
        <v>1</v>
      </c>
      <c r="AA17" t="e">
        <f>Table1[[#This Row],[qPer board]]*Table1[[#This Row],[boards]]</f>
        <v>#REF!</v>
      </c>
      <c r="AB17" t="e">
        <f>VLOOKUP(Table1[[#This Row],[MA_Number]],#REF!, 2,FALSE)</f>
        <v>#REF!</v>
      </c>
      <c r="AC17">
        <v>17</v>
      </c>
    </row>
    <row r="18" spans="1:29" hidden="1" x14ac:dyDescent="0.3">
      <c r="A18" t="s">
        <v>90</v>
      </c>
      <c r="B18" s="1">
        <v>7119639830</v>
      </c>
      <c r="C18" s="1"/>
      <c r="D18" t="s">
        <v>279</v>
      </c>
      <c r="F18" t="b">
        <v>0</v>
      </c>
      <c r="I18">
        <v>1</v>
      </c>
      <c r="J18">
        <v>46</v>
      </c>
      <c r="K18">
        <v>40</v>
      </c>
      <c r="L18">
        <v>48</v>
      </c>
      <c r="M18" t="s">
        <v>49</v>
      </c>
      <c r="N18" t="s">
        <v>24</v>
      </c>
      <c r="O18" t="b">
        <v>1</v>
      </c>
      <c r="X18">
        <v>30</v>
      </c>
      <c r="AA18" t="e">
        <f>Table1[[#This Row],[qPer board]]*Table1[[#This Row],[boards]]</f>
        <v>#REF!</v>
      </c>
      <c r="AB18" t="e">
        <f>VLOOKUP(Table1[[#This Row],[MA_Number]],#REF!, 2,FALSE)</f>
        <v>#REF!</v>
      </c>
      <c r="AC18">
        <v>17</v>
      </c>
    </row>
    <row r="19" spans="1:29" hidden="1" x14ac:dyDescent="0.3">
      <c r="A19" t="s">
        <v>91</v>
      </c>
      <c r="B19" s="1">
        <v>71196401</v>
      </c>
      <c r="C19" s="1"/>
      <c r="D19" t="s">
        <v>279</v>
      </c>
      <c r="F19" t="b">
        <v>0</v>
      </c>
      <c r="I19">
        <v>1</v>
      </c>
      <c r="J19">
        <v>42</v>
      </c>
      <c r="K19">
        <v>39</v>
      </c>
      <c r="L19">
        <v>46</v>
      </c>
      <c r="M19" t="s">
        <v>48</v>
      </c>
      <c r="N19" t="s">
        <v>24</v>
      </c>
      <c r="O19" t="b">
        <v>1</v>
      </c>
      <c r="X19">
        <v>30</v>
      </c>
      <c r="AA19" t="e">
        <f>Table1[[#This Row],[qPer board]]*Table1[[#This Row],[boards]]</f>
        <v>#REF!</v>
      </c>
      <c r="AB19" t="e">
        <f>VLOOKUP(Table1[[#This Row],[MA_Number]],#REF!, 2,FALSE)</f>
        <v>#REF!</v>
      </c>
      <c r="AC19">
        <v>17</v>
      </c>
    </row>
    <row r="20" spans="1:29" hidden="1" x14ac:dyDescent="0.3">
      <c r="A20" t="s">
        <v>92</v>
      </c>
      <c r="B20" s="1">
        <v>7119641970</v>
      </c>
      <c r="C20" s="1"/>
      <c r="D20" t="s">
        <v>279</v>
      </c>
      <c r="F20" t="b">
        <v>0</v>
      </c>
      <c r="I20">
        <v>1</v>
      </c>
      <c r="J20">
        <v>42</v>
      </c>
      <c r="K20">
        <v>36</v>
      </c>
      <c r="L20">
        <v>46</v>
      </c>
      <c r="M20" t="s">
        <v>54</v>
      </c>
      <c r="N20" t="s">
        <v>24</v>
      </c>
      <c r="O20" t="b">
        <v>1</v>
      </c>
      <c r="AA20" t="e">
        <f>Table1[[#This Row],[qPer board]]*Table1[[#This Row],[boards]]</f>
        <v>#REF!</v>
      </c>
      <c r="AB20" t="e">
        <f>VLOOKUP(Table1[[#This Row],[MA_Number]],#REF!, 2,FALSE)</f>
        <v>#REF!</v>
      </c>
      <c r="AC20">
        <v>17</v>
      </c>
    </row>
    <row r="21" spans="1:29" hidden="1" x14ac:dyDescent="0.3">
      <c r="A21" t="s">
        <v>93</v>
      </c>
      <c r="B21" s="1">
        <v>71196506</v>
      </c>
      <c r="C21" s="1"/>
      <c r="D21" t="s">
        <v>279</v>
      </c>
      <c r="F21" t="b">
        <v>0</v>
      </c>
      <c r="I21">
        <v>1</v>
      </c>
      <c r="J21">
        <v>42</v>
      </c>
      <c r="K21">
        <v>33</v>
      </c>
      <c r="L21">
        <v>47</v>
      </c>
      <c r="M21" t="s">
        <v>48</v>
      </c>
      <c r="N21" t="s">
        <v>24</v>
      </c>
      <c r="O21" t="b">
        <v>1</v>
      </c>
      <c r="V21" t="b">
        <v>1</v>
      </c>
      <c r="AA21" t="e">
        <f>Table1[[#This Row],[qPer board]]*Table1[[#This Row],[boards]]</f>
        <v>#REF!</v>
      </c>
      <c r="AB21" t="e">
        <f>VLOOKUP(Table1[[#This Row],[MA_Number]],#REF!, 2,FALSE)</f>
        <v>#REF!</v>
      </c>
      <c r="AC21">
        <v>17</v>
      </c>
    </row>
    <row r="22" spans="1:29" hidden="1" x14ac:dyDescent="0.3">
      <c r="A22" t="s">
        <v>94</v>
      </c>
      <c r="B22" s="1" t="s">
        <v>216</v>
      </c>
      <c r="C22" s="1"/>
      <c r="D22" t="s">
        <v>279</v>
      </c>
      <c r="F22" t="b">
        <v>0</v>
      </c>
      <c r="I22">
        <v>1</v>
      </c>
      <c r="J22">
        <v>61</v>
      </c>
      <c r="K22">
        <v>50</v>
      </c>
      <c r="L22">
        <v>87</v>
      </c>
      <c r="M22" t="s">
        <v>48</v>
      </c>
      <c r="N22" t="s">
        <v>24</v>
      </c>
      <c r="O22" t="b">
        <v>1</v>
      </c>
      <c r="AA22" t="e">
        <f>Table1[[#This Row],[qPer board]]*Table1[[#This Row],[boards]]</f>
        <v>#REF!</v>
      </c>
      <c r="AB22" t="e">
        <f>VLOOKUP(Table1[[#This Row],[MA_Number]],#REF!, 2,FALSE)</f>
        <v>#REF!</v>
      </c>
      <c r="AC22">
        <v>17</v>
      </c>
    </row>
    <row r="23" spans="1:29" hidden="1" x14ac:dyDescent="0.3">
      <c r="A23" t="s">
        <v>95</v>
      </c>
      <c r="B23" s="1">
        <v>7119668820</v>
      </c>
      <c r="C23" s="1"/>
      <c r="D23" t="s">
        <v>279</v>
      </c>
      <c r="F23" t="b">
        <v>0</v>
      </c>
      <c r="I23">
        <v>1</v>
      </c>
      <c r="J23">
        <v>40</v>
      </c>
      <c r="K23">
        <v>37</v>
      </c>
      <c r="L23">
        <v>52</v>
      </c>
      <c r="M23" t="s">
        <v>53</v>
      </c>
      <c r="N23" t="s">
        <v>24</v>
      </c>
      <c r="O23" t="b">
        <v>1</v>
      </c>
      <c r="AA23" t="e">
        <f>Table1[[#This Row],[qPer board]]*Table1[[#This Row],[boards]]</f>
        <v>#REF!</v>
      </c>
      <c r="AB23" t="e">
        <f>VLOOKUP(Table1[[#This Row],[MA_Number]],#REF!, 2,FALSE)</f>
        <v>#REF!</v>
      </c>
      <c r="AC23">
        <v>17</v>
      </c>
    </row>
    <row r="24" spans="1:29" hidden="1" x14ac:dyDescent="0.3">
      <c r="A24" t="s">
        <v>96</v>
      </c>
      <c r="B24" s="1" t="s">
        <v>217</v>
      </c>
      <c r="C24" s="1"/>
      <c r="D24" t="s">
        <v>279</v>
      </c>
      <c r="F24" t="b">
        <v>0</v>
      </c>
      <c r="I24">
        <v>1</v>
      </c>
      <c r="J24">
        <v>55</v>
      </c>
      <c r="K24">
        <v>67</v>
      </c>
      <c r="L24">
        <v>52</v>
      </c>
      <c r="M24" t="s">
        <v>54</v>
      </c>
      <c r="N24" t="s">
        <v>24</v>
      </c>
      <c r="O24" t="b">
        <v>1</v>
      </c>
      <c r="AA24" t="e">
        <f>Table1[[#This Row],[qPer board]]*Table1[[#This Row],[boards]]</f>
        <v>#REF!</v>
      </c>
      <c r="AB24" t="e">
        <f>VLOOKUP(Table1[[#This Row],[MA_Number]],#REF!, 2,FALSE)</f>
        <v>#REF!</v>
      </c>
      <c r="AC24">
        <v>17</v>
      </c>
    </row>
    <row r="25" spans="1:29" hidden="1" x14ac:dyDescent="0.3">
      <c r="A25" t="s">
        <v>97</v>
      </c>
      <c r="B25" s="1">
        <v>71196714</v>
      </c>
      <c r="C25" s="1"/>
      <c r="D25" t="s">
        <v>279</v>
      </c>
      <c r="F25" t="b">
        <v>0</v>
      </c>
      <c r="I25">
        <v>1</v>
      </c>
      <c r="J25">
        <v>45</v>
      </c>
      <c r="K25">
        <v>38</v>
      </c>
      <c r="L25">
        <v>59</v>
      </c>
      <c r="M25" t="s">
        <v>48</v>
      </c>
      <c r="N25" t="s">
        <v>24</v>
      </c>
      <c r="O25" t="b">
        <v>1</v>
      </c>
      <c r="X25">
        <v>30</v>
      </c>
      <c r="AA25" t="e">
        <f>Table1[[#This Row],[qPer board]]*Table1[[#This Row],[boards]]</f>
        <v>#REF!</v>
      </c>
      <c r="AB25" t="e">
        <f>VLOOKUP(Table1[[#This Row],[MA_Number]],#REF!, 2,FALSE)</f>
        <v>#REF!</v>
      </c>
      <c r="AC25">
        <v>17</v>
      </c>
    </row>
    <row r="26" spans="1:29" hidden="1" x14ac:dyDescent="0.3">
      <c r="A26" t="s">
        <v>98</v>
      </c>
      <c r="B26" s="1" t="s">
        <v>218</v>
      </c>
      <c r="C26" s="1"/>
      <c r="D26" t="s">
        <v>279</v>
      </c>
      <c r="F26" t="b">
        <v>0</v>
      </c>
      <c r="I26">
        <v>1</v>
      </c>
      <c r="J26">
        <v>62</v>
      </c>
      <c r="K26">
        <v>67</v>
      </c>
      <c r="L26">
        <v>60</v>
      </c>
      <c r="M26" t="s">
        <v>49</v>
      </c>
      <c r="N26" t="s">
        <v>24</v>
      </c>
      <c r="O26" t="b">
        <v>1</v>
      </c>
      <c r="AA26" t="e">
        <f>Table1[[#This Row],[qPer board]]*Table1[[#This Row],[boards]]</f>
        <v>#REF!</v>
      </c>
      <c r="AB26" t="e">
        <f>VLOOKUP(Table1[[#This Row],[MA_Number]],#REF!, 2,FALSE)</f>
        <v>#REF!</v>
      </c>
      <c r="AC26">
        <v>17</v>
      </c>
    </row>
    <row r="27" spans="1:29" hidden="1" x14ac:dyDescent="0.3">
      <c r="A27" t="s">
        <v>99</v>
      </c>
      <c r="B27" s="1">
        <v>71781405</v>
      </c>
      <c r="C27" s="1"/>
      <c r="D27" t="s">
        <v>279</v>
      </c>
      <c r="F27" t="b">
        <v>0</v>
      </c>
      <c r="I27">
        <v>1</v>
      </c>
      <c r="J27">
        <v>40</v>
      </c>
      <c r="K27">
        <v>39</v>
      </c>
      <c r="L27">
        <v>45</v>
      </c>
      <c r="M27" t="s">
        <v>48</v>
      </c>
      <c r="N27" t="s">
        <v>24</v>
      </c>
      <c r="O27" t="b">
        <v>1</v>
      </c>
      <c r="AA27" t="e">
        <f>Table1[[#This Row],[qPer board]]*Table1[[#This Row],[boards]]</f>
        <v>#REF!</v>
      </c>
      <c r="AB27" t="e">
        <f>VLOOKUP(Table1[[#This Row],[MA_Number]],#REF!, 2,FALSE)</f>
        <v>#REF!</v>
      </c>
      <c r="AC27">
        <v>17</v>
      </c>
    </row>
    <row r="28" spans="1:29" hidden="1" x14ac:dyDescent="0.3">
      <c r="A28" t="s">
        <v>100</v>
      </c>
      <c r="B28" s="1" t="s">
        <v>219</v>
      </c>
      <c r="C28" s="1"/>
      <c r="D28" t="s">
        <v>279</v>
      </c>
      <c r="F28" t="b">
        <v>0</v>
      </c>
      <c r="I28">
        <v>1</v>
      </c>
      <c r="J28">
        <v>82</v>
      </c>
      <c r="K28">
        <v>77</v>
      </c>
      <c r="L28">
        <v>52</v>
      </c>
      <c r="M28" t="s">
        <v>48</v>
      </c>
      <c r="N28" t="s">
        <v>24</v>
      </c>
      <c r="O28" t="b">
        <v>1</v>
      </c>
      <c r="AA28" t="e">
        <f>Table1[[#This Row],[qPer board]]*Table1[[#This Row],[boards]]</f>
        <v>#REF!</v>
      </c>
      <c r="AB28" t="e">
        <f>VLOOKUP(Table1[[#This Row],[MA_Number]],#REF!, 2,FALSE)</f>
        <v>#REF!</v>
      </c>
      <c r="AC28">
        <v>17</v>
      </c>
    </row>
    <row r="29" spans="1:29" hidden="1" x14ac:dyDescent="0.3">
      <c r="A29" t="s">
        <v>101</v>
      </c>
      <c r="B29" s="1" t="s">
        <v>547</v>
      </c>
      <c r="C29" s="1"/>
      <c r="D29" t="s">
        <v>279</v>
      </c>
      <c r="F29" t="b">
        <v>0</v>
      </c>
      <c r="I29">
        <v>1</v>
      </c>
      <c r="J29">
        <v>92</v>
      </c>
      <c r="K29">
        <v>75</v>
      </c>
      <c r="L29">
        <v>52</v>
      </c>
      <c r="M29" t="s">
        <v>48</v>
      </c>
      <c r="N29" t="s">
        <v>24</v>
      </c>
      <c r="O29" t="b">
        <v>1</v>
      </c>
      <c r="AA29" t="e">
        <f>Table1[[#This Row],[qPer board]]*Table1[[#This Row],[boards]]</f>
        <v>#REF!</v>
      </c>
      <c r="AB29" t="e">
        <f>VLOOKUP(Table1[[#This Row],[MA_Number]],#REF!, 2,FALSE)</f>
        <v>#REF!</v>
      </c>
      <c r="AC29">
        <v>17</v>
      </c>
    </row>
    <row r="30" spans="1:29" hidden="1" x14ac:dyDescent="0.3">
      <c r="A30" t="s">
        <v>102</v>
      </c>
      <c r="B30" s="1" t="s">
        <v>1242</v>
      </c>
      <c r="C30" s="1"/>
      <c r="D30" t="s">
        <v>279</v>
      </c>
      <c r="F30" t="b">
        <v>0</v>
      </c>
      <c r="I30">
        <v>1</v>
      </c>
      <c r="J30">
        <v>92</v>
      </c>
      <c r="K30">
        <v>68</v>
      </c>
      <c r="L30">
        <v>55</v>
      </c>
      <c r="M30" t="s">
        <v>54</v>
      </c>
      <c r="N30" t="s">
        <v>24</v>
      </c>
      <c r="O30" t="b">
        <v>1</v>
      </c>
      <c r="AA30" t="e">
        <f>Table1[[#This Row],[qPer board]]*Table1[[#This Row],[boards]]</f>
        <v>#REF!</v>
      </c>
      <c r="AB30" t="e">
        <f>VLOOKUP(Table1[[#This Row],[MA_Number]],#REF!, 2,FALSE)</f>
        <v>#REF!</v>
      </c>
      <c r="AC30">
        <v>17</v>
      </c>
    </row>
    <row r="31" spans="1:29" hidden="1" x14ac:dyDescent="0.3">
      <c r="A31" t="s">
        <v>103</v>
      </c>
      <c r="B31" s="1" t="s">
        <v>221</v>
      </c>
      <c r="C31" s="1"/>
      <c r="D31" t="s">
        <v>279</v>
      </c>
      <c r="F31" t="b">
        <v>0</v>
      </c>
      <c r="I31">
        <v>1</v>
      </c>
      <c r="J31">
        <v>51</v>
      </c>
      <c r="K31">
        <v>51</v>
      </c>
      <c r="L31">
        <v>66</v>
      </c>
      <c r="M31" t="s">
        <v>48</v>
      </c>
      <c r="N31" t="s">
        <v>24</v>
      </c>
      <c r="O31" t="b">
        <v>1</v>
      </c>
      <c r="X31">
        <v>30</v>
      </c>
      <c r="AA31" t="e">
        <f>Table1[[#This Row],[qPer board]]*Table1[[#This Row],[boards]]</f>
        <v>#REF!</v>
      </c>
      <c r="AB31" t="e">
        <f>VLOOKUP(Table1[[#This Row],[MA_Number]],#REF!, 2,FALSE)</f>
        <v>#REF!</v>
      </c>
      <c r="AC31">
        <v>17</v>
      </c>
    </row>
    <row r="32" spans="1:29" hidden="1" x14ac:dyDescent="0.3">
      <c r="A32" t="s">
        <v>104</v>
      </c>
      <c r="B32" s="1" t="s">
        <v>222</v>
      </c>
      <c r="C32" s="1"/>
      <c r="D32" t="s">
        <v>279</v>
      </c>
      <c r="F32" t="b">
        <v>0</v>
      </c>
      <c r="I32">
        <v>1</v>
      </c>
      <c r="J32">
        <v>84</v>
      </c>
      <c r="K32">
        <v>78</v>
      </c>
      <c r="L32">
        <v>49</v>
      </c>
      <c r="M32" t="s">
        <v>49</v>
      </c>
      <c r="N32" t="s">
        <v>24</v>
      </c>
      <c r="O32" t="b">
        <v>1</v>
      </c>
      <c r="AA32" t="e">
        <f>Table1[[#This Row],[qPer board]]*Table1[[#This Row],[boards]]</f>
        <v>#REF!</v>
      </c>
      <c r="AB32" t="e">
        <f>VLOOKUP(Table1[[#This Row],[MA_Number]],#REF!, 2,FALSE)</f>
        <v>#REF!</v>
      </c>
      <c r="AC32">
        <v>17</v>
      </c>
    </row>
    <row r="33" spans="1:29" hidden="1" x14ac:dyDescent="0.3">
      <c r="A33" t="s">
        <v>105</v>
      </c>
      <c r="B33" s="1" t="s">
        <v>222</v>
      </c>
      <c r="C33" s="1"/>
      <c r="D33" t="s">
        <v>279</v>
      </c>
      <c r="F33" t="b">
        <v>0</v>
      </c>
      <c r="I33">
        <v>1</v>
      </c>
      <c r="J33">
        <v>84</v>
      </c>
      <c r="K33">
        <v>78</v>
      </c>
      <c r="L33">
        <v>49</v>
      </c>
      <c r="M33" t="s">
        <v>49</v>
      </c>
      <c r="N33" t="s">
        <v>24</v>
      </c>
      <c r="O33" t="b">
        <v>1</v>
      </c>
      <c r="AA33" t="e">
        <f>Table1[[#This Row],[qPer board]]*Table1[[#This Row],[boards]]</f>
        <v>#REF!</v>
      </c>
      <c r="AB33" t="e">
        <f>VLOOKUP(Table1[[#This Row],[MA_Number]],#REF!, 2,FALSE)</f>
        <v>#REF!</v>
      </c>
      <c r="AC33">
        <v>17</v>
      </c>
    </row>
    <row r="34" spans="1:29" hidden="1" x14ac:dyDescent="0.3">
      <c r="A34" t="s">
        <v>106</v>
      </c>
      <c r="B34" s="1">
        <v>7189663170</v>
      </c>
      <c r="C34" s="1"/>
      <c r="D34" t="s">
        <v>279</v>
      </c>
      <c r="F34" t="b">
        <v>0</v>
      </c>
      <c r="I34">
        <v>1</v>
      </c>
      <c r="J34">
        <v>44</v>
      </c>
      <c r="K34">
        <v>36</v>
      </c>
      <c r="L34">
        <v>46</v>
      </c>
      <c r="M34" t="s">
        <v>54</v>
      </c>
      <c r="N34" t="s">
        <v>24</v>
      </c>
      <c r="O34" t="b">
        <v>1</v>
      </c>
      <c r="X34">
        <v>30</v>
      </c>
      <c r="AA34" t="e">
        <f>Table1[[#This Row],[qPer board]]*Table1[[#This Row],[boards]]</f>
        <v>#REF!</v>
      </c>
      <c r="AB34" t="e">
        <f>VLOOKUP(Table1[[#This Row],[MA_Number]],#REF!, 2,FALSE)</f>
        <v>#REF!</v>
      </c>
      <c r="AC34">
        <v>17</v>
      </c>
    </row>
    <row r="35" spans="1:29" hidden="1" x14ac:dyDescent="0.3">
      <c r="A35" t="s">
        <v>746</v>
      </c>
      <c r="B35" s="1" t="s">
        <v>1224</v>
      </c>
      <c r="C35" s="1"/>
      <c r="D35" t="s">
        <v>279</v>
      </c>
      <c r="E35" t="s">
        <v>1755</v>
      </c>
      <c r="F35" t="b">
        <v>0</v>
      </c>
      <c r="I35">
        <v>1</v>
      </c>
      <c r="J35">
        <v>124</v>
      </c>
      <c r="K35">
        <v>76</v>
      </c>
      <c r="L35">
        <v>62</v>
      </c>
      <c r="M35" t="s">
        <v>48</v>
      </c>
      <c r="N35" t="s">
        <v>24</v>
      </c>
      <c r="O35" t="b">
        <v>1</v>
      </c>
      <c r="X35">
        <v>34</v>
      </c>
      <c r="AA35">
        <f>Table1[[#This Row],[qPer board]]*Table1[[#This Row],[boards]]</f>
        <v>17</v>
      </c>
      <c r="AB35">
        <v>1</v>
      </c>
      <c r="AC35">
        <v>17</v>
      </c>
    </row>
    <row r="36" spans="1:29" hidden="1" x14ac:dyDescent="0.3">
      <c r="A36" t="s">
        <v>107</v>
      </c>
      <c r="B36" s="1">
        <v>71899503</v>
      </c>
      <c r="C36" s="1"/>
      <c r="D36" t="s">
        <v>279</v>
      </c>
      <c r="F36" t="b">
        <v>0</v>
      </c>
      <c r="I36">
        <v>1</v>
      </c>
      <c r="J36">
        <v>40</v>
      </c>
      <c r="K36">
        <v>32</v>
      </c>
      <c r="L36">
        <v>47</v>
      </c>
      <c r="M36" t="s">
        <v>48</v>
      </c>
      <c r="N36" t="s">
        <v>24</v>
      </c>
      <c r="O36" t="b">
        <v>1</v>
      </c>
      <c r="X36">
        <v>30</v>
      </c>
      <c r="AA36" t="e">
        <f>Table1[[#This Row],[qPer board]]*Table1[[#This Row],[boards]]</f>
        <v>#REF!</v>
      </c>
      <c r="AB36" t="e">
        <f>VLOOKUP(Table1[[#This Row],[MA_Number]],#REF!, 2,FALSE)</f>
        <v>#REF!</v>
      </c>
      <c r="AC36">
        <v>17</v>
      </c>
    </row>
    <row r="37" spans="1:29" hidden="1" x14ac:dyDescent="0.3">
      <c r="A37" t="s">
        <v>108</v>
      </c>
      <c r="B37" s="1">
        <v>7189982830</v>
      </c>
      <c r="C37" s="1"/>
      <c r="D37" t="s">
        <v>279</v>
      </c>
      <c r="F37" t="b">
        <v>0</v>
      </c>
      <c r="I37">
        <v>1</v>
      </c>
      <c r="J37">
        <v>42</v>
      </c>
      <c r="K37">
        <v>42</v>
      </c>
      <c r="L37">
        <v>51</v>
      </c>
      <c r="M37" t="s">
        <v>49</v>
      </c>
      <c r="N37" t="s">
        <v>24</v>
      </c>
      <c r="O37" t="b">
        <v>1</v>
      </c>
      <c r="X37">
        <v>30</v>
      </c>
      <c r="AA37" t="e">
        <f>Table1[[#This Row],[qPer board]]*Table1[[#This Row],[boards]]</f>
        <v>#REF!</v>
      </c>
      <c r="AB37" t="e">
        <f>VLOOKUP(Table1[[#This Row],[MA_Number]],#REF!, 2,FALSE)</f>
        <v>#REF!</v>
      </c>
      <c r="AC37">
        <v>17</v>
      </c>
    </row>
    <row r="38" spans="1:29" hidden="1" x14ac:dyDescent="0.3">
      <c r="A38" t="s">
        <v>109</v>
      </c>
      <c r="B38" s="1" t="s">
        <v>843</v>
      </c>
      <c r="C38" s="1"/>
      <c r="D38" t="s">
        <v>279</v>
      </c>
      <c r="F38" t="b">
        <v>0</v>
      </c>
      <c r="I38">
        <v>1</v>
      </c>
      <c r="J38">
        <v>68</v>
      </c>
      <c r="K38">
        <v>65</v>
      </c>
      <c r="L38">
        <v>50</v>
      </c>
      <c r="M38" t="s">
        <v>53</v>
      </c>
      <c r="N38" t="s">
        <v>24</v>
      </c>
      <c r="O38" t="b">
        <v>1</v>
      </c>
      <c r="V38" t="b">
        <v>1</v>
      </c>
      <c r="AA38" t="e">
        <f>Table1[[#This Row],[qPer board]]*Table1[[#This Row],[boards]]</f>
        <v>#REF!</v>
      </c>
      <c r="AB38" t="e">
        <f>VLOOKUP(Table1[[#This Row],[MA_Number]],#REF!, 2,FALSE)</f>
        <v>#REF!</v>
      </c>
      <c r="AC38">
        <v>17</v>
      </c>
    </row>
    <row r="39" spans="1:29" hidden="1" x14ac:dyDescent="0.3">
      <c r="A39" t="s">
        <v>110</v>
      </c>
      <c r="B39" s="1" t="s">
        <v>224</v>
      </c>
      <c r="C39" s="1"/>
      <c r="D39" t="s">
        <v>279</v>
      </c>
      <c r="F39" t="b">
        <v>0</v>
      </c>
      <c r="I39">
        <v>1</v>
      </c>
      <c r="J39">
        <v>68</v>
      </c>
      <c r="K39">
        <v>65</v>
      </c>
      <c r="L39">
        <v>52</v>
      </c>
      <c r="M39" t="s">
        <v>50</v>
      </c>
      <c r="N39" t="s">
        <v>24</v>
      </c>
      <c r="O39" t="b">
        <v>1</v>
      </c>
      <c r="V39" t="b">
        <v>1</v>
      </c>
      <c r="AA39" t="e">
        <f>Table1[[#This Row],[qPer board]]*Table1[[#This Row],[boards]]</f>
        <v>#REF!</v>
      </c>
      <c r="AB39" t="e">
        <f>VLOOKUP(Table1[[#This Row],[MA_Number]],#REF!, 2,FALSE)</f>
        <v>#REF!</v>
      </c>
      <c r="AC39">
        <v>17</v>
      </c>
    </row>
    <row r="40" spans="1:29" hidden="1" x14ac:dyDescent="0.3">
      <c r="A40" t="s">
        <v>111</v>
      </c>
      <c r="B40" s="1" t="s">
        <v>225</v>
      </c>
      <c r="C40" s="1"/>
      <c r="D40" t="s">
        <v>279</v>
      </c>
      <c r="F40" t="b">
        <v>0</v>
      </c>
      <c r="I40">
        <v>1</v>
      </c>
      <c r="J40">
        <v>68</v>
      </c>
      <c r="K40">
        <v>65</v>
      </c>
      <c r="L40">
        <v>50</v>
      </c>
      <c r="M40" t="s">
        <v>52</v>
      </c>
      <c r="N40" t="s">
        <v>24</v>
      </c>
      <c r="O40" t="b">
        <v>1</v>
      </c>
      <c r="V40" t="b">
        <v>1</v>
      </c>
      <c r="AA40" t="e">
        <f>Table1[[#This Row],[qPer board]]*Table1[[#This Row],[boards]]</f>
        <v>#REF!</v>
      </c>
      <c r="AB40" t="e">
        <f>VLOOKUP(Table1[[#This Row],[MA_Number]],#REF!, 2,FALSE)</f>
        <v>#REF!</v>
      </c>
      <c r="AC40">
        <v>17</v>
      </c>
    </row>
    <row r="41" spans="1:29" hidden="1" x14ac:dyDescent="0.3">
      <c r="A41" t="s">
        <v>112</v>
      </c>
      <c r="B41" s="1">
        <v>71980943</v>
      </c>
      <c r="C41" s="1"/>
      <c r="D41" t="s">
        <v>279</v>
      </c>
      <c r="F41" t="b">
        <v>0</v>
      </c>
      <c r="I41">
        <v>1</v>
      </c>
      <c r="J41">
        <v>42</v>
      </c>
      <c r="K41">
        <v>42</v>
      </c>
      <c r="L41">
        <v>46</v>
      </c>
      <c r="M41" t="s">
        <v>48</v>
      </c>
      <c r="N41" t="s">
        <v>24</v>
      </c>
      <c r="O41" t="b">
        <v>1</v>
      </c>
      <c r="AA41" t="e">
        <f>Table1[[#This Row],[qPer board]]*Table1[[#This Row],[boards]]</f>
        <v>#REF!</v>
      </c>
      <c r="AB41" t="e">
        <f>VLOOKUP(Table1[[#This Row],[MA_Number]],#REF!, 2,FALSE)</f>
        <v>#REF!</v>
      </c>
      <c r="AC41">
        <v>17</v>
      </c>
    </row>
    <row r="42" spans="1:29" hidden="1" x14ac:dyDescent="0.3">
      <c r="A42" t="s">
        <v>113</v>
      </c>
      <c r="B42" s="1" t="s">
        <v>1225</v>
      </c>
      <c r="C42" s="1"/>
      <c r="D42" t="s">
        <v>279</v>
      </c>
      <c r="F42" t="b">
        <v>0</v>
      </c>
      <c r="I42">
        <v>1</v>
      </c>
      <c r="J42">
        <v>100</v>
      </c>
      <c r="K42">
        <v>57</v>
      </c>
      <c r="L42">
        <v>53</v>
      </c>
      <c r="M42" t="s">
        <v>48</v>
      </c>
      <c r="N42" t="s">
        <v>24</v>
      </c>
      <c r="O42" t="b">
        <v>1</v>
      </c>
      <c r="AA42" t="e">
        <f>Table1[[#This Row],[qPer board]]*Table1[[#This Row],[boards]]</f>
        <v>#REF!</v>
      </c>
      <c r="AB42" t="e">
        <f>VLOOKUP(Table1[[#This Row],[MA_Number]],#REF!, 2,FALSE)</f>
        <v>#REF!</v>
      </c>
      <c r="AC42">
        <v>17</v>
      </c>
    </row>
    <row r="43" spans="1:29" hidden="1" x14ac:dyDescent="0.3">
      <c r="A43" t="s">
        <v>745</v>
      </c>
      <c r="B43" s="1">
        <v>71986562</v>
      </c>
      <c r="C43" s="1"/>
      <c r="D43" t="s">
        <v>279</v>
      </c>
      <c r="F43" t="b">
        <v>0</v>
      </c>
      <c r="I43">
        <v>1</v>
      </c>
      <c r="J43">
        <v>44</v>
      </c>
      <c r="K43">
        <v>41</v>
      </c>
      <c r="L43">
        <v>48</v>
      </c>
      <c r="M43" t="s">
        <v>48</v>
      </c>
      <c r="N43" t="s">
        <v>24</v>
      </c>
      <c r="O43" t="b">
        <v>1</v>
      </c>
      <c r="X43">
        <v>30</v>
      </c>
      <c r="AA43" t="e">
        <f>Table1[[#This Row],[qPer board]]*Table1[[#This Row],[boards]]</f>
        <v>#REF!</v>
      </c>
      <c r="AB43" t="e">
        <f>VLOOKUP(Table1[[#This Row],[MA_Number]],#REF!, 2,FALSE)</f>
        <v>#REF!</v>
      </c>
      <c r="AC43">
        <v>17</v>
      </c>
    </row>
    <row r="44" spans="1:29" hidden="1" x14ac:dyDescent="0.3">
      <c r="A44" t="s">
        <v>114</v>
      </c>
      <c r="B44" s="1" t="s">
        <v>227</v>
      </c>
      <c r="C44" s="1"/>
      <c r="D44" t="s">
        <v>279</v>
      </c>
      <c r="F44" t="b">
        <v>0</v>
      </c>
      <c r="I44">
        <v>1</v>
      </c>
      <c r="J44">
        <v>100</v>
      </c>
      <c r="K44">
        <v>75</v>
      </c>
      <c r="L44">
        <v>60</v>
      </c>
      <c r="M44" t="s">
        <v>50</v>
      </c>
      <c r="N44" t="s">
        <v>24</v>
      </c>
      <c r="O44" t="b">
        <v>1</v>
      </c>
      <c r="AA44" t="e">
        <f>Table1[[#This Row],[qPer board]]*Table1[[#This Row],[boards]]</f>
        <v>#REF!</v>
      </c>
      <c r="AB44" t="e">
        <f>VLOOKUP(Table1[[#This Row],[MA_Number]],#REF!, 2,FALSE)</f>
        <v>#REF!</v>
      </c>
      <c r="AC44">
        <v>17</v>
      </c>
    </row>
    <row r="45" spans="1:29" hidden="1" x14ac:dyDescent="0.3">
      <c r="A45" t="s">
        <v>115</v>
      </c>
      <c r="B45" s="1" t="s">
        <v>1226</v>
      </c>
      <c r="C45" s="1"/>
      <c r="D45" t="s">
        <v>279</v>
      </c>
      <c r="F45" t="b">
        <v>0</v>
      </c>
      <c r="I45">
        <v>1</v>
      </c>
      <c r="J45">
        <v>106</v>
      </c>
      <c r="K45">
        <v>74</v>
      </c>
      <c r="L45">
        <v>66</v>
      </c>
      <c r="M45" t="s">
        <v>48</v>
      </c>
      <c r="N45" t="s">
        <v>24</v>
      </c>
      <c r="O45" t="b">
        <v>1</v>
      </c>
      <c r="AA45" t="e">
        <f>Table1[[#This Row],[qPer board]]*Table1[[#This Row],[boards]]</f>
        <v>#REF!</v>
      </c>
      <c r="AB45" t="e">
        <f>VLOOKUP(Table1[[#This Row],[MA_Number]],#REF!, 2,FALSE)</f>
        <v>#REF!</v>
      </c>
      <c r="AC45">
        <v>17</v>
      </c>
    </row>
    <row r="46" spans="1:29" hidden="1" x14ac:dyDescent="0.3">
      <c r="A46" t="s">
        <v>116</v>
      </c>
      <c r="B46" s="1" t="s">
        <v>1227</v>
      </c>
      <c r="C46" s="1"/>
      <c r="D46" t="s">
        <v>279</v>
      </c>
      <c r="F46" t="b">
        <v>0</v>
      </c>
      <c r="I46">
        <v>1</v>
      </c>
      <c r="J46">
        <v>80</v>
      </c>
      <c r="K46">
        <v>45</v>
      </c>
      <c r="L46">
        <v>53</v>
      </c>
      <c r="M46" t="s">
        <v>48</v>
      </c>
      <c r="N46" t="s">
        <v>24</v>
      </c>
      <c r="O46" t="b">
        <v>1</v>
      </c>
      <c r="AA46" t="e">
        <f>Table1[[#This Row],[qPer board]]*Table1[[#This Row],[boards]]</f>
        <v>#REF!</v>
      </c>
      <c r="AB46" t="e">
        <f>VLOOKUP(Table1[[#This Row],[MA_Number]],#REF!, 2,FALSE)</f>
        <v>#REF!</v>
      </c>
      <c r="AC46">
        <v>17</v>
      </c>
    </row>
    <row r="47" spans="1:29" hidden="1" x14ac:dyDescent="0.3">
      <c r="A47" t="s">
        <v>117</v>
      </c>
      <c r="B47" s="1">
        <v>7198796290</v>
      </c>
      <c r="C47" s="1"/>
      <c r="D47" t="s">
        <v>279</v>
      </c>
      <c r="F47" t="b">
        <v>0</v>
      </c>
      <c r="I47">
        <v>1</v>
      </c>
      <c r="J47">
        <v>41</v>
      </c>
      <c r="K47">
        <v>41</v>
      </c>
      <c r="L47">
        <v>42</v>
      </c>
      <c r="M47" t="s">
        <v>50</v>
      </c>
      <c r="N47" t="s">
        <v>24</v>
      </c>
      <c r="O47" t="b">
        <v>1</v>
      </c>
      <c r="X47">
        <v>30</v>
      </c>
      <c r="AA47" t="e">
        <f>Table1[[#This Row],[qPer board]]*Table1[[#This Row],[boards]]</f>
        <v>#REF!</v>
      </c>
      <c r="AB47" t="e">
        <f>VLOOKUP(Table1[[#This Row],[MA_Number]],#REF!, 2,FALSE)</f>
        <v>#REF!</v>
      </c>
      <c r="AC47">
        <v>17</v>
      </c>
    </row>
    <row r="48" spans="1:29" hidden="1" x14ac:dyDescent="0.3">
      <c r="A48" t="s">
        <v>118</v>
      </c>
      <c r="B48" s="1">
        <v>71988082</v>
      </c>
      <c r="C48" s="1"/>
      <c r="D48" t="s">
        <v>279</v>
      </c>
      <c r="F48" t="b">
        <v>0</v>
      </c>
      <c r="I48">
        <v>1</v>
      </c>
      <c r="J48">
        <v>40</v>
      </c>
      <c r="K48">
        <v>38</v>
      </c>
      <c r="L48">
        <v>40</v>
      </c>
      <c r="M48" t="s">
        <v>48</v>
      </c>
      <c r="N48" t="s">
        <v>24</v>
      </c>
      <c r="O48" t="b">
        <v>1</v>
      </c>
      <c r="X48">
        <v>30</v>
      </c>
      <c r="AA48" t="e">
        <f>Table1[[#This Row],[qPer board]]*Table1[[#This Row],[boards]]</f>
        <v>#REF!</v>
      </c>
      <c r="AB48" t="e">
        <f>VLOOKUP(Table1[[#This Row],[MA_Number]],#REF!, 2,FALSE)</f>
        <v>#REF!</v>
      </c>
      <c r="AC48">
        <v>17</v>
      </c>
    </row>
    <row r="49" spans="1:29" hidden="1" x14ac:dyDescent="0.3">
      <c r="A49" t="s">
        <v>119</v>
      </c>
      <c r="B49" s="1" t="s">
        <v>648</v>
      </c>
      <c r="C49" s="1"/>
      <c r="D49" t="s">
        <v>279</v>
      </c>
      <c r="F49" t="b">
        <v>0</v>
      </c>
      <c r="I49">
        <v>1</v>
      </c>
      <c r="J49">
        <v>82</v>
      </c>
      <c r="K49">
        <v>57</v>
      </c>
      <c r="L49">
        <v>54</v>
      </c>
      <c r="M49" t="s">
        <v>49</v>
      </c>
      <c r="N49" t="s">
        <v>24</v>
      </c>
      <c r="O49" t="b">
        <v>1</v>
      </c>
      <c r="AA49" t="e">
        <f>Table1[[#This Row],[qPer board]]*Table1[[#This Row],[boards]]</f>
        <v>#REF!</v>
      </c>
      <c r="AB49" t="e">
        <f>VLOOKUP(Table1[[#This Row],[MA_Number]],#REF!, 2,FALSE)</f>
        <v>#REF!</v>
      </c>
      <c r="AC49">
        <v>17</v>
      </c>
    </row>
    <row r="50" spans="1:29" hidden="1" x14ac:dyDescent="0.3">
      <c r="A50" t="s">
        <v>120</v>
      </c>
      <c r="B50" s="1" t="s">
        <v>230</v>
      </c>
      <c r="C50" s="1"/>
      <c r="D50" t="s">
        <v>279</v>
      </c>
      <c r="F50" t="b">
        <v>0</v>
      </c>
      <c r="I50">
        <v>1</v>
      </c>
      <c r="J50">
        <v>68</v>
      </c>
      <c r="K50">
        <v>48</v>
      </c>
      <c r="L50">
        <v>51</v>
      </c>
      <c r="M50" t="s">
        <v>49</v>
      </c>
      <c r="N50" t="s">
        <v>24</v>
      </c>
      <c r="O50" t="b">
        <v>1</v>
      </c>
      <c r="AA50" t="e">
        <f>Table1[[#This Row],[qPer board]]*Table1[[#This Row],[boards]]</f>
        <v>#REF!</v>
      </c>
      <c r="AB50" t="e">
        <f>VLOOKUP(Table1[[#This Row],[MA_Number]],#REF!, 2,FALSE)</f>
        <v>#REF!</v>
      </c>
      <c r="AC50">
        <v>17</v>
      </c>
    </row>
    <row r="51" spans="1:29" hidden="1" x14ac:dyDescent="0.3">
      <c r="A51" t="s">
        <v>121</v>
      </c>
      <c r="B51" s="1">
        <v>7198916130</v>
      </c>
      <c r="C51" s="1"/>
      <c r="D51" t="s">
        <v>279</v>
      </c>
      <c r="F51" t="b">
        <v>0</v>
      </c>
      <c r="I51">
        <v>1</v>
      </c>
      <c r="J51">
        <v>50</v>
      </c>
      <c r="K51">
        <v>32</v>
      </c>
      <c r="L51">
        <v>60</v>
      </c>
      <c r="M51" t="s">
        <v>49</v>
      </c>
      <c r="N51" t="s">
        <v>24</v>
      </c>
      <c r="O51" t="b">
        <v>1</v>
      </c>
      <c r="X51">
        <v>30</v>
      </c>
      <c r="AA51" t="e">
        <f>Table1[[#This Row],[qPer board]]*Table1[[#This Row],[boards]]</f>
        <v>#REF!</v>
      </c>
      <c r="AB51" t="e">
        <f>VLOOKUP(Table1[[#This Row],[MA_Number]],#REF!, 2,FALSE)</f>
        <v>#REF!</v>
      </c>
      <c r="AC51">
        <v>17</v>
      </c>
    </row>
    <row r="52" spans="1:29" hidden="1" x14ac:dyDescent="0.3">
      <c r="A52" t="s">
        <v>122</v>
      </c>
      <c r="B52" s="1">
        <v>71989162</v>
      </c>
      <c r="C52" s="1"/>
      <c r="D52" t="s">
        <v>279</v>
      </c>
      <c r="F52" t="b">
        <v>0</v>
      </c>
      <c r="I52">
        <v>1</v>
      </c>
      <c r="J52">
        <v>48</v>
      </c>
      <c r="K52">
        <v>48</v>
      </c>
      <c r="L52">
        <v>48</v>
      </c>
      <c r="M52" t="s">
        <v>48</v>
      </c>
      <c r="N52" t="s">
        <v>24</v>
      </c>
      <c r="O52" t="b">
        <v>1</v>
      </c>
      <c r="X52">
        <v>30</v>
      </c>
      <c r="AA52" t="e">
        <f>Table1[[#This Row],[qPer board]]*Table1[[#This Row],[boards]]</f>
        <v>#REF!</v>
      </c>
      <c r="AB52" t="e">
        <f>VLOOKUP(Table1[[#This Row],[MA_Number]],#REF!, 2,FALSE)</f>
        <v>#REF!</v>
      </c>
      <c r="AC52">
        <v>17</v>
      </c>
    </row>
    <row r="53" spans="1:29" hidden="1" x14ac:dyDescent="0.3">
      <c r="A53" t="s">
        <v>123</v>
      </c>
      <c r="B53" s="1">
        <v>7198948560</v>
      </c>
      <c r="C53" s="1"/>
      <c r="D53" t="s">
        <v>279</v>
      </c>
      <c r="F53" t="b">
        <v>0</v>
      </c>
      <c r="I53">
        <v>1</v>
      </c>
      <c r="J53">
        <v>40</v>
      </c>
      <c r="K53">
        <v>39</v>
      </c>
      <c r="L53">
        <v>41</v>
      </c>
      <c r="M53" t="s">
        <v>52</v>
      </c>
      <c r="N53" t="s">
        <v>24</v>
      </c>
      <c r="O53" t="b">
        <v>1</v>
      </c>
      <c r="X53">
        <v>30</v>
      </c>
      <c r="AA53" t="e">
        <f>Table1[[#This Row],[qPer board]]*Table1[[#This Row],[boards]]</f>
        <v>#REF!</v>
      </c>
      <c r="AB53" t="e">
        <f>VLOOKUP(Table1[[#This Row],[MA_Number]],#REF!, 2,FALSE)</f>
        <v>#REF!</v>
      </c>
      <c r="AC53">
        <v>17</v>
      </c>
    </row>
    <row r="54" spans="1:29" hidden="1" x14ac:dyDescent="0.3">
      <c r="A54" t="s">
        <v>124</v>
      </c>
      <c r="B54" s="1">
        <v>7223686530</v>
      </c>
      <c r="C54" s="1"/>
      <c r="D54" t="s">
        <v>279</v>
      </c>
      <c r="F54" t="b">
        <v>0</v>
      </c>
      <c r="I54">
        <v>1</v>
      </c>
      <c r="J54">
        <v>41</v>
      </c>
      <c r="K54">
        <v>40</v>
      </c>
      <c r="L54">
        <v>73</v>
      </c>
      <c r="M54" t="s">
        <v>49</v>
      </c>
      <c r="N54" t="s">
        <v>24</v>
      </c>
      <c r="O54" t="b">
        <v>1</v>
      </c>
      <c r="AA54" t="e">
        <f>Table1[[#This Row],[qPer board]]*Table1[[#This Row],[boards]]</f>
        <v>#REF!</v>
      </c>
      <c r="AB54" t="e">
        <f>VLOOKUP(Table1[[#This Row],[MA_Number]],#REF!, 2,FALSE)</f>
        <v>#REF!</v>
      </c>
      <c r="AC54">
        <v>17</v>
      </c>
    </row>
    <row r="55" spans="1:29" hidden="1" x14ac:dyDescent="0.3">
      <c r="A55" t="s">
        <v>125</v>
      </c>
      <c r="B55" s="1">
        <v>7271007030</v>
      </c>
      <c r="C55" s="1" t="s">
        <v>1214</v>
      </c>
      <c r="D55" t="s">
        <v>279</v>
      </c>
      <c r="F55" t="b">
        <v>1</v>
      </c>
      <c r="I55">
        <v>1</v>
      </c>
      <c r="X55">
        <v>30</v>
      </c>
      <c r="AA55" t="e">
        <f>Table1[[#This Row],[qPer board]]*Table1[[#This Row],[boards]]</f>
        <v>#REF!</v>
      </c>
      <c r="AB55" t="e">
        <f>VLOOKUP(Table1[[#This Row],[MA_Number]],#REF!, 2,FALSE)</f>
        <v>#REF!</v>
      </c>
      <c r="AC55">
        <v>17</v>
      </c>
    </row>
    <row r="56" spans="1:29" hidden="1" x14ac:dyDescent="0.3">
      <c r="B56" s="1">
        <v>7271007030</v>
      </c>
      <c r="C56" s="1"/>
      <c r="G56" t="s">
        <v>125</v>
      </c>
      <c r="H56" t="s">
        <v>1311</v>
      </c>
      <c r="I56">
        <v>1</v>
      </c>
      <c r="J56">
        <v>194</v>
      </c>
      <c r="K56">
        <v>131</v>
      </c>
      <c r="L56">
        <v>80</v>
      </c>
      <c r="M56" t="s">
        <v>48</v>
      </c>
      <c r="N56" t="s">
        <v>24</v>
      </c>
      <c r="O56" t="b">
        <v>1</v>
      </c>
      <c r="AA56" t="e">
        <f>Table1[[#This Row],[qPer board]]*Table1[[#This Row],[boards]]</f>
        <v>#REF!</v>
      </c>
      <c r="AB56" t="e">
        <f>VLOOKUP(Table1[[#This Row],[MA_Number]],#REF!, 2,FALSE)</f>
        <v>#REF!</v>
      </c>
      <c r="AC56">
        <v>17</v>
      </c>
    </row>
    <row r="57" spans="1:29" hidden="1" x14ac:dyDescent="0.3">
      <c r="B57" s="1">
        <v>7271007030</v>
      </c>
      <c r="C57" s="1"/>
      <c r="G57" t="s">
        <v>125</v>
      </c>
      <c r="H57" t="s">
        <v>1312</v>
      </c>
      <c r="I57">
        <v>1</v>
      </c>
      <c r="J57">
        <v>60</v>
      </c>
      <c r="K57">
        <v>27</v>
      </c>
      <c r="L57">
        <v>60</v>
      </c>
      <c r="M57" t="s">
        <v>48</v>
      </c>
      <c r="N57" t="s">
        <v>24</v>
      </c>
      <c r="O57" t="b">
        <v>1</v>
      </c>
      <c r="AA57" t="e">
        <f>Table1[[#This Row],[qPer board]]*Table1[[#This Row],[boards]]</f>
        <v>#REF!</v>
      </c>
      <c r="AB57" t="e">
        <f>VLOOKUP(Table1[[#This Row],[MA_Number]],#REF!, 2,FALSE)</f>
        <v>#REF!</v>
      </c>
      <c r="AC57">
        <v>17</v>
      </c>
    </row>
    <row r="58" spans="1:29" hidden="1" x14ac:dyDescent="0.3">
      <c r="A58" t="s">
        <v>127</v>
      </c>
      <c r="B58" s="1" t="s">
        <v>844</v>
      </c>
      <c r="C58" s="1"/>
      <c r="D58" t="s">
        <v>279</v>
      </c>
      <c r="F58" t="b">
        <v>0</v>
      </c>
      <c r="I58">
        <v>1</v>
      </c>
      <c r="J58">
        <v>104</v>
      </c>
      <c r="K58">
        <v>84</v>
      </c>
      <c r="L58">
        <v>53</v>
      </c>
      <c r="M58" t="s">
        <v>50</v>
      </c>
      <c r="N58" t="s">
        <v>24</v>
      </c>
      <c r="O58" t="b">
        <v>1</v>
      </c>
      <c r="V58" t="b">
        <v>1</v>
      </c>
      <c r="AA58" t="e">
        <f>Table1[[#This Row],[qPer board]]*Table1[[#This Row],[boards]]</f>
        <v>#REF!</v>
      </c>
      <c r="AB58" t="e">
        <f>VLOOKUP(Table1[[#This Row],[MA_Number]],#REF!, 2,FALSE)</f>
        <v>#REF!</v>
      </c>
      <c r="AC58">
        <v>17</v>
      </c>
    </row>
    <row r="59" spans="1:29" x14ac:dyDescent="0.3">
      <c r="A59" t="s">
        <v>128</v>
      </c>
      <c r="B59" s="1">
        <v>7278246930</v>
      </c>
      <c r="C59" s="1"/>
      <c r="D59" t="s">
        <v>279</v>
      </c>
      <c r="F59" t="b">
        <v>0</v>
      </c>
      <c r="I59">
        <v>1</v>
      </c>
      <c r="J59">
        <v>48</v>
      </c>
      <c r="K59">
        <v>48</v>
      </c>
      <c r="L59">
        <v>63</v>
      </c>
      <c r="M59" t="s">
        <v>49</v>
      </c>
      <c r="N59" t="s">
        <v>24</v>
      </c>
      <c r="O59" t="b">
        <v>1</v>
      </c>
      <c r="AA59" t="e">
        <f>Table1[[#This Row],[qPer board]]*Table1[[#This Row],[boards]]</f>
        <v>#REF!</v>
      </c>
      <c r="AB59" t="e">
        <f>VLOOKUP(Table1[[#This Row],[MA_Number]],#REF!, 2,FALSE)</f>
        <v>#REF!</v>
      </c>
      <c r="AC59">
        <v>17</v>
      </c>
    </row>
    <row r="60" spans="1:29" hidden="1" x14ac:dyDescent="0.3">
      <c r="A60" t="s">
        <v>129</v>
      </c>
      <c r="B60" s="1">
        <v>7283837230</v>
      </c>
      <c r="C60" s="1"/>
      <c r="D60" t="s">
        <v>279</v>
      </c>
      <c r="F60" t="b">
        <v>0</v>
      </c>
      <c r="I60">
        <v>1</v>
      </c>
      <c r="J60">
        <v>42</v>
      </c>
      <c r="K60">
        <v>37</v>
      </c>
      <c r="L60">
        <v>51</v>
      </c>
      <c r="M60" t="s">
        <v>49</v>
      </c>
      <c r="N60" t="s">
        <v>24</v>
      </c>
      <c r="O60" t="b">
        <v>1</v>
      </c>
      <c r="AA60" t="e">
        <f>Table1[[#This Row],[qPer board]]*Table1[[#This Row],[boards]]</f>
        <v>#REF!</v>
      </c>
      <c r="AB60" t="e">
        <f>VLOOKUP(Table1[[#This Row],[MA_Number]],#REF!, 2,FALSE)</f>
        <v>#REF!</v>
      </c>
      <c r="AC60">
        <v>17</v>
      </c>
    </row>
    <row r="61" spans="1:29" hidden="1" x14ac:dyDescent="0.3">
      <c r="A61" t="s">
        <v>130</v>
      </c>
      <c r="B61" s="1" t="s">
        <v>1237</v>
      </c>
      <c r="C61" s="1"/>
      <c r="D61" t="s">
        <v>279</v>
      </c>
      <c r="F61" t="b">
        <v>0</v>
      </c>
      <c r="I61">
        <v>1</v>
      </c>
      <c r="J61">
        <v>102</v>
      </c>
      <c r="K61">
        <v>80</v>
      </c>
      <c r="L61">
        <v>67</v>
      </c>
      <c r="M61" t="s">
        <v>48</v>
      </c>
      <c r="N61" t="s">
        <v>24</v>
      </c>
      <c r="O61" t="b">
        <v>1</v>
      </c>
      <c r="V61" t="b">
        <v>1</v>
      </c>
      <c r="AA61" t="e">
        <f>Table1[[#This Row],[qPer board]]*Table1[[#This Row],[boards]]</f>
        <v>#REF!</v>
      </c>
      <c r="AB61" t="e">
        <f>VLOOKUP(Table1[[#This Row],[MA_Number]],#REF!, 2,FALSE)</f>
        <v>#REF!</v>
      </c>
      <c r="AC61">
        <v>17</v>
      </c>
    </row>
    <row r="62" spans="1:29" hidden="1" x14ac:dyDescent="0.3">
      <c r="A62" t="s">
        <v>131</v>
      </c>
      <c r="B62" s="1" t="s">
        <v>1238</v>
      </c>
      <c r="C62" s="1"/>
      <c r="D62" t="s">
        <v>279</v>
      </c>
      <c r="F62" t="b">
        <v>0</v>
      </c>
      <c r="I62">
        <v>1</v>
      </c>
      <c r="J62">
        <v>102</v>
      </c>
      <c r="K62">
        <v>80</v>
      </c>
      <c r="L62">
        <v>55</v>
      </c>
      <c r="M62" t="s">
        <v>53</v>
      </c>
      <c r="N62" t="s">
        <v>24</v>
      </c>
      <c r="O62" t="b">
        <v>1</v>
      </c>
      <c r="V62" t="b">
        <v>1</v>
      </c>
      <c r="AA62" t="e">
        <f>Table1[[#This Row],[qPer board]]*Table1[[#This Row],[boards]]</f>
        <v>#REF!</v>
      </c>
      <c r="AB62" t="e">
        <f>VLOOKUP(Table1[[#This Row],[MA_Number]],#REF!, 2,FALSE)</f>
        <v>#REF!</v>
      </c>
      <c r="AC62">
        <v>17</v>
      </c>
    </row>
    <row r="63" spans="1:29" hidden="1" x14ac:dyDescent="0.3">
      <c r="A63" t="s">
        <v>132</v>
      </c>
      <c r="B63" s="1">
        <v>7289896430</v>
      </c>
      <c r="C63" s="1"/>
      <c r="D63" t="s">
        <v>279</v>
      </c>
      <c r="F63" t="b">
        <v>0</v>
      </c>
      <c r="I63">
        <v>1</v>
      </c>
      <c r="J63">
        <v>42</v>
      </c>
      <c r="K63">
        <v>45</v>
      </c>
      <c r="L63">
        <v>61</v>
      </c>
      <c r="M63" t="s">
        <v>49</v>
      </c>
      <c r="N63" t="s">
        <v>24</v>
      </c>
      <c r="O63" t="b">
        <v>1</v>
      </c>
      <c r="X63">
        <v>30</v>
      </c>
      <c r="AA63" t="e">
        <f>Table1[[#This Row],[qPer board]]*Table1[[#This Row],[boards]]</f>
        <v>#REF!</v>
      </c>
      <c r="AB63" t="e">
        <f>VLOOKUP(Table1[[#This Row],[MA_Number]],#REF!, 2,FALSE)</f>
        <v>#REF!</v>
      </c>
      <c r="AC63">
        <v>17</v>
      </c>
    </row>
    <row r="64" spans="1:29" hidden="1" x14ac:dyDescent="0.3">
      <c r="A64" t="s">
        <v>133</v>
      </c>
      <c r="B64" s="1">
        <v>72897304</v>
      </c>
      <c r="C64" s="1"/>
      <c r="D64" t="s">
        <v>279</v>
      </c>
      <c r="F64" t="b">
        <v>0</v>
      </c>
      <c r="I64">
        <v>1</v>
      </c>
      <c r="J64">
        <v>55</v>
      </c>
      <c r="K64">
        <v>65</v>
      </c>
      <c r="L64">
        <v>92</v>
      </c>
      <c r="M64" t="s">
        <v>48</v>
      </c>
      <c r="N64" t="s">
        <v>24</v>
      </c>
      <c r="O64" t="b">
        <v>1</v>
      </c>
      <c r="X64">
        <v>30</v>
      </c>
      <c r="AA64" t="e">
        <f>Table1[[#This Row],[qPer board]]*Table1[[#This Row],[boards]]</f>
        <v>#REF!</v>
      </c>
      <c r="AB64" t="e">
        <f>VLOOKUP(Table1[[#This Row],[MA_Number]],#REF!, 2,FALSE)</f>
        <v>#REF!</v>
      </c>
      <c r="AC64">
        <v>17</v>
      </c>
    </row>
    <row r="65" spans="1:29" hidden="1" x14ac:dyDescent="0.3">
      <c r="A65" t="s">
        <v>134</v>
      </c>
      <c r="B65" s="1">
        <v>7297944190</v>
      </c>
      <c r="C65" s="1"/>
      <c r="D65" t="s">
        <v>279</v>
      </c>
      <c r="F65" t="b">
        <v>0</v>
      </c>
      <c r="I65">
        <v>1</v>
      </c>
      <c r="J65">
        <v>54</v>
      </c>
      <c r="K65">
        <v>51</v>
      </c>
      <c r="L65">
        <v>50</v>
      </c>
      <c r="M65" t="s">
        <v>50</v>
      </c>
      <c r="N65" t="s">
        <v>24</v>
      </c>
      <c r="O65" t="b">
        <v>1</v>
      </c>
      <c r="X65">
        <v>30</v>
      </c>
      <c r="AA65" t="e">
        <f>Table1[[#This Row],[qPer board]]*Table1[[#This Row],[boards]]</f>
        <v>#REF!</v>
      </c>
      <c r="AB65" t="e">
        <f>VLOOKUP(Table1[[#This Row],[MA_Number]],#REF!, 2,FALSE)</f>
        <v>#REF!</v>
      </c>
      <c r="AC65">
        <v>17</v>
      </c>
    </row>
    <row r="66" spans="1:29" hidden="1" x14ac:dyDescent="0.3">
      <c r="A66" t="s">
        <v>290</v>
      </c>
      <c r="B66" s="1">
        <v>72988085</v>
      </c>
      <c r="C66" s="1"/>
      <c r="D66" t="s">
        <v>279</v>
      </c>
      <c r="F66" t="b">
        <v>0</v>
      </c>
      <c r="I66">
        <v>1</v>
      </c>
      <c r="J66">
        <v>56</v>
      </c>
      <c r="K66">
        <v>41</v>
      </c>
      <c r="L66">
        <v>78</v>
      </c>
      <c r="M66" t="s">
        <v>48</v>
      </c>
      <c r="N66" t="s">
        <v>24</v>
      </c>
      <c r="O66" t="b">
        <v>1</v>
      </c>
      <c r="AA66" t="e">
        <f>Table1[[#This Row],[qPer board]]*Table1[[#This Row],[boards]]</f>
        <v>#REF!</v>
      </c>
      <c r="AB66" t="e">
        <f>VLOOKUP(Table1[[#This Row],[MA_Number]],#REF!, 2,FALSE)</f>
        <v>#REF!</v>
      </c>
      <c r="AC66">
        <v>17</v>
      </c>
    </row>
    <row r="67" spans="1:29" hidden="1" x14ac:dyDescent="0.3">
      <c r="A67" t="s">
        <v>135</v>
      </c>
      <c r="B67" s="1" t="s">
        <v>234</v>
      </c>
      <c r="C67" s="1"/>
      <c r="D67" t="s">
        <v>279</v>
      </c>
      <c r="E67" t="s">
        <v>2135</v>
      </c>
      <c r="F67" t="b">
        <v>0</v>
      </c>
      <c r="I67">
        <v>1</v>
      </c>
      <c r="J67">
        <v>54</v>
      </c>
      <c r="K67">
        <v>54</v>
      </c>
      <c r="L67">
        <v>50</v>
      </c>
      <c r="M67" t="s">
        <v>48</v>
      </c>
      <c r="N67" t="s">
        <v>24</v>
      </c>
      <c r="O67" t="b">
        <v>1</v>
      </c>
      <c r="X67">
        <v>34</v>
      </c>
      <c r="AA67">
        <f>Table1[[#This Row],[qPer board]]*Table1[[#This Row],[boards]]</f>
        <v>68</v>
      </c>
      <c r="AB67">
        <v>4</v>
      </c>
      <c r="AC67">
        <v>17</v>
      </c>
    </row>
    <row r="68" spans="1:29" hidden="1" x14ac:dyDescent="0.3">
      <c r="A68" t="s">
        <v>1356</v>
      </c>
      <c r="B68" s="1" t="s">
        <v>235</v>
      </c>
      <c r="C68" s="1"/>
      <c r="D68" t="s">
        <v>279</v>
      </c>
      <c r="E68" t="s">
        <v>1755</v>
      </c>
      <c r="F68" t="b">
        <v>0</v>
      </c>
      <c r="I68">
        <v>1</v>
      </c>
      <c r="J68">
        <v>54</v>
      </c>
      <c r="K68">
        <v>54</v>
      </c>
      <c r="L68">
        <v>50</v>
      </c>
      <c r="M68" t="s">
        <v>48</v>
      </c>
      <c r="N68" t="s">
        <v>24</v>
      </c>
      <c r="O68" t="b">
        <v>1</v>
      </c>
      <c r="X68">
        <v>24</v>
      </c>
      <c r="AA68">
        <f>Table1[[#This Row],[qPer board]]*Table1[[#This Row],[boards]]</f>
        <v>112</v>
      </c>
      <c r="AB68">
        <v>4</v>
      </c>
      <c r="AC68">
        <v>28</v>
      </c>
    </row>
    <row r="69" spans="1:29" hidden="1" x14ac:dyDescent="0.3">
      <c r="A69" t="s">
        <v>136</v>
      </c>
      <c r="B69" s="1" t="s">
        <v>236</v>
      </c>
      <c r="C69" s="1"/>
      <c r="D69" t="s">
        <v>279</v>
      </c>
      <c r="E69" t="s">
        <v>2135</v>
      </c>
      <c r="F69" t="b">
        <v>0</v>
      </c>
      <c r="I69">
        <v>1</v>
      </c>
      <c r="J69">
        <v>54</v>
      </c>
      <c r="K69">
        <v>54</v>
      </c>
      <c r="L69">
        <v>50</v>
      </c>
      <c r="M69" t="s">
        <v>48</v>
      </c>
      <c r="N69" t="s">
        <v>24</v>
      </c>
      <c r="O69" t="b">
        <v>1</v>
      </c>
      <c r="X69">
        <v>34</v>
      </c>
      <c r="AA69">
        <f>Table1[[#This Row],[qPer board]]*Table1[[#This Row],[boards]]</f>
        <v>17</v>
      </c>
      <c r="AB69">
        <v>1</v>
      </c>
      <c r="AC69">
        <v>17</v>
      </c>
    </row>
    <row r="70" spans="1:29" hidden="1" x14ac:dyDescent="0.3">
      <c r="A70" t="s">
        <v>137</v>
      </c>
      <c r="B70" s="1" t="s">
        <v>1239</v>
      </c>
      <c r="C70" s="1" t="s">
        <v>237</v>
      </c>
      <c r="D70" t="s">
        <v>279</v>
      </c>
      <c r="E70" t="s">
        <v>2136</v>
      </c>
      <c r="F70" t="b">
        <v>0</v>
      </c>
      <c r="I70">
        <v>1</v>
      </c>
      <c r="J70">
        <v>54</v>
      </c>
      <c r="K70">
        <v>54</v>
      </c>
      <c r="L70">
        <v>50</v>
      </c>
      <c r="M70" t="s">
        <v>48</v>
      </c>
      <c r="N70" t="s">
        <v>24</v>
      </c>
      <c r="O70" t="b">
        <v>1</v>
      </c>
      <c r="X70">
        <v>34</v>
      </c>
      <c r="AA70">
        <f>Table1[[#This Row],[qPer board]]*Table1[[#This Row],[boards]]</f>
        <v>153</v>
      </c>
      <c r="AB70">
        <v>9</v>
      </c>
      <c r="AC70">
        <v>17</v>
      </c>
    </row>
    <row r="71" spans="1:29" hidden="1" x14ac:dyDescent="0.3">
      <c r="A71" t="s">
        <v>138</v>
      </c>
      <c r="B71" s="1" t="s">
        <v>592</v>
      </c>
      <c r="C71" s="1"/>
      <c r="D71" t="s">
        <v>279</v>
      </c>
      <c r="F71" t="b">
        <v>0</v>
      </c>
      <c r="I71">
        <v>1</v>
      </c>
      <c r="J71">
        <v>40</v>
      </c>
      <c r="K71">
        <v>37</v>
      </c>
      <c r="L71">
        <v>46</v>
      </c>
      <c r="M71" t="s">
        <v>48</v>
      </c>
      <c r="N71" t="s">
        <v>24</v>
      </c>
      <c r="O71" t="b">
        <v>1</v>
      </c>
      <c r="X71">
        <v>30</v>
      </c>
      <c r="AA71" t="e">
        <f>Table1[[#This Row],[qPer board]]*Table1[[#This Row],[boards]]</f>
        <v>#REF!</v>
      </c>
      <c r="AB71" t="e">
        <f>VLOOKUP(Table1[[#This Row],[MA_Number]],#REF!, 2,FALSE)</f>
        <v>#REF!</v>
      </c>
      <c r="AC71">
        <v>17</v>
      </c>
    </row>
    <row r="72" spans="1:29" hidden="1" x14ac:dyDescent="0.3">
      <c r="A72" t="s">
        <v>139</v>
      </c>
      <c r="B72" s="1" t="s">
        <v>238</v>
      </c>
      <c r="C72" s="1"/>
      <c r="D72" t="s">
        <v>279</v>
      </c>
      <c r="F72" t="b">
        <v>0</v>
      </c>
      <c r="I72">
        <v>1</v>
      </c>
      <c r="J72">
        <v>40</v>
      </c>
      <c r="K72">
        <v>34</v>
      </c>
      <c r="L72">
        <v>44</v>
      </c>
      <c r="M72" t="s">
        <v>49</v>
      </c>
      <c r="N72" t="s">
        <v>24</v>
      </c>
      <c r="O72" t="b">
        <v>1</v>
      </c>
      <c r="X72">
        <v>30</v>
      </c>
      <c r="AA72" t="e">
        <f>Table1[[#This Row],[qPer board]]*Table1[[#This Row],[boards]]</f>
        <v>#REF!</v>
      </c>
      <c r="AB72" t="e">
        <f>VLOOKUP(Table1[[#This Row],[MA_Number]],#REF!, 2,FALSE)</f>
        <v>#REF!</v>
      </c>
      <c r="AC72">
        <v>17</v>
      </c>
    </row>
    <row r="73" spans="1:29" hidden="1" x14ac:dyDescent="0.3">
      <c r="A73" t="s">
        <v>140</v>
      </c>
      <c r="B73" s="1" t="s">
        <v>239</v>
      </c>
      <c r="C73" s="1"/>
      <c r="D73" t="s">
        <v>279</v>
      </c>
      <c r="F73" t="b">
        <v>0</v>
      </c>
      <c r="I73">
        <v>1</v>
      </c>
      <c r="J73">
        <v>49</v>
      </c>
      <c r="K73">
        <v>33</v>
      </c>
      <c r="L73">
        <v>44</v>
      </c>
      <c r="M73" t="s">
        <v>48</v>
      </c>
      <c r="N73" t="s">
        <v>24</v>
      </c>
      <c r="O73" t="b">
        <v>1</v>
      </c>
      <c r="AA73" t="e">
        <f>Table1[[#This Row],[qPer board]]*Table1[[#This Row],[boards]]</f>
        <v>#REF!</v>
      </c>
      <c r="AB73" t="e">
        <f>VLOOKUP(Table1[[#This Row],[MA_Number]],#REF!, 2,FALSE)</f>
        <v>#REF!</v>
      </c>
      <c r="AC73">
        <v>17</v>
      </c>
    </row>
    <row r="74" spans="1:29" hidden="1" x14ac:dyDescent="0.3">
      <c r="A74" t="s">
        <v>141</v>
      </c>
      <c r="B74" s="1" t="s">
        <v>240</v>
      </c>
      <c r="C74" s="1"/>
      <c r="D74" t="s">
        <v>279</v>
      </c>
      <c r="F74" t="b">
        <v>0</v>
      </c>
      <c r="I74">
        <v>1</v>
      </c>
      <c r="J74">
        <v>49</v>
      </c>
      <c r="K74">
        <v>34</v>
      </c>
      <c r="L74">
        <v>44</v>
      </c>
      <c r="M74" t="s">
        <v>50</v>
      </c>
      <c r="N74" t="s">
        <v>24</v>
      </c>
      <c r="O74" t="b">
        <v>1</v>
      </c>
      <c r="X74">
        <v>30</v>
      </c>
      <c r="AA74" t="e">
        <f>Table1[[#This Row],[qPer board]]*Table1[[#This Row],[boards]]</f>
        <v>#REF!</v>
      </c>
      <c r="AB74" t="e">
        <f>VLOOKUP(Table1[[#This Row],[MA_Number]],#REF!, 2,FALSE)</f>
        <v>#REF!</v>
      </c>
      <c r="AC74">
        <v>17</v>
      </c>
    </row>
    <row r="75" spans="1:29" hidden="1" x14ac:dyDescent="0.3">
      <c r="A75" t="s">
        <v>142</v>
      </c>
      <c r="B75" s="1" t="s">
        <v>845</v>
      </c>
      <c r="C75" s="1"/>
      <c r="D75" t="s">
        <v>279</v>
      </c>
      <c r="F75" t="b">
        <v>0</v>
      </c>
      <c r="I75">
        <v>1</v>
      </c>
      <c r="J75">
        <v>45</v>
      </c>
      <c r="K75">
        <v>37</v>
      </c>
      <c r="L75">
        <v>46</v>
      </c>
      <c r="M75" t="s">
        <v>52</v>
      </c>
      <c r="N75" t="s">
        <v>24</v>
      </c>
      <c r="O75" t="b">
        <v>1</v>
      </c>
      <c r="X75">
        <v>30</v>
      </c>
      <c r="AA75" t="e">
        <f>Table1[[#This Row],[qPer board]]*Table1[[#This Row],[boards]]</f>
        <v>#REF!</v>
      </c>
      <c r="AB75" t="e">
        <f>VLOOKUP(Table1[[#This Row],[MA_Number]],#REF!, 2,FALSE)</f>
        <v>#REF!</v>
      </c>
      <c r="AC75">
        <v>17</v>
      </c>
    </row>
    <row r="76" spans="1:29" hidden="1" x14ac:dyDescent="0.3">
      <c r="A76" t="s">
        <v>143</v>
      </c>
      <c r="B76" s="1" t="s">
        <v>241</v>
      </c>
      <c r="C76" s="1"/>
      <c r="D76" t="s">
        <v>279</v>
      </c>
      <c r="F76" t="b">
        <v>0</v>
      </c>
      <c r="I76">
        <v>1</v>
      </c>
      <c r="J76">
        <v>45</v>
      </c>
      <c r="K76">
        <v>37</v>
      </c>
      <c r="L76">
        <v>46</v>
      </c>
      <c r="M76" t="s">
        <v>50</v>
      </c>
      <c r="N76" t="s">
        <v>24</v>
      </c>
      <c r="O76" t="b">
        <v>1</v>
      </c>
      <c r="X76">
        <v>30</v>
      </c>
      <c r="AA76" t="e">
        <f>Table1[[#This Row],[qPer board]]*Table1[[#This Row],[boards]]</f>
        <v>#REF!</v>
      </c>
      <c r="AB76" t="e">
        <f>VLOOKUP(Table1[[#This Row],[MA_Number]],#REF!, 2,FALSE)</f>
        <v>#REF!</v>
      </c>
      <c r="AC76">
        <v>17</v>
      </c>
    </row>
    <row r="77" spans="1:29" hidden="1" x14ac:dyDescent="0.3">
      <c r="A77" t="s">
        <v>144</v>
      </c>
      <c r="B77" s="1" t="s">
        <v>242</v>
      </c>
      <c r="C77" s="1"/>
      <c r="D77" t="s">
        <v>279</v>
      </c>
      <c r="F77" t="b">
        <v>0</v>
      </c>
      <c r="I77">
        <v>1</v>
      </c>
      <c r="J77">
        <v>45</v>
      </c>
      <c r="K77">
        <v>37</v>
      </c>
      <c r="L77">
        <v>46</v>
      </c>
      <c r="M77" t="s">
        <v>53</v>
      </c>
      <c r="N77" t="s">
        <v>24</v>
      </c>
      <c r="O77" t="b">
        <v>1</v>
      </c>
      <c r="X77">
        <v>30</v>
      </c>
      <c r="AA77" t="e">
        <f>Table1[[#This Row],[qPer board]]*Table1[[#This Row],[boards]]</f>
        <v>#REF!</v>
      </c>
      <c r="AB77" t="e">
        <f>VLOOKUP(Table1[[#This Row],[MA_Number]],#REF!, 2,FALSE)</f>
        <v>#REF!</v>
      </c>
      <c r="AC77">
        <v>17</v>
      </c>
    </row>
    <row r="78" spans="1:29" hidden="1" x14ac:dyDescent="0.3">
      <c r="A78" t="s">
        <v>145</v>
      </c>
      <c r="B78" s="1" t="s">
        <v>846</v>
      </c>
      <c r="C78" s="1"/>
      <c r="D78" t="s">
        <v>279</v>
      </c>
      <c r="F78" t="b">
        <v>0</v>
      </c>
      <c r="I78">
        <v>1</v>
      </c>
      <c r="J78">
        <v>45</v>
      </c>
      <c r="K78">
        <v>40</v>
      </c>
      <c r="L78">
        <v>46</v>
      </c>
      <c r="M78" t="s">
        <v>51</v>
      </c>
      <c r="N78" t="s">
        <v>24</v>
      </c>
      <c r="O78" t="b">
        <v>1</v>
      </c>
      <c r="X78">
        <v>30</v>
      </c>
      <c r="AA78" t="e">
        <f>Table1[[#This Row],[qPer board]]*Table1[[#This Row],[boards]]</f>
        <v>#REF!</v>
      </c>
      <c r="AB78" t="e">
        <f>VLOOKUP(Table1[[#This Row],[MA_Number]],#REF!, 2,FALSE)</f>
        <v>#REF!</v>
      </c>
      <c r="AC78">
        <v>17</v>
      </c>
    </row>
    <row r="79" spans="1:29" hidden="1" x14ac:dyDescent="0.3">
      <c r="A79" t="s">
        <v>146</v>
      </c>
      <c r="B79" s="1" t="s">
        <v>243</v>
      </c>
      <c r="C79" s="1"/>
      <c r="D79" t="s">
        <v>279</v>
      </c>
      <c r="F79" t="b">
        <v>0</v>
      </c>
      <c r="I79">
        <v>1</v>
      </c>
      <c r="J79">
        <v>45</v>
      </c>
      <c r="K79">
        <v>40</v>
      </c>
      <c r="L79">
        <v>46</v>
      </c>
      <c r="M79" t="s">
        <v>48</v>
      </c>
      <c r="N79" t="s">
        <v>24</v>
      </c>
      <c r="O79" t="b">
        <v>1</v>
      </c>
      <c r="AA79" t="e">
        <f>Table1[[#This Row],[qPer board]]*Table1[[#This Row],[boards]]</f>
        <v>#REF!</v>
      </c>
      <c r="AB79" t="e">
        <f>VLOOKUP(Table1[[#This Row],[MA_Number]],#REF!, 2,FALSE)</f>
        <v>#REF!</v>
      </c>
      <c r="AC79">
        <v>17</v>
      </c>
    </row>
    <row r="80" spans="1:29" hidden="1" x14ac:dyDescent="0.3">
      <c r="A80" t="s">
        <v>147</v>
      </c>
      <c r="B80" s="1" t="s">
        <v>244</v>
      </c>
      <c r="C80" s="1"/>
      <c r="D80" t="s">
        <v>279</v>
      </c>
      <c r="F80" t="b">
        <v>0</v>
      </c>
      <c r="I80">
        <v>1</v>
      </c>
      <c r="J80">
        <v>45</v>
      </c>
      <c r="K80">
        <v>36</v>
      </c>
      <c r="L80">
        <v>50</v>
      </c>
      <c r="M80" t="s">
        <v>48</v>
      </c>
      <c r="N80" t="s">
        <v>24</v>
      </c>
      <c r="O80" t="b">
        <v>1</v>
      </c>
      <c r="X80">
        <v>30</v>
      </c>
      <c r="AA80" t="e">
        <f>Table1[[#This Row],[qPer board]]*Table1[[#This Row],[boards]]</f>
        <v>#REF!</v>
      </c>
      <c r="AB80" t="e">
        <f>VLOOKUP(Table1[[#This Row],[MA_Number]],#REF!, 2,FALSE)</f>
        <v>#REF!</v>
      </c>
      <c r="AC80">
        <v>17</v>
      </c>
    </row>
    <row r="81" spans="1:29" hidden="1" x14ac:dyDescent="0.3">
      <c r="A81" t="s">
        <v>148</v>
      </c>
      <c r="B81" s="1" t="s">
        <v>245</v>
      </c>
      <c r="C81" s="1"/>
      <c r="D81" t="s">
        <v>279</v>
      </c>
      <c r="E81" t="s">
        <v>1755</v>
      </c>
      <c r="F81" t="b">
        <v>0</v>
      </c>
      <c r="I81">
        <v>1</v>
      </c>
      <c r="J81">
        <v>45</v>
      </c>
      <c r="K81">
        <v>36</v>
      </c>
      <c r="L81">
        <v>50</v>
      </c>
      <c r="M81" t="s">
        <v>50</v>
      </c>
      <c r="N81" t="s">
        <v>24</v>
      </c>
      <c r="O81" t="b">
        <v>1</v>
      </c>
      <c r="X81">
        <v>30</v>
      </c>
      <c r="AA81" t="e">
        <f>Table1[[#This Row],[qPer board]]*Table1[[#This Row],[boards]]</f>
        <v>#REF!</v>
      </c>
      <c r="AB81" t="e">
        <f>VLOOKUP(Table1[[#This Row],[MA_Number]],#REF!, 2,FALSE)</f>
        <v>#REF!</v>
      </c>
      <c r="AC81">
        <v>17</v>
      </c>
    </row>
    <row r="82" spans="1:29" hidden="1" x14ac:dyDescent="0.3">
      <c r="A82" t="s">
        <v>149</v>
      </c>
      <c r="B82" s="1" t="s">
        <v>246</v>
      </c>
      <c r="C82" s="1"/>
      <c r="D82" t="s">
        <v>279</v>
      </c>
      <c r="F82" t="b">
        <v>0</v>
      </c>
      <c r="I82">
        <v>1</v>
      </c>
      <c r="J82">
        <v>45</v>
      </c>
      <c r="K82">
        <v>36</v>
      </c>
      <c r="L82">
        <v>50</v>
      </c>
      <c r="M82" t="s">
        <v>53</v>
      </c>
      <c r="N82" t="s">
        <v>24</v>
      </c>
      <c r="O82" t="b">
        <v>1</v>
      </c>
      <c r="X82">
        <v>30</v>
      </c>
      <c r="AA82" t="e">
        <f>Table1[[#This Row],[qPer board]]*Table1[[#This Row],[boards]]</f>
        <v>#REF!</v>
      </c>
      <c r="AB82" t="e">
        <f>VLOOKUP(Table1[[#This Row],[MA_Number]],#REF!, 2,FALSE)</f>
        <v>#REF!</v>
      </c>
      <c r="AC82">
        <v>17</v>
      </c>
    </row>
    <row r="83" spans="1:29" hidden="1" x14ac:dyDescent="0.3">
      <c r="A83" t="s">
        <v>150</v>
      </c>
      <c r="B83" s="1" t="s">
        <v>247</v>
      </c>
      <c r="C83" s="1"/>
      <c r="D83" t="s">
        <v>279</v>
      </c>
      <c r="F83" t="b">
        <v>0</v>
      </c>
      <c r="I83">
        <v>1</v>
      </c>
      <c r="J83">
        <v>45</v>
      </c>
      <c r="K83">
        <v>36</v>
      </c>
      <c r="L83">
        <v>50</v>
      </c>
      <c r="M83" t="s">
        <v>52</v>
      </c>
      <c r="N83" t="s">
        <v>24</v>
      </c>
      <c r="O83" t="b">
        <v>1</v>
      </c>
      <c r="X83">
        <v>30</v>
      </c>
      <c r="AA83" t="e">
        <f>Table1[[#This Row],[qPer board]]*Table1[[#This Row],[boards]]</f>
        <v>#REF!</v>
      </c>
      <c r="AB83" t="e">
        <f>VLOOKUP(Table1[[#This Row],[MA_Number]],#REF!, 2,FALSE)</f>
        <v>#REF!</v>
      </c>
      <c r="AC83">
        <v>17</v>
      </c>
    </row>
    <row r="84" spans="1:29" hidden="1" x14ac:dyDescent="0.3">
      <c r="A84" t="s">
        <v>151</v>
      </c>
      <c r="B84" s="1" t="s">
        <v>248</v>
      </c>
      <c r="C84" s="1"/>
      <c r="D84" t="s">
        <v>279</v>
      </c>
      <c r="F84" t="b">
        <v>0</v>
      </c>
      <c r="I84">
        <v>1</v>
      </c>
      <c r="J84">
        <v>42</v>
      </c>
      <c r="K84">
        <v>37</v>
      </c>
      <c r="L84">
        <v>43</v>
      </c>
      <c r="M84" t="s">
        <v>54</v>
      </c>
      <c r="N84" t="s">
        <v>24</v>
      </c>
      <c r="O84" t="b">
        <v>1</v>
      </c>
      <c r="AA84" t="e">
        <f>Table1[[#This Row],[qPer board]]*Table1[[#This Row],[boards]]</f>
        <v>#REF!</v>
      </c>
      <c r="AB84" t="e">
        <f>VLOOKUP(Table1[[#This Row],[MA_Number]],#REF!, 2,FALSE)</f>
        <v>#REF!</v>
      </c>
      <c r="AC84">
        <v>17</v>
      </c>
    </row>
    <row r="85" spans="1:29" hidden="1" x14ac:dyDescent="0.3">
      <c r="A85" t="s">
        <v>152</v>
      </c>
      <c r="B85" s="1" t="s">
        <v>249</v>
      </c>
      <c r="C85" s="1"/>
      <c r="D85" t="s">
        <v>279</v>
      </c>
      <c r="F85" t="b">
        <v>0</v>
      </c>
      <c r="I85">
        <v>1</v>
      </c>
      <c r="J85">
        <v>42</v>
      </c>
      <c r="K85">
        <v>37</v>
      </c>
      <c r="L85">
        <v>43</v>
      </c>
      <c r="M85" t="s">
        <v>54</v>
      </c>
      <c r="N85" t="s">
        <v>24</v>
      </c>
      <c r="O85" t="b">
        <v>1</v>
      </c>
      <c r="AA85" t="e">
        <f>Table1[[#This Row],[qPer board]]*Table1[[#This Row],[boards]]</f>
        <v>#REF!</v>
      </c>
      <c r="AB85" t="e">
        <f>VLOOKUP(Table1[[#This Row],[MA_Number]],#REF!, 2,FALSE)</f>
        <v>#REF!</v>
      </c>
      <c r="AC85">
        <v>17</v>
      </c>
    </row>
    <row r="86" spans="1:29" hidden="1" x14ac:dyDescent="0.3">
      <c r="A86" t="s">
        <v>153</v>
      </c>
      <c r="B86" s="1" t="s">
        <v>250</v>
      </c>
      <c r="C86" s="1"/>
      <c r="D86" t="s">
        <v>279</v>
      </c>
      <c r="F86" t="b">
        <v>0</v>
      </c>
      <c r="I86">
        <v>1</v>
      </c>
      <c r="J86">
        <v>42</v>
      </c>
      <c r="K86">
        <v>37</v>
      </c>
      <c r="L86">
        <v>43</v>
      </c>
      <c r="M86" t="s">
        <v>54</v>
      </c>
      <c r="N86" t="s">
        <v>24</v>
      </c>
      <c r="O86" t="b">
        <v>1</v>
      </c>
      <c r="AA86" t="e">
        <f>Table1[[#This Row],[qPer board]]*Table1[[#This Row],[boards]]</f>
        <v>#REF!</v>
      </c>
      <c r="AB86" t="e">
        <f>VLOOKUP(Table1[[#This Row],[MA_Number]],#REF!, 2,FALSE)</f>
        <v>#REF!</v>
      </c>
      <c r="AC86">
        <v>17</v>
      </c>
    </row>
    <row r="87" spans="1:29" hidden="1" x14ac:dyDescent="0.3">
      <c r="A87" t="s">
        <v>154</v>
      </c>
      <c r="B87" s="1" t="s">
        <v>251</v>
      </c>
      <c r="C87" s="1"/>
      <c r="D87" t="s">
        <v>279</v>
      </c>
      <c r="F87" t="b">
        <v>0</v>
      </c>
      <c r="I87">
        <v>1</v>
      </c>
      <c r="J87">
        <v>44</v>
      </c>
      <c r="K87">
        <v>41</v>
      </c>
      <c r="L87">
        <v>50</v>
      </c>
      <c r="M87" t="s">
        <v>54</v>
      </c>
      <c r="N87" t="s">
        <v>24</v>
      </c>
      <c r="O87" t="b">
        <v>1</v>
      </c>
      <c r="AA87" t="e">
        <f>Table1[[#This Row],[qPer board]]*Table1[[#This Row],[boards]]</f>
        <v>#REF!</v>
      </c>
      <c r="AB87" t="e">
        <f>VLOOKUP(Table1[[#This Row],[MA_Number]],#REF!, 2,FALSE)</f>
        <v>#REF!</v>
      </c>
      <c r="AC87">
        <v>17</v>
      </c>
    </row>
    <row r="88" spans="1:29" hidden="1" x14ac:dyDescent="0.3">
      <c r="A88" t="s">
        <v>155</v>
      </c>
      <c r="B88" s="1" t="s">
        <v>252</v>
      </c>
      <c r="C88" s="1"/>
      <c r="D88" t="s">
        <v>279</v>
      </c>
      <c r="F88" t="b">
        <v>0</v>
      </c>
      <c r="I88">
        <v>1</v>
      </c>
      <c r="J88">
        <v>44</v>
      </c>
      <c r="K88">
        <v>38</v>
      </c>
      <c r="L88">
        <v>47</v>
      </c>
      <c r="M88" t="s">
        <v>50</v>
      </c>
      <c r="N88" t="s">
        <v>24</v>
      </c>
      <c r="O88" t="b">
        <v>1</v>
      </c>
      <c r="X88">
        <v>30</v>
      </c>
      <c r="AA88" t="e">
        <f>Table1[[#This Row],[qPer board]]*Table1[[#This Row],[boards]]</f>
        <v>#REF!</v>
      </c>
      <c r="AB88" t="e">
        <f>VLOOKUP(Table1[[#This Row],[MA_Number]],#REF!, 2,FALSE)</f>
        <v>#REF!</v>
      </c>
      <c r="AC88">
        <v>17</v>
      </c>
    </row>
    <row r="89" spans="1:29" hidden="1" x14ac:dyDescent="0.3">
      <c r="A89" t="s">
        <v>156</v>
      </c>
      <c r="B89" s="1" t="s">
        <v>657</v>
      </c>
      <c r="C89" s="1"/>
      <c r="D89" t="s">
        <v>279</v>
      </c>
      <c r="F89" t="b">
        <v>0</v>
      </c>
      <c r="I89">
        <v>1</v>
      </c>
      <c r="J89">
        <v>39</v>
      </c>
      <c r="K89">
        <v>39</v>
      </c>
      <c r="L89">
        <v>53</v>
      </c>
      <c r="M89" t="s">
        <v>48</v>
      </c>
      <c r="N89" t="s">
        <v>24</v>
      </c>
      <c r="O89" t="b">
        <v>1</v>
      </c>
      <c r="X89">
        <v>30</v>
      </c>
      <c r="AA89" t="e">
        <f>Table1[[#This Row],[qPer board]]*Table1[[#This Row],[boards]]</f>
        <v>#REF!</v>
      </c>
      <c r="AB89" t="e">
        <f>VLOOKUP(Table1[[#This Row],[MA_Number]],#REF!, 2,FALSE)</f>
        <v>#REF!</v>
      </c>
      <c r="AC89">
        <v>17</v>
      </c>
    </row>
    <row r="90" spans="1:29" hidden="1" x14ac:dyDescent="0.3">
      <c r="A90" t="s">
        <v>157</v>
      </c>
      <c r="B90" s="1">
        <v>7178270480</v>
      </c>
      <c r="C90" s="1" t="s">
        <v>793</v>
      </c>
      <c r="D90" t="s">
        <v>279</v>
      </c>
      <c r="F90" t="b">
        <v>0</v>
      </c>
      <c r="I90">
        <v>1</v>
      </c>
      <c r="J90">
        <v>83</v>
      </c>
      <c r="K90">
        <v>62</v>
      </c>
      <c r="L90">
        <v>58</v>
      </c>
      <c r="M90" t="s">
        <v>51</v>
      </c>
      <c r="N90" t="s">
        <v>24</v>
      </c>
      <c r="O90" t="b">
        <v>1</v>
      </c>
      <c r="AA90" t="e">
        <f>Table1[[#This Row],[qPer board]]*Table1[[#This Row],[boards]]</f>
        <v>#REF!</v>
      </c>
      <c r="AB90" t="e">
        <f>VLOOKUP(Table1[[#This Row],[MA_Number]],#REF!, 2,FALSE)</f>
        <v>#REF!</v>
      </c>
      <c r="AC90">
        <v>17</v>
      </c>
    </row>
    <row r="91" spans="1:29" hidden="1" x14ac:dyDescent="0.3">
      <c r="A91" t="s">
        <v>158</v>
      </c>
      <c r="B91" s="1">
        <v>7075226730</v>
      </c>
      <c r="C91" s="1" t="s">
        <v>794</v>
      </c>
      <c r="D91" t="s">
        <v>279</v>
      </c>
      <c r="F91" t="b">
        <v>0</v>
      </c>
      <c r="I91">
        <v>1</v>
      </c>
      <c r="J91">
        <v>75</v>
      </c>
      <c r="K91">
        <v>32</v>
      </c>
      <c r="L91">
        <v>70</v>
      </c>
      <c r="M91" t="s">
        <v>49</v>
      </c>
      <c r="N91" t="s">
        <v>24</v>
      </c>
      <c r="O91" t="b">
        <v>1</v>
      </c>
      <c r="AA91" t="e">
        <f>Table1[[#This Row],[qPer board]]*Table1[[#This Row],[boards]]</f>
        <v>#REF!</v>
      </c>
      <c r="AB91" t="e">
        <f>VLOOKUP(Table1[[#This Row],[MA_Number]],#REF!, 2,FALSE)</f>
        <v>#REF!</v>
      </c>
      <c r="AC91">
        <v>17</v>
      </c>
    </row>
    <row r="92" spans="1:29" hidden="1" x14ac:dyDescent="0.3">
      <c r="A92" t="s">
        <v>159</v>
      </c>
      <c r="B92" s="1" t="s">
        <v>254</v>
      </c>
      <c r="C92" s="1"/>
      <c r="D92" t="s">
        <v>279</v>
      </c>
      <c r="F92" t="b">
        <v>0</v>
      </c>
      <c r="I92">
        <v>1</v>
      </c>
      <c r="J92">
        <v>40</v>
      </c>
      <c r="K92">
        <v>31</v>
      </c>
      <c r="L92">
        <v>58</v>
      </c>
      <c r="M92" t="s">
        <v>48</v>
      </c>
      <c r="N92" t="s">
        <v>24</v>
      </c>
      <c r="O92" t="b">
        <v>1</v>
      </c>
      <c r="AA92" t="e">
        <f>Table1[[#This Row],[qPer board]]*Table1[[#This Row],[boards]]</f>
        <v>#REF!</v>
      </c>
      <c r="AB92" t="e">
        <f>VLOOKUP(Table1[[#This Row],[MA_Number]],#REF!, 2,FALSE)</f>
        <v>#REF!</v>
      </c>
      <c r="AC92">
        <v>17</v>
      </c>
    </row>
    <row r="93" spans="1:29" hidden="1" x14ac:dyDescent="0.3">
      <c r="A93" t="s">
        <v>160</v>
      </c>
      <c r="B93" s="1" t="s">
        <v>254</v>
      </c>
      <c r="C93" s="1"/>
      <c r="D93" t="s">
        <v>279</v>
      </c>
      <c r="F93" t="b">
        <v>0</v>
      </c>
      <c r="I93">
        <v>1</v>
      </c>
      <c r="J93">
        <v>52</v>
      </c>
      <c r="K93">
        <v>36</v>
      </c>
      <c r="L93">
        <v>47</v>
      </c>
      <c r="M93" t="s">
        <v>49</v>
      </c>
      <c r="N93" t="s">
        <v>24</v>
      </c>
      <c r="O93" t="b">
        <v>1</v>
      </c>
      <c r="AA93" t="e">
        <f>Table1[[#This Row],[qPer board]]*Table1[[#This Row],[boards]]</f>
        <v>#REF!</v>
      </c>
      <c r="AB93" t="e">
        <f>VLOOKUP(Table1[[#This Row],[MA_Number]],#REF!, 2,FALSE)</f>
        <v>#REF!</v>
      </c>
      <c r="AC93">
        <v>17</v>
      </c>
    </row>
    <row r="94" spans="1:29" hidden="1" x14ac:dyDescent="0.3">
      <c r="A94" t="s">
        <v>161</v>
      </c>
      <c r="B94" s="1" t="s">
        <v>596</v>
      </c>
      <c r="C94" s="1"/>
      <c r="D94" t="s">
        <v>279</v>
      </c>
      <c r="F94" t="b">
        <v>0</v>
      </c>
      <c r="I94">
        <v>1</v>
      </c>
      <c r="J94">
        <v>40</v>
      </c>
      <c r="K94">
        <v>33</v>
      </c>
      <c r="L94">
        <v>52</v>
      </c>
      <c r="M94" t="s">
        <v>53</v>
      </c>
      <c r="N94" t="s">
        <v>24</v>
      </c>
      <c r="O94" t="b">
        <v>1</v>
      </c>
      <c r="X94">
        <v>30</v>
      </c>
      <c r="AA94" t="e">
        <f>Table1[[#This Row],[qPer board]]*Table1[[#This Row],[boards]]</f>
        <v>#REF!</v>
      </c>
      <c r="AB94" t="e">
        <f>VLOOKUP(Table1[[#This Row],[MA_Number]],#REF!, 2,FALSE)</f>
        <v>#REF!</v>
      </c>
      <c r="AC94">
        <v>17</v>
      </c>
    </row>
    <row r="95" spans="1:29" hidden="1" x14ac:dyDescent="0.3">
      <c r="A95" t="s">
        <v>162</v>
      </c>
      <c r="B95" s="1" t="s">
        <v>256</v>
      </c>
      <c r="C95" s="1"/>
      <c r="D95" t="s">
        <v>279</v>
      </c>
      <c r="F95" t="b">
        <v>0</v>
      </c>
      <c r="I95">
        <v>1</v>
      </c>
      <c r="J95">
        <v>97</v>
      </c>
      <c r="K95">
        <v>100</v>
      </c>
      <c r="L95">
        <v>65</v>
      </c>
      <c r="M95" t="s">
        <v>54</v>
      </c>
      <c r="N95" t="s">
        <v>24</v>
      </c>
      <c r="O95" t="b">
        <v>1</v>
      </c>
      <c r="AA95" t="e">
        <f>Table1[[#This Row],[qPer board]]*Table1[[#This Row],[boards]]</f>
        <v>#REF!</v>
      </c>
      <c r="AB95" t="e">
        <f>VLOOKUP(Table1[[#This Row],[MA_Number]],#REF!, 2,FALSE)</f>
        <v>#REF!</v>
      </c>
      <c r="AC95">
        <v>17</v>
      </c>
    </row>
    <row r="96" spans="1:29" hidden="1" x14ac:dyDescent="0.3">
      <c r="A96" t="s">
        <v>163</v>
      </c>
      <c r="B96" s="1" t="s">
        <v>257</v>
      </c>
      <c r="C96" s="1"/>
      <c r="D96" t="s">
        <v>279</v>
      </c>
      <c r="E96" t="s">
        <v>294</v>
      </c>
      <c r="F96" t="b">
        <v>0</v>
      </c>
      <c r="I96">
        <v>1</v>
      </c>
      <c r="J96">
        <v>120</v>
      </c>
      <c r="K96">
        <v>100</v>
      </c>
      <c r="L96">
        <v>70</v>
      </c>
      <c r="M96" t="s">
        <v>48</v>
      </c>
      <c r="N96" t="s">
        <v>24</v>
      </c>
      <c r="O96" t="b">
        <v>1</v>
      </c>
      <c r="AA96" t="e">
        <f>Table1[[#This Row],[qPer board]]*Table1[[#This Row],[boards]]</f>
        <v>#REF!</v>
      </c>
      <c r="AB96" t="e">
        <f>VLOOKUP(Table1[[#This Row],[MA_Number]],#REF!, 2,FALSE)</f>
        <v>#REF!</v>
      </c>
      <c r="AC96">
        <v>17</v>
      </c>
    </row>
    <row r="97" spans="1:29" hidden="1" x14ac:dyDescent="0.3">
      <c r="A97" t="s">
        <v>164</v>
      </c>
      <c r="B97" s="1">
        <v>7009741102</v>
      </c>
      <c r="C97" s="1"/>
      <c r="D97" t="s">
        <v>279</v>
      </c>
      <c r="F97" t="b">
        <v>0</v>
      </c>
      <c r="I97">
        <v>1</v>
      </c>
      <c r="J97">
        <v>43</v>
      </c>
      <c r="K97">
        <v>40</v>
      </c>
      <c r="L97">
        <v>50</v>
      </c>
      <c r="M97" t="s">
        <v>48</v>
      </c>
      <c r="N97" t="s">
        <v>24</v>
      </c>
      <c r="O97" t="b">
        <v>1</v>
      </c>
      <c r="AA97" t="e">
        <f>Table1[[#This Row],[qPer board]]*Table1[[#This Row],[boards]]</f>
        <v>#REF!</v>
      </c>
      <c r="AB97" t="e">
        <f>VLOOKUP(Table1[[#This Row],[MA_Number]],#REF!, 2,FALSE)</f>
        <v>#REF!</v>
      </c>
      <c r="AC97">
        <v>17</v>
      </c>
    </row>
    <row r="98" spans="1:29" hidden="1" x14ac:dyDescent="0.3">
      <c r="A98" t="s">
        <v>1357</v>
      </c>
      <c r="B98" s="1" t="s">
        <v>258</v>
      </c>
      <c r="C98" s="1"/>
      <c r="D98" t="s">
        <v>279</v>
      </c>
      <c r="F98" t="b">
        <v>0</v>
      </c>
      <c r="I98">
        <v>1</v>
      </c>
      <c r="J98">
        <v>61</v>
      </c>
      <c r="K98">
        <v>50</v>
      </c>
      <c r="L98">
        <v>87</v>
      </c>
      <c r="M98" t="s">
        <v>48</v>
      </c>
      <c r="N98" t="s">
        <v>24</v>
      </c>
      <c r="O98" t="b">
        <v>1</v>
      </c>
      <c r="AA98" t="e">
        <f>Table1[[#This Row],[qPer board]]*Table1[[#This Row],[boards]]</f>
        <v>#REF!</v>
      </c>
      <c r="AB98" t="e">
        <f>VLOOKUP(Table1[[#This Row],[MA_Number]],#REF!, 2,FALSE)</f>
        <v>#REF!</v>
      </c>
      <c r="AC98">
        <v>17</v>
      </c>
    </row>
    <row r="99" spans="1:29" hidden="1" x14ac:dyDescent="0.3">
      <c r="A99" t="s">
        <v>165</v>
      </c>
      <c r="B99" s="1">
        <v>7289063430</v>
      </c>
      <c r="C99" s="1"/>
      <c r="D99" t="s">
        <v>279</v>
      </c>
      <c r="F99" t="b">
        <v>0</v>
      </c>
      <c r="I99">
        <v>1</v>
      </c>
      <c r="J99">
        <v>54</v>
      </c>
      <c r="K99">
        <v>44</v>
      </c>
      <c r="L99">
        <v>47</v>
      </c>
      <c r="M99" t="s">
        <v>49</v>
      </c>
      <c r="N99" t="s">
        <v>24</v>
      </c>
      <c r="O99" t="b">
        <v>1</v>
      </c>
      <c r="X99">
        <v>34</v>
      </c>
      <c r="AA99">
        <f>Table1[[#This Row],[qPer board]]*Table1[[#This Row],[boards]]</f>
        <v>17</v>
      </c>
      <c r="AB99">
        <v>1</v>
      </c>
      <c r="AC99">
        <v>17</v>
      </c>
    </row>
    <row r="100" spans="1:29" hidden="1" x14ac:dyDescent="0.3">
      <c r="A100" t="s">
        <v>166</v>
      </c>
      <c r="B100" s="1" t="s">
        <v>259</v>
      </c>
      <c r="C100" s="1"/>
      <c r="D100" t="s">
        <v>279</v>
      </c>
      <c r="F100" t="b">
        <v>0</v>
      </c>
      <c r="I100">
        <v>1</v>
      </c>
      <c r="J100">
        <v>80</v>
      </c>
      <c r="K100">
        <v>60</v>
      </c>
      <c r="L100">
        <v>58</v>
      </c>
      <c r="M100" t="s">
        <v>49</v>
      </c>
      <c r="N100" t="s">
        <v>24</v>
      </c>
      <c r="O100" t="b">
        <v>1</v>
      </c>
      <c r="AA100" t="e">
        <f>Table1[[#This Row],[qPer board]]*Table1[[#This Row],[boards]]</f>
        <v>#REF!</v>
      </c>
      <c r="AB100" t="e">
        <f>VLOOKUP(Table1[[#This Row],[MA_Number]],#REF!, 2,FALSE)</f>
        <v>#REF!</v>
      </c>
      <c r="AC100">
        <v>17</v>
      </c>
    </row>
    <row r="101" spans="1:29" hidden="1" x14ac:dyDescent="0.3">
      <c r="A101" t="s">
        <v>167</v>
      </c>
      <c r="B101" s="1" t="s">
        <v>594</v>
      </c>
      <c r="C101" s="1"/>
      <c r="D101" t="s">
        <v>279</v>
      </c>
      <c r="E101" t="s">
        <v>2137</v>
      </c>
      <c r="F101" t="b">
        <v>0</v>
      </c>
      <c r="I101">
        <v>1</v>
      </c>
      <c r="J101">
        <v>40</v>
      </c>
      <c r="K101">
        <v>33</v>
      </c>
      <c r="L101">
        <v>52</v>
      </c>
      <c r="M101" t="s">
        <v>48</v>
      </c>
      <c r="N101" t="s">
        <v>24</v>
      </c>
      <c r="O101" t="b">
        <v>1</v>
      </c>
      <c r="X101">
        <v>34</v>
      </c>
      <c r="AA101">
        <f>Table1[[#This Row],[qPer board]]*Table1[[#This Row],[boards]]</f>
        <v>17</v>
      </c>
      <c r="AB101">
        <v>1</v>
      </c>
      <c r="AC101">
        <v>17</v>
      </c>
    </row>
    <row r="102" spans="1:29" hidden="1" x14ac:dyDescent="0.3">
      <c r="A102" t="s">
        <v>168</v>
      </c>
      <c r="B102" s="1" t="s">
        <v>260</v>
      </c>
      <c r="C102" s="1"/>
      <c r="D102" t="s">
        <v>279</v>
      </c>
      <c r="E102" t="s">
        <v>2135</v>
      </c>
      <c r="F102" t="b">
        <v>0</v>
      </c>
      <c r="I102">
        <v>1</v>
      </c>
      <c r="J102">
        <v>40</v>
      </c>
      <c r="K102">
        <v>35</v>
      </c>
      <c r="L102">
        <v>52</v>
      </c>
      <c r="M102" t="s">
        <v>52</v>
      </c>
      <c r="N102" t="s">
        <v>24</v>
      </c>
      <c r="O102" t="b">
        <v>1</v>
      </c>
      <c r="X102">
        <v>34</v>
      </c>
      <c r="AA102">
        <f>Table1[[#This Row],[qPer board]]*Table1[[#This Row],[boards]]</f>
        <v>17</v>
      </c>
      <c r="AB102">
        <v>1</v>
      </c>
      <c r="AC102">
        <v>17</v>
      </c>
    </row>
    <row r="103" spans="1:29" hidden="1" x14ac:dyDescent="0.3">
      <c r="A103" t="s">
        <v>169</v>
      </c>
      <c r="B103" s="1" t="s">
        <v>627</v>
      </c>
      <c r="C103" s="1"/>
      <c r="D103" t="s">
        <v>279</v>
      </c>
      <c r="F103" t="b">
        <v>0</v>
      </c>
      <c r="I103">
        <v>1</v>
      </c>
      <c r="J103">
        <v>45</v>
      </c>
      <c r="K103">
        <v>40</v>
      </c>
      <c r="L103">
        <v>46</v>
      </c>
      <c r="M103" t="s">
        <v>53</v>
      </c>
      <c r="N103" t="s">
        <v>24</v>
      </c>
      <c r="O103" t="b">
        <v>1</v>
      </c>
      <c r="X103">
        <v>30</v>
      </c>
      <c r="AA103" t="e">
        <f>Table1[[#This Row],[qPer board]]*Table1[[#This Row],[boards]]</f>
        <v>#REF!</v>
      </c>
      <c r="AB103" t="e">
        <f>VLOOKUP(Table1[[#This Row],[MA_Number]],#REF!, 2,FALSE)</f>
        <v>#REF!</v>
      </c>
      <c r="AC103">
        <v>17</v>
      </c>
    </row>
    <row r="104" spans="1:29" hidden="1" x14ac:dyDescent="0.3">
      <c r="A104" t="s">
        <v>170</v>
      </c>
      <c r="B104" s="1" t="s">
        <v>261</v>
      </c>
      <c r="C104" s="1"/>
      <c r="D104" t="s">
        <v>279</v>
      </c>
      <c r="F104" t="b">
        <v>0</v>
      </c>
      <c r="I104">
        <v>1</v>
      </c>
      <c r="J104">
        <v>45</v>
      </c>
      <c r="K104">
        <v>35</v>
      </c>
      <c r="L104">
        <v>47</v>
      </c>
      <c r="M104" t="s">
        <v>53</v>
      </c>
      <c r="N104" t="s">
        <v>24</v>
      </c>
      <c r="O104" t="b">
        <v>1</v>
      </c>
      <c r="X104">
        <v>30</v>
      </c>
      <c r="AA104" t="e">
        <f>Table1[[#This Row],[qPer board]]*Table1[[#This Row],[boards]]</f>
        <v>#REF!</v>
      </c>
      <c r="AB104" t="e">
        <f>VLOOKUP(Table1[[#This Row],[MA_Number]],#REF!, 2,FALSE)</f>
        <v>#REF!</v>
      </c>
      <c r="AC104">
        <v>17</v>
      </c>
    </row>
    <row r="105" spans="1:29" hidden="1" x14ac:dyDescent="0.3">
      <c r="A105" t="s">
        <v>171</v>
      </c>
      <c r="B105" s="1">
        <v>7047135830</v>
      </c>
      <c r="C105" s="1"/>
      <c r="D105" t="s">
        <v>282</v>
      </c>
      <c r="F105" t="b">
        <v>0</v>
      </c>
      <c r="I105">
        <v>1</v>
      </c>
      <c r="J105">
        <v>31</v>
      </c>
      <c r="K105">
        <v>20</v>
      </c>
      <c r="L105">
        <v>55</v>
      </c>
      <c r="M105" t="s">
        <v>49</v>
      </c>
      <c r="N105" t="s">
        <v>24</v>
      </c>
      <c r="O105" t="b">
        <v>1</v>
      </c>
      <c r="AA105" t="e">
        <f>Table1[[#This Row],[qPer board]]*Table1[[#This Row],[boards]]</f>
        <v>#REF!</v>
      </c>
      <c r="AB105" t="e">
        <f>VLOOKUP(Table1[[#This Row],[MA_Number]],#REF!, 2,FALSE)</f>
        <v>#REF!</v>
      </c>
      <c r="AC105">
        <v>17</v>
      </c>
    </row>
    <row r="106" spans="1:29" hidden="1" x14ac:dyDescent="0.3">
      <c r="A106" t="s">
        <v>1341</v>
      </c>
      <c r="B106" s="1">
        <v>7047186030</v>
      </c>
      <c r="C106" s="1"/>
      <c r="D106" t="s">
        <v>282</v>
      </c>
      <c r="E106" t="s">
        <v>270</v>
      </c>
      <c r="F106" t="b">
        <v>0</v>
      </c>
      <c r="I106">
        <v>1</v>
      </c>
      <c r="J106">
        <v>35</v>
      </c>
      <c r="K106">
        <v>20</v>
      </c>
      <c r="L106">
        <v>47</v>
      </c>
      <c r="M106" t="s">
        <v>49</v>
      </c>
      <c r="N106" t="s">
        <v>24</v>
      </c>
      <c r="O106" t="b">
        <v>1</v>
      </c>
      <c r="Q106" t="b">
        <v>1</v>
      </c>
      <c r="R106">
        <v>105</v>
      </c>
      <c r="S106">
        <v>35</v>
      </c>
      <c r="T106">
        <v>47</v>
      </c>
      <c r="U106">
        <v>5</v>
      </c>
      <c r="X106">
        <v>32</v>
      </c>
      <c r="AA106">
        <f>Table1[[#This Row],[qPer board]]*Table1[[#This Row],[boards]]</f>
        <v>510</v>
      </c>
      <c r="AB106">
        <v>30</v>
      </c>
      <c r="AC106">
        <v>17</v>
      </c>
    </row>
    <row r="107" spans="1:29" hidden="1" x14ac:dyDescent="0.3">
      <c r="A107" t="s">
        <v>173</v>
      </c>
      <c r="B107" s="1">
        <v>7047273930</v>
      </c>
      <c r="C107" s="1"/>
      <c r="D107" t="s">
        <v>282</v>
      </c>
      <c r="F107" t="b">
        <v>0</v>
      </c>
      <c r="I107">
        <v>1</v>
      </c>
      <c r="J107">
        <v>34</v>
      </c>
      <c r="K107">
        <v>20</v>
      </c>
      <c r="L107">
        <v>50</v>
      </c>
      <c r="M107" t="s">
        <v>49</v>
      </c>
      <c r="N107" t="s">
        <v>24</v>
      </c>
      <c r="O107" t="b">
        <v>1</v>
      </c>
      <c r="AA107" t="e">
        <f>Table1[[#This Row],[qPer board]]*Table1[[#This Row],[boards]]</f>
        <v>#REF!</v>
      </c>
      <c r="AB107" t="e">
        <f>VLOOKUP(Table1[[#This Row],[MA_Number]],#REF!, 2,FALSE)</f>
        <v>#REF!</v>
      </c>
      <c r="AC107">
        <v>17</v>
      </c>
    </row>
    <row r="108" spans="1:29" hidden="1" x14ac:dyDescent="0.3">
      <c r="A108" t="s">
        <v>174</v>
      </c>
      <c r="B108" s="1">
        <v>7047305630</v>
      </c>
      <c r="C108" s="1"/>
      <c r="D108" t="s">
        <v>282</v>
      </c>
      <c r="F108" t="b">
        <v>0</v>
      </c>
      <c r="I108">
        <v>1</v>
      </c>
      <c r="J108">
        <v>37</v>
      </c>
      <c r="K108">
        <v>30</v>
      </c>
      <c r="L108">
        <v>45</v>
      </c>
      <c r="M108" t="s">
        <v>49</v>
      </c>
      <c r="N108" t="s">
        <v>24</v>
      </c>
      <c r="O108" t="b">
        <v>1</v>
      </c>
      <c r="AA108" t="e">
        <f>Table1[[#This Row],[qPer board]]*Table1[[#This Row],[boards]]</f>
        <v>#REF!</v>
      </c>
      <c r="AB108" t="e">
        <f>VLOOKUP(Table1[[#This Row],[MA_Number]],#REF!, 2,FALSE)</f>
        <v>#REF!</v>
      </c>
      <c r="AC108">
        <v>17</v>
      </c>
    </row>
    <row r="109" spans="1:29" hidden="1" x14ac:dyDescent="0.3">
      <c r="A109" t="s">
        <v>175</v>
      </c>
      <c r="B109" s="1">
        <v>7052161430</v>
      </c>
      <c r="C109" s="1"/>
      <c r="D109" t="s">
        <v>282</v>
      </c>
      <c r="F109" t="b">
        <v>0</v>
      </c>
      <c r="I109">
        <v>1</v>
      </c>
      <c r="J109">
        <v>34</v>
      </c>
      <c r="K109">
        <v>25</v>
      </c>
      <c r="L109">
        <v>50</v>
      </c>
      <c r="M109" t="s">
        <v>49</v>
      </c>
      <c r="N109" t="s">
        <v>24</v>
      </c>
      <c r="O109" t="b">
        <v>1</v>
      </c>
      <c r="AA109" t="e">
        <f>Table1[[#This Row],[qPer board]]*Table1[[#This Row],[boards]]</f>
        <v>#REF!</v>
      </c>
      <c r="AB109" t="e">
        <f>VLOOKUP(Table1[[#This Row],[MA_Number]],#REF!, 2,FALSE)</f>
        <v>#REF!</v>
      </c>
      <c r="AC109">
        <v>17</v>
      </c>
    </row>
    <row r="110" spans="1:29" hidden="1" x14ac:dyDescent="0.3">
      <c r="A110" t="s">
        <v>176</v>
      </c>
      <c r="B110" s="1">
        <v>7047178330</v>
      </c>
      <c r="C110" s="1"/>
      <c r="D110" t="s">
        <v>282</v>
      </c>
      <c r="F110" t="b">
        <v>0</v>
      </c>
      <c r="I110">
        <v>1</v>
      </c>
      <c r="J110">
        <v>30</v>
      </c>
      <c r="K110">
        <v>20</v>
      </c>
      <c r="L110">
        <v>48</v>
      </c>
      <c r="M110" t="s">
        <v>49</v>
      </c>
      <c r="N110" t="s">
        <v>24</v>
      </c>
      <c r="O110" t="b">
        <v>1</v>
      </c>
      <c r="AA110" t="e">
        <f>Table1[[#This Row],[qPer board]]*Table1[[#This Row],[boards]]</f>
        <v>#REF!</v>
      </c>
      <c r="AB110" t="e">
        <f>VLOOKUP(Table1[[#This Row],[MA_Number]],#REF!, 2,FALSE)</f>
        <v>#REF!</v>
      </c>
      <c r="AC110">
        <v>17</v>
      </c>
    </row>
    <row r="111" spans="1:29" hidden="1" x14ac:dyDescent="0.3">
      <c r="A111" t="s">
        <v>177</v>
      </c>
      <c r="B111" s="1">
        <v>7147882430</v>
      </c>
      <c r="C111" s="1"/>
      <c r="D111" t="s">
        <v>282</v>
      </c>
      <c r="E111" t="s">
        <v>271</v>
      </c>
      <c r="F111" t="b">
        <v>0</v>
      </c>
      <c r="I111">
        <v>1</v>
      </c>
      <c r="J111">
        <v>35</v>
      </c>
      <c r="K111">
        <v>26</v>
      </c>
      <c r="L111">
        <v>40</v>
      </c>
      <c r="M111" t="s">
        <v>49</v>
      </c>
      <c r="N111" t="s">
        <v>24</v>
      </c>
      <c r="O111" t="b">
        <v>1</v>
      </c>
      <c r="Q111" t="b">
        <v>1</v>
      </c>
      <c r="R111">
        <v>138</v>
      </c>
      <c r="S111">
        <v>35</v>
      </c>
      <c r="T111">
        <v>40</v>
      </c>
      <c r="U111">
        <v>5</v>
      </c>
      <c r="X111">
        <v>32</v>
      </c>
      <c r="AA111">
        <f>Table1[[#This Row],[qPer board]]*Table1[[#This Row],[boards]]</f>
        <v>85</v>
      </c>
      <c r="AB111">
        <v>5</v>
      </c>
      <c r="AC111">
        <v>17</v>
      </c>
    </row>
    <row r="112" spans="1:29" hidden="1" x14ac:dyDescent="0.3">
      <c r="A112" t="s">
        <v>178</v>
      </c>
      <c r="B112" s="1">
        <v>7247075530</v>
      </c>
      <c r="C112" s="1"/>
      <c r="D112" t="s">
        <v>282</v>
      </c>
      <c r="F112" t="b">
        <v>0</v>
      </c>
      <c r="I112">
        <v>1</v>
      </c>
      <c r="J112">
        <v>34</v>
      </c>
      <c r="K112">
        <v>26</v>
      </c>
      <c r="L112">
        <v>50</v>
      </c>
      <c r="M112" t="s">
        <v>49</v>
      </c>
      <c r="N112" t="s">
        <v>24</v>
      </c>
      <c r="O112" t="b">
        <v>1</v>
      </c>
      <c r="AA112" t="e">
        <f>Table1[[#This Row],[qPer board]]*Table1[[#This Row],[boards]]</f>
        <v>#REF!</v>
      </c>
      <c r="AB112" t="e">
        <f>VLOOKUP(Table1[[#This Row],[MA_Number]],#REF!, 2,FALSE)</f>
        <v>#REF!</v>
      </c>
      <c r="AC112">
        <v>17</v>
      </c>
    </row>
    <row r="113" spans="1:29" hidden="1" x14ac:dyDescent="0.3">
      <c r="A113" t="s">
        <v>179</v>
      </c>
      <c r="B113" s="1">
        <v>7247374530</v>
      </c>
      <c r="C113" s="1"/>
      <c r="D113" t="s">
        <v>282</v>
      </c>
      <c r="F113" t="b">
        <v>0</v>
      </c>
      <c r="I113">
        <v>1</v>
      </c>
      <c r="J113">
        <v>36</v>
      </c>
      <c r="K113">
        <v>26</v>
      </c>
      <c r="L113">
        <v>49</v>
      </c>
      <c r="M113" t="s">
        <v>49</v>
      </c>
      <c r="N113" t="s">
        <v>24</v>
      </c>
      <c r="O113" t="b">
        <v>1</v>
      </c>
      <c r="AA113" t="e">
        <f>Table1[[#This Row],[qPer board]]*Table1[[#This Row],[boards]]</f>
        <v>#REF!</v>
      </c>
      <c r="AB113" t="e">
        <f>VLOOKUP(Table1[[#This Row],[MA_Number]],#REF!, 2,FALSE)</f>
        <v>#REF!</v>
      </c>
      <c r="AC113">
        <v>17</v>
      </c>
    </row>
    <row r="114" spans="1:29" hidden="1" x14ac:dyDescent="0.3">
      <c r="A114" t="s">
        <v>180</v>
      </c>
      <c r="B114" s="1">
        <v>7247374930</v>
      </c>
      <c r="C114" s="1"/>
      <c r="D114" t="s">
        <v>282</v>
      </c>
      <c r="F114" t="b">
        <v>0</v>
      </c>
      <c r="I114">
        <v>1</v>
      </c>
      <c r="J114">
        <v>36</v>
      </c>
      <c r="K114">
        <v>26</v>
      </c>
      <c r="L114">
        <v>48</v>
      </c>
      <c r="M114" t="s">
        <v>49</v>
      </c>
      <c r="N114" t="s">
        <v>24</v>
      </c>
      <c r="O114" t="b">
        <v>1</v>
      </c>
      <c r="AA114" t="e">
        <f>Table1[[#This Row],[qPer board]]*Table1[[#This Row],[boards]]</f>
        <v>#REF!</v>
      </c>
      <c r="AB114" t="e">
        <f>VLOOKUP(Table1[[#This Row],[MA_Number]],#REF!, 2,FALSE)</f>
        <v>#REF!</v>
      </c>
      <c r="AC114">
        <v>17</v>
      </c>
    </row>
    <row r="115" spans="1:29" hidden="1" x14ac:dyDescent="0.3">
      <c r="A115" t="s">
        <v>181</v>
      </c>
      <c r="B115" s="1">
        <v>7247760830</v>
      </c>
      <c r="C115" s="1"/>
      <c r="D115" t="s">
        <v>282</v>
      </c>
      <c r="F115" t="b">
        <v>0</v>
      </c>
      <c r="I115">
        <v>1</v>
      </c>
      <c r="J115">
        <v>35</v>
      </c>
      <c r="K115">
        <v>35</v>
      </c>
      <c r="L115">
        <v>61</v>
      </c>
      <c r="M115" t="s">
        <v>49</v>
      </c>
      <c r="N115" t="s">
        <v>24</v>
      </c>
      <c r="O115" t="b">
        <v>1</v>
      </c>
      <c r="AA115" t="e">
        <f>Table1[[#This Row],[qPer board]]*Table1[[#This Row],[boards]]</f>
        <v>#REF!</v>
      </c>
      <c r="AB115" t="e">
        <f>VLOOKUP(Table1[[#This Row],[MA_Number]],#REF!, 2,FALSE)</f>
        <v>#REF!</v>
      </c>
      <c r="AC115">
        <v>17</v>
      </c>
    </row>
    <row r="116" spans="1:29" hidden="1" x14ac:dyDescent="0.3">
      <c r="A116" t="s">
        <v>182</v>
      </c>
      <c r="B116" s="1">
        <v>7247760930</v>
      </c>
      <c r="C116" s="1"/>
      <c r="D116" t="s">
        <v>282</v>
      </c>
      <c r="F116" t="b">
        <v>0</v>
      </c>
      <c r="I116">
        <v>1</v>
      </c>
      <c r="J116">
        <v>36</v>
      </c>
      <c r="K116">
        <v>26</v>
      </c>
      <c r="L116">
        <v>50</v>
      </c>
      <c r="M116" t="s">
        <v>49</v>
      </c>
      <c r="N116" t="s">
        <v>24</v>
      </c>
      <c r="O116" t="b">
        <v>1</v>
      </c>
      <c r="AA116" t="e">
        <f>Table1[[#This Row],[qPer board]]*Table1[[#This Row],[boards]]</f>
        <v>#REF!</v>
      </c>
      <c r="AB116" t="e">
        <f>VLOOKUP(Table1[[#This Row],[MA_Number]],#REF!, 2,FALSE)</f>
        <v>#REF!</v>
      </c>
      <c r="AC116">
        <v>17</v>
      </c>
    </row>
    <row r="117" spans="1:29" hidden="1" x14ac:dyDescent="0.3">
      <c r="A117" t="s">
        <v>183</v>
      </c>
      <c r="B117" s="1">
        <v>7247761330</v>
      </c>
      <c r="C117" s="1"/>
      <c r="D117" t="s">
        <v>282</v>
      </c>
      <c r="E117" t="s">
        <v>933</v>
      </c>
      <c r="F117" t="b">
        <v>0</v>
      </c>
      <c r="I117">
        <v>1</v>
      </c>
      <c r="J117">
        <v>30</v>
      </c>
      <c r="K117">
        <v>30</v>
      </c>
      <c r="L117">
        <v>48</v>
      </c>
      <c r="M117" t="s">
        <v>49</v>
      </c>
      <c r="N117" t="s">
        <v>24</v>
      </c>
      <c r="O117" t="b">
        <v>1</v>
      </c>
      <c r="Q117" t="b">
        <v>1</v>
      </c>
      <c r="R117">
        <v>123</v>
      </c>
      <c r="S117">
        <v>30</v>
      </c>
      <c r="T117">
        <v>48</v>
      </c>
      <c r="U117">
        <v>4</v>
      </c>
      <c r="AA117" t="e">
        <f>Table1[[#This Row],[qPer board]]*Table1[[#This Row],[boards]]</f>
        <v>#REF!</v>
      </c>
      <c r="AB117" t="e">
        <f>VLOOKUP(Table1[[#This Row],[MA_Number]],#REF!, 2,FALSE)</f>
        <v>#REF!</v>
      </c>
      <c r="AC117">
        <v>17</v>
      </c>
    </row>
    <row r="118" spans="1:29" hidden="1" x14ac:dyDescent="0.3">
      <c r="A118" t="s">
        <v>184</v>
      </c>
      <c r="B118" s="1">
        <v>7247764130</v>
      </c>
      <c r="C118" s="1"/>
      <c r="D118" t="s">
        <v>282</v>
      </c>
      <c r="F118" t="b">
        <v>0</v>
      </c>
      <c r="I118">
        <v>1</v>
      </c>
      <c r="J118">
        <v>36</v>
      </c>
      <c r="K118">
        <v>26</v>
      </c>
      <c r="L118">
        <v>50</v>
      </c>
      <c r="M118" t="s">
        <v>49</v>
      </c>
      <c r="N118" t="s">
        <v>24</v>
      </c>
      <c r="O118" t="b">
        <v>1</v>
      </c>
      <c r="AA118" t="e">
        <f>Table1[[#This Row],[qPer board]]*Table1[[#This Row],[boards]]</f>
        <v>#REF!</v>
      </c>
      <c r="AB118" t="e">
        <f>VLOOKUP(Table1[[#This Row],[MA_Number]],#REF!, 2,FALSE)</f>
        <v>#REF!</v>
      </c>
      <c r="AC118">
        <v>17</v>
      </c>
    </row>
    <row r="119" spans="1:29" hidden="1" x14ac:dyDescent="0.3">
      <c r="A119" t="s">
        <v>185</v>
      </c>
      <c r="B119" s="1">
        <v>7247776330</v>
      </c>
      <c r="C119" s="1"/>
      <c r="D119" t="s">
        <v>282</v>
      </c>
      <c r="F119" t="b">
        <v>0</v>
      </c>
      <c r="I119">
        <v>1</v>
      </c>
      <c r="J119">
        <v>36</v>
      </c>
      <c r="K119">
        <v>25</v>
      </c>
      <c r="L119">
        <v>49</v>
      </c>
      <c r="M119" t="s">
        <v>49</v>
      </c>
      <c r="N119" t="s">
        <v>24</v>
      </c>
      <c r="O119" t="b">
        <v>1</v>
      </c>
      <c r="AA119" t="e">
        <f>Table1[[#This Row],[qPer board]]*Table1[[#This Row],[boards]]</f>
        <v>#REF!</v>
      </c>
      <c r="AB119" t="e">
        <f>VLOOKUP(Table1[[#This Row],[MA_Number]],#REF!, 2,FALSE)</f>
        <v>#REF!</v>
      </c>
      <c r="AC119">
        <v>17</v>
      </c>
    </row>
    <row r="120" spans="1:29" hidden="1" x14ac:dyDescent="0.3">
      <c r="A120" t="s">
        <v>186</v>
      </c>
      <c r="B120" s="1">
        <v>7247781230</v>
      </c>
      <c r="C120" s="1"/>
      <c r="D120" t="s">
        <v>282</v>
      </c>
      <c r="F120" t="b">
        <v>0</v>
      </c>
      <c r="I120">
        <v>1</v>
      </c>
      <c r="J120">
        <v>39</v>
      </c>
      <c r="K120">
        <v>30</v>
      </c>
      <c r="L120">
        <v>45</v>
      </c>
      <c r="M120" t="s">
        <v>49</v>
      </c>
      <c r="N120" t="s">
        <v>24</v>
      </c>
      <c r="O120" t="b">
        <v>1</v>
      </c>
      <c r="AA120" t="e">
        <f>Table1[[#This Row],[qPer board]]*Table1[[#This Row],[boards]]</f>
        <v>#REF!</v>
      </c>
      <c r="AB120" t="e">
        <f>VLOOKUP(Table1[[#This Row],[MA_Number]],#REF!, 2,FALSE)</f>
        <v>#REF!</v>
      </c>
      <c r="AC120">
        <v>17</v>
      </c>
    </row>
    <row r="121" spans="1:29" hidden="1" x14ac:dyDescent="0.3">
      <c r="A121" t="s">
        <v>187</v>
      </c>
      <c r="B121" s="1">
        <v>7247781730</v>
      </c>
      <c r="C121" s="1"/>
      <c r="D121" t="s">
        <v>282</v>
      </c>
      <c r="F121" t="b">
        <v>0</v>
      </c>
      <c r="I121">
        <v>1</v>
      </c>
      <c r="J121">
        <v>38</v>
      </c>
      <c r="K121">
        <v>35</v>
      </c>
      <c r="L121">
        <v>40</v>
      </c>
      <c r="M121" t="s">
        <v>49</v>
      </c>
      <c r="N121" t="s">
        <v>24</v>
      </c>
      <c r="O121" t="b">
        <v>1</v>
      </c>
      <c r="X121">
        <v>32</v>
      </c>
      <c r="AA121">
        <f>Table1[[#This Row],[qPer board]]*Table1[[#This Row],[boards]]</f>
        <v>34</v>
      </c>
      <c r="AB121">
        <v>2</v>
      </c>
      <c r="AC121">
        <v>17</v>
      </c>
    </row>
    <row r="122" spans="1:29" hidden="1" x14ac:dyDescent="0.3">
      <c r="A122" t="s">
        <v>188</v>
      </c>
      <c r="B122" s="1">
        <v>7247787730</v>
      </c>
      <c r="C122" s="1"/>
      <c r="D122" t="s">
        <v>282</v>
      </c>
      <c r="F122" t="b">
        <v>0</v>
      </c>
      <c r="I122">
        <v>1</v>
      </c>
      <c r="J122">
        <v>36</v>
      </c>
      <c r="K122">
        <v>28</v>
      </c>
      <c r="L122">
        <v>42</v>
      </c>
      <c r="M122" t="s">
        <v>49</v>
      </c>
      <c r="N122" t="s">
        <v>24</v>
      </c>
      <c r="O122" t="b">
        <v>1</v>
      </c>
      <c r="AA122" t="e">
        <f>Table1[[#This Row],[qPer board]]*Table1[[#This Row],[boards]]</f>
        <v>#REF!</v>
      </c>
      <c r="AB122" t="e">
        <f>VLOOKUP(Table1[[#This Row],[MA_Number]],#REF!, 2,FALSE)</f>
        <v>#REF!</v>
      </c>
      <c r="AC122">
        <v>17</v>
      </c>
    </row>
    <row r="123" spans="1:29" hidden="1" x14ac:dyDescent="0.3">
      <c r="A123" t="s">
        <v>189</v>
      </c>
      <c r="B123" s="1">
        <v>72478572</v>
      </c>
      <c r="C123" s="1"/>
      <c r="D123" t="s">
        <v>282</v>
      </c>
      <c r="F123" t="b">
        <v>0</v>
      </c>
      <c r="I123">
        <v>1</v>
      </c>
      <c r="J123">
        <v>34</v>
      </c>
      <c r="K123">
        <v>20</v>
      </c>
      <c r="L123">
        <v>55</v>
      </c>
      <c r="M123" t="s">
        <v>49</v>
      </c>
      <c r="N123" t="s">
        <v>24</v>
      </c>
      <c r="O123" t="b">
        <v>1</v>
      </c>
      <c r="AA123" t="e">
        <f>Table1[[#This Row],[qPer board]]*Table1[[#This Row],[boards]]</f>
        <v>#REF!</v>
      </c>
      <c r="AB123" t="e">
        <f>VLOOKUP(Table1[[#This Row],[MA_Number]],#REF!, 2,FALSE)</f>
        <v>#REF!</v>
      </c>
      <c r="AC123">
        <v>17</v>
      </c>
    </row>
    <row r="124" spans="1:29" hidden="1" x14ac:dyDescent="0.3">
      <c r="A124" t="s">
        <v>190</v>
      </c>
      <c r="B124" s="1">
        <v>7252726530</v>
      </c>
      <c r="C124" s="1"/>
      <c r="D124" t="s">
        <v>282</v>
      </c>
      <c r="F124" t="b">
        <v>0</v>
      </c>
      <c r="I124">
        <v>1</v>
      </c>
      <c r="J124">
        <v>37</v>
      </c>
      <c r="K124">
        <v>35</v>
      </c>
      <c r="L124">
        <v>60</v>
      </c>
      <c r="M124" t="s">
        <v>49</v>
      </c>
      <c r="N124" t="s">
        <v>24</v>
      </c>
      <c r="O124" t="b">
        <v>1</v>
      </c>
      <c r="X124">
        <v>32</v>
      </c>
      <c r="AA124">
        <f>Table1[[#This Row],[qPer board]]*Table1[[#This Row],[boards]]</f>
        <v>34</v>
      </c>
      <c r="AB124">
        <v>2</v>
      </c>
      <c r="AC124">
        <v>17</v>
      </c>
    </row>
    <row r="125" spans="1:29" hidden="1" x14ac:dyDescent="0.3">
      <c r="A125" t="s">
        <v>296</v>
      </c>
      <c r="B125" s="1">
        <v>7252735930</v>
      </c>
      <c r="C125" s="1"/>
      <c r="D125" t="s">
        <v>282</v>
      </c>
      <c r="F125" t="b">
        <v>0</v>
      </c>
      <c r="I125">
        <v>1</v>
      </c>
      <c r="J125">
        <v>50</v>
      </c>
      <c r="K125">
        <v>20</v>
      </c>
      <c r="L125">
        <v>50</v>
      </c>
      <c r="M125" t="s">
        <v>49</v>
      </c>
      <c r="N125" t="s">
        <v>24</v>
      </c>
      <c r="O125" t="b">
        <v>1</v>
      </c>
      <c r="AA125" t="e">
        <f>Table1[[#This Row],[qPer board]]*Table1[[#This Row],[boards]]</f>
        <v>#REF!</v>
      </c>
      <c r="AB125" t="e">
        <f>VLOOKUP(Table1[[#This Row],[MA_Number]],#REF!, 2,FALSE)</f>
        <v>#REF!</v>
      </c>
      <c r="AC125">
        <v>17</v>
      </c>
    </row>
    <row r="126" spans="1:29" hidden="1" x14ac:dyDescent="0.3">
      <c r="A126" t="s">
        <v>1358</v>
      </c>
      <c r="B126" s="1">
        <v>7252779130</v>
      </c>
      <c r="C126" s="1"/>
      <c r="D126" t="s">
        <v>282</v>
      </c>
      <c r="E126" t="s">
        <v>272</v>
      </c>
      <c r="F126" t="b">
        <v>0</v>
      </c>
      <c r="I126">
        <v>1</v>
      </c>
      <c r="J126">
        <v>44</v>
      </c>
      <c r="K126">
        <v>30</v>
      </c>
      <c r="L126">
        <v>40</v>
      </c>
      <c r="M126" t="s">
        <v>49</v>
      </c>
      <c r="N126" t="s">
        <v>24</v>
      </c>
      <c r="O126" t="b">
        <v>1</v>
      </c>
      <c r="Q126" t="b">
        <v>1</v>
      </c>
      <c r="R126">
        <v>126</v>
      </c>
      <c r="S126">
        <v>45</v>
      </c>
      <c r="T126">
        <v>40</v>
      </c>
      <c r="U126">
        <v>4</v>
      </c>
      <c r="X126">
        <v>32</v>
      </c>
      <c r="AA126">
        <f>Table1[[#This Row],[qPer board]]*Table1[[#This Row],[boards]]</f>
        <v>34</v>
      </c>
      <c r="AB126">
        <v>2</v>
      </c>
      <c r="AC126">
        <v>17</v>
      </c>
    </row>
    <row r="127" spans="1:29" hidden="1" x14ac:dyDescent="0.3">
      <c r="A127" t="s">
        <v>1340</v>
      </c>
      <c r="B127" s="1">
        <v>7252785330</v>
      </c>
      <c r="C127" s="1">
        <v>7247075530</v>
      </c>
      <c r="D127" t="s">
        <v>282</v>
      </c>
      <c r="E127" t="s">
        <v>273</v>
      </c>
      <c r="F127" t="b">
        <v>0</v>
      </c>
      <c r="I127">
        <v>1</v>
      </c>
      <c r="J127">
        <v>36</v>
      </c>
      <c r="K127">
        <v>26</v>
      </c>
      <c r="L127">
        <v>47</v>
      </c>
      <c r="M127" t="s">
        <v>49</v>
      </c>
      <c r="N127" t="s">
        <v>24</v>
      </c>
      <c r="O127" t="b">
        <v>1</v>
      </c>
      <c r="Q127" t="b">
        <v>1</v>
      </c>
      <c r="R127">
        <v>138</v>
      </c>
      <c r="S127">
        <v>36</v>
      </c>
      <c r="T127">
        <v>47</v>
      </c>
      <c r="U127">
        <v>5</v>
      </c>
      <c r="X127">
        <v>50</v>
      </c>
      <c r="AA127">
        <f>Table1[[#This Row],[qPer board]]*Table1[[#This Row],[boards]]</f>
        <v>17</v>
      </c>
      <c r="AB127">
        <v>1</v>
      </c>
      <c r="AC127">
        <v>17</v>
      </c>
    </row>
    <row r="128" spans="1:29" hidden="1" x14ac:dyDescent="0.3">
      <c r="A128" t="s">
        <v>191</v>
      </c>
      <c r="B128" s="1">
        <v>7252815130</v>
      </c>
      <c r="C128" s="1"/>
      <c r="D128" t="s">
        <v>282</v>
      </c>
      <c r="E128" t="s">
        <v>1313</v>
      </c>
      <c r="F128" t="b">
        <v>0</v>
      </c>
      <c r="I128">
        <v>1</v>
      </c>
      <c r="J128">
        <v>44</v>
      </c>
      <c r="K128">
        <v>30</v>
      </c>
      <c r="L128">
        <v>40</v>
      </c>
      <c r="M128" t="s">
        <v>49</v>
      </c>
      <c r="N128" t="s">
        <v>24</v>
      </c>
      <c r="O128" t="b">
        <v>1</v>
      </c>
      <c r="Q128" t="b">
        <v>1</v>
      </c>
      <c r="R128">
        <v>126</v>
      </c>
      <c r="S128">
        <v>45</v>
      </c>
      <c r="T128">
        <v>40</v>
      </c>
      <c r="U128">
        <v>4</v>
      </c>
      <c r="X128">
        <v>32</v>
      </c>
      <c r="AA128">
        <f>Table1[[#This Row],[qPer board]]*Table1[[#This Row],[boards]]</f>
        <v>204</v>
      </c>
      <c r="AB128">
        <v>12</v>
      </c>
      <c r="AC128">
        <v>17</v>
      </c>
    </row>
    <row r="129" spans="1:29" hidden="1" x14ac:dyDescent="0.3">
      <c r="A129" t="s">
        <v>193</v>
      </c>
      <c r="B129" s="1">
        <v>7252832130</v>
      </c>
      <c r="C129" s="1"/>
      <c r="D129" t="s">
        <v>282</v>
      </c>
      <c r="F129" t="b">
        <v>0</v>
      </c>
      <c r="I129">
        <v>1</v>
      </c>
      <c r="J129">
        <v>39</v>
      </c>
      <c r="K129">
        <v>30</v>
      </c>
      <c r="L129">
        <v>49</v>
      </c>
      <c r="M129" t="s">
        <v>49</v>
      </c>
      <c r="N129" t="s">
        <v>24</v>
      </c>
      <c r="O129" t="b">
        <v>1</v>
      </c>
      <c r="AA129" t="e">
        <f>Table1[[#This Row],[qPer board]]*Table1[[#This Row],[boards]]</f>
        <v>#REF!</v>
      </c>
      <c r="AB129" t="e">
        <f>VLOOKUP(Table1[[#This Row],[MA_Number]],#REF!, 2,FALSE)</f>
        <v>#REF!</v>
      </c>
      <c r="AC129">
        <v>17</v>
      </c>
    </row>
    <row r="130" spans="1:29" hidden="1" x14ac:dyDescent="0.3">
      <c r="A130" t="s">
        <v>194</v>
      </c>
      <c r="B130" s="1">
        <v>7298331130</v>
      </c>
      <c r="C130" s="1"/>
      <c r="D130" t="s">
        <v>279</v>
      </c>
      <c r="F130" t="b">
        <v>0</v>
      </c>
      <c r="I130">
        <v>1</v>
      </c>
      <c r="J130">
        <v>74</v>
      </c>
      <c r="K130">
        <v>56</v>
      </c>
      <c r="L130">
        <v>73</v>
      </c>
      <c r="M130" t="s">
        <v>49</v>
      </c>
      <c r="N130" t="s">
        <v>24</v>
      </c>
      <c r="O130" t="b">
        <v>1</v>
      </c>
      <c r="AA130" t="e">
        <f>Table1[[#This Row],[qPer board]]*Table1[[#This Row],[boards]]</f>
        <v>#REF!</v>
      </c>
      <c r="AB130" t="e">
        <f>VLOOKUP(Table1[[#This Row],[MA_Number]],#REF!, 2,FALSE)</f>
        <v>#REF!</v>
      </c>
      <c r="AC130">
        <v>17</v>
      </c>
    </row>
    <row r="131" spans="1:29" x14ac:dyDescent="0.3">
      <c r="A131" t="s">
        <v>195</v>
      </c>
      <c r="B131" s="1" t="s">
        <v>262</v>
      </c>
      <c r="C131" s="1"/>
      <c r="D131" t="s">
        <v>279</v>
      </c>
      <c r="F131" t="b">
        <v>0</v>
      </c>
      <c r="I131">
        <v>1</v>
      </c>
      <c r="J131">
        <v>46</v>
      </c>
      <c r="K131">
        <v>45</v>
      </c>
      <c r="L131">
        <v>62</v>
      </c>
      <c r="M131" t="s">
        <v>49</v>
      </c>
      <c r="N131" t="s">
        <v>24</v>
      </c>
      <c r="O131" t="b">
        <v>1</v>
      </c>
      <c r="AA131" t="e">
        <f>Table1[[#This Row],[qPer board]]*Table1[[#This Row],[boards]]</f>
        <v>#REF!</v>
      </c>
      <c r="AB131" t="e">
        <f>VLOOKUP(Table1[[#This Row],[MA_Number]],#REF!, 2,FALSE)</f>
        <v>#REF!</v>
      </c>
      <c r="AC131">
        <v>17</v>
      </c>
    </row>
    <row r="132" spans="1:29" hidden="1" x14ac:dyDescent="0.3">
      <c r="A132" t="s">
        <v>196</v>
      </c>
      <c r="B132" s="1">
        <v>71196350</v>
      </c>
      <c r="C132" s="1"/>
      <c r="D132" t="s">
        <v>279</v>
      </c>
      <c r="F132" t="b">
        <v>0</v>
      </c>
      <c r="I132">
        <v>1</v>
      </c>
      <c r="J132">
        <v>40</v>
      </c>
      <c r="K132">
        <v>35</v>
      </c>
      <c r="L132">
        <v>50</v>
      </c>
      <c r="M132" t="s">
        <v>48</v>
      </c>
      <c r="N132" t="s">
        <v>24</v>
      </c>
      <c r="O132" t="b">
        <v>1</v>
      </c>
      <c r="AA132" t="e">
        <f>Table1[[#This Row],[qPer board]]*Table1[[#This Row],[boards]]</f>
        <v>#REF!</v>
      </c>
      <c r="AB132" t="e">
        <f>VLOOKUP(Table1[[#This Row],[MA_Number]],#REF!, 2,FALSE)</f>
        <v>#REF!</v>
      </c>
      <c r="AC132">
        <v>17</v>
      </c>
    </row>
    <row r="133" spans="1:29" hidden="1" x14ac:dyDescent="0.3">
      <c r="A133" t="s">
        <v>1359</v>
      </c>
      <c r="B133" s="1" t="s">
        <v>264</v>
      </c>
      <c r="C133" s="1"/>
      <c r="D133" t="s">
        <v>279</v>
      </c>
      <c r="F133" t="b">
        <v>0</v>
      </c>
      <c r="I133">
        <v>1</v>
      </c>
      <c r="J133">
        <v>66</v>
      </c>
      <c r="K133">
        <v>66</v>
      </c>
      <c r="L133">
        <v>66</v>
      </c>
      <c r="M133" t="s">
        <v>49</v>
      </c>
      <c r="N133" t="s">
        <v>24</v>
      </c>
      <c r="O133" t="b">
        <v>1</v>
      </c>
      <c r="AA133" t="e">
        <f>Table1[[#This Row],[qPer board]]*Table1[[#This Row],[boards]]</f>
        <v>#REF!</v>
      </c>
      <c r="AB133" t="e">
        <f>VLOOKUP(Table1[[#This Row],[MA_Number]],#REF!, 2,FALSE)</f>
        <v>#REF!</v>
      </c>
      <c r="AC133">
        <v>17</v>
      </c>
    </row>
    <row r="134" spans="1:29" hidden="1" x14ac:dyDescent="0.3">
      <c r="A134" t="s">
        <v>199</v>
      </c>
      <c r="B134" s="1">
        <v>72191763</v>
      </c>
      <c r="C134" s="1"/>
      <c r="D134" t="s">
        <v>279</v>
      </c>
      <c r="F134" t="b">
        <v>0</v>
      </c>
      <c r="I134">
        <v>1</v>
      </c>
      <c r="J134">
        <v>42</v>
      </c>
      <c r="K134">
        <v>40</v>
      </c>
      <c r="L134">
        <v>65</v>
      </c>
      <c r="M134" t="s">
        <v>49</v>
      </c>
      <c r="N134" t="s">
        <v>24</v>
      </c>
      <c r="O134" t="b">
        <v>1</v>
      </c>
      <c r="AA134" t="e">
        <f>Table1[[#This Row],[qPer board]]*Table1[[#This Row],[boards]]</f>
        <v>#REF!</v>
      </c>
      <c r="AB134" t="e">
        <f>VLOOKUP(Table1[[#This Row],[MA_Number]],#REF!, 2,FALSE)</f>
        <v>#REF!</v>
      </c>
      <c r="AC134">
        <v>17</v>
      </c>
    </row>
    <row r="135" spans="1:29" hidden="1" x14ac:dyDescent="0.3">
      <c r="A135" t="s">
        <v>200</v>
      </c>
      <c r="B135" s="1" t="s">
        <v>265</v>
      </c>
      <c r="C135" s="1"/>
      <c r="D135" t="s">
        <v>279</v>
      </c>
      <c r="F135" t="b">
        <v>0</v>
      </c>
      <c r="I135">
        <v>1</v>
      </c>
      <c r="J135">
        <v>105</v>
      </c>
      <c r="K135">
        <v>53</v>
      </c>
      <c r="L135">
        <v>53</v>
      </c>
      <c r="M135" t="s">
        <v>48</v>
      </c>
      <c r="N135" t="s">
        <v>24</v>
      </c>
      <c r="O135" t="b">
        <v>1</v>
      </c>
      <c r="AA135" t="e">
        <f>Table1[[#This Row],[qPer board]]*Table1[[#This Row],[boards]]</f>
        <v>#REF!</v>
      </c>
      <c r="AB135" t="e">
        <f>VLOOKUP(Table1[[#This Row],[MA_Number]],#REF!, 2,FALSE)</f>
        <v>#REF!</v>
      </c>
      <c r="AC135">
        <v>17</v>
      </c>
    </row>
    <row r="136" spans="1:29" hidden="1" x14ac:dyDescent="0.3">
      <c r="A136" t="s">
        <v>197</v>
      </c>
      <c r="B136" s="1" t="s">
        <v>263</v>
      </c>
      <c r="C136" s="1"/>
      <c r="D136" t="s">
        <v>279</v>
      </c>
      <c r="F136" t="b">
        <v>0</v>
      </c>
      <c r="I136">
        <v>1</v>
      </c>
      <c r="J136">
        <v>64</v>
      </c>
      <c r="K136">
        <v>53</v>
      </c>
      <c r="L136">
        <v>87</v>
      </c>
      <c r="M136" t="s">
        <v>50</v>
      </c>
      <c r="N136" t="s">
        <v>24</v>
      </c>
      <c r="O136" t="b">
        <v>1</v>
      </c>
      <c r="AA136" t="e">
        <f>Table1[[#This Row],[qPer board]]*Table1[[#This Row],[boards]]</f>
        <v>#REF!</v>
      </c>
      <c r="AB136" t="e">
        <f>VLOOKUP(Table1[[#This Row],[MA_Number]],#REF!, 2,FALSE)</f>
        <v>#REF!</v>
      </c>
      <c r="AC136">
        <v>17</v>
      </c>
    </row>
    <row r="137" spans="1:29" hidden="1" x14ac:dyDescent="0.3">
      <c r="A137" t="s">
        <v>1360</v>
      </c>
      <c r="B137" s="1" t="s">
        <v>266</v>
      </c>
      <c r="C137" s="1"/>
      <c r="D137" t="s">
        <v>279</v>
      </c>
      <c r="F137" t="b">
        <v>0</v>
      </c>
      <c r="I137">
        <v>1</v>
      </c>
      <c r="J137">
        <v>64</v>
      </c>
      <c r="K137">
        <v>53</v>
      </c>
      <c r="L137">
        <v>87</v>
      </c>
      <c r="M137" t="s">
        <v>50</v>
      </c>
      <c r="N137" t="s">
        <v>24</v>
      </c>
      <c r="O137" t="b">
        <v>1</v>
      </c>
      <c r="AA137" t="e">
        <f>Table1[[#This Row],[qPer board]]*Table1[[#This Row],[boards]]</f>
        <v>#REF!</v>
      </c>
      <c r="AB137" t="e">
        <f>VLOOKUP(Table1[[#This Row],[MA_Number]],#REF!, 2,FALSE)</f>
        <v>#REF!</v>
      </c>
      <c r="AC137">
        <v>17</v>
      </c>
    </row>
    <row r="138" spans="1:29" hidden="1" x14ac:dyDescent="0.3">
      <c r="A138" t="s">
        <v>201</v>
      </c>
      <c r="B138" s="1">
        <v>71781227</v>
      </c>
      <c r="C138" s="1"/>
      <c r="D138" t="s">
        <v>279</v>
      </c>
      <c r="F138" t="b">
        <v>0</v>
      </c>
      <c r="I138">
        <v>1</v>
      </c>
      <c r="J138">
        <v>40</v>
      </c>
      <c r="K138">
        <v>40</v>
      </c>
      <c r="L138">
        <v>49</v>
      </c>
      <c r="M138" t="s">
        <v>48</v>
      </c>
      <c r="N138" t="s">
        <v>24</v>
      </c>
      <c r="O138" t="b">
        <v>1</v>
      </c>
      <c r="X138">
        <v>30</v>
      </c>
      <c r="AA138" t="e">
        <f>Table1[[#This Row],[qPer board]]*Table1[[#This Row],[boards]]</f>
        <v>#REF!</v>
      </c>
      <c r="AB138" t="e">
        <f>VLOOKUP(Table1[[#This Row],[MA_Number]],#REF!, 2,FALSE)</f>
        <v>#REF!</v>
      </c>
      <c r="AC138">
        <v>17</v>
      </c>
    </row>
    <row r="139" spans="1:29" hidden="1" x14ac:dyDescent="0.3">
      <c r="A139" t="s">
        <v>202</v>
      </c>
      <c r="B139" s="1">
        <v>71979512</v>
      </c>
      <c r="C139" s="1"/>
      <c r="D139" t="s">
        <v>279</v>
      </c>
      <c r="F139" t="b">
        <v>0</v>
      </c>
      <c r="I139">
        <v>1</v>
      </c>
      <c r="J139">
        <v>80</v>
      </c>
      <c r="K139">
        <v>45</v>
      </c>
      <c r="L139">
        <v>66</v>
      </c>
      <c r="M139" t="s">
        <v>48</v>
      </c>
      <c r="N139" t="s">
        <v>24</v>
      </c>
      <c r="O139" t="b">
        <v>1</v>
      </c>
      <c r="AA139" t="e">
        <f>Table1[[#This Row],[qPer board]]*Table1[[#This Row],[boards]]</f>
        <v>#REF!</v>
      </c>
      <c r="AB139" t="e">
        <f>VLOOKUP(Table1[[#This Row],[MA_Number]],#REF!, 2,FALSE)</f>
        <v>#REF!</v>
      </c>
      <c r="AC139">
        <v>17</v>
      </c>
    </row>
    <row r="140" spans="1:29" hidden="1" x14ac:dyDescent="0.3">
      <c r="A140" t="s">
        <v>203</v>
      </c>
      <c r="B140" s="1">
        <v>7183753630</v>
      </c>
      <c r="C140" s="1"/>
      <c r="D140" t="s">
        <v>279</v>
      </c>
      <c r="F140" t="b">
        <v>0</v>
      </c>
      <c r="I140">
        <v>1</v>
      </c>
      <c r="J140">
        <v>41</v>
      </c>
      <c r="K140">
        <v>38</v>
      </c>
      <c r="L140">
        <v>48</v>
      </c>
      <c r="M140" t="s">
        <v>49</v>
      </c>
      <c r="N140" t="s">
        <v>24</v>
      </c>
      <c r="O140" t="b">
        <v>1</v>
      </c>
      <c r="X140">
        <v>30</v>
      </c>
      <c r="AA140" t="e">
        <f>Table1[[#This Row],[qPer board]]*Table1[[#This Row],[boards]]</f>
        <v>#REF!</v>
      </c>
      <c r="AB140" t="e">
        <f>VLOOKUP(Table1[[#This Row],[MA_Number]],#REF!, 2,FALSE)</f>
        <v>#REF!</v>
      </c>
      <c r="AC140">
        <v>17</v>
      </c>
    </row>
    <row r="141" spans="1:29" hidden="1" x14ac:dyDescent="0.3">
      <c r="A141" t="s">
        <v>204</v>
      </c>
      <c r="B141" s="1">
        <v>72186417</v>
      </c>
      <c r="C141" s="1"/>
      <c r="D141" t="s">
        <v>279</v>
      </c>
      <c r="F141" t="b">
        <v>0</v>
      </c>
      <c r="I141">
        <v>1</v>
      </c>
      <c r="J141">
        <v>60</v>
      </c>
      <c r="K141">
        <v>38</v>
      </c>
      <c r="L141">
        <v>49</v>
      </c>
      <c r="M141" t="s">
        <v>48</v>
      </c>
      <c r="N141" t="s">
        <v>24</v>
      </c>
      <c r="O141" t="b">
        <v>1</v>
      </c>
      <c r="AA141" t="e">
        <f>Table1[[#This Row],[qPer board]]*Table1[[#This Row],[boards]]</f>
        <v>#REF!</v>
      </c>
      <c r="AB141" t="e">
        <f>VLOOKUP(Table1[[#This Row],[MA_Number]],#REF!, 2,FALSE)</f>
        <v>#REF!</v>
      </c>
      <c r="AC141">
        <v>17</v>
      </c>
    </row>
    <row r="142" spans="1:29" hidden="1" x14ac:dyDescent="0.3">
      <c r="A142" t="s">
        <v>205</v>
      </c>
      <c r="B142" s="1" t="s">
        <v>1223</v>
      </c>
      <c r="C142" s="1"/>
      <c r="D142" t="s">
        <v>279</v>
      </c>
      <c r="F142" t="b">
        <v>0</v>
      </c>
      <c r="I142">
        <v>1</v>
      </c>
      <c r="J142">
        <v>65</v>
      </c>
      <c r="K142">
        <v>58</v>
      </c>
      <c r="L142">
        <v>52</v>
      </c>
      <c r="M142" t="s">
        <v>48</v>
      </c>
      <c r="N142" t="s">
        <v>24</v>
      </c>
      <c r="O142" t="b">
        <v>1</v>
      </c>
      <c r="AA142" t="e">
        <f>Table1[[#This Row],[qPer board]]*Table1[[#This Row],[boards]]</f>
        <v>#REF!</v>
      </c>
      <c r="AB142" t="e">
        <f>VLOOKUP(Table1[[#This Row],[MA_Number]],#REF!, 2,FALSE)</f>
        <v>#REF!</v>
      </c>
      <c r="AC142">
        <v>17</v>
      </c>
    </row>
    <row r="143" spans="1:29" hidden="1" x14ac:dyDescent="0.3">
      <c r="A143" t="s">
        <v>206</v>
      </c>
      <c r="B143" s="1">
        <v>7271262590</v>
      </c>
      <c r="C143" s="1"/>
      <c r="D143" t="s">
        <v>279</v>
      </c>
      <c r="F143" t="b">
        <v>0</v>
      </c>
      <c r="I143">
        <v>1</v>
      </c>
      <c r="J143">
        <v>85</v>
      </c>
      <c r="K143">
        <v>62</v>
      </c>
      <c r="L143">
        <v>57</v>
      </c>
      <c r="M143" t="s">
        <v>50</v>
      </c>
      <c r="N143" t="s">
        <v>24</v>
      </c>
      <c r="O143" t="b">
        <v>1</v>
      </c>
      <c r="AA143" t="e">
        <f>Table1[[#This Row],[qPer board]]*Table1[[#This Row],[boards]]</f>
        <v>#REF!</v>
      </c>
      <c r="AB143" t="e">
        <f>VLOOKUP(Table1[[#This Row],[MA_Number]],#REF!, 2,FALSE)</f>
        <v>#REF!</v>
      </c>
      <c r="AC143">
        <v>17</v>
      </c>
    </row>
    <row r="144" spans="1:29" hidden="1" x14ac:dyDescent="0.3">
      <c r="A144" t="s">
        <v>289</v>
      </c>
      <c r="B144" s="1" t="s">
        <v>599</v>
      </c>
      <c r="C144" s="1"/>
      <c r="D144" t="s">
        <v>279</v>
      </c>
      <c r="F144" t="b">
        <v>0</v>
      </c>
      <c r="I144">
        <v>1</v>
      </c>
      <c r="J144">
        <v>49</v>
      </c>
      <c r="K144">
        <v>32</v>
      </c>
      <c r="L144">
        <v>44</v>
      </c>
      <c r="M144" t="s">
        <v>49</v>
      </c>
      <c r="N144" t="s">
        <v>24</v>
      </c>
      <c r="O144" t="b">
        <v>1</v>
      </c>
      <c r="X144">
        <v>30</v>
      </c>
      <c r="AA144" t="e">
        <f>Table1[[#This Row],[qPer board]]*Table1[[#This Row],[boards]]</f>
        <v>#REF!</v>
      </c>
      <c r="AB144" t="e">
        <f>VLOOKUP(Table1[[#This Row],[MA_Number]],#REF!, 2,FALSE)</f>
        <v>#REF!</v>
      </c>
      <c r="AC144">
        <v>17</v>
      </c>
    </row>
    <row r="145" spans="1:29" hidden="1" x14ac:dyDescent="0.3">
      <c r="A145" t="s">
        <v>207</v>
      </c>
      <c r="B145" s="1" t="s">
        <v>267</v>
      </c>
      <c r="C145" s="1"/>
      <c r="D145" t="s">
        <v>279</v>
      </c>
      <c r="F145" t="b">
        <v>0</v>
      </c>
      <c r="I145">
        <v>1</v>
      </c>
      <c r="J145">
        <v>47</v>
      </c>
      <c r="K145">
        <v>41</v>
      </c>
      <c r="L145">
        <v>54</v>
      </c>
      <c r="M145" t="s">
        <v>50</v>
      </c>
      <c r="N145" t="s">
        <v>24</v>
      </c>
      <c r="O145" t="b">
        <v>1</v>
      </c>
      <c r="X145">
        <v>30</v>
      </c>
      <c r="AA145" t="e">
        <f>Table1[[#This Row],[qPer board]]*Table1[[#This Row],[boards]]</f>
        <v>#REF!</v>
      </c>
      <c r="AB145" t="e">
        <f>VLOOKUP(Table1[[#This Row],[MA_Number]],#REF!, 2,FALSE)</f>
        <v>#REF!</v>
      </c>
      <c r="AC145">
        <v>17</v>
      </c>
    </row>
    <row r="146" spans="1:29" hidden="1" x14ac:dyDescent="0.3">
      <c r="A146" t="s">
        <v>208</v>
      </c>
      <c r="B146" s="1">
        <v>7119141030</v>
      </c>
      <c r="C146" s="1"/>
      <c r="D146" t="s">
        <v>279</v>
      </c>
      <c r="F146" t="b">
        <v>0</v>
      </c>
      <c r="I146">
        <v>1</v>
      </c>
      <c r="J146">
        <v>42</v>
      </c>
      <c r="K146">
        <v>35</v>
      </c>
      <c r="L146">
        <v>44</v>
      </c>
      <c r="M146" t="s">
        <v>49</v>
      </c>
      <c r="N146" t="s">
        <v>24</v>
      </c>
      <c r="O146" t="b">
        <v>1</v>
      </c>
      <c r="AA146" t="e">
        <f>Table1[[#This Row],[qPer board]]*Table1[[#This Row],[boards]]</f>
        <v>#REF!</v>
      </c>
      <c r="AB146" t="e">
        <f>VLOOKUP(Table1[[#This Row],[MA_Number]],#REF!, 2,FALSE)</f>
        <v>#REF!</v>
      </c>
      <c r="AC146">
        <v>17</v>
      </c>
    </row>
    <row r="147" spans="1:29" hidden="1" x14ac:dyDescent="0.3">
      <c r="A147" t="s">
        <v>209</v>
      </c>
      <c r="B147" s="1" t="s">
        <v>268</v>
      </c>
      <c r="C147" s="1"/>
      <c r="D147" t="s">
        <v>279</v>
      </c>
      <c r="F147" t="b">
        <v>0</v>
      </c>
      <c r="I147">
        <v>1</v>
      </c>
      <c r="J147">
        <v>70</v>
      </c>
      <c r="K147">
        <v>45</v>
      </c>
      <c r="L147">
        <v>52</v>
      </c>
      <c r="M147" t="s">
        <v>48</v>
      </c>
      <c r="N147" t="s">
        <v>24</v>
      </c>
      <c r="O147" t="b">
        <v>1</v>
      </c>
      <c r="V147" t="b">
        <v>1</v>
      </c>
      <c r="AA147" t="e">
        <f>Table1[[#This Row],[qPer board]]*Table1[[#This Row],[boards]]</f>
        <v>#REF!</v>
      </c>
      <c r="AB147" t="e">
        <f>VLOOKUP(Table1[[#This Row],[MA_Number]],#REF!, 2,FALSE)</f>
        <v>#REF!</v>
      </c>
      <c r="AC147">
        <v>17</v>
      </c>
    </row>
    <row r="148" spans="1:29" hidden="1" x14ac:dyDescent="0.3">
      <c r="A148" t="s">
        <v>210</v>
      </c>
      <c r="B148" s="1" t="s">
        <v>825</v>
      </c>
      <c r="C148" s="1"/>
      <c r="D148" t="s">
        <v>279</v>
      </c>
      <c r="E148" t="s">
        <v>2085</v>
      </c>
      <c r="F148" t="b">
        <v>0</v>
      </c>
      <c r="I148">
        <v>1</v>
      </c>
      <c r="J148">
        <v>55</v>
      </c>
      <c r="K148">
        <v>40</v>
      </c>
      <c r="L148">
        <v>50</v>
      </c>
      <c r="M148" t="s">
        <v>48</v>
      </c>
      <c r="N148" t="s">
        <v>24</v>
      </c>
      <c r="O148" t="b">
        <v>1</v>
      </c>
      <c r="X148">
        <v>34</v>
      </c>
      <c r="AA148">
        <f>Table1[[#This Row],[qPer board]]*Table1[[#This Row],[boards]]</f>
        <v>34</v>
      </c>
      <c r="AB148">
        <v>2</v>
      </c>
      <c r="AC148">
        <v>17</v>
      </c>
    </row>
    <row r="149" spans="1:29" hidden="1" x14ac:dyDescent="0.3">
      <c r="A149" t="s">
        <v>276</v>
      </c>
      <c r="B149" s="2">
        <v>7075226830</v>
      </c>
      <c r="C149" s="2" t="s">
        <v>792</v>
      </c>
      <c r="D149" t="s">
        <v>279</v>
      </c>
      <c r="F149" t="b">
        <v>0</v>
      </c>
      <c r="I149">
        <v>1</v>
      </c>
      <c r="J149">
        <v>60</v>
      </c>
      <c r="K149">
        <v>43</v>
      </c>
      <c r="L149">
        <v>65</v>
      </c>
      <c r="M149" t="s">
        <v>49</v>
      </c>
      <c r="N149" t="s">
        <v>24</v>
      </c>
      <c r="O149" t="b">
        <v>1</v>
      </c>
      <c r="AA149" t="e">
        <f>Table1[[#This Row],[qPer board]]*Table1[[#This Row],[boards]]</f>
        <v>#REF!</v>
      </c>
      <c r="AB149" t="e">
        <f>VLOOKUP(Table1[[#This Row],[MA_Number]],#REF!, 2,FALSE)</f>
        <v>#REF!</v>
      </c>
      <c r="AC149">
        <v>17</v>
      </c>
    </row>
    <row r="150" spans="1:29" hidden="1" x14ac:dyDescent="0.3">
      <c r="A150" t="s">
        <v>198</v>
      </c>
      <c r="B150" s="2" t="s">
        <v>284</v>
      </c>
      <c r="C150" s="2"/>
      <c r="D150" t="s">
        <v>279</v>
      </c>
      <c r="F150" t="b">
        <v>0</v>
      </c>
      <c r="I150">
        <v>1</v>
      </c>
      <c r="J150">
        <v>66</v>
      </c>
      <c r="K150">
        <v>66</v>
      </c>
      <c r="L150">
        <v>66</v>
      </c>
      <c r="M150" t="s">
        <v>49</v>
      </c>
      <c r="N150" t="s">
        <v>24</v>
      </c>
      <c r="O150" t="b">
        <v>1</v>
      </c>
      <c r="AA150" t="e">
        <f>Table1[[#This Row],[qPer board]]*Table1[[#This Row],[boards]]</f>
        <v>#REF!</v>
      </c>
      <c r="AB150" t="e">
        <f>VLOOKUP(Table1[[#This Row],[MA_Number]],#REF!, 2,FALSE)</f>
        <v>#REF!</v>
      </c>
      <c r="AC150">
        <v>17</v>
      </c>
    </row>
    <row r="151" spans="1:29" hidden="1" x14ac:dyDescent="0.3">
      <c r="A151" t="s">
        <v>297</v>
      </c>
      <c r="B151" s="1" t="s">
        <v>292</v>
      </c>
      <c r="C151" s="1"/>
      <c r="D151" t="s">
        <v>279</v>
      </c>
      <c r="F151" t="b">
        <v>0</v>
      </c>
      <c r="I151">
        <v>1</v>
      </c>
      <c r="J151">
        <v>40</v>
      </c>
      <c r="K151">
        <v>35</v>
      </c>
      <c r="L151">
        <v>52</v>
      </c>
      <c r="M151" t="s">
        <v>50</v>
      </c>
      <c r="N151" t="s">
        <v>24</v>
      </c>
      <c r="O151" t="b">
        <v>1</v>
      </c>
      <c r="AA151" t="e">
        <f>Table1[[#This Row],[qPer board]]*Table1[[#This Row],[boards]]</f>
        <v>#REF!</v>
      </c>
      <c r="AB151" t="e">
        <f>VLOOKUP(Table1[[#This Row],[MA_Number]],#REF!, 2,FALSE)</f>
        <v>#REF!</v>
      </c>
      <c r="AC151">
        <v>17</v>
      </c>
    </row>
    <row r="152" spans="1:29" hidden="1" x14ac:dyDescent="0.3">
      <c r="A152" t="s">
        <v>300</v>
      </c>
      <c r="B152" s="1" t="s">
        <v>299</v>
      </c>
      <c r="C152" s="1" t="s">
        <v>874</v>
      </c>
      <c r="D152" t="s">
        <v>279</v>
      </c>
      <c r="F152" t="b">
        <v>0</v>
      </c>
      <c r="I152">
        <v>1</v>
      </c>
      <c r="J152">
        <v>45</v>
      </c>
      <c r="K152">
        <v>35</v>
      </c>
      <c r="L152">
        <v>42</v>
      </c>
      <c r="M152" t="s">
        <v>52</v>
      </c>
      <c r="N152" t="s">
        <v>24</v>
      </c>
      <c r="O152" t="b">
        <v>1</v>
      </c>
      <c r="AA152" t="e">
        <f>Table1[[#This Row],[qPer board]]*Table1[[#This Row],[boards]]</f>
        <v>#REF!</v>
      </c>
      <c r="AB152" t="e">
        <f>VLOOKUP(Table1[[#This Row],[MA_Number]],#REF!, 2,FALSE)</f>
        <v>#REF!</v>
      </c>
      <c r="AC152">
        <v>17</v>
      </c>
    </row>
    <row r="153" spans="1:29" hidden="1" x14ac:dyDescent="0.3">
      <c r="A153" t="s">
        <v>277</v>
      </c>
      <c r="B153" s="2" t="s">
        <v>285</v>
      </c>
      <c r="C153" s="2"/>
      <c r="D153" t="s">
        <v>279</v>
      </c>
      <c r="F153" t="b">
        <v>0</v>
      </c>
      <c r="I153">
        <v>1</v>
      </c>
      <c r="J153">
        <v>60</v>
      </c>
      <c r="K153">
        <v>40</v>
      </c>
      <c r="L153">
        <v>50</v>
      </c>
      <c r="M153" t="s">
        <v>50</v>
      </c>
      <c r="N153" t="s">
        <v>24</v>
      </c>
      <c r="O153" t="b">
        <v>1</v>
      </c>
      <c r="AA153" t="e">
        <f>Table1[[#This Row],[qPer board]]*Table1[[#This Row],[boards]]</f>
        <v>#REF!</v>
      </c>
      <c r="AB153" t="e">
        <f>VLOOKUP(Table1[[#This Row],[MA_Number]],#REF!, 2,FALSE)</f>
        <v>#REF!</v>
      </c>
      <c r="AC153">
        <v>17</v>
      </c>
    </row>
    <row r="154" spans="1:29" hidden="1" x14ac:dyDescent="0.3">
      <c r="A154" t="s">
        <v>293</v>
      </c>
      <c r="B154" s="1" t="s">
        <v>286</v>
      </c>
      <c r="C154" s="1"/>
      <c r="D154" t="s">
        <v>279</v>
      </c>
      <c r="F154" t="b">
        <v>0</v>
      </c>
      <c r="I154">
        <v>1</v>
      </c>
      <c r="J154">
        <v>81</v>
      </c>
      <c r="K154">
        <v>60</v>
      </c>
      <c r="L154">
        <v>54</v>
      </c>
      <c r="M154" t="s">
        <v>49</v>
      </c>
      <c r="N154" t="s">
        <v>24</v>
      </c>
      <c r="O154" t="b">
        <v>1</v>
      </c>
      <c r="AA154" t="e">
        <f>Table1[[#This Row],[qPer board]]*Table1[[#This Row],[boards]]</f>
        <v>#REF!</v>
      </c>
      <c r="AB154" t="e">
        <f>VLOOKUP(Table1[[#This Row],[MA_Number]],#REF!, 2,FALSE)</f>
        <v>#REF!</v>
      </c>
      <c r="AC154">
        <v>17</v>
      </c>
    </row>
    <row r="155" spans="1:29" hidden="1" x14ac:dyDescent="0.3">
      <c r="A155" t="s">
        <v>298</v>
      </c>
      <c r="B155" s="1">
        <v>7047275330</v>
      </c>
      <c r="C155" s="1"/>
      <c r="D155" t="s">
        <v>282</v>
      </c>
      <c r="F155" t="b">
        <v>0</v>
      </c>
      <c r="I155">
        <v>1</v>
      </c>
      <c r="J155">
        <v>41</v>
      </c>
      <c r="K155">
        <v>30</v>
      </c>
      <c r="L155">
        <v>40</v>
      </c>
      <c r="M155" t="s">
        <v>49</v>
      </c>
      <c r="N155" t="s">
        <v>24</v>
      </c>
      <c r="O155" t="b">
        <v>1</v>
      </c>
      <c r="AA155" t="e">
        <f>Table1[[#This Row],[qPer board]]*Table1[[#This Row],[boards]]</f>
        <v>#REF!</v>
      </c>
      <c r="AB155" t="e">
        <f>VLOOKUP(Table1[[#This Row],[MA_Number]],#REF!, 2,FALSE)</f>
        <v>#REF!</v>
      </c>
      <c r="AC155">
        <v>17</v>
      </c>
    </row>
    <row r="156" spans="1:29" hidden="1" x14ac:dyDescent="0.3">
      <c r="A156" t="s">
        <v>278</v>
      </c>
      <c r="B156" s="1" t="s">
        <v>287</v>
      </c>
      <c r="C156" s="1"/>
      <c r="D156" t="s">
        <v>279</v>
      </c>
      <c r="F156" t="b">
        <v>0</v>
      </c>
      <c r="I156">
        <v>1</v>
      </c>
      <c r="J156">
        <v>65</v>
      </c>
      <c r="K156">
        <v>58</v>
      </c>
      <c r="L156">
        <v>50</v>
      </c>
      <c r="M156" t="s">
        <v>50</v>
      </c>
      <c r="N156" t="s">
        <v>24</v>
      </c>
      <c r="O156" t="b">
        <v>1</v>
      </c>
      <c r="AA156" t="e">
        <f>Table1[[#This Row],[qPer board]]*Table1[[#This Row],[boards]]</f>
        <v>#REF!</v>
      </c>
      <c r="AB156" t="e">
        <f>VLOOKUP(Table1[[#This Row],[MA_Number]],#REF!, 2,FALSE)</f>
        <v>#REF!</v>
      </c>
      <c r="AC156">
        <v>17</v>
      </c>
    </row>
    <row r="157" spans="1:29" hidden="1" x14ac:dyDescent="0.3">
      <c r="A157" t="s">
        <v>126</v>
      </c>
      <c r="B157" s="1">
        <v>7271007230</v>
      </c>
      <c r="C157" s="1" t="s">
        <v>637</v>
      </c>
      <c r="D157" t="s">
        <v>279</v>
      </c>
      <c r="F157" t="b">
        <v>1</v>
      </c>
      <c r="I157">
        <v>1</v>
      </c>
      <c r="X157">
        <v>30</v>
      </c>
      <c r="AA157" t="e">
        <f>Table1[[#This Row],[qPer board]]*Table1[[#This Row],[boards]]</f>
        <v>#REF!</v>
      </c>
      <c r="AB157" t="e">
        <f>VLOOKUP(Table1[[#This Row],[MA_Number]],#REF!, 2,FALSE)</f>
        <v>#REF!</v>
      </c>
      <c r="AC157">
        <v>17</v>
      </c>
    </row>
    <row r="158" spans="1:29" hidden="1" x14ac:dyDescent="0.3">
      <c r="B158" s="1">
        <v>7271007230</v>
      </c>
      <c r="C158" s="1"/>
      <c r="G158" t="s">
        <v>126</v>
      </c>
      <c r="H158" t="s">
        <v>417</v>
      </c>
      <c r="I158">
        <v>1</v>
      </c>
      <c r="J158">
        <v>185</v>
      </c>
      <c r="K158">
        <v>136</v>
      </c>
      <c r="L158">
        <v>60</v>
      </c>
      <c r="M158" t="s">
        <v>48</v>
      </c>
      <c r="N158" t="s">
        <v>24</v>
      </c>
      <c r="O158" t="b">
        <v>1</v>
      </c>
      <c r="AA158" t="e">
        <f>Table1[[#This Row],[qPer board]]*Table1[[#This Row],[boards]]</f>
        <v>#REF!</v>
      </c>
      <c r="AB158" t="e">
        <f>VLOOKUP(Table1[[#This Row],[MA_Number]],#REF!, 2,FALSE)</f>
        <v>#REF!</v>
      </c>
      <c r="AC158">
        <v>17</v>
      </c>
    </row>
    <row r="159" spans="1:29" hidden="1" x14ac:dyDescent="0.3">
      <c r="B159" s="1">
        <v>7271007230</v>
      </c>
      <c r="C159" s="1"/>
      <c r="G159" t="s">
        <v>126</v>
      </c>
      <c r="H159" t="s">
        <v>418</v>
      </c>
      <c r="I159">
        <v>1</v>
      </c>
      <c r="J159">
        <v>131</v>
      </c>
      <c r="K159">
        <v>20</v>
      </c>
      <c r="L159">
        <v>25</v>
      </c>
      <c r="M159" t="s">
        <v>48</v>
      </c>
      <c r="N159" t="s">
        <v>24</v>
      </c>
      <c r="O159" t="b">
        <v>1</v>
      </c>
      <c r="AA159" t="e">
        <f>Table1[[#This Row],[qPer board]]*Table1[[#This Row],[boards]]</f>
        <v>#REF!</v>
      </c>
      <c r="AB159" t="e">
        <f>VLOOKUP(Table1[[#This Row],[MA_Number]],#REF!, 2,FALSE)</f>
        <v>#REF!</v>
      </c>
      <c r="AC159">
        <v>17</v>
      </c>
    </row>
    <row r="160" spans="1:29" hidden="1" x14ac:dyDescent="0.3">
      <c r="B160" s="1">
        <v>7271007230</v>
      </c>
      <c r="C160" s="1"/>
      <c r="G160" t="s">
        <v>126</v>
      </c>
      <c r="H160" t="s">
        <v>419</v>
      </c>
      <c r="I160">
        <v>1</v>
      </c>
      <c r="J160">
        <v>174</v>
      </c>
      <c r="K160">
        <v>20</v>
      </c>
      <c r="L160">
        <v>25</v>
      </c>
      <c r="M160" t="s">
        <v>48</v>
      </c>
      <c r="N160" t="s">
        <v>24</v>
      </c>
      <c r="O160" t="b">
        <v>1</v>
      </c>
      <c r="AA160" t="e">
        <f>Table1[[#This Row],[qPer board]]*Table1[[#This Row],[boards]]</f>
        <v>#REF!</v>
      </c>
      <c r="AB160" t="e">
        <f>VLOOKUP(Table1[[#This Row],[MA_Number]],#REF!, 2,FALSE)</f>
        <v>#REF!</v>
      </c>
      <c r="AC160">
        <v>17</v>
      </c>
    </row>
    <row r="161" spans="1:29" hidden="1" x14ac:dyDescent="0.3">
      <c r="B161" s="1">
        <v>7271007230</v>
      </c>
      <c r="C161" s="1"/>
      <c r="G161" t="s">
        <v>126</v>
      </c>
      <c r="H161" t="s">
        <v>420</v>
      </c>
      <c r="I161">
        <v>1</v>
      </c>
      <c r="J161">
        <v>131</v>
      </c>
      <c r="K161">
        <v>20</v>
      </c>
      <c r="L161">
        <v>25</v>
      </c>
      <c r="M161" t="s">
        <v>48</v>
      </c>
      <c r="N161" t="s">
        <v>24</v>
      </c>
      <c r="O161" t="b">
        <v>1</v>
      </c>
      <c r="AA161" t="e">
        <f>Table1[[#This Row],[qPer board]]*Table1[[#This Row],[boards]]</f>
        <v>#REF!</v>
      </c>
      <c r="AB161" t="e">
        <f>VLOOKUP(Table1[[#This Row],[MA_Number]],#REF!, 2,FALSE)</f>
        <v>#REF!</v>
      </c>
      <c r="AC161">
        <v>17</v>
      </c>
    </row>
    <row r="162" spans="1:29" hidden="1" x14ac:dyDescent="0.3">
      <c r="B162" s="1">
        <v>7271007230</v>
      </c>
      <c r="C162" s="1"/>
      <c r="G162" t="s">
        <v>126</v>
      </c>
      <c r="H162" t="s">
        <v>421</v>
      </c>
      <c r="I162">
        <v>1</v>
      </c>
      <c r="J162">
        <v>51</v>
      </c>
      <c r="K162">
        <v>37</v>
      </c>
      <c r="L162">
        <v>80</v>
      </c>
      <c r="M162" t="s">
        <v>48</v>
      </c>
      <c r="N162" t="s">
        <v>24</v>
      </c>
      <c r="O162" t="b">
        <v>1</v>
      </c>
      <c r="AA162" t="e">
        <f>Table1[[#This Row],[qPer board]]*Table1[[#This Row],[boards]]</f>
        <v>#REF!</v>
      </c>
      <c r="AB162" t="e">
        <f>VLOOKUP(Table1[[#This Row],[MA_Number]],#REF!, 2,FALSE)</f>
        <v>#REF!</v>
      </c>
      <c r="AC162">
        <v>17</v>
      </c>
    </row>
    <row r="163" spans="1:29" hidden="1" x14ac:dyDescent="0.3">
      <c r="A163" t="s">
        <v>295</v>
      </c>
      <c r="B163" s="1" t="s">
        <v>558</v>
      </c>
      <c r="C163" s="1"/>
      <c r="D163" t="s">
        <v>279</v>
      </c>
      <c r="F163" t="b">
        <v>1</v>
      </c>
      <c r="I163">
        <v>1</v>
      </c>
      <c r="AA163" t="e">
        <f>Table1[[#This Row],[qPer board]]*Table1[[#This Row],[boards]]</f>
        <v>#REF!</v>
      </c>
      <c r="AB163" t="e">
        <f>VLOOKUP(Table1[[#This Row],[MA_Number]],#REF!, 2,FALSE)</f>
        <v>#REF!</v>
      </c>
      <c r="AC163">
        <v>17</v>
      </c>
    </row>
    <row r="164" spans="1:29" hidden="1" x14ac:dyDescent="0.3">
      <c r="B164" s="1" t="s">
        <v>558</v>
      </c>
      <c r="C164" s="1"/>
      <c r="G164" t="s">
        <v>295</v>
      </c>
      <c r="H164" t="s">
        <v>742</v>
      </c>
      <c r="I164">
        <v>1</v>
      </c>
      <c r="J164">
        <v>111</v>
      </c>
      <c r="K164">
        <v>39</v>
      </c>
      <c r="L164">
        <v>56</v>
      </c>
      <c r="M164" t="s">
        <v>49</v>
      </c>
      <c r="N164" t="s">
        <v>24</v>
      </c>
      <c r="P164" t="b">
        <v>1</v>
      </c>
      <c r="AA164" t="e">
        <f>Table1[[#This Row],[qPer board]]*Table1[[#This Row],[boards]]</f>
        <v>#REF!</v>
      </c>
      <c r="AB164" t="e">
        <f>VLOOKUP(Table1[[#This Row],[MA_Number]],#REF!, 2,FALSE)</f>
        <v>#REF!</v>
      </c>
      <c r="AC164">
        <v>17</v>
      </c>
    </row>
    <row r="165" spans="1:29" hidden="1" x14ac:dyDescent="0.3">
      <c r="B165" s="1" t="s">
        <v>558</v>
      </c>
      <c r="C165" s="1"/>
      <c r="G165" t="s">
        <v>295</v>
      </c>
      <c r="H165" t="s">
        <v>743</v>
      </c>
      <c r="I165">
        <v>1</v>
      </c>
      <c r="J165">
        <v>111</v>
      </c>
      <c r="K165">
        <v>37</v>
      </c>
      <c r="L165">
        <v>56</v>
      </c>
      <c r="M165" t="s">
        <v>49</v>
      </c>
      <c r="N165" t="s">
        <v>24</v>
      </c>
      <c r="P165" t="b">
        <v>1</v>
      </c>
      <c r="AA165" t="e">
        <f>Table1[[#This Row],[qPer board]]*Table1[[#This Row],[boards]]</f>
        <v>#REF!</v>
      </c>
      <c r="AB165" t="e">
        <f>VLOOKUP(Table1[[#This Row],[MA_Number]],#REF!, 2,FALSE)</f>
        <v>#REF!</v>
      </c>
      <c r="AC165">
        <v>17</v>
      </c>
    </row>
    <row r="166" spans="1:29" hidden="1" x14ac:dyDescent="0.3">
      <c r="B166" s="1" t="s">
        <v>558</v>
      </c>
      <c r="C166" s="1"/>
      <c r="G166" t="s">
        <v>295</v>
      </c>
      <c r="H166" t="s">
        <v>744</v>
      </c>
      <c r="I166">
        <v>1</v>
      </c>
      <c r="J166">
        <v>111</v>
      </c>
      <c r="K166">
        <v>47</v>
      </c>
      <c r="L166">
        <v>56</v>
      </c>
      <c r="M166" t="s">
        <v>48</v>
      </c>
      <c r="N166" t="s">
        <v>24</v>
      </c>
      <c r="P166" t="b">
        <v>1</v>
      </c>
      <c r="AA166" t="e">
        <f>Table1[[#This Row],[qPer board]]*Table1[[#This Row],[boards]]</f>
        <v>#REF!</v>
      </c>
      <c r="AB166" t="e">
        <f>VLOOKUP(Table1[[#This Row],[MA_Number]],#REF!, 2,FALSE)</f>
        <v>#REF!</v>
      </c>
      <c r="AC166">
        <v>17</v>
      </c>
    </row>
    <row r="167" spans="1:29" hidden="1" x14ac:dyDescent="0.3">
      <c r="A167" t="s">
        <v>755</v>
      </c>
      <c r="B167" s="1">
        <v>7003293002</v>
      </c>
      <c r="C167" s="1"/>
      <c r="D167" t="s">
        <v>279</v>
      </c>
      <c r="F167" t="b">
        <v>0</v>
      </c>
      <c r="I167">
        <v>1</v>
      </c>
      <c r="J167">
        <v>60</v>
      </c>
      <c r="K167">
        <v>39</v>
      </c>
      <c r="L167">
        <v>45</v>
      </c>
      <c r="M167" t="s">
        <v>48</v>
      </c>
      <c r="N167" t="s">
        <v>24</v>
      </c>
      <c r="O167" t="b">
        <v>1</v>
      </c>
      <c r="AA167" t="e">
        <f>Table1[[#This Row],[qPer board]]*Table1[[#This Row],[boards]]</f>
        <v>#REF!</v>
      </c>
      <c r="AB167" t="e">
        <f>VLOOKUP(Table1[[#This Row],[MA_Number]],#REF!, 2,FALSE)</f>
        <v>#REF!</v>
      </c>
      <c r="AC167">
        <v>17</v>
      </c>
    </row>
    <row r="168" spans="1:29" hidden="1" x14ac:dyDescent="0.3">
      <c r="A168" t="s">
        <v>756</v>
      </c>
      <c r="B168" s="1">
        <v>7003789102</v>
      </c>
      <c r="C168" s="1"/>
      <c r="D168" t="s">
        <v>279</v>
      </c>
      <c r="F168" t="b">
        <v>0</v>
      </c>
      <c r="I168">
        <v>1</v>
      </c>
      <c r="J168">
        <v>53</v>
      </c>
      <c r="K168">
        <v>46</v>
      </c>
      <c r="L168">
        <v>49</v>
      </c>
      <c r="M168" t="s">
        <v>48</v>
      </c>
      <c r="N168" t="s">
        <v>24</v>
      </c>
      <c r="O168" t="b">
        <v>1</v>
      </c>
      <c r="X168">
        <v>53</v>
      </c>
      <c r="AA168">
        <f>Table1[[#This Row],[qPer board]]*Table1[[#This Row],[boards]]</f>
        <v>16</v>
      </c>
      <c r="AB168">
        <v>1</v>
      </c>
      <c r="AC168">
        <v>16</v>
      </c>
    </row>
    <row r="169" spans="1:29" hidden="1" x14ac:dyDescent="0.3">
      <c r="A169" t="s">
        <v>757</v>
      </c>
      <c r="B169" s="1">
        <v>7003803702</v>
      </c>
      <c r="C169" s="1"/>
      <c r="D169" t="s">
        <v>279</v>
      </c>
      <c r="F169" t="b">
        <v>0</v>
      </c>
      <c r="I169">
        <v>1</v>
      </c>
      <c r="J169">
        <v>45</v>
      </c>
      <c r="K169">
        <v>42</v>
      </c>
      <c r="L169">
        <v>45</v>
      </c>
      <c r="M169" t="s">
        <v>48</v>
      </c>
      <c r="N169" t="s">
        <v>24</v>
      </c>
      <c r="O169" t="b">
        <v>1</v>
      </c>
      <c r="X169">
        <v>53</v>
      </c>
      <c r="AA169">
        <f>Table1[[#This Row],[qPer board]]*Table1[[#This Row],[boards]]</f>
        <v>16</v>
      </c>
      <c r="AB169">
        <v>1</v>
      </c>
      <c r="AC169">
        <v>16</v>
      </c>
    </row>
    <row r="170" spans="1:29" hidden="1" x14ac:dyDescent="0.3">
      <c r="A170" t="s">
        <v>758</v>
      </c>
      <c r="B170" s="1">
        <v>7003827402</v>
      </c>
      <c r="C170" s="1"/>
      <c r="D170" t="s">
        <v>279</v>
      </c>
      <c r="F170" t="b">
        <v>0</v>
      </c>
      <c r="I170">
        <v>1</v>
      </c>
      <c r="J170">
        <v>70</v>
      </c>
      <c r="K170">
        <v>46</v>
      </c>
      <c r="L170">
        <v>45</v>
      </c>
      <c r="M170" t="s">
        <v>48</v>
      </c>
      <c r="N170" t="s">
        <v>24</v>
      </c>
      <c r="O170" t="b">
        <v>1</v>
      </c>
      <c r="AA170" t="e">
        <f>Table1[[#This Row],[qPer board]]*Table1[[#This Row],[boards]]</f>
        <v>#REF!</v>
      </c>
      <c r="AB170" t="e">
        <f>VLOOKUP(Table1[[#This Row],[MA_Number]],#REF!, 2,FALSE)</f>
        <v>#REF!</v>
      </c>
      <c r="AC170">
        <v>17</v>
      </c>
    </row>
    <row r="171" spans="1:29" hidden="1" x14ac:dyDescent="0.3">
      <c r="A171" t="s">
        <v>759</v>
      </c>
      <c r="B171" s="1">
        <v>7009630402</v>
      </c>
      <c r="C171" s="1"/>
      <c r="D171" t="s">
        <v>279</v>
      </c>
      <c r="F171" t="b">
        <v>0</v>
      </c>
      <c r="I171">
        <v>1</v>
      </c>
      <c r="J171">
        <v>55</v>
      </c>
      <c r="K171">
        <v>41</v>
      </c>
      <c r="L171">
        <v>45</v>
      </c>
      <c r="M171" t="s">
        <v>48</v>
      </c>
      <c r="N171" t="s">
        <v>24</v>
      </c>
      <c r="O171" t="b">
        <v>1</v>
      </c>
      <c r="AA171" t="e">
        <f>Table1[[#This Row],[qPer board]]*Table1[[#This Row],[boards]]</f>
        <v>#REF!</v>
      </c>
      <c r="AB171" t="e">
        <f>VLOOKUP(Table1[[#This Row],[MA_Number]],#REF!, 2,FALSE)</f>
        <v>#REF!</v>
      </c>
      <c r="AC171">
        <v>17</v>
      </c>
    </row>
    <row r="172" spans="1:29" hidden="1" x14ac:dyDescent="0.3">
      <c r="A172" t="s">
        <v>760</v>
      </c>
      <c r="B172" s="1">
        <v>7009639402</v>
      </c>
      <c r="C172" s="1"/>
      <c r="D172" t="s">
        <v>279</v>
      </c>
      <c r="F172" t="b">
        <v>0</v>
      </c>
      <c r="I172">
        <v>1</v>
      </c>
      <c r="J172">
        <v>46</v>
      </c>
      <c r="K172">
        <v>36</v>
      </c>
      <c r="L172">
        <v>42</v>
      </c>
      <c r="M172" t="s">
        <v>48</v>
      </c>
      <c r="N172" t="s">
        <v>24</v>
      </c>
      <c r="O172" t="b">
        <v>1</v>
      </c>
      <c r="AA172" t="e">
        <f>Table1[[#This Row],[qPer board]]*Table1[[#This Row],[boards]]</f>
        <v>#REF!</v>
      </c>
      <c r="AB172" t="e">
        <f>VLOOKUP(Table1[[#This Row],[MA_Number]],#REF!, 2,FALSE)</f>
        <v>#REF!</v>
      </c>
      <c r="AC172">
        <v>17</v>
      </c>
    </row>
    <row r="173" spans="1:29" hidden="1" x14ac:dyDescent="0.3">
      <c r="A173" t="s">
        <v>761</v>
      </c>
      <c r="B173" s="1">
        <v>7009741202</v>
      </c>
      <c r="C173" s="1"/>
      <c r="D173" t="s">
        <v>279</v>
      </c>
      <c r="F173" t="b">
        <v>0</v>
      </c>
      <c r="I173">
        <v>1</v>
      </c>
      <c r="J173">
        <v>41</v>
      </c>
      <c r="K173">
        <v>42</v>
      </c>
      <c r="L173">
        <v>45</v>
      </c>
      <c r="M173" t="s">
        <v>48</v>
      </c>
      <c r="N173" t="s">
        <v>24</v>
      </c>
      <c r="O173" t="b">
        <v>1</v>
      </c>
      <c r="AA173" t="e">
        <f>Table1[[#This Row],[qPer board]]*Table1[[#This Row],[boards]]</f>
        <v>#REF!</v>
      </c>
      <c r="AB173" t="e">
        <f>VLOOKUP(Table1[[#This Row],[MA_Number]],#REF!, 2,FALSE)</f>
        <v>#REF!</v>
      </c>
      <c r="AC173">
        <v>17</v>
      </c>
    </row>
    <row r="174" spans="1:29" hidden="1" x14ac:dyDescent="0.3">
      <c r="A174" t="s">
        <v>762</v>
      </c>
      <c r="B174" s="1">
        <v>7009741502</v>
      </c>
      <c r="C174" s="1"/>
      <c r="D174" t="s">
        <v>279</v>
      </c>
      <c r="F174" t="b">
        <v>0</v>
      </c>
      <c r="I174">
        <v>1</v>
      </c>
      <c r="J174">
        <v>41</v>
      </c>
      <c r="K174">
        <v>42</v>
      </c>
      <c r="L174">
        <v>45</v>
      </c>
      <c r="M174" t="s">
        <v>48</v>
      </c>
      <c r="N174" t="s">
        <v>24</v>
      </c>
      <c r="O174" t="b">
        <v>1</v>
      </c>
      <c r="X174">
        <v>53</v>
      </c>
      <c r="AA174">
        <f>Table1[[#This Row],[qPer board]]*Table1[[#This Row],[boards]]</f>
        <v>32</v>
      </c>
      <c r="AB174">
        <v>2</v>
      </c>
      <c r="AC174">
        <v>16</v>
      </c>
    </row>
    <row r="175" spans="1:29" hidden="1" x14ac:dyDescent="0.3">
      <c r="A175" t="s">
        <v>763</v>
      </c>
      <c r="B175" s="1">
        <v>7009741602</v>
      </c>
      <c r="C175" s="1"/>
      <c r="D175" t="s">
        <v>279</v>
      </c>
      <c r="F175" t="b">
        <v>0</v>
      </c>
      <c r="I175">
        <v>1</v>
      </c>
      <c r="J175">
        <v>41</v>
      </c>
      <c r="K175">
        <v>42</v>
      </c>
      <c r="L175">
        <v>45</v>
      </c>
      <c r="M175" t="s">
        <v>48</v>
      </c>
      <c r="N175" t="s">
        <v>24</v>
      </c>
      <c r="O175" t="b">
        <v>1</v>
      </c>
      <c r="AA175" t="e">
        <f>Table1[[#This Row],[qPer board]]*Table1[[#This Row],[boards]]</f>
        <v>#REF!</v>
      </c>
      <c r="AB175" t="e">
        <f>VLOOKUP(Table1[[#This Row],[MA_Number]],#REF!, 2,FALSE)</f>
        <v>#REF!</v>
      </c>
      <c r="AC175">
        <v>17</v>
      </c>
    </row>
    <row r="176" spans="1:29" hidden="1" x14ac:dyDescent="0.3">
      <c r="A176" t="s">
        <v>764</v>
      </c>
      <c r="B176" s="1">
        <v>7003803502</v>
      </c>
      <c r="C176" s="1"/>
      <c r="D176" t="s">
        <v>279</v>
      </c>
      <c r="F176" t="b">
        <v>0</v>
      </c>
      <c r="I176">
        <v>1</v>
      </c>
      <c r="J176">
        <v>45</v>
      </c>
      <c r="K176">
        <v>46</v>
      </c>
      <c r="L176">
        <v>46</v>
      </c>
      <c r="M176" t="s">
        <v>48</v>
      </c>
      <c r="N176" t="s">
        <v>24</v>
      </c>
      <c r="O176" t="b">
        <v>1</v>
      </c>
      <c r="X176">
        <v>53</v>
      </c>
      <c r="AA176">
        <f>Table1[[#This Row],[qPer board]]*Table1[[#This Row],[boards]]</f>
        <v>16</v>
      </c>
      <c r="AB176">
        <v>1</v>
      </c>
      <c r="AC176">
        <v>16</v>
      </c>
    </row>
    <row r="177" spans="1:29" hidden="1" x14ac:dyDescent="0.3">
      <c r="A177" t="s">
        <v>765</v>
      </c>
      <c r="B177" s="1">
        <v>7219182630</v>
      </c>
      <c r="C177" s="1"/>
      <c r="D177" t="s">
        <v>279</v>
      </c>
      <c r="F177" t="b">
        <v>0</v>
      </c>
      <c r="I177">
        <v>1</v>
      </c>
      <c r="J177">
        <v>52</v>
      </c>
      <c r="K177">
        <v>46</v>
      </c>
      <c r="L177">
        <v>60</v>
      </c>
      <c r="M177" t="s">
        <v>49</v>
      </c>
      <c r="N177" t="s">
        <v>24</v>
      </c>
      <c r="O177" t="b">
        <v>1</v>
      </c>
      <c r="AA177" t="e">
        <f>Table1[[#This Row],[qPer board]]*Table1[[#This Row],[boards]]</f>
        <v>#REF!</v>
      </c>
      <c r="AB177" t="e">
        <f>VLOOKUP(Table1[[#This Row],[MA_Number]],#REF!, 2,FALSE)</f>
        <v>#REF!</v>
      </c>
      <c r="AC177">
        <v>17</v>
      </c>
    </row>
    <row r="178" spans="1:29" hidden="1" x14ac:dyDescent="0.3">
      <c r="A178" t="s">
        <v>766</v>
      </c>
      <c r="B178" s="1">
        <v>7219622130</v>
      </c>
      <c r="C178" s="1"/>
      <c r="D178" t="s">
        <v>279</v>
      </c>
      <c r="F178" t="b">
        <v>0</v>
      </c>
      <c r="I178">
        <v>1</v>
      </c>
      <c r="J178">
        <v>47</v>
      </c>
      <c r="K178">
        <v>39</v>
      </c>
      <c r="L178">
        <v>50</v>
      </c>
      <c r="M178" t="s">
        <v>49</v>
      </c>
      <c r="N178" t="s">
        <v>24</v>
      </c>
      <c r="O178" t="b">
        <v>1</v>
      </c>
      <c r="AA178" t="e">
        <f>Table1[[#This Row],[qPer board]]*Table1[[#This Row],[boards]]</f>
        <v>#REF!</v>
      </c>
      <c r="AB178" t="e">
        <f>VLOOKUP(Table1[[#This Row],[MA_Number]],#REF!, 2,FALSE)</f>
        <v>#REF!</v>
      </c>
      <c r="AC178">
        <v>17</v>
      </c>
    </row>
    <row r="179" spans="1:29" hidden="1" x14ac:dyDescent="0.3">
      <c r="A179" t="s">
        <v>767</v>
      </c>
      <c r="B179" s="1">
        <v>7219632030</v>
      </c>
      <c r="C179" s="1"/>
      <c r="D179" t="s">
        <v>279</v>
      </c>
      <c r="F179" t="b">
        <v>0</v>
      </c>
      <c r="I179">
        <v>1</v>
      </c>
      <c r="J179">
        <v>43</v>
      </c>
      <c r="K179">
        <v>41</v>
      </c>
      <c r="L179">
        <v>54</v>
      </c>
      <c r="M179" t="s">
        <v>49</v>
      </c>
      <c r="N179" t="s">
        <v>24</v>
      </c>
      <c r="O179" t="b">
        <v>1</v>
      </c>
      <c r="AA179" t="e">
        <f>Table1[[#This Row],[qPer board]]*Table1[[#This Row],[boards]]</f>
        <v>#REF!</v>
      </c>
      <c r="AB179" t="e">
        <f>VLOOKUP(Table1[[#This Row],[MA_Number]],#REF!, 2,FALSE)</f>
        <v>#REF!</v>
      </c>
      <c r="AC179">
        <v>17</v>
      </c>
    </row>
    <row r="180" spans="1:29" hidden="1" x14ac:dyDescent="0.3">
      <c r="A180" t="s">
        <v>789</v>
      </c>
      <c r="B180" s="1">
        <v>7219632230</v>
      </c>
      <c r="C180" s="1"/>
      <c r="D180" t="s">
        <v>279</v>
      </c>
      <c r="F180" t="b">
        <v>0</v>
      </c>
      <c r="I180">
        <v>1</v>
      </c>
      <c r="J180">
        <v>47</v>
      </c>
      <c r="K180">
        <v>46</v>
      </c>
      <c r="L180">
        <v>50</v>
      </c>
      <c r="M180" t="s">
        <v>49</v>
      </c>
      <c r="N180" t="s">
        <v>24</v>
      </c>
      <c r="O180" t="b">
        <v>1</v>
      </c>
      <c r="AA180" t="e">
        <f>Table1[[#This Row],[qPer board]]*Table1[[#This Row],[boards]]</f>
        <v>#REF!</v>
      </c>
      <c r="AB180" t="e">
        <f>VLOOKUP(Table1[[#This Row],[MA_Number]],#REF!, 2,FALSE)</f>
        <v>#REF!</v>
      </c>
      <c r="AC180">
        <v>17</v>
      </c>
    </row>
    <row r="181" spans="1:29" hidden="1" x14ac:dyDescent="0.3">
      <c r="A181" t="s">
        <v>768</v>
      </c>
      <c r="B181" s="1">
        <v>7219648530</v>
      </c>
      <c r="C181" s="1"/>
      <c r="D181" t="s">
        <v>279</v>
      </c>
      <c r="F181" t="b">
        <v>0</v>
      </c>
      <c r="I181">
        <v>1</v>
      </c>
      <c r="J181">
        <v>47</v>
      </c>
      <c r="K181">
        <v>39</v>
      </c>
      <c r="L181">
        <v>50</v>
      </c>
      <c r="M181" t="s">
        <v>49</v>
      </c>
      <c r="N181" t="s">
        <v>24</v>
      </c>
      <c r="O181" t="b">
        <v>1</v>
      </c>
      <c r="AA181" t="e">
        <f>Table1[[#This Row],[qPer board]]*Table1[[#This Row],[boards]]</f>
        <v>#REF!</v>
      </c>
      <c r="AB181" t="e">
        <f>VLOOKUP(Table1[[#This Row],[MA_Number]],#REF!, 2,FALSE)</f>
        <v>#REF!</v>
      </c>
      <c r="AC181">
        <v>17</v>
      </c>
    </row>
    <row r="182" spans="1:29" hidden="1" x14ac:dyDescent="0.3">
      <c r="A182" t="s">
        <v>769</v>
      </c>
      <c r="B182" s="1">
        <v>7219652330</v>
      </c>
      <c r="C182" s="1"/>
      <c r="D182" t="s">
        <v>279</v>
      </c>
      <c r="F182" t="b">
        <v>0</v>
      </c>
      <c r="I182">
        <v>1</v>
      </c>
      <c r="J182">
        <v>48</v>
      </c>
      <c r="K182">
        <v>37</v>
      </c>
      <c r="L182">
        <v>60</v>
      </c>
      <c r="M182" t="s">
        <v>49</v>
      </c>
      <c r="N182" t="s">
        <v>24</v>
      </c>
      <c r="O182" t="b">
        <v>1</v>
      </c>
      <c r="AA182" t="e">
        <f>Table1[[#This Row],[qPer board]]*Table1[[#This Row],[boards]]</f>
        <v>#REF!</v>
      </c>
      <c r="AB182" t="e">
        <f>VLOOKUP(Table1[[#This Row],[MA_Number]],#REF!, 2,FALSE)</f>
        <v>#REF!</v>
      </c>
      <c r="AC182">
        <v>17</v>
      </c>
    </row>
    <row r="183" spans="1:29" hidden="1" x14ac:dyDescent="0.3">
      <c r="A183" t="s">
        <v>790</v>
      </c>
      <c r="B183" s="1" t="s">
        <v>787</v>
      </c>
      <c r="C183" s="1"/>
      <c r="D183" t="s">
        <v>279</v>
      </c>
      <c r="F183" t="b">
        <v>0</v>
      </c>
      <c r="I183">
        <v>1</v>
      </c>
      <c r="J183">
        <v>115</v>
      </c>
      <c r="K183">
        <v>81</v>
      </c>
      <c r="L183">
        <v>66</v>
      </c>
      <c r="M183" t="s">
        <v>49</v>
      </c>
      <c r="N183" t="s">
        <v>24</v>
      </c>
      <c r="O183" t="b">
        <v>1</v>
      </c>
      <c r="AA183" t="e">
        <f>Table1[[#This Row],[qPer board]]*Table1[[#This Row],[boards]]</f>
        <v>#REF!</v>
      </c>
      <c r="AB183" t="e">
        <f>VLOOKUP(Table1[[#This Row],[MA_Number]],#REF!, 2,FALSE)</f>
        <v>#REF!</v>
      </c>
      <c r="AC183">
        <v>17</v>
      </c>
    </row>
    <row r="184" spans="1:29" hidden="1" x14ac:dyDescent="0.3">
      <c r="A184" t="s">
        <v>799</v>
      </c>
      <c r="B184" s="1">
        <v>7278099530</v>
      </c>
      <c r="C184" s="1"/>
      <c r="D184" t="s">
        <v>279</v>
      </c>
      <c r="F184" t="b">
        <v>0</v>
      </c>
      <c r="I184">
        <v>1</v>
      </c>
      <c r="J184">
        <v>45</v>
      </c>
      <c r="K184">
        <v>40</v>
      </c>
      <c r="L184">
        <v>50</v>
      </c>
      <c r="M184" t="s">
        <v>49</v>
      </c>
      <c r="N184" t="s">
        <v>24</v>
      </c>
      <c r="O184" t="b">
        <v>1</v>
      </c>
      <c r="AA184" t="e">
        <f>Table1[[#This Row],[qPer board]]*Table1[[#This Row],[boards]]</f>
        <v>#REF!</v>
      </c>
      <c r="AB184" t="e">
        <f>VLOOKUP(Table1[[#This Row],[MA_Number]],#REF!, 2,FALSE)</f>
        <v>#REF!</v>
      </c>
      <c r="AC184">
        <v>17</v>
      </c>
    </row>
    <row r="185" spans="1:29" hidden="1" x14ac:dyDescent="0.3">
      <c r="A185" t="s">
        <v>770</v>
      </c>
      <c r="B185" s="1">
        <v>7278258330</v>
      </c>
      <c r="C185" s="1"/>
      <c r="D185" t="s">
        <v>279</v>
      </c>
      <c r="F185" t="b">
        <v>0</v>
      </c>
      <c r="I185">
        <v>1</v>
      </c>
      <c r="J185">
        <v>47</v>
      </c>
      <c r="K185">
        <v>47</v>
      </c>
      <c r="L185">
        <v>70</v>
      </c>
      <c r="M185" t="s">
        <v>49</v>
      </c>
      <c r="N185" t="s">
        <v>24</v>
      </c>
      <c r="O185" t="b">
        <v>1</v>
      </c>
      <c r="AA185" t="e">
        <f>Table1[[#This Row],[qPer board]]*Table1[[#This Row],[boards]]</f>
        <v>#REF!</v>
      </c>
      <c r="AB185" t="e">
        <f>VLOOKUP(Table1[[#This Row],[MA_Number]],#REF!, 2,FALSE)</f>
        <v>#REF!</v>
      </c>
      <c r="AC185">
        <v>17</v>
      </c>
    </row>
    <row r="186" spans="1:29" hidden="1" x14ac:dyDescent="0.3">
      <c r="A186" t="s">
        <v>796</v>
      </c>
      <c r="B186" s="1">
        <v>7289059730</v>
      </c>
      <c r="C186" s="1"/>
      <c r="D186" t="s">
        <v>279</v>
      </c>
      <c r="F186" t="b">
        <v>0</v>
      </c>
      <c r="I186">
        <v>1</v>
      </c>
      <c r="J186">
        <v>46</v>
      </c>
      <c r="K186">
        <v>44</v>
      </c>
      <c r="L186">
        <v>75</v>
      </c>
      <c r="M186" t="s">
        <v>49</v>
      </c>
      <c r="N186" t="s">
        <v>24</v>
      </c>
      <c r="O186" t="b">
        <v>1</v>
      </c>
      <c r="AA186" t="e">
        <f>Table1[[#This Row],[qPer board]]*Table1[[#This Row],[boards]]</f>
        <v>#REF!</v>
      </c>
      <c r="AB186" t="e">
        <f>VLOOKUP(Table1[[#This Row],[MA_Number]],#REF!, 2,FALSE)</f>
        <v>#REF!</v>
      </c>
      <c r="AC186">
        <v>17</v>
      </c>
    </row>
    <row r="187" spans="1:29" hidden="1" x14ac:dyDescent="0.3">
      <c r="A187" t="s">
        <v>771</v>
      </c>
      <c r="B187" s="1">
        <v>7289063730</v>
      </c>
      <c r="C187" s="1"/>
      <c r="D187" t="s">
        <v>279</v>
      </c>
      <c r="F187" t="b">
        <v>0</v>
      </c>
      <c r="I187">
        <v>1</v>
      </c>
      <c r="J187">
        <v>44</v>
      </c>
      <c r="K187">
        <v>43</v>
      </c>
      <c r="L187">
        <v>47</v>
      </c>
      <c r="M187" t="s">
        <v>49</v>
      </c>
      <c r="N187" t="s">
        <v>24</v>
      </c>
      <c r="O187" t="b">
        <v>1</v>
      </c>
      <c r="AA187" t="e">
        <f>Table1[[#This Row],[qPer board]]*Table1[[#This Row],[boards]]</f>
        <v>#REF!</v>
      </c>
      <c r="AB187" t="e">
        <f>VLOOKUP(Table1[[#This Row],[MA_Number]],#REF!, 2,FALSE)</f>
        <v>#REF!</v>
      </c>
      <c r="AC187">
        <v>17</v>
      </c>
    </row>
    <row r="188" spans="1:29" hidden="1" x14ac:dyDescent="0.3">
      <c r="A188" t="s">
        <v>772</v>
      </c>
      <c r="B188" s="1">
        <v>72893837</v>
      </c>
      <c r="C188" s="1"/>
      <c r="D188" t="s">
        <v>279</v>
      </c>
      <c r="F188" t="b">
        <v>0</v>
      </c>
      <c r="I188">
        <v>1</v>
      </c>
      <c r="J188">
        <v>48</v>
      </c>
      <c r="K188">
        <v>40</v>
      </c>
      <c r="L188">
        <v>52</v>
      </c>
      <c r="M188" t="s">
        <v>49</v>
      </c>
      <c r="N188" t="s">
        <v>24</v>
      </c>
      <c r="O188" t="b">
        <v>1</v>
      </c>
      <c r="AA188" t="e">
        <f>Table1[[#This Row],[qPer board]]*Table1[[#This Row],[boards]]</f>
        <v>#REF!</v>
      </c>
      <c r="AB188" t="e">
        <f>VLOOKUP(Table1[[#This Row],[MA_Number]],#REF!, 2,FALSE)</f>
        <v>#REF!</v>
      </c>
      <c r="AC188">
        <v>17</v>
      </c>
    </row>
    <row r="189" spans="1:29" hidden="1" x14ac:dyDescent="0.3">
      <c r="A189" t="s">
        <v>773</v>
      </c>
      <c r="B189" s="1">
        <v>7289405130</v>
      </c>
      <c r="C189" s="1"/>
      <c r="D189" t="s">
        <v>279</v>
      </c>
      <c r="F189" t="b">
        <v>0</v>
      </c>
      <c r="I189">
        <v>1</v>
      </c>
      <c r="J189">
        <v>45</v>
      </c>
      <c r="K189">
        <v>44</v>
      </c>
      <c r="L189">
        <v>47</v>
      </c>
      <c r="M189" t="s">
        <v>49</v>
      </c>
      <c r="N189" t="s">
        <v>24</v>
      </c>
      <c r="O189" t="b">
        <v>1</v>
      </c>
      <c r="AA189" t="e">
        <f>Table1[[#This Row],[qPer board]]*Table1[[#This Row],[boards]]</f>
        <v>#REF!</v>
      </c>
      <c r="AB189" t="e">
        <f>VLOOKUP(Table1[[#This Row],[MA_Number]],#REF!, 2,FALSE)</f>
        <v>#REF!</v>
      </c>
      <c r="AC189">
        <v>17</v>
      </c>
    </row>
    <row r="190" spans="1:29" hidden="1" x14ac:dyDescent="0.3">
      <c r="A190" t="s">
        <v>774</v>
      </c>
      <c r="B190" s="1">
        <v>7289405830</v>
      </c>
      <c r="C190" s="1"/>
      <c r="D190" t="s">
        <v>279</v>
      </c>
      <c r="F190" t="b">
        <v>0</v>
      </c>
      <c r="I190">
        <v>1</v>
      </c>
      <c r="J190">
        <v>45</v>
      </c>
      <c r="K190">
        <v>40</v>
      </c>
      <c r="L190">
        <v>47</v>
      </c>
      <c r="M190" t="s">
        <v>49</v>
      </c>
      <c r="N190" t="s">
        <v>24</v>
      </c>
      <c r="O190" t="b">
        <v>1</v>
      </c>
      <c r="X190">
        <v>30</v>
      </c>
      <c r="AA190" t="e">
        <f>Table1[[#This Row],[qPer board]]*Table1[[#This Row],[boards]]</f>
        <v>#REF!</v>
      </c>
      <c r="AB190" t="e">
        <f>VLOOKUP(Table1[[#This Row],[MA_Number]],#REF!, 2,FALSE)</f>
        <v>#REF!</v>
      </c>
      <c r="AC190">
        <v>17</v>
      </c>
    </row>
    <row r="191" spans="1:29" hidden="1" x14ac:dyDescent="0.3">
      <c r="A191" t="s">
        <v>775</v>
      </c>
      <c r="B191" s="1">
        <v>7289464330</v>
      </c>
      <c r="C191" s="1"/>
      <c r="D191" t="s">
        <v>279</v>
      </c>
      <c r="F191" t="b">
        <v>0</v>
      </c>
      <c r="I191">
        <v>1</v>
      </c>
      <c r="J191">
        <v>50</v>
      </c>
      <c r="K191">
        <v>38</v>
      </c>
      <c r="L191">
        <v>52</v>
      </c>
      <c r="M191" t="s">
        <v>50</v>
      </c>
      <c r="N191" t="s">
        <v>24</v>
      </c>
      <c r="O191" t="b">
        <v>1</v>
      </c>
      <c r="AA191" t="e">
        <f>Table1[[#This Row],[qPer board]]*Table1[[#This Row],[boards]]</f>
        <v>#REF!</v>
      </c>
      <c r="AB191" t="e">
        <f>VLOOKUP(Table1[[#This Row],[MA_Number]],#REF!, 2,FALSE)</f>
        <v>#REF!</v>
      </c>
      <c r="AC191">
        <v>17</v>
      </c>
    </row>
    <row r="192" spans="1:29" hidden="1" x14ac:dyDescent="0.3">
      <c r="A192" t="s">
        <v>776</v>
      </c>
      <c r="B192" s="1">
        <v>72895381</v>
      </c>
      <c r="C192" s="1"/>
      <c r="D192" t="s">
        <v>279</v>
      </c>
      <c r="F192" t="b">
        <v>0</v>
      </c>
      <c r="I192">
        <v>1</v>
      </c>
      <c r="J192">
        <v>44</v>
      </c>
      <c r="K192">
        <v>45</v>
      </c>
      <c r="L192">
        <v>78</v>
      </c>
      <c r="M192" t="s">
        <v>48</v>
      </c>
      <c r="N192" t="s">
        <v>24</v>
      </c>
      <c r="O192" t="b">
        <v>1</v>
      </c>
      <c r="AA192" t="e">
        <f>Table1[[#This Row],[qPer board]]*Table1[[#This Row],[boards]]</f>
        <v>#REF!</v>
      </c>
      <c r="AB192" t="e">
        <f>VLOOKUP(Table1[[#This Row],[MA_Number]],#REF!, 2,FALSE)</f>
        <v>#REF!</v>
      </c>
      <c r="AC192">
        <v>17</v>
      </c>
    </row>
    <row r="193" spans="1:29" hidden="1" x14ac:dyDescent="0.3">
      <c r="A193" t="s">
        <v>777</v>
      </c>
      <c r="B193" s="1">
        <v>7289734390</v>
      </c>
      <c r="C193" s="1"/>
      <c r="D193" t="s">
        <v>279</v>
      </c>
      <c r="F193" t="b">
        <v>0</v>
      </c>
      <c r="I193">
        <v>1</v>
      </c>
      <c r="J193">
        <v>45</v>
      </c>
      <c r="K193">
        <v>40</v>
      </c>
      <c r="L193">
        <v>50</v>
      </c>
      <c r="M193" t="s">
        <v>50</v>
      </c>
      <c r="N193" t="s">
        <v>24</v>
      </c>
      <c r="O193" t="b">
        <v>1</v>
      </c>
      <c r="AA193" t="e">
        <f>Table1[[#This Row],[qPer board]]*Table1[[#This Row],[boards]]</f>
        <v>#REF!</v>
      </c>
      <c r="AB193" t="e">
        <f>VLOOKUP(Table1[[#This Row],[MA_Number]],#REF!, 2,FALSE)</f>
        <v>#REF!</v>
      </c>
      <c r="AC193">
        <v>17</v>
      </c>
    </row>
    <row r="194" spans="1:29" hidden="1" x14ac:dyDescent="0.3">
      <c r="A194" t="s">
        <v>778</v>
      </c>
      <c r="B194" s="1">
        <v>7289921730</v>
      </c>
      <c r="C194" s="1"/>
      <c r="D194" t="s">
        <v>279</v>
      </c>
      <c r="F194" t="b">
        <v>0</v>
      </c>
      <c r="I194">
        <v>1</v>
      </c>
      <c r="J194">
        <v>47</v>
      </c>
      <c r="K194">
        <v>51</v>
      </c>
      <c r="L194">
        <v>80</v>
      </c>
      <c r="M194" t="s">
        <v>49</v>
      </c>
      <c r="N194" t="s">
        <v>24</v>
      </c>
      <c r="O194" t="b">
        <v>1</v>
      </c>
      <c r="AA194" t="e">
        <f>Table1[[#This Row],[qPer board]]*Table1[[#This Row],[boards]]</f>
        <v>#REF!</v>
      </c>
      <c r="AB194" t="e">
        <f>VLOOKUP(Table1[[#This Row],[MA_Number]],#REF!, 2,FALSE)</f>
        <v>#REF!</v>
      </c>
      <c r="AC194">
        <v>17</v>
      </c>
    </row>
    <row r="195" spans="1:29" hidden="1" x14ac:dyDescent="0.3">
      <c r="A195" t="s">
        <v>779</v>
      </c>
      <c r="B195" s="1">
        <v>72980475</v>
      </c>
      <c r="C195" s="1"/>
      <c r="D195" t="s">
        <v>279</v>
      </c>
      <c r="F195" t="b">
        <v>0</v>
      </c>
      <c r="I195">
        <v>1</v>
      </c>
      <c r="J195">
        <v>40</v>
      </c>
      <c r="K195">
        <v>34</v>
      </c>
      <c r="L195">
        <v>48</v>
      </c>
      <c r="M195" t="s">
        <v>48</v>
      </c>
      <c r="N195" t="s">
        <v>24</v>
      </c>
      <c r="O195" t="b">
        <v>1</v>
      </c>
      <c r="AA195" t="e">
        <f>Table1[[#This Row],[qPer board]]*Table1[[#This Row],[boards]]</f>
        <v>#REF!</v>
      </c>
      <c r="AB195" t="e">
        <f>VLOOKUP(Table1[[#This Row],[MA_Number]],#REF!, 2,FALSE)</f>
        <v>#REF!</v>
      </c>
      <c r="AC195">
        <v>17</v>
      </c>
    </row>
    <row r="196" spans="1:29" hidden="1" x14ac:dyDescent="0.3">
      <c r="A196" t="s">
        <v>780</v>
      </c>
      <c r="B196" s="1" t="s">
        <v>651</v>
      </c>
      <c r="C196" s="1"/>
      <c r="D196" t="s">
        <v>279</v>
      </c>
      <c r="F196" t="b">
        <v>0</v>
      </c>
      <c r="I196">
        <v>1</v>
      </c>
      <c r="J196">
        <v>52</v>
      </c>
      <c r="K196">
        <v>60</v>
      </c>
      <c r="L196">
        <v>56</v>
      </c>
      <c r="M196" t="s">
        <v>52</v>
      </c>
      <c r="N196" t="s">
        <v>24</v>
      </c>
      <c r="O196" t="b">
        <v>1</v>
      </c>
      <c r="AA196" t="e">
        <f>Table1[[#This Row],[qPer board]]*Table1[[#This Row],[boards]]</f>
        <v>#REF!</v>
      </c>
      <c r="AB196" t="e">
        <f>VLOOKUP(Table1[[#This Row],[MA_Number]],#REF!, 2,FALSE)</f>
        <v>#REF!</v>
      </c>
      <c r="AC196">
        <v>17</v>
      </c>
    </row>
    <row r="197" spans="1:29" hidden="1" x14ac:dyDescent="0.3">
      <c r="A197" t="s">
        <v>781</v>
      </c>
      <c r="B197" s="1">
        <v>7298677930</v>
      </c>
      <c r="C197" s="1"/>
      <c r="D197" t="s">
        <v>279</v>
      </c>
      <c r="F197" t="b">
        <v>0</v>
      </c>
      <c r="I197">
        <v>1</v>
      </c>
      <c r="J197">
        <v>44</v>
      </c>
      <c r="K197">
        <v>42</v>
      </c>
      <c r="L197">
        <v>50</v>
      </c>
      <c r="M197" t="s">
        <v>49</v>
      </c>
      <c r="N197" t="s">
        <v>24</v>
      </c>
      <c r="O197" t="b">
        <v>1</v>
      </c>
      <c r="AA197" t="e">
        <f>Table1[[#This Row],[qPer board]]*Table1[[#This Row],[boards]]</f>
        <v>#REF!</v>
      </c>
      <c r="AB197" t="e">
        <f>VLOOKUP(Table1[[#This Row],[MA_Number]],#REF!, 2,FALSE)</f>
        <v>#REF!</v>
      </c>
      <c r="AC197">
        <v>17</v>
      </c>
    </row>
    <row r="198" spans="1:29" hidden="1" x14ac:dyDescent="0.3">
      <c r="A198" t="s">
        <v>782</v>
      </c>
      <c r="B198" s="1">
        <v>7298761730</v>
      </c>
      <c r="C198" s="1"/>
      <c r="D198" t="s">
        <v>279</v>
      </c>
      <c r="F198" t="b">
        <v>0</v>
      </c>
      <c r="I198">
        <v>1</v>
      </c>
      <c r="J198">
        <v>44</v>
      </c>
      <c r="K198">
        <v>42</v>
      </c>
      <c r="L198">
        <v>50</v>
      </c>
      <c r="M198" t="s">
        <v>49</v>
      </c>
      <c r="N198" t="s">
        <v>24</v>
      </c>
      <c r="O198" t="b">
        <v>1</v>
      </c>
      <c r="AA198" t="e">
        <f>Table1[[#This Row],[qPer board]]*Table1[[#This Row],[boards]]</f>
        <v>#REF!</v>
      </c>
      <c r="AB198" t="e">
        <f>VLOOKUP(Table1[[#This Row],[MA_Number]],#REF!, 2,FALSE)</f>
        <v>#REF!</v>
      </c>
      <c r="AC198">
        <v>17</v>
      </c>
    </row>
    <row r="199" spans="1:29" hidden="1" x14ac:dyDescent="0.3">
      <c r="A199" t="s">
        <v>783</v>
      </c>
      <c r="B199" s="1">
        <v>7298912930</v>
      </c>
      <c r="C199" s="1"/>
      <c r="D199" t="s">
        <v>279</v>
      </c>
      <c r="F199" t="b">
        <v>0</v>
      </c>
      <c r="I199">
        <v>1</v>
      </c>
      <c r="J199">
        <v>48</v>
      </c>
      <c r="K199">
        <v>45</v>
      </c>
      <c r="L199">
        <v>58</v>
      </c>
      <c r="M199" t="s">
        <v>49</v>
      </c>
      <c r="N199" t="s">
        <v>24</v>
      </c>
      <c r="O199" t="b">
        <v>1</v>
      </c>
      <c r="AA199" t="e">
        <f>Table1[[#This Row],[qPer board]]*Table1[[#This Row],[boards]]</f>
        <v>#REF!</v>
      </c>
      <c r="AB199" t="e">
        <f>VLOOKUP(Table1[[#This Row],[MA_Number]],#REF!, 2,FALSE)</f>
        <v>#REF!</v>
      </c>
      <c r="AC199">
        <v>17</v>
      </c>
    </row>
    <row r="200" spans="1:29" hidden="1" x14ac:dyDescent="0.3">
      <c r="A200" t="s">
        <v>824</v>
      </c>
      <c r="B200" s="1">
        <v>7298913330</v>
      </c>
      <c r="C200" s="1"/>
      <c r="D200" t="s">
        <v>279</v>
      </c>
      <c r="F200" t="b">
        <v>0</v>
      </c>
      <c r="I200">
        <v>1</v>
      </c>
      <c r="J200">
        <v>44</v>
      </c>
      <c r="K200">
        <v>42</v>
      </c>
      <c r="L200">
        <v>51</v>
      </c>
      <c r="M200" t="s">
        <v>49</v>
      </c>
      <c r="N200" t="s">
        <v>24</v>
      </c>
      <c r="O200" t="b">
        <v>1</v>
      </c>
      <c r="AA200" t="e">
        <f>Table1[[#This Row],[qPer board]]*Table1[[#This Row],[boards]]</f>
        <v>#REF!</v>
      </c>
      <c r="AB200" t="e">
        <f>VLOOKUP(Table1[[#This Row],[MA_Number]],#REF!, 2,FALSE)</f>
        <v>#REF!</v>
      </c>
      <c r="AC200">
        <v>17</v>
      </c>
    </row>
    <row r="201" spans="1:29" hidden="1" x14ac:dyDescent="0.3">
      <c r="A201" t="s">
        <v>784</v>
      </c>
      <c r="B201" s="1">
        <v>7298948930</v>
      </c>
      <c r="C201" s="1" t="s">
        <v>801</v>
      </c>
      <c r="D201" t="s">
        <v>279</v>
      </c>
      <c r="E201" t="s">
        <v>1755</v>
      </c>
      <c r="F201" t="b">
        <v>0</v>
      </c>
      <c r="I201">
        <v>1</v>
      </c>
      <c r="J201">
        <v>46</v>
      </c>
      <c r="K201">
        <v>41</v>
      </c>
      <c r="L201">
        <v>50</v>
      </c>
      <c r="M201" t="s">
        <v>49</v>
      </c>
      <c r="N201" t="s">
        <v>24</v>
      </c>
      <c r="O201" t="b">
        <v>1</v>
      </c>
      <c r="X201">
        <v>44</v>
      </c>
      <c r="AA201">
        <f>Table1[[#This Row],[qPer board]]*Table1[[#This Row],[boards]]</f>
        <v>28</v>
      </c>
      <c r="AB201">
        <v>1</v>
      </c>
      <c r="AC201">
        <v>28</v>
      </c>
    </row>
    <row r="202" spans="1:29" hidden="1" x14ac:dyDescent="0.3">
      <c r="A202" t="s">
        <v>802</v>
      </c>
      <c r="B202" s="1">
        <v>7298949030</v>
      </c>
      <c r="C202" s="1"/>
      <c r="D202" t="s">
        <v>279</v>
      </c>
      <c r="E202" t="s">
        <v>1755</v>
      </c>
      <c r="F202" t="b">
        <v>0</v>
      </c>
      <c r="I202">
        <v>1</v>
      </c>
      <c r="J202">
        <v>46</v>
      </c>
      <c r="K202">
        <v>42</v>
      </c>
      <c r="L202">
        <v>50</v>
      </c>
      <c r="M202" t="s">
        <v>49</v>
      </c>
      <c r="N202" t="s">
        <v>24</v>
      </c>
      <c r="O202" t="b">
        <v>1</v>
      </c>
      <c r="X202">
        <v>44</v>
      </c>
      <c r="AA202">
        <f>Table1[[#This Row],[qPer board]]*Table1[[#This Row],[boards]]</f>
        <v>28</v>
      </c>
      <c r="AB202">
        <v>1</v>
      </c>
      <c r="AC202">
        <v>28</v>
      </c>
    </row>
    <row r="203" spans="1:29" hidden="1" x14ac:dyDescent="0.3">
      <c r="A203" t="s">
        <v>785</v>
      </c>
      <c r="B203" s="1" t="s">
        <v>589</v>
      </c>
      <c r="C203" s="1"/>
      <c r="D203" t="s">
        <v>279</v>
      </c>
      <c r="E203" t="s">
        <v>2081</v>
      </c>
      <c r="F203" t="b">
        <v>0</v>
      </c>
      <c r="I203">
        <v>1</v>
      </c>
      <c r="J203">
        <v>52</v>
      </c>
      <c r="K203">
        <v>41</v>
      </c>
      <c r="L203">
        <v>50</v>
      </c>
      <c r="M203" t="s">
        <v>49</v>
      </c>
      <c r="N203" t="s">
        <v>24</v>
      </c>
      <c r="O203" t="b">
        <v>1</v>
      </c>
      <c r="X203">
        <v>54</v>
      </c>
      <c r="AA203">
        <f>Table1[[#This Row],[qPer board]]*Table1[[#This Row],[boards]]</f>
        <v>16</v>
      </c>
      <c r="AB203">
        <v>1</v>
      </c>
      <c r="AC203">
        <v>16</v>
      </c>
    </row>
    <row r="204" spans="1:29" hidden="1" x14ac:dyDescent="0.3">
      <c r="A204" t="s">
        <v>786</v>
      </c>
      <c r="B204" s="1" t="s">
        <v>656</v>
      </c>
      <c r="C204" s="1"/>
      <c r="D204" t="s">
        <v>279</v>
      </c>
      <c r="F204" t="b">
        <v>0</v>
      </c>
      <c r="I204">
        <v>1</v>
      </c>
      <c r="J204">
        <v>53</v>
      </c>
      <c r="K204">
        <v>36</v>
      </c>
      <c r="L204">
        <v>45</v>
      </c>
      <c r="M204" t="s">
        <v>51</v>
      </c>
      <c r="N204" t="s">
        <v>24</v>
      </c>
      <c r="O204" t="b">
        <v>1</v>
      </c>
      <c r="X204">
        <v>50</v>
      </c>
      <c r="AA204">
        <f>Table1[[#This Row],[qPer board]]*Table1[[#This Row],[boards]]</f>
        <v>16</v>
      </c>
      <c r="AB204">
        <v>1</v>
      </c>
      <c r="AC204">
        <v>16</v>
      </c>
    </row>
    <row r="205" spans="1:29" hidden="1" x14ac:dyDescent="0.3">
      <c r="A205" t="s">
        <v>788</v>
      </c>
      <c r="B205" s="1">
        <v>7003292202</v>
      </c>
      <c r="C205" s="1"/>
      <c r="D205" t="s">
        <v>279</v>
      </c>
      <c r="F205" t="b">
        <v>0</v>
      </c>
      <c r="I205">
        <v>1</v>
      </c>
      <c r="J205">
        <v>60</v>
      </c>
      <c r="K205">
        <v>39</v>
      </c>
      <c r="L205">
        <v>45</v>
      </c>
      <c r="M205" t="s">
        <v>48</v>
      </c>
      <c r="N205" t="s">
        <v>24</v>
      </c>
      <c r="O205" t="b">
        <v>1</v>
      </c>
      <c r="AA205" t="e">
        <f>Table1[[#This Row],[qPer board]]*Table1[[#This Row],[boards]]</f>
        <v>#REF!</v>
      </c>
      <c r="AB205" t="e">
        <f>VLOOKUP(Table1[[#This Row],[MA_Number]],#REF!, 2,FALSE)</f>
        <v>#REF!</v>
      </c>
      <c r="AC205">
        <v>17</v>
      </c>
    </row>
    <row r="206" spans="1:29" hidden="1" x14ac:dyDescent="0.3">
      <c r="A206" t="s">
        <v>797</v>
      </c>
      <c r="B206" s="1">
        <v>7118605030</v>
      </c>
      <c r="C206" s="1"/>
      <c r="D206" t="s">
        <v>279</v>
      </c>
      <c r="F206" t="b">
        <v>0</v>
      </c>
      <c r="I206">
        <v>1</v>
      </c>
      <c r="J206">
        <v>46</v>
      </c>
      <c r="K206">
        <v>40</v>
      </c>
      <c r="L206">
        <v>48</v>
      </c>
      <c r="M206" t="s">
        <v>49</v>
      </c>
      <c r="N206" t="s">
        <v>24</v>
      </c>
      <c r="O206" t="b">
        <v>1</v>
      </c>
      <c r="AA206" t="e">
        <f>Table1[[#This Row],[qPer board]]*Table1[[#This Row],[boards]]</f>
        <v>#REF!</v>
      </c>
      <c r="AB206" t="e">
        <f>VLOOKUP(Table1[[#This Row],[MA_Number]],#REF!, 2,FALSE)</f>
        <v>#REF!</v>
      </c>
      <c r="AC206">
        <v>17</v>
      </c>
    </row>
    <row r="207" spans="1:29" hidden="1" x14ac:dyDescent="0.3">
      <c r="A207" t="s">
        <v>800</v>
      </c>
      <c r="B207" s="1">
        <v>7289042870</v>
      </c>
      <c r="C207" s="1"/>
      <c r="D207" t="s">
        <v>279</v>
      </c>
      <c r="F207" t="b">
        <v>0</v>
      </c>
      <c r="I207">
        <v>1</v>
      </c>
      <c r="J207">
        <v>45</v>
      </c>
      <c r="K207">
        <v>45</v>
      </c>
      <c r="L207">
        <v>52</v>
      </c>
      <c r="M207" t="s">
        <v>54</v>
      </c>
      <c r="N207" t="s">
        <v>24</v>
      </c>
      <c r="O207" t="b">
        <v>1</v>
      </c>
      <c r="AA207" t="e">
        <f>Table1[[#This Row],[qPer board]]*Table1[[#This Row],[boards]]</f>
        <v>#REF!</v>
      </c>
      <c r="AB207" t="e">
        <f>VLOOKUP(Table1[[#This Row],[MA_Number]],#REF!, 2,FALSE)</f>
        <v>#REF!</v>
      </c>
      <c r="AC207">
        <v>17</v>
      </c>
    </row>
    <row r="208" spans="1:29" hidden="1" x14ac:dyDescent="0.3">
      <c r="A208" t="s">
        <v>803</v>
      </c>
      <c r="B208" s="1" t="s">
        <v>571</v>
      </c>
      <c r="C208" s="1"/>
      <c r="D208" t="s">
        <v>279</v>
      </c>
      <c r="F208" t="b">
        <v>0</v>
      </c>
      <c r="I208">
        <v>1</v>
      </c>
      <c r="J208">
        <v>38</v>
      </c>
      <c r="K208">
        <v>37</v>
      </c>
      <c r="L208">
        <v>69</v>
      </c>
      <c r="M208" t="s">
        <v>49</v>
      </c>
      <c r="N208" t="s">
        <v>24</v>
      </c>
      <c r="O208" t="b">
        <v>1</v>
      </c>
      <c r="AA208" t="e">
        <f>Table1[[#This Row],[qPer board]]*Table1[[#This Row],[boards]]</f>
        <v>#REF!</v>
      </c>
      <c r="AB208" t="e">
        <f>VLOOKUP(Table1[[#This Row],[MA_Number]],#REF!, 2,FALSE)</f>
        <v>#REF!</v>
      </c>
      <c r="AC208">
        <v>17</v>
      </c>
    </row>
    <row r="209" spans="1:29" hidden="1" x14ac:dyDescent="0.3">
      <c r="A209" t="s">
        <v>804</v>
      </c>
      <c r="B209" s="1" t="s">
        <v>654</v>
      </c>
      <c r="C209" s="1"/>
      <c r="D209" t="s">
        <v>279</v>
      </c>
      <c r="F209" t="b">
        <v>0</v>
      </c>
      <c r="I209">
        <v>1</v>
      </c>
      <c r="J209">
        <v>39</v>
      </c>
      <c r="K209">
        <v>34</v>
      </c>
      <c r="L209">
        <v>52</v>
      </c>
      <c r="M209" t="s">
        <v>50</v>
      </c>
      <c r="N209" t="s">
        <v>24</v>
      </c>
      <c r="O209" t="b">
        <v>1</v>
      </c>
      <c r="AA209" t="e">
        <f>Table1[[#This Row],[qPer board]]*Table1[[#This Row],[boards]]</f>
        <v>#REF!</v>
      </c>
      <c r="AB209" t="e">
        <f>VLOOKUP(Table1[[#This Row],[MA_Number]],#REF!, 2,FALSE)</f>
        <v>#REF!</v>
      </c>
      <c r="AC209">
        <v>17</v>
      </c>
    </row>
    <row r="210" spans="1:29" hidden="1" x14ac:dyDescent="0.3">
      <c r="A210" t="s">
        <v>805</v>
      </c>
      <c r="B210" s="1">
        <v>7289689230</v>
      </c>
      <c r="C210" s="1"/>
      <c r="D210" t="s">
        <v>279</v>
      </c>
      <c r="F210" t="b">
        <v>0</v>
      </c>
      <c r="I210">
        <v>1</v>
      </c>
      <c r="J210">
        <v>47</v>
      </c>
      <c r="K210">
        <v>40</v>
      </c>
      <c r="L210">
        <v>50</v>
      </c>
      <c r="M210" t="s">
        <v>49</v>
      </c>
      <c r="N210" t="s">
        <v>24</v>
      </c>
      <c r="O210" t="b">
        <v>1</v>
      </c>
      <c r="AA210" t="e">
        <f>Table1[[#This Row],[qPer board]]*Table1[[#This Row],[boards]]</f>
        <v>#REF!</v>
      </c>
      <c r="AB210" t="e">
        <f>VLOOKUP(Table1[[#This Row],[MA_Number]],#REF!, 2,FALSE)</f>
        <v>#REF!</v>
      </c>
      <c r="AC210">
        <v>17</v>
      </c>
    </row>
    <row r="211" spans="1:29" hidden="1" x14ac:dyDescent="0.3">
      <c r="A211" t="s">
        <v>806</v>
      </c>
      <c r="B211" s="1">
        <v>7009748202</v>
      </c>
      <c r="C211" s="1"/>
      <c r="D211" t="s">
        <v>279</v>
      </c>
      <c r="F211" t="b">
        <v>0</v>
      </c>
      <c r="I211">
        <v>1</v>
      </c>
      <c r="J211">
        <v>50</v>
      </c>
      <c r="K211">
        <v>42</v>
      </c>
      <c r="L211">
        <v>45</v>
      </c>
      <c r="M211" t="s">
        <v>48</v>
      </c>
      <c r="N211" t="s">
        <v>24</v>
      </c>
      <c r="O211" t="b">
        <v>1</v>
      </c>
      <c r="AA211" t="e">
        <f>Table1[[#This Row],[qPer board]]*Table1[[#This Row],[boards]]</f>
        <v>#REF!</v>
      </c>
      <c r="AB211" t="e">
        <f>VLOOKUP(Table1[[#This Row],[MA_Number]],#REF!, 2,FALSE)</f>
        <v>#REF!</v>
      </c>
      <c r="AC211">
        <v>17</v>
      </c>
    </row>
    <row r="212" spans="1:29" hidden="1" x14ac:dyDescent="0.3">
      <c r="A212" t="s">
        <v>807</v>
      </c>
      <c r="B212" s="1">
        <v>7298913530</v>
      </c>
      <c r="C212" s="1"/>
      <c r="D212" t="s">
        <v>279</v>
      </c>
      <c r="F212" t="b">
        <v>0</v>
      </c>
      <c r="I212">
        <v>1</v>
      </c>
      <c r="J212">
        <v>48</v>
      </c>
      <c r="K212">
        <v>45</v>
      </c>
      <c r="L212">
        <v>63</v>
      </c>
      <c r="M212" t="s">
        <v>49</v>
      </c>
      <c r="N212" t="s">
        <v>24</v>
      </c>
      <c r="O212" t="b">
        <v>1</v>
      </c>
      <c r="AA212" t="e">
        <f>Table1[[#This Row],[qPer board]]*Table1[[#This Row],[boards]]</f>
        <v>#REF!</v>
      </c>
      <c r="AB212" t="e">
        <f>VLOOKUP(Table1[[#This Row],[MA_Number]],#REF!, 2,FALSE)</f>
        <v>#REF!</v>
      </c>
      <c r="AC212">
        <v>17</v>
      </c>
    </row>
    <row r="213" spans="1:29" hidden="1" x14ac:dyDescent="0.3">
      <c r="A213" t="s">
        <v>808</v>
      </c>
      <c r="B213" s="1">
        <v>7119665630</v>
      </c>
      <c r="C213" s="1"/>
      <c r="D213" t="s">
        <v>279</v>
      </c>
      <c r="F213" t="b">
        <v>0</v>
      </c>
      <c r="I213">
        <v>1</v>
      </c>
      <c r="J213">
        <v>46</v>
      </c>
      <c r="K213">
        <v>32</v>
      </c>
      <c r="L213">
        <v>49</v>
      </c>
      <c r="M213" t="s">
        <v>49</v>
      </c>
      <c r="N213" t="s">
        <v>24</v>
      </c>
      <c r="O213" t="b">
        <v>1</v>
      </c>
      <c r="AA213" t="e">
        <f>Table1[[#This Row],[qPer board]]*Table1[[#This Row],[boards]]</f>
        <v>#REF!</v>
      </c>
      <c r="AB213" t="e">
        <f>VLOOKUP(Table1[[#This Row],[MA_Number]],#REF!, 2,FALSE)</f>
        <v>#REF!</v>
      </c>
      <c r="AC213">
        <v>17</v>
      </c>
    </row>
    <row r="214" spans="1:29" hidden="1" x14ac:dyDescent="0.3">
      <c r="A214" t="s">
        <v>809</v>
      </c>
      <c r="B214" s="1">
        <v>7119637880</v>
      </c>
      <c r="C214" s="1"/>
      <c r="D214" t="s">
        <v>279</v>
      </c>
      <c r="F214" t="b">
        <v>0</v>
      </c>
      <c r="I214">
        <v>1</v>
      </c>
      <c r="J214">
        <v>42</v>
      </c>
      <c r="K214">
        <v>41</v>
      </c>
      <c r="L214">
        <v>47</v>
      </c>
      <c r="M214" t="s">
        <v>51</v>
      </c>
      <c r="N214" t="s">
        <v>24</v>
      </c>
      <c r="O214" t="b">
        <v>1</v>
      </c>
      <c r="AA214" t="e">
        <f>Table1[[#This Row],[qPer board]]*Table1[[#This Row],[boards]]</f>
        <v>#REF!</v>
      </c>
      <c r="AB214" t="e">
        <f>VLOOKUP(Table1[[#This Row],[MA_Number]],#REF!, 2,FALSE)</f>
        <v>#REF!</v>
      </c>
      <c r="AC214">
        <v>17</v>
      </c>
    </row>
    <row r="215" spans="1:29" hidden="1" x14ac:dyDescent="0.3">
      <c r="A215" t="s">
        <v>810</v>
      </c>
      <c r="B215" s="1">
        <v>7198600430</v>
      </c>
      <c r="C215" s="1"/>
      <c r="D215" t="s">
        <v>279</v>
      </c>
      <c r="F215" t="b">
        <v>0</v>
      </c>
      <c r="I215">
        <v>1</v>
      </c>
      <c r="J215">
        <v>91</v>
      </c>
      <c r="K215">
        <v>41</v>
      </c>
      <c r="L215">
        <v>54</v>
      </c>
      <c r="M215" t="s">
        <v>49</v>
      </c>
      <c r="N215" t="s">
        <v>24</v>
      </c>
      <c r="O215" t="b">
        <v>1</v>
      </c>
      <c r="AA215" t="e">
        <f>Table1[[#This Row],[qPer board]]*Table1[[#This Row],[boards]]</f>
        <v>#REF!</v>
      </c>
      <c r="AB215" t="e">
        <f>VLOOKUP(Table1[[#This Row],[MA_Number]],#REF!, 2,FALSE)</f>
        <v>#REF!</v>
      </c>
      <c r="AC215">
        <v>17</v>
      </c>
    </row>
    <row r="216" spans="1:29" hidden="1" x14ac:dyDescent="0.3">
      <c r="A216" t="s">
        <v>811</v>
      </c>
      <c r="B216" s="1">
        <v>7287065830</v>
      </c>
      <c r="C216" s="1"/>
      <c r="D216" t="s">
        <v>279</v>
      </c>
      <c r="F216" t="b">
        <v>0</v>
      </c>
      <c r="I216">
        <v>1</v>
      </c>
      <c r="J216">
        <v>42</v>
      </c>
      <c r="K216">
        <v>46</v>
      </c>
      <c r="L216">
        <v>56</v>
      </c>
      <c r="M216" t="s">
        <v>49</v>
      </c>
      <c r="N216" t="s">
        <v>24</v>
      </c>
      <c r="O216" t="b">
        <v>1</v>
      </c>
      <c r="AA216" t="e">
        <f>Table1[[#This Row],[qPer board]]*Table1[[#This Row],[boards]]</f>
        <v>#REF!</v>
      </c>
      <c r="AB216" t="e">
        <f>VLOOKUP(Table1[[#This Row],[MA_Number]],#REF!, 2,FALSE)</f>
        <v>#REF!</v>
      </c>
      <c r="AC216">
        <v>17</v>
      </c>
    </row>
    <row r="217" spans="1:29" hidden="1" x14ac:dyDescent="0.3">
      <c r="A217" t="s">
        <v>812</v>
      </c>
      <c r="B217" s="1" t="s">
        <v>813</v>
      </c>
      <c r="C217" s="1"/>
      <c r="D217" t="s">
        <v>279</v>
      </c>
      <c r="F217" t="b">
        <v>0</v>
      </c>
      <c r="I217">
        <v>1</v>
      </c>
      <c r="J217">
        <v>92</v>
      </c>
      <c r="K217">
        <v>75</v>
      </c>
      <c r="L217">
        <v>52</v>
      </c>
      <c r="M217" t="s">
        <v>48</v>
      </c>
      <c r="N217" t="s">
        <v>24</v>
      </c>
      <c r="O217" t="b">
        <v>1</v>
      </c>
      <c r="X217">
        <v>34</v>
      </c>
      <c r="AA217">
        <f>Table1[[#This Row],[qPer board]]*Table1[[#This Row],[boards]]</f>
        <v>17</v>
      </c>
      <c r="AB217">
        <v>1</v>
      </c>
      <c r="AC217">
        <v>17</v>
      </c>
    </row>
    <row r="218" spans="1:29" hidden="1" x14ac:dyDescent="0.3">
      <c r="A218" t="s">
        <v>827</v>
      </c>
      <c r="B218" s="1">
        <v>7035990830</v>
      </c>
      <c r="C218" s="1"/>
      <c r="D218" t="s">
        <v>279</v>
      </c>
      <c r="F218" t="b">
        <v>0</v>
      </c>
      <c r="I218">
        <v>1</v>
      </c>
      <c r="J218">
        <v>85</v>
      </c>
      <c r="K218">
        <v>48</v>
      </c>
      <c r="L218">
        <v>63</v>
      </c>
      <c r="M218" t="s">
        <v>49</v>
      </c>
      <c r="N218" t="s">
        <v>24</v>
      </c>
      <c r="O218" t="b">
        <v>1</v>
      </c>
      <c r="X218">
        <v>50</v>
      </c>
      <c r="AA218">
        <f>Table1[[#This Row],[qPer board]]*Table1[[#This Row],[boards]]</f>
        <v>32</v>
      </c>
      <c r="AB218">
        <v>2</v>
      </c>
      <c r="AC218">
        <v>16</v>
      </c>
    </row>
    <row r="219" spans="1:29" hidden="1" x14ac:dyDescent="0.3">
      <c r="A219" t="s">
        <v>828</v>
      </c>
      <c r="B219" s="1" t="s">
        <v>650</v>
      </c>
      <c r="C219" s="1"/>
      <c r="D219" t="s">
        <v>279</v>
      </c>
      <c r="F219" t="b">
        <v>0</v>
      </c>
      <c r="I219">
        <v>1</v>
      </c>
      <c r="J219">
        <v>105</v>
      </c>
      <c r="K219">
        <v>65</v>
      </c>
      <c r="L219">
        <v>68</v>
      </c>
      <c r="M219" t="s">
        <v>49</v>
      </c>
      <c r="N219" t="s">
        <v>24</v>
      </c>
      <c r="O219" t="b">
        <v>1</v>
      </c>
      <c r="AA219" t="e">
        <f>Table1[[#This Row],[qPer board]]*Table1[[#This Row],[boards]]</f>
        <v>#REF!</v>
      </c>
      <c r="AB219" t="e">
        <f>VLOOKUP(Table1[[#This Row],[MA_Number]],#REF!, 2,FALSE)</f>
        <v>#REF!</v>
      </c>
      <c r="AC219">
        <v>17</v>
      </c>
    </row>
    <row r="220" spans="1:29" hidden="1" x14ac:dyDescent="0.3">
      <c r="A220" t="s">
        <v>829</v>
      </c>
      <c r="B220" s="1">
        <v>7247781630</v>
      </c>
      <c r="C220" s="1"/>
      <c r="D220" t="s">
        <v>282</v>
      </c>
      <c r="E220" t="s">
        <v>830</v>
      </c>
      <c r="F220" t="b">
        <v>0</v>
      </c>
      <c r="I220">
        <v>1</v>
      </c>
      <c r="J220">
        <v>39</v>
      </c>
      <c r="K220">
        <v>34</v>
      </c>
      <c r="L220">
        <v>48</v>
      </c>
      <c r="M220" t="s">
        <v>49</v>
      </c>
      <c r="N220" t="s">
        <v>24</v>
      </c>
      <c r="O220" t="b">
        <v>1</v>
      </c>
      <c r="AA220" t="e">
        <f>Table1[[#This Row],[qPer board]]*Table1[[#This Row],[boards]]</f>
        <v>#REF!</v>
      </c>
      <c r="AB220" t="e">
        <f>VLOOKUP(Table1[[#This Row],[MA_Number]],#REF!, 2,FALSE)</f>
        <v>#REF!</v>
      </c>
      <c r="AC220">
        <v>17</v>
      </c>
    </row>
    <row r="221" spans="1:29" hidden="1" x14ac:dyDescent="0.3">
      <c r="A221" t="s">
        <v>950</v>
      </c>
      <c r="B221" s="1">
        <v>7035964930</v>
      </c>
      <c r="C221" s="1"/>
      <c r="D221" t="s">
        <v>279</v>
      </c>
      <c r="E221" t="s">
        <v>1755</v>
      </c>
      <c r="F221" t="b">
        <v>0</v>
      </c>
      <c r="I221">
        <v>1</v>
      </c>
      <c r="J221">
        <v>83</v>
      </c>
      <c r="K221">
        <v>60</v>
      </c>
      <c r="L221">
        <v>80</v>
      </c>
      <c r="M221" t="s">
        <v>49</v>
      </c>
      <c r="N221" t="s">
        <v>24</v>
      </c>
      <c r="O221" t="b">
        <v>1</v>
      </c>
      <c r="X221">
        <v>30</v>
      </c>
      <c r="AA221" t="e">
        <f>Table1[[#This Row],[qPer board]]*Table1[[#This Row],[boards]]</f>
        <v>#REF!</v>
      </c>
      <c r="AB221" t="e">
        <f>VLOOKUP(Table1[[#This Row],[MA_Number]],#REF!, 2,FALSE)</f>
        <v>#REF!</v>
      </c>
      <c r="AC221">
        <v>17</v>
      </c>
    </row>
    <row r="222" spans="1:29" hidden="1" x14ac:dyDescent="0.3">
      <c r="A222" t="s">
        <v>832</v>
      </c>
      <c r="B222" s="1">
        <v>7035990430</v>
      </c>
      <c r="C222" s="1" t="s">
        <v>831</v>
      </c>
      <c r="D222" t="s">
        <v>279</v>
      </c>
      <c r="F222" t="b">
        <v>0</v>
      </c>
      <c r="I222">
        <v>1</v>
      </c>
      <c r="J222">
        <v>65</v>
      </c>
      <c r="K222">
        <v>50</v>
      </c>
      <c r="L222">
        <v>70</v>
      </c>
      <c r="M222" t="s">
        <v>49</v>
      </c>
      <c r="N222" t="s">
        <v>24</v>
      </c>
      <c r="O222" t="b">
        <v>1</v>
      </c>
      <c r="X222">
        <v>30</v>
      </c>
      <c r="AA222" t="e">
        <f>Table1[[#This Row],[qPer board]]*Table1[[#This Row],[boards]]</f>
        <v>#REF!</v>
      </c>
      <c r="AB222" t="e">
        <f>VLOOKUP(Table1[[#This Row],[MA_Number]],#REF!, 2,FALSE)</f>
        <v>#REF!</v>
      </c>
      <c r="AC222">
        <v>17</v>
      </c>
    </row>
    <row r="223" spans="1:29" hidden="1" x14ac:dyDescent="0.3">
      <c r="A223" t="s">
        <v>833</v>
      </c>
      <c r="B223" s="1" t="s">
        <v>826</v>
      </c>
      <c r="C223" s="1"/>
      <c r="D223" t="s">
        <v>279</v>
      </c>
      <c r="F223" t="b">
        <v>0</v>
      </c>
      <c r="I223">
        <v>1</v>
      </c>
      <c r="J223">
        <v>102</v>
      </c>
      <c r="K223">
        <v>47</v>
      </c>
      <c r="L223">
        <v>57</v>
      </c>
      <c r="M223" t="s">
        <v>49</v>
      </c>
      <c r="N223" t="s">
        <v>24</v>
      </c>
      <c r="O223" t="b">
        <v>1</v>
      </c>
      <c r="AA223" t="e">
        <f>Table1[[#This Row],[qPer board]]*Table1[[#This Row],[boards]]</f>
        <v>#REF!</v>
      </c>
      <c r="AB223" t="e">
        <f>VLOOKUP(Table1[[#This Row],[MA_Number]],#REF!, 2,FALSE)</f>
        <v>#REF!</v>
      </c>
      <c r="AC223">
        <v>17</v>
      </c>
    </row>
    <row r="224" spans="1:29" hidden="1" x14ac:dyDescent="0.3">
      <c r="A224" t="s">
        <v>872</v>
      </c>
      <c r="B224" s="1">
        <v>6666666630</v>
      </c>
      <c r="C224" s="1"/>
      <c r="D224" t="s">
        <v>279</v>
      </c>
      <c r="E224" t="s">
        <v>871</v>
      </c>
      <c r="F224" t="b">
        <v>0</v>
      </c>
      <c r="I224">
        <v>1</v>
      </c>
      <c r="J224">
        <v>66</v>
      </c>
      <c r="K224">
        <v>67</v>
      </c>
      <c r="L224">
        <v>68</v>
      </c>
      <c r="M224" t="s">
        <v>49</v>
      </c>
      <c r="N224" t="s">
        <v>24</v>
      </c>
      <c r="O224" t="b">
        <v>1</v>
      </c>
      <c r="AA224" t="e">
        <f>Table1[[#This Row],[qPer board]]*Table1[[#This Row],[boards]]</f>
        <v>#REF!</v>
      </c>
      <c r="AB224" t="e">
        <f>VLOOKUP(Table1[[#This Row],[MA_Number]],#REF!, 2,FALSE)</f>
        <v>#REF!</v>
      </c>
      <c r="AC224">
        <v>17</v>
      </c>
    </row>
    <row r="225" spans="1:29" hidden="1" x14ac:dyDescent="0.3">
      <c r="A225" t="s">
        <v>1363</v>
      </c>
      <c r="B225" s="1" t="s">
        <v>609</v>
      </c>
      <c r="C225" s="1"/>
      <c r="D225" t="s">
        <v>279</v>
      </c>
      <c r="F225" t="b">
        <v>0</v>
      </c>
      <c r="I225">
        <v>1</v>
      </c>
      <c r="J225">
        <v>45</v>
      </c>
      <c r="K225">
        <v>40</v>
      </c>
      <c r="L225">
        <v>46</v>
      </c>
      <c r="M225" t="s">
        <v>48</v>
      </c>
      <c r="N225" t="s">
        <v>24</v>
      </c>
      <c r="O225" t="b">
        <v>1</v>
      </c>
      <c r="X225">
        <v>30</v>
      </c>
      <c r="AA225" t="e">
        <f>Table1[[#This Row],[qPer board]]*Table1[[#This Row],[boards]]</f>
        <v>#REF!</v>
      </c>
      <c r="AB225" t="e">
        <f>VLOOKUP(Table1[[#This Row],[MA_Number]],#REF!, 2,FALSE)</f>
        <v>#REF!</v>
      </c>
      <c r="AC225">
        <v>17</v>
      </c>
    </row>
    <row r="226" spans="1:29" hidden="1" x14ac:dyDescent="0.3">
      <c r="A226" t="s">
        <v>848</v>
      </c>
      <c r="B226" s="1">
        <v>7235053630</v>
      </c>
      <c r="C226" s="1"/>
      <c r="D226" t="s">
        <v>279</v>
      </c>
      <c r="E226" t="s">
        <v>960</v>
      </c>
      <c r="F226" t="b">
        <v>0</v>
      </c>
      <c r="I226">
        <v>1</v>
      </c>
      <c r="J226">
        <v>105</v>
      </c>
      <c r="K226">
        <v>63</v>
      </c>
      <c r="L226">
        <v>85</v>
      </c>
      <c r="M226" t="s">
        <v>49</v>
      </c>
      <c r="N226" t="s">
        <v>24</v>
      </c>
      <c r="O226" t="b">
        <v>1</v>
      </c>
      <c r="X226">
        <v>30</v>
      </c>
      <c r="AA226" t="e">
        <f>Table1[[#This Row],[qPer board]]*Table1[[#This Row],[boards]]</f>
        <v>#REF!</v>
      </c>
      <c r="AB226" t="e">
        <f>VLOOKUP(Table1[[#This Row],[MA_Number]],#REF!, 2,FALSE)</f>
        <v>#REF!</v>
      </c>
      <c r="AC226">
        <v>17</v>
      </c>
    </row>
    <row r="227" spans="1:29" hidden="1" x14ac:dyDescent="0.3">
      <c r="A227" t="s">
        <v>849</v>
      </c>
      <c r="B227" s="1">
        <v>7235053630</v>
      </c>
      <c r="C227" s="1"/>
      <c r="D227" t="s">
        <v>279</v>
      </c>
      <c r="F227" t="b">
        <v>0</v>
      </c>
      <c r="I227">
        <v>1</v>
      </c>
      <c r="J227">
        <v>105</v>
      </c>
      <c r="K227">
        <v>63</v>
      </c>
      <c r="L227">
        <v>85</v>
      </c>
      <c r="M227" t="s">
        <v>49</v>
      </c>
      <c r="N227" t="s">
        <v>24</v>
      </c>
      <c r="O227" t="b">
        <v>1</v>
      </c>
      <c r="AA227" t="e">
        <f>Table1[[#This Row],[qPer board]]*Table1[[#This Row],[boards]]</f>
        <v>#REF!</v>
      </c>
      <c r="AB227" t="e">
        <f>VLOOKUP(Table1[[#This Row],[MA_Number]],#REF!, 2,FALSE)</f>
        <v>#REF!</v>
      </c>
      <c r="AC227">
        <v>17</v>
      </c>
    </row>
    <row r="228" spans="1:29" hidden="1" x14ac:dyDescent="0.3">
      <c r="A228" t="s">
        <v>850</v>
      </c>
      <c r="B228" s="1">
        <v>7235053630</v>
      </c>
      <c r="C228" s="1"/>
      <c r="D228" t="s">
        <v>279</v>
      </c>
      <c r="E228" t="s">
        <v>960</v>
      </c>
      <c r="F228" t="b">
        <v>0</v>
      </c>
      <c r="I228">
        <v>1</v>
      </c>
      <c r="J228">
        <v>105</v>
      </c>
      <c r="K228">
        <v>71</v>
      </c>
      <c r="L228">
        <v>85</v>
      </c>
      <c r="M228" t="s">
        <v>49</v>
      </c>
      <c r="N228" t="s">
        <v>24</v>
      </c>
      <c r="O228" t="b">
        <v>1</v>
      </c>
      <c r="X228">
        <v>33</v>
      </c>
      <c r="AA228">
        <f>Table1[[#This Row],[qPer board]]*Table1[[#This Row],[boards]]</f>
        <v>17</v>
      </c>
      <c r="AB228">
        <v>1</v>
      </c>
      <c r="AC228">
        <v>17</v>
      </c>
    </row>
    <row r="229" spans="1:29" hidden="1" x14ac:dyDescent="0.3">
      <c r="A229" t="s">
        <v>851</v>
      </c>
      <c r="B229" s="1">
        <v>7235053630</v>
      </c>
      <c r="C229" s="1"/>
      <c r="D229" t="s">
        <v>279</v>
      </c>
      <c r="F229" t="b">
        <v>0</v>
      </c>
      <c r="I229">
        <v>1</v>
      </c>
      <c r="J229">
        <v>105</v>
      </c>
      <c r="K229">
        <v>71</v>
      </c>
      <c r="L229">
        <v>85</v>
      </c>
      <c r="M229" t="s">
        <v>49</v>
      </c>
      <c r="N229" t="s">
        <v>24</v>
      </c>
      <c r="O229" t="b">
        <v>1</v>
      </c>
      <c r="AA229" t="e">
        <f>Table1[[#This Row],[qPer board]]*Table1[[#This Row],[boards]]</f>
        <v>#REF!</v>
      </c>
      <c r="AB229" t="e">
        <f>VLOOKUP(Table1[[#This Row],[MA_Number]],#REF!, 2,FALSE)</f>
        <v>#REF!</v>
      </c>
      <c r="AC229">
        <v>17</v>
      </c>
    </row>
    <row r="230" spans="1:29" hidden="1" x14ac:dyDescent="0.3">
      <c r="A230" t="s">
        <v>856</v>
      </c>
      <c r="B230" s="1" t="s">
        <v>603</v>
      </c>
      <c r="C230" s="1"/>
      <c r="D230" t="s">
        <v>279</v>
      </c>
      <c r="F230" t="b">
        <v>0</v>
      </c>
      <c r="I230">
        <v>1</v>
      </c>
      <c r="J230">
        <v>49</v>
      </c>
      <c r="K230">
        <v>34</v>
      </c>
      <c r="L230">
        <v>44</v>
      </c>
      <c r="M230" t="s">
        <v>51</v>
      </c>
      <c r="N230" t="s">
        <v>24</v>
      </c>
      <c r="O230" t="b">
        <v>1</v>
      </c>
      <c r="X230">
        <v>30</v>
      </c>
      <c r="AA230" t="e">
        <f>Table1[[#This Row],[qPer board]]*Table1[[#This Row],[boards]]</f>
        <v>#REF!</v>
      </c>
      <c r="AB230" t="e">
        <f>VLOOKUP(Table1[[#This Row],[MA_Number]],#REF!, 2,FALSE)</f>
        <v>#REF!</v>
      </c>
      <c r="AC230">
        <v>17</v>
      </c>
    </row>
    <row r="231" spans="1:29" hidden="1" x14ac:dyDescent="0.3">
      <c r="A231" t="s">
        <v>1870</v>
      </c>
      <c r="B231" s="1" t="s">
        <v>1210</v>
      </c>
      <c r="C231" s="1"/>
      <c r="D231" t="s">
        <v>279</v>
      </c>
      <c r="E231" t="s">
        <v>2026</v>
      </c>
      <c r="F231" t="b">
        <v>0</v>
      </c>
      <c r="I231">
        <v>1</v>
      </c>
      <c r="J231">
        <v>32</v>
      </c>
      <c r="K231">
        <v>28</v>
      </c>
      <c r="L231">
        <v>42</v>
      </c>
      <c r="M231" t="s">
        <v>49</v>
      </c>
      <c r="N231" t="s">
        <v>24</v>
      </c>
      <c r="O231" t="b">
        <v>1</v>
      </c>
      <c r="X231">
        <v>44</v>
      </c>
      <c r="AA231">
        <f>Table1[[#This Row],[qPer board]]*Table1[[#This Row],[boards]]</f>
        <v>112</v>
      </c>
      <c r="AB231">
        <v>4</v>
      </c>
      <c r="AC231">
        <v>28</v>
      </c>
    </row>
    <row r="232" spans="1:29" hidden="1" x14ac:dyDescent="0.3">
      <c r="A232" t="s">
        <v>857</v>
      </c>
      <c r="B232" s="1">
        <v>7003756102</v>
      </c>
      <c r="C232" s="1"/>
      <c r="D232" t="s">
        <v>279</v>
      </c>
      <c r="F232" t="b">
        <v>0</v>
      </c>
      <c r="I232">
        <v>1</v>
      </c>
      <c r="J232">
        <v>60</v>
      </c>
      <c r="K232">
        <v>42</v>
      </c>
      <c r="L232">
        <v>45</v>
      </c>
      <c r="M232" t="s">
        <v>48</v>
      </c>
      <c r="N232" t="s">
        <v>24</v>
      </c>
      <c r="O232" t="b">
        <v>1</v>
      </c>
      <c r="X232">
        <v>30</v>
      </c>
      <c r="AA232" t="e">
        <f>Table1[[#This Row],[qPer board]]*Table1[[#This Row],[boards]]</f>
        <v>#REF!</v>
      </c>
      <c r="AB232" t="e">
        <f>VLOOKUP(Table1[[#This Row],[MA_Number]],#REF!, 2,FALSE)</f>
        <v>#REF!</v>
      </c>
      <c r="AC232">
        <v>17</v>
      </c>
    </row>
    <row r="233" spans="1:29" hidden="1" x14ac:dyDescent="0.3">
      <c r="A233" t="s">
        <v>858</v>
      </c>
      <c r="B233" s="1">
        <v>7119163630</v>
      </c>
      <c r="C233" s="1"/>
      <c r="D233" t="s">
        <v>279</v>
      </c>
      <c r="F233" t="b">
        <v>0</v>
      </c>
      <c r="I233">
        <v>1</v>
      </c>
      <c r="J233">
        <v>42</v>
      </c>
      <c r="K233">
        <v>35</v>
      </c>
      <c r="L233">
        <v>42</v>
      </c>
      <c r="M233" t="s">
        <v>49</v>
      </c>
      <c r="N233" t="s">
        <v>24</v>
      </c>
      <c r="O233" t="b">
        <v>1</v>
      </c>
      <c r="AA233" t="e">
        <f>Table1[[#This Row],[qPer board]]*Table1[[#This Row],[boards]]</f>
        <v>#REF!</v>
      </c>
      <c r="AB233" t="e">
        <f>VLOOKUP(Table1[[#This Row],[MA_Number]],#REF!, 2,FALSE)</f>
        <v>#REF!</v>
      </c>
      <c r="AC233">
        <v>17</v>
      </c>
    </row>
    <row r="234" spans="1:29" hidden="1" x14ac:dyDescent="0.3">
      <c r="A234" t="s">
        <v>861</v>
      </c>
      <c r="B234" s="1">
        <v>7047135830</v>
      </c>
      <c r="C234" s="1" t="s">
        <v>859</v>
      </c>
      <c r="D234" t="s">
        <v>282</v>
      </c>
      <c r="E234" t="s">
        <v>860</v>
      </c>
      <c r="F234" t="b">
        <v>1</v>
      </c>
      <c r="I234">
        <v>1</v>
      </c>
      <c r="X234">
        <v>31</v>
      </c>
      <c r="AA234">
        <f>Table1[[#This Row],[qPer board]]*Table1[[#This Row],[boards]]</f>
        <v>17</v>
      </c>
      <c r="AB234">
        <v>1</v>
      </c>
      <c r="AC234">
        <v>17</v>
      </c>
    </row>
    <row r="235" spans="1:29" hidden="1" x14ac:dyDescent="0.3">
      <c r="B235" s="1">
        <v>7047135830</v>
      </c>
      <c r="C235" s="1"/>
      <c r="G235" t="s">
        <v>861</v>
      </c>
      <c r="H235" t="s">
        <v>862</v>
      </c>
      <c r="I235">
        <v>1</v>
      </c>
      <c r="J235">
        <v>30</v>
      </c>
      <c r="K235">
        <v>30</v>
      </c>
      <c r="L235">
        <v>60</v>
      </c>
      <c r="M235" t="s">
        <v>52</v>
      </c>
      <c r="N235" t="s">
        <v>24</v>
      </c>
      <c r="O235" t="b">
        <v>1</v>
      </c>
      <c r="X235">
        <v>31</v>
      </c>
      <c r="AA235">
        <f>Table1[[#This Row],[qPer board]]*Table1[[#This Row],[boards]]</f>
        <v>17</v>
      </c>
      <c r="AB235">
        <v>1</v>
      </c>
      <c r="AC235">
        <v>17</v>
      </c>
    </row>
    <row r="236" spans="1:29" hidden="1" x14ac:dyDescent="0.3">
      <c r="B236" s="1">
        <v>7047135830</v>
      </c>
      <c r="C236" s="1"/>
      <c r="G236" t="s">
        <v>861</v>
      </c>
      <c r="H236" t="s">
        <v>863</v>
      </c>
      <c r="I236">
        <v>1</v>
      </c>
      <c r="J236">
        <v>44</v>
      </c>
      <c r="K236">
        <v>21</v>
      </c>
      <c r="L236">
        <v>24</v>
      </c>
      <c r="M236" t="s">
        <v>54</v>
      </c>
      <c r="N236" t="s">
        <v>24</v>
      </c>
      <c r="O236" t="b">
        <v>1</v>
      </c>
      <c r="X236">
        <v>31</v>
      </c>
      <c r="AA236">
        <f>Table1[[#This Row],[qPer board]]*Table1[[#This Row],[boards]]</f>
        <v>17</v>
      </c>
      <c r="AB236">
        <v>1</v>
      </c>
      <c r="AC236">
        <v>17</v>
      </c>
    </row>
    <row r="237" spans="1:29" hidden="1" x14ac:dyDescent="0.3">
      <c r="A237" t="s">
        <v>865</v>
      </c>
      <c r="B237" s="1">
        <v>7047186030</v>
      </c>
      <c r="C237" s="1" t="s">
        <v>864</v>
      </c>
      <c r="D237" t="s">
        <v>282</v>
      </c>
      <c r="E237" t="s">
        <v>860</v>
      </c>
      <c r="F237" t="b">
        <v>1</v>
      </c>
      <c r="I237">
        <v>1</v>
      </c>
      <c r="X237">
        <v>31</v>
      </c>
      <c r="AA237">
        <f>Table1[[#This Row],[qPer board]]*Table1[[#This Row],[boards]]</f>
        <v>102</v>
      </c>
      <c r="AB237">
        <v>6</v>
      </c>
      <c r="AC237">
        <v>17</v>
      </c>
    </row>
    <row r="238" spans="1:29" hidden="1" x14ac:dyDescent="0.3">
      <c r="B238" s="1">
        <v>7047186030</v>
      </c>
      <c r="C238" s="1"/>
      <c r="G238" t="s">
        <v>865</v>
      </c>
      <c r="H238" t="s">
        <v>866</v>
      </c>
      <c r="I238">
        <v>1</v>
      </c>
      <c r="J238">
        <v>42</v>
      </c>
      <c r="K238">
        <v>20</v>
      </c>
      <c r="L238">
        <v>59</v>
      </c>
      <c r="M238" t="s">
        <v>52</v>
      </c>
      <c r="N238" t="s">
        <v>24</v>
      </c>
      <c r="O238" t="b">
        <v>1</v>
      </c>
      <c r="X238">
        <v>31</v>
      </c>
      <c r="AA238">
        <f>Table1[[#This Row],[qPer board]]*Table1[[#This Row],[boards]]</f>
        <v>102</v>
      </c>
      <c r="AB238">
        <v>6</v>
      </c>
      <c r="AC238">
        <v>17</v>
      </c>
    </row>
    <row r="239" spans="1:29" hidden="1" x14ac:dyDescent="0.3">
      <c r="B239" s="1">
        <v>7047186030</v>
      </c>
      <c r="C239" s="1"/>
      <c r="G239" t="s">
        <v>865</v>
      </c>
      <c r="H239" t="s">
        <v>867</v>
      </c>
      <c r="I239">
        <v>1</v>
      </c>
      <c r="J239">
        <v>64</v>
      </c>
      <c r="K239">
        <v>32</v>
      </c>
      <c r="L239">
        <v>20</v>
      </c>
      <c r="M239" t="s">
        <v>54</v>
      </c>
      <c r="N239" t="s">
        <v>24</v>
      </c>
      <c r="O239" t="b">
        <v>1</v>
      </c>
      <c r="X239">
        <v>31</v>
      </c>
      <c r="AA239">
        <f>Table1[[#This Row],[qPer board]]*Table1[[#This Row],[boards]]</f>
        <v>102</v>
      </c>
      <c r="AB239">
        <v>6</v>
      </c>
      <c r="AC239">
        <v>17</v>
      </c>
    </row>
    <row r="240" spans="1:29" hidden="1" x14ac:dyDescent="0.3">
      <c r="A240" t="s">
        <v>963</v>
      </c>
      <c r="B240" s="1">
        <v>7119172930</v>
      </c>
      <c r="C240" s="1"/>
      <c r="D240" t="s">
        <v>279</v>
      </c>
      <c r="F240" t="b">
        <v>0</v>
      </c>
      <c r="I240">
        <v>1</v>
      </c>
      <c r="J240">
        <v>40</v>
      </c>
      <c r="K240">
        <v>32</v>
      </c>
      <c r="L240">
        <v>47</v>
      </c>
      <c r="M240" t="s">
        <v>49</v>
      </c>
      <c r="N240" t="s">
        <v>24</v>
      </c>
      <c r="O240" t="b">
        <v>1</v>
      </c>
      <c r="AA240" t="e">
        <f>Table1[[#This Row],[qPer board]]*Table1[[#This Row],[boards]]</f>
        <v>#REF!</v>
      </c>
      <c r="AB240" t="e">
        <f>VLOOKUP(Table1[[#This Row],[MA_Number]],#REF!, 2,FALSE)</f>
        <v>#REF!</v>
      </c>
      <c r="AC240">
        <v>17</v>
      </c>
    </row>
    <row r="241" spans="1:29" hidden="1" x14ac:dyDescent="0.3">
      <c r="A241" t="s">
        <v>987</v>
      </c>
      <c r="B241" s="1">
        <v>71782472</v>
      </c>
      <c r="C241" s="1"/>
      <c r="D241" t="s">
        <v>279</v>
      </c>
      <c r="F241" t="b">
        <v>0</v>
      </c>
      <c r="I241">
        <v>1</v>
      </c>
      <c r="J241">
        <v>45</v>
      </c>
      <c r="K241">
        <v>36</v>
      </c>
      <c r="L241">
        <v>48</v>
      </c>
      <c r="M241" t="s">
        <v>48</v>
      </c>
      <c r="N241" t="s">
        <v>24</v>
      </c>
      <c r="O241" t="b">
        <v>1</v>
      </c>
      <c r="X241">
        <v>30</v>
      </c>
      <c r="AA241" t="e">
        <f>Table1[[#This Row],[qPer board]]*Table1[[#This Row],[boards]]</f>
        <v>#REF!</v>
      </c>
      <c r="AB241" t="e">
        <f>VLOOKUP(Table1[[#This Row],[MA_Number]],#REF!, 2,FALSE)</f>
        <v>#REF!</v>
      </c>
      <c r="AC241">
        <v>17</v>
      </c>
    </row>
    <row r="242" spans="1:29" hidden="1" x14ac:dyDescent="0.3">
      <c r="A242" t="s">
        <v>965</v>
      </c>
      <c r="B242" s="1">
        <v>71897277</v>
      </c>
      <c r="C242" s="1"/>
      <c r="D242" t="s">
        <v>279</v>
      </c>
      <c r="F242" t="b">
        <v>0</v>
      </c>
      <c r="I242">
        <v>1</v>
      </c>
      <c r="J242">
        <v>42</v>
      </c>
      <c r="K242">
        <v>35</v>
      </c>
      <c r="L242">
        <v>49</v>
      </c>
      <c r="M242" t="s">
        <v>48</v>
      </c>
      <c r="N242" t="s">
        <v>24</v>
      </c>
      <c r="O242" t="b">
        <v>1</v>
      </c>
      <c r="X242">
        <v>30</v>
      </c>
      <c r="AA242" t="e">
        <f>Table1[[#This Row],[qPer board]]*Table1[[#This Row],[boards]]</f>
        <v>#REF!</v>
      </c>
      <c r="AB242" t="e">
        <f>VLOOKUP(Table1[[#This Row],[MA_Number]],#REF!, 2,FALSE)</f>
        <v>#REF!</v>
      </c>
      <c r="AC242">
        <v>17</v>
      </c>
    </row>
    <row r="243" spans="1:29" hidden="1" x14ac:dyDescent="0.3">
      <c r="A243" t="s">
        <v>970</v>
      </c>
      <c r="B243" s="1">
        <v>7289982670</v>
      </c>
      <c r="C243" s="1"/>
      <c r="D243" t="s">
        <v>279</v>
      </c>
      <c r="F243" t="b">
        <v>0</v>
      </c>
      <c r="I243">
        <v>1</v>
      </c>
      <c r="J243">
        <v>44</v>
      </c>
      <c r="K243">
        <v>40</v>
      </c>
      <c r="L243">
        <v>47</v>
      </c>
      <c r="M243" t="s">
        <v>54</v>
      </c>
      <c r="N243" t="s">
        <v>24</v>
      </c>
      <c r="O243" t="b">
        <v>1</v>
      </c>
      <c r="X243">
        <v>30</v>
      </c>
      <c r="AA243" t="e">
        <f>Table1[[#This Row],[qPer board]]*Table1[[#This Row],[boards]]</f>
        <v>#REF!</v>
      </c>
      <c r="AB243" t="e">
        <f>VLOOKUP(Table1[[#This Row],[MA_Number]],#REF!, 2,FALSE)</f>
        <v>#REF!</v>
      </c>
      <c r="AC243">
        <v>17</v>
      </c>
    </row>
    <row r="244" spans="1:29" hidden="1" x14ac:dyDescent="0.3">
      <c r="A244" t="s">
        <v>969</v>
      </c>
      <c r="B244" s="1">
        <v>7035990930</v>
      </c>
      <c r="C244" s="1"/>
      <c r="D244" t="s">
        <v>279</v>
      </c>
      <c r="E244" t="s">
        <v>967</v>
      </c>
      <c r="F244" t="b">
        <v>0</v>
      </c>
      <c r="I244">
        <v>1</v>
      </c>
      <c r="J244">
        <v>95</v>
      </c>
      <c r="K244">
        <v>50</v>
      </c>
      <c r="L244">
        <v>80</v>
      </c>
      <c r="M244" t="s">
        <v>49</v>
      </c>
      <c r="N244" t="s">
        <v>24</v>
      </c>
      <c r="O244" t="b">
        <v>1</v>
      </c>
      <c r="AA244" t="e">
        <f>Table1[[#This Row],[qPer board]]*Table1[[#This Row],[boards]]</f>
        <v>#REF!</v>
      </c>
      <c r="AB244" t="e">
        <f>VLOOKUP(Table1[[#This Row],[MA_Number]],#REF!, 2,FALSE)</f>
        <v>#REF!</v>
      </c>
      <c r="AC244">
        <v>17</v>
      </c>
    </row>
    <row r="245" spans="1:29" hidden="1" x14ac:dyDescent="0.3">
      <c r="A245" t="s">
        <v>968</v>
      </c>
      <c r="B245" s="1">
        <v>7035990930</v>
      </c>
      <c r="C245" s="1"/>
      <c r="D245" t="s">
        <v>279</v>
      </c>
      <c r="E245" t="s">
        <v>966</v>
      </c>
      <c r="F245" t="b">
        <v>0</v>
      </c>
      <c r="I245">
        <v>1</v>
      </c>
      <c r="J245">
        <v>95</v>
      </c>
      <c r="K245">
        <v>50</v>
      </c>
      <c r="L245">
        <v>80</v>
      </c>
      <c r="M245" t="s">
        <v>49</v>
      </c>
      <c r="N245" t="s">
        <v>24</v>
      </c>
      <c r="O245" t="b">
        <v>1</v>
      </c>
      <c r="X245">
        <v>30</v>
      </c>
      <c r="AA245" t="e">
        <f>Table1[[#This Row],[qPer board]]*Table1[[#This Row],[boards]]</f>
        <v>#REF!</v>
      </c>
      <c r="AB245" t="e">
        <f>VLOOKUP(Table1[[#This Row],[MA_Number]],#REF!, 2,FALSE)</f>
        <v>#REF!</v>
      </c>
      <c r="AC245">
        <v>17</v>
      </c>
    </row>
    <row r="246" spans="1:29" hidden="1" x14ac:dyDescent="0.3">
      <c r="A246" t="s">
        <v>964</v>
      </c>
      <c r="B246" s="1">
        <v>7075181330</v>
      </c>
      <c r="C246" s="1"/>
      <c r="D246" t="s">
        <v>279</v>
      </c>
      <c r="F246" t="b">
        <v>0</v>
      </c>
      <c r="I246">
        <v>1</v>
      </c>
      <c r="M246" t="s">
        <v>49</v>
      </c>
      <c r="N246" t="s">
        <v>24</v>
      </c>
      <c r="O246" t="b">
        <v>1</v>
      </c>
      <c r="Q246" t="b">
        <v>1</v>
      </c>
      <c r="R246">
        <v>100</v>
      </c>
      <c r="S246">
        <v>20</v>
      </c>
      <c r="T246">
        <v>50</v>
      </c>
      <c r="U246">
        <v>2</v>
      </c>
      <c r="X246">
        <v>30</v>
      </c>
      <c r="AA246" t="e">
        <f>Table1[[#This Row],[qPer board]]*Table1[[#This Row],[boards]]</f>
        <v>#REF!</v>
      </c>
      <c r="AB246" t="e">
        <f>VLOOKUP(Table1[[#This Row],[MA_Number]],#REF!, 2,FALSE)</f>
        <v>#REF!</v>
      </c>
      <c r="AC246">
        <v>17</v>
      </c>
    </row>
    <row r="247" spans="1:29" hidden="1" x14ac:dyDescent="0.3">
      <c r="A247" t="s">
        <v>1198</v>
      </c>
      <c r="B247" s="1">
        <v>7198599230</v>
      </c>
      <c r="C247" s="1"/>
      <c r="D247" t="s">
        <v>279</v>
      </c>
      <c r="E247" t="s">
        <v>1199</v>
      </c>
      <c r="F247" t="b">
        <v>0</v>
      </c>
      <c r="I247">
        <v>1</v>
      </c>
      <c r="J247">
        <v>40</v>
      </c>
      <c r="K247">
        <v>38</v>
      </c>
      <c r="L247">
        <v>43</v>
      </c>
      <c r="M247" t="s">
        <v>49</v>
      </c>
      <c r="N247" t="s">
        <v>24</v>
      </c>
      <c r="O247" t="b">
        <v>1</v>
      </c>
      <c r="AA247" t="e">
        <f>Table1[[#This Row],[qPer board]]*Table1[[#This Row],[boards]]</f>
        <v>#REF!</v>
      </c>
      <c r="AB247" t="e">
        <f>VLOOKUP(Table1[[#This Row],[MA_Number]],#REF!, 2,FALSE)</f>
        <v>#REF!</v>
      </c>
      <c r="AC247">
        <v>17</v>
      </c>
    </row>
    <row r="248" spans="1:29" hidden="1" x14ac:dyDescent="0.3">
      <c r="A248" t="s">
        <v>1759</v>
      </c>
      <c r="B248" s="1">
        <v>7235952330</v>
      </c>
      <c r="C248" s="1"/>
      <c r="D248" t="s">
        <v>279</v>
      </c>
      <c r="E248" t="s">
        <v>1755</v>
      </c>
      <c r="F248" t="b">
        <v>0</v>
      </c>
      <c r="I248">
        <v>1</v>
      </c>
      <c r="J248">
        <v>175</v>
      </c>
      <c r="K248">
        <v>56</v>
      </c>
      <c r="L248">
        <v>117</v>
      </c>
      <c r="M248" t="s">
        <v>48</v>
      </c>
      <c r="N248" t="s">
        <v>24</v>
      </c>
      <c r="O248" t="b">
        <v>1</v>
      </c>
      <c r="X248">
        <v>30</v>
      </c>
      <c r="AA248" t="e">
        <f>Table1[[#This Row],[qPer board]]*Table1[[#This Row],[boards]]</f>
        <v>#REF!</v>
      </c>
      <c r="AB248" t="e">
        <f>VLOOKUP(Table1[[#This Row],[MA_Number]],#REF!, 2,FALSE)</f>
        <v>#REF!</v>
      </c>
      <c r="AC248">
        <v>17</v>
      </c>
    </row>
    <row r="249" spans="1:29" hidden="1" x14ac:dyDescent="0.3">
      <c r="A249" t="s">
        <v>986</v>
      </c>
      <c r="B249" s="1">
        <v>7287547130</v>
      </c>
      <c r="C249" s="1"/>
      <c r="D249" t="s">
        <v>279</v>
      </c>
      <c r="F249" t="b">
        <v>0</v>
      </c>
      <c r="I249">
        <v>1</v>
      </c>
      <c r="J249">
        <v>49</v>
      </c>
      <c r="K249">
        <v>49</v>
      </c>
      <c r="L249">
        <v>64</v>
      </c>
      <c r="M249" t="s">
        <v>49</v>
      </c>
      <c r="N249" t="s">
        <v>24</v>
      </c>
      <c r="O249" t="b">
        <v>1</v>
      </c>
      <c r="X249">
        <v>30</v>
      </c>
      <c r="AA249" t="e">
        <f>Table1[[#This Row],[qPer board]]*Table1[[#This Row],[boards]]</f>
        <v>#REF!</v>
      </c>
      <c r="AB249" t="e">
        <f>VLOOKUP(Table1[[#This Row],[MA_Number]],#REF!, 2,FALSE)</f>
        <v>#REF!</v>
      </c>
      <c r="AC249">
        <v>17</v>
      </c>
    </row>
    <row r="250" spans="1:29" hidden="1" x14ac:dyDescent="0.3">
      <c r="A250" t="s">
        <v>979</v>
      </c>
      <c r="B250" s="1">
        <v>7252809330</v>
      </c>
      <c r="C250" s="1"/>
      <c r="D250" t="s">
        <v>282</v>
      </c>
      <c r="E250" t="s">
        <v>860</v>
      </c>
      <c r="F250" t="b">
        <v>1</v>
      </c>
      <c r="I250">
        <v>1</v>
      </c>
      <c r="M250" t="s">
        <v>49</v>
      </c>
      <c r="N250" t="s">
        <v>24</v>
      </c>
      <c r="O250" t="b">
        <v>1</v>
      </c>
      <c r="X250">
        <v>50</v>
      </c>
      <c r="AA250">
        <f>Table1[[#This Row],[qPer board]]*Table1[[#This Row],[boards]]</f>
        <v>17</v>
      </c>
      <c r="AB250">
        <v>1</v>
      </c>
      <c r="AC250">
        <v>17</v>
      </c>
    </row>
    <row r="251" spans="1:29" hidden="1" x14ac:dyDescent="0.3">
      <c r="B251" s="1">
        <v>7252809330</v>
      </c>
      <c r="C251" s="1"/>
      <c r="G251" t="s">
        <v>979</v>
      </c>
      <c r="H251" t="s">
        <v>980</v>
      </c>
      <c r="I251">
        <v>1</v>
      </c>
      <c r="J251">
        <v>40</v>
      </c>
      <c r="K251">
        <v>44</v>
      </c>
      <c r="L251">
        <v>60</v>
      </c>
      <c r="M251" t="s">
        <v>52</v>
      </c>
      <c r="N251" t="s">
        <v>24</v>
      </c>
      <c r="O251" t="b">
        <v>1</v>
      </c>
      <c r="X251">
        <v>50</v>
      </c>
      <c r="AA251">
        <f>Table1[[#This Row],[qPer board]]*Table1[[#This Row],[boards]]</f>
        <v>17</v>
      </c>
      <c r="AB251">
        <v>1</v>
      </c>
      <c r="AC251">
        <v>17</v>
      </c>
    </row>
    <row r="252" spans="1:29" hidden="1" x14ac:dyDescent="0.3">
      <c r="B252" s="1">
        <v>7252809330</v>
      </c>
      <c r="C252" s="1"/>
      <c r="G252" t="s">
        <v>979</v>
      </c>
      <c r="H252" t="s">
        <v>981</v>
      </c>
      <c r="I252">
        <v>1</v>
      </c>
      <c r="J252">
        <v>50</v>
      </c>
      <c r="K252">
        <v>24</v>
      </c>
      <c r="L252">
        <v>28</v>
      </c>
      <c r="M252" t="s">
        <v>54</v>
      </c>
      <c r="N252" t="s">
        <v>24</v>
      </c>
      <c r="O252" t="b">
        <v>1</v>
      </c>
      <c r="X252">
        <v>50</v>
      </c>
      <c r="AA252">
        <f>Table1[[#This Row],[qPer board]]*Table1[[#This Row],[boards]]</f>
        <v>17</v>
      </c>
      <c r="AB252">
        <v>1</v>
      </c>
      <c r="AC252">
        <v>17</v>
      </c>
    </row>
    <row r="253" spans="1:29" hidden="1" x14ac:dyDescent="0.3">
      <c r="A253" t="s">
        <v>982</v>
      </c>
      <c r="B253" s="1">
        <v>7047052330</v>
      </c>
      <c r="C253" s="1"/>
      <c r="D253" t="s">
        <v>282</v>
      </c>
      <c r="E253" t="s">
        <v>860</v>
      </c>
      <c r="F253" t="b">
        <v>1</v>
      </c>
      <c r="I253">
        <v>1</v>
      </c>
      <c r="X253">
        <v>31</v>
      </c>
      <c r="AA253">
        <f>Table1[[#This Row],[qPer board]]*Table1[[#This Row],[boards]]</f>
        <v>34</v>
      </c>
      <c r="AB253">
        <v>2</v>
      </c>
      <c r="AC253">
        <v>17</v>
      </c>
    </row>
    <row r="254" spans="1:29" hidden="1" x14ac:dyDescent="0.3">
      <c r="B254" s="1">
        <v>7047052330</v>
      </c>
      <c r="C254" s="1"/>
      <c r="G254" t="s">
        <v>982</v>
      </c>
      <c r="H254" t="s">
        <v>983</v>
      </c>
      <c r="I254">
        <v>1</v>
      </c>
      <c r="J254">
        <v>38</v>
      </c>
      <c r="K254">
        <v>30</v>
      </c>
      <c r="L254">
        <v>60</v>
      </c>
      <c r="M254" t="s">
        <v>52</v>
      </c>
      <c r="N254" t="s">
        <v>24</v>
      </c>
      <c r="O254" t="b">
        <v>1</v>
      </c>
      <c r="X254">
        <v>31</v>
      </c>
      <c r="AA254">
        <f>Table1[[#This Row],[qPer board]]*Table1[[#This Row],[boards]]</f>
        <v>34</v>
      </c>
      <c r="AB254">
        <v>2</v>
      </c>
      <c r="AC254">
        <v>17</v>
      </c>
    </row>
    <row r="255" spans="1:29" hidden="1" x14ac:dyDescent="0.3">
      <c r="B255" s="1">
        <v>7047052330</v>
      </c>
      <c r="C255" s="1"/>
      <c r="G255" t="s">
        <v>982</v>
      </c>
      <c r="H255" t="s">
        <v>984</v>
      </c>
      <c r="I255">
        <v>1</v>
      </c>
      <c r="J255">
        <v>40</v>
      </c>
      <c r="K255">
        <v>50</v>
      </c>
      <c r="L255">
        <v>28</v>
      </c>
      <c r="M255" t="s">
        <v>54</v>
      </c>
      <c r="N255" t="s">
        <v>24</v>
      </c>
      <c r="O255" t="b">
        <v>1</v>
      </c>
      <c r="X255">
        <v>31</v>
      </c>
      <c r="AA255">
        <f>Table1[[#This Row],[qPer board]]*Table1[[#This Row],[boards]]</f>
        <v>34</v>
      </c>
      <c r="AB255">
        <v>2</v>
      </c>
      <c r="AC255">
        <v>17</v>
      </c>
    </row>
    <row r="256" spans="1:29" hidden="1" x14ac:dyDescent="0.3">
      <c r="A256" t="s">
        <v>973</v>
      </c>
      <c r="B256" s="1">
        <v>7052161430</v>
      </c>
      <c r="C256" s="1"/>
      <c r="D256" t="s">
        <v>282</v>
      </c>
      <c r="E256" t="s">
        <v>974</v>
      </c>
      <c r="F256" t="b">
        <v>1</v>
      </c>
      <c r="I256">
        <v>1</v>
      </c>
      <c r="AA256" t="e">
        <f>Table1[[#This Row],[qPer board]]*Table1[[#This Row],[boards]]</f>
        <v>#REF!</v>
      </c>
      <c r="AB256" t="e">
        <f>VLOOKUP(Table1[[#This Row],[MA_Number]],#REF!, 2,FALSE)</f>
        <v>#REF!</v>
      </c>
      <c r="AC256">
        <v>17</v>
      </c>
    </row>
    <row r="257" spans="1:29" hidden="1" x14ac:dyDescent="0.3">
      <c r="B257" s="1">
        <v>7052161430</v>
      </c>
      <c r="C257" s="1"/>
      <c r="G257" t="s">
        <v>973</v>
      </c>
      <c r="H257" t="s">
        <v>975</v>
      </c>
      <c r="I257">
        <v>1</v>
      </c>
      <c r="J257">
        <v>30</v>
      </c>
      <c r="K257">
        <v>30</v>
      </c>
      <c r="L257">
        <v>60</v>
      </c>
      <c r="M257" t="s">
        <v>52</v>
      </c>
      <c r="N257" t="s">
        <v>24</v>
      </c>
      <c r="O257" t="b">
        <v>1</v>
      </c>
      <c r="AA257" t="e">
        <f>Table1[[#This Row],[qPer board]]*Table1[[#This Row],[boards]]</f>
        <v>#REF!</v>
      </c>
      <c r="AB257" t="e">
        <f>VLOOKUP(Table1[[#This Row],[MA_Number]],#REF!, 2,FALSE)</f>
        <v>#REF!</v>
      </c>
      <c r="AC257">
        <v>17</v>
      </c>
    </row>
    <row r="258" spans="1:29" hidden="1" x14ac:dyDescent="0.3">
      <c r="B258" s="1">
        <v>7052161430</v>
      </c>
      <c r="C258" s="1"/>
      <c r="G258" t="s">
        <v>973</v>
      </c>
      <c r="H258" t="s">
        <v>976</v>
      </c>
      <c r="I258">
        <v>1</v>
      </c>
      <c r="J258">
        <v>44</v>
      </c>
      <c r="K258">
        <v>21</v>
      </c>
      <c r="L258">
        <v>24</v>
      </c>
      <c r="M258" t="s">
        <v>54</v>
      </c>
      <c r="N258" t="s">
        <v>24</v>
      </c>
      <c r="O258" t="b">
        <v>1</v>
      </c>
      <c r="AA258" t="e">
        <f>Table1[[#This Row],[qPer board]]*Table1[[#This Row],[boards]]</f>
        <v>#REF!</v>
      </c>
      <c r="AB258" t="e">
        <f>VLOOKUP(Table1[[#This Row],[MA_Number]],#REF!, 2,FALSE)</f>
        <v>#REF!</v>
      </c>
      <c r="AC258">
        <v>17</v>
      </c>
    </row>
    <row r="259" spans="1:29" hidden="1" x14ac:dyDescent="0.3">
      <c r="B259" s="1">
        <v>7052161430</v>
      </c>
      <c r="C259" s="1"/>
      <c r="G259" t="s">
        <v>973</v>
      </c>
      <c r="H259" t="s">
        <v>977</v>
      </c>
      <c r="I259">
        <v>1</v>
      </c>
      <c r="J259">
        <v>0</v>
      </c>
      <c r="K259">
        <v>0</v>
      </c>
      <c r="L259">
        <v>0</v>
      </c>
      <c r="N259" t="s">
        <v>38</v>
      </c>
      <c r="O259" t="b">
        <v>1</v>
      </c>
      <c r="AA259" t="e">
        <f>Table1[[#This Row],[qPer board]]*Table1[[#This Row],[boards]]</f>
        <v>#REF!</v>
      </c>
      <c r="AB259" t="e">
        <f>VLOOKUP(Table1[[#This Row],[MA_Number]],#REF!, 2,FALSE)</f>
        <v>#REF!</v>
      </c>
      <c r="AC259">
        <v>17</v>
      </c>
    </row>
    <row r="260" spans="1:29" hidden="1" x14ac:dyDescent="0.3">
      <c r="A260" t="s">
        <v>875</v>
      </c>
      <c r="B260" s="1">
        <v>7147882430</v>
      </c>
      <c r="C260" s="1"/>
      <c r="D260" t="s">
        <v>282</v>
      </c>
      <c r="E260" t="s">
        <v>860</v>
      </c>
      <c r="F260" t="b">
        <v>1</v>
      </c>
      <c r="I260">
        <v>1</v>
      </c>
      <c r="X260">
        <v>31</v>
      </c>
      <c r="AA260">
        <f>Table1[[#This Row],[qPer board]]*Table1[[#This Row],[boards]]</f>
        <v>17</v>
      </c>
      <c r="AB260">
        <v>1</v>
      </c>
      <c r="AC260">
        <v>17</v>
      </c>
    </row>
    <row r="261" spans="1:29" hidden="1" x14ac:dyDescent="0.3">
      <c r="B261" s="1">
        <v>7147882430</v>
      </c>
      <c r="C261" s="1"/>
      <c r="G261" t="s">
        <v>875</v>
      </c>
      <c r="H261" t="s">
        <v>876</v>
      </c>
      <c r="I261">
        <v>1</v>
      </c>
      <c r="J261">
        <v>44</v>
      </c>
      <c r="K261">
        <v>30</v>
      </c>
      <c r="L261">
        <v>60</v>
      </c>
      <c r="M261" t="s">
        <v>52</v>
      </c>
      <c r="N261" t="s">
        <v>24</v>
      </c>
      <c r="O261" t="b">
        <v>1</v>
      </c>
      <c r="X261">
        <v>31</v>
      </c>
      <c r="AA261">
        <f>Table1[[#This Row],[qPer board]]*Table1[[#This Row],[boards]]</f>
        <v>17</v>
      </c>
      <c r="AB261">
        <v>1</v>
      </c>
      <c r="AC261">
        <v>17</v>
      </c>
    </row>
    <row r="262" spans="1:29" hidden="1" x14ac:dyDescent="0.3">
      <c r="B262" s="1">
        <v>7147882430</v>
      </c>
      <c r="C262" s="1"/>
      <c r="G262" t="s">
        <v>875</v>
      </c>
      <c r="H262" t="s">
        <v>877</v>
      </c>
      <c r="I262">
        <v>1</v>
      </c>
      <c r="J262">
        <v>49</v>
      </c>
      <c r="K262">
        <v>33</v>
      </c>
      <c r="L262">
        <v>28</v>
      </c>
      <c r="M262" t="s">
        <v>54</v>
      </c>
      <c r="N262" t="s">
        <v>24</v>
      </c>
      <c r="O262" t="b">
        <v>1</v>
      </c>
      <c r="X262">
        <v>31</v>
      </c>
      <c r="AA262">
        <f>Table1[[#This Row],[qPer board]]*Table1[[#This Row],[boards]]</f>
        <v>17</v>
      </c>
      <c r="AB262">
        <v>1</v>
      </c>
      <c r="AC262">
        <v>17</v>
      </c>
    </row>
    <row r="263" spans="1:29" hidden="1" x14ac:dyDescent="0.3">
      <c r="A263" t="s">
        <v>937</v>
      </c>
      <c r="B263" s="1">
        <v>7247760930</v>
      </c>
      <c r="C263" s="1"/>
      <c r="D263" t="s">
        <v>282</v>
      </c>
      <c r="E263" t="s">
        <v>860</v>
      </c>
      <c r="F263" t="b">
        <v>1</v>
      </c>
      <c r="I263">
        <v>1</v>
      </c>
      <c r="X263">
        <v>31</v>
      </c>
      <c r="AA263">
        <f>Table1[[#This Row],[qPer board]]*Table1[[#This Row],[boards]]</f>
        <v>17</v>
      </c>
      <c r="AB263">
        <v>1</v>
      </c>
      <c r="AC263">
        <v>17</v>
      </c>
    </row>
    <row r="264" spans="1:29" ht="15" hidden="1" customHeight="1" x14ac:dyDescent="0.3">
      <c r="B264" s="1">
        <v>7247760930</v>
      </c>
      <c r="C264" s="1"/>
      <c r="G264" t="s">
        <v>937</v>
      </c>
      <c r="H264" t="s">
        <v>938</v>
      </c>
      <c r="I264">
        <v>1</v>
      </c>
      <c r="J264">
        <v>42</v>
      </c>
      <c r="K264">
        <v>35</v>
      </c>
      <c r="L264">
        <v>60</v>
      </c>
      <c r="M264" t="s">
        <v>52</v>
      </c>
      <c r="N264" t="s">
        <v>24</v>
      </c>
      <c r="O264" t="b">
        <v>1</v>
      </c>
      <c r="X264">
        <v>31</v>
      </c>
      <c r="AA264">
        <f>Table1[[#This Row],[qPer board]]*Table1[[#This Row],[boards]]</f>
        <v>17</v>
      </c>
      <c r="AB264">
        <v>1</v>
      </c>
      <c r="AC264">
        <v>17</v>
      </c>
    </row>
    <row r="265" spans="1:29" hidden="1" x14ac:dyDescent="0.3">
      <c r="B265" s="1">
        <v>7247760930</v>
      </c>
      <c r="C265" s="1"/>
      <c r="G265" t="s">
        <v>937</v>
      </c>
      <c r="H265" t="s">
        <v>939</v>
      </c>
      <c r="I265">
        <v>1</v>
      </c>
      <c r="J265">
        <v>47</v>
      </c>
      <c r="K265">
        <v>22</v>
      </c>
      <c r="L265">
        <v>35</v>
      </c>
      <c r="M265" t="s">
        <v>54</v>
      </c>
      <c r="N265" t="s">
        <v>24</v>
      </c>
      <c r="O265" t="b">
        <v>1</v>
      </c>
      <c r="X265">
        <v>31</v>
      </c>
      <c r="AA265">
        <f>Table1[[#This Row],[qPer board]]*Table1[[#This Row],[boards]]</f>
        <v>17</v>
      </c>
      <c r="AB265">
        <v>1</v>
      </c>
      <c r="AC265">
        <v>17</v>
      </c>
    </row>
    <row r="266" spans="1:29" hidden="1" x14ac:dyDescent="0.3">
      <c r="A266" t="s">
        <v>940</v>
      </c>
      <c r="B266" s="1">
        <v>7247761330</v>
      </c>
      <c r="C266" s="1"/>
      <c r="D266" t="s">
        <v>282</v>
      </c>
      <c r="E266" t="s">
        <v>860</v>
      </c>
      <c r="F266" t="b">
        <v>1</v>
      </c>
      <c r="I266">
        <v>1</v>
      </c>
      <c r="X266">
        <v>31</v>
      </c>
      <c r="AA266">
        <f>Table1[[#This Row],[qPer board]]*Table1[[#This Row],[boards]]</f>
        <v>17</v>
      </c>
      <c r="AB266">
        <v>1</v>
      </c>
      <c r="AC266">
        <v>17</v>
      </c>
    </row>
    <row r="267" spans="1:29" hidden="1" x14ac:dyDescent="0.3">
      <c r="B267" s="1">
        <v>7247761330</v>
      </c>
      <c r="C267" s="1"/>
      <c r="G267" t="s">
        <v>940</v>
      </c>
      <c r="H267" t="s">
        <v>941</v>
      </c>
      <c r="I267">
        <v>1</v>
      </c>
      <c r="J267">
        <v>40</v>
      </c>
      <c r="K267">
        <v>35</v>
      </c>
      <c r="L267">
        <v>60</v>
      </c>
      <c r="M267" t="s">
        <v>52</v>
      </c>
      <c r="N267" t="s">
        <v>24</v>
      </c>
      <c r="O267" t="b">
        <v>1</v>
      </c>
      <c r="X267">
        <v>31</v>
      </c>
      <c r="AA267">
        <f>Table1[[#This Row],[qPer board]]*Table1[[#This Row],[boards]]</f>
        <v>17</v>
      </c>
      <c r="AB267">
        <v>1</v>
      </c>
      <c r="AC267">
        <v>17</v>
      </c>
    </row>
    <row r="268" spans="1:29" hidden="1" x14ac:dyDescent="0.3">
      <c r="B268" s="1">
        <v>7247761330</v>
      </c>
      <c r="C268" s="1"/>
      <c r="G268" t="s">
        <v>940</v>
      </c>
      <c r="H268" t="s">
        <v>942</v>
      </c>
      <c r="I268">
        <v>1</v>
      </c>
      <c r="J268">
        <v>47</v>
      </c>
      <c r="K268">
        <v>22</v>
      </c>
      <c r="L268">
        <v>37</v>
      </c>
      <c r="M268" t="s">
        <v>54</v>
      </c>
      <c r="N268" t="s">
        <v>24</v>
      </c>
      <c r="O268" t="b">
        <v>1</v>
      </c>
      <c r="X268">
        <v>31</v>
      </c>
      <c r="AA268">
        <f>Table1[[#This Row],[qPer board]]*Table1[[#This Row],[boards]]</f>
        <v>17</v>
      </c>
      <c r="AB268">
        <v>1</v>
      </c>
      <c r="AC268">
        <v>17</v>
      </c>
    </row>
    <row r="269" spans="1:29" s="70" customFormat="1" hidden="1" x14ac:dyDescent="0.3">
      <c r="A269" s="70" t="s">
        <v>946</v>
      </c>
      <c r="B269" s="72">
        <v>7247781230</v>
      </c>
      <c r="C269" s="72"/>
      <c r="D269" s="70" t="s">
        <v>282</v>
      </c>
      <c r="E269" s="70" t="s">
        <v>860</v>
      </c>
      <c r="F269" s="70" t="b">
        <v>1</v>
      </c>
      <c r="I269" s="70">
        <v>1</v>
      </c>
      <c r="X269" s="70">
        <v>31</v>
      </c>
      <c r="AA269" s="70">
        <f>Table1[[#This Row],[qPer board]]*Table1[[#This Row],[boards]]</f>
        <v>17</v>
      </c>
      <c r="AB269" s="70">
        <v>1</v>
      </c>
      <c r="AC269" s="70">
        <v>17</v>
      </c>
    </row>
    <row r="270" spans="1:29" s="70" customFormat="1" hidden="1" x14ac:dyDescent="0.3">
      <c r="B270" s="72">
        <v>7247781230</v>
      </c>
      <c r="C270" s="72"/>
      <c r="G270" s="70" t="s">
        <v>946</v>
      </c>
      <c r="H270" s="70" t="s">
        <v>947</v>
      </c>
      <c r="I270" s="70">
        <v>1</v>
      </c>
      <c r="J270" s="70">
        <v>40</v>
      </c>
      <c r="K270" s="70">
        <v>35</v>
      </c>
      <c r="L270" s="70">
        <v>60</v>
      </c>
      <c r="M270" s="70" t="s">
        <v>52</v>
      </c>
      <c r="N270" s="70" t="s">
        <v>24</v>
      </c>
      <c r="O270" s="70" t="b">
        <v>1</v>
      </c>
      <c r="X270" s="70">
        <v>31</v>
      </c>
      <c r="AA270" s="70">
        <f>Table1[[#This Row],[qPer board]]*Table1[[#This Row],[boards]]</f>
        <v>17</v>
      </c>
      <c r="AB270" s="70">
        <v>1</v>
      </c>
      <c r="AC270" s="70">
        <v>17</v>
      </c>
    </row>
    <row r="271" spans="1:29" s="70" customFormat="1" hidden="1" x14ac:dyDescent="0.3">
      <c r="B271" s="72">
        <v>7247781230</v>
      </c>
      <c r="C271" s="72"/>
      <c r="G271" s="70" t="s">
        <v>946</v>
      </c>
      <c r="H271" s="70" t="s">
        <v>948</v>
      </c>
      <c r="I271" s="70">
        <v>1</v>
      </c>
      <c r="J271" s="70">
        <v>47</v>
      </c>
      <c r="K271" s="70">
        <v>29</v>
      </c>
      <c r="L271" s="70">
        <v>30</v>
      </c>
      <c r="M271" s="70" t="s">
        <v>54</v>
      </c>
      <c r="N271" s="70" t="s">
        <v>24</v>
      </c>
      <c r="O271" s="70" t="b">
        <v>1</v>
      </c>
      <c r="X271" s="70">
        <v>31</v>
      </c>
      <c r="AA271" s="70">
        <f>Table1[[#This Row],[qPer board]]*Table1[[#This Row],[boards]]</f>
        <v>17</v>
      </c>
      <c r="AB271" s="70">
        <v>1</v>
      </c>
      <c r="AC271" s="70">
        <v>17</v>
      </c>
    </row>
    <row r="272" spans="1:29" hidden="1" x14ac:dyDescent="0.3">
      <c r="A272" t="s">
        <v>1004</v>
      </c>
      <c r="B272" s="1">
        <v>72478572</v>
      </c>
      <c r="C272" s="1"/>
      <c r="D272" t="s">
        <v>282</v>
      </c>
      <c r="E272" t="s">
        <v>860</v>
      </c>
      <c r="F272" t="b">
        <v>1</v>
      </c>
      <c r="I272">
        <v>1</v>
      </c>
      <c r="X272">
        <v>31</v>
      </c>
      <c r="AA272">
        <f>Table1[[#This Row],[qPer board]]*Table1[[#This Row],[boards]]</f>
        <v>17</v>
      </c>
      <c r="AB272">
        <v>1</v>
      </c>
      <c r="AC272">
        <v>17</v>
      </c>
    </row>
    <row r="273" spans="1:29" hidden="1" x14ac:dyDescent="0.3">
      <c r="B273" s="1">
        <v>72478572</v>
      </c>
      <c r="C273" s="1"/>
      <c r="G273" t="s">
        <v>1004</v>
      </c>
      <c r="H273" t="s">
        <v>1005</v>
      </c>
      <c r="I273">
        <v>1</v>
      </c>
      <c r="J273">
        <v>38</v>
      </c>
      <c r="K273">
        <v>21</v>
      </c>
      <c r="L273">
        <v>24</v>
      </c>
      <c r="M273" t="s">
        <v>54</v>
      </c>
      <c r="N273" t="s">
        <v>24</v>
      </c>
      <c r="O273" t="b">
        <v>1</v>
      </c>
      <c r="X273">
        <v>31</v>
      </c>
      <c r="AA273">
        <f>Table1[[#This Row],[qPer board]]*Table1[[#This Row],[boards]]</f>
        <v>17</v>
      </c>
      <c r="AB273">
        <v>1</v>
      </c>
      <c r="AC273">
        <v>17</v>
      </c>
    </row>
    <row r="274" spans="1:29" hidden="1" x14ac:dyDescent="0.3">
      <c r="B274" s="1">
        <v>72478572</v>
      </c>
      <c r="C274" s="1"/>
      <c r="G274" t="s">
        <v>1004</v>
      </c>
      <c r="H274" t="s">
        <v>1006</v>
      </c>
      <c r="I274">
        <v>1</v>
      </c>
      <c r="J274">
        <v>30</v>
      </c>
      <c r="K274">
        <v>30</v>
      </c>
      <c r="L274">
        <v>60</v>
      </c>
      <c r="M274" t="s">
        <v>52</v>
      </c>
      <c r="N274" t="s">
        <v>24</v>
      </c>
      <c r="O274" t="b">
        <v>1</v>
      </c>
      <c r="X274">
        <v>31</v>
      </c>
      <c r="AA274">
        <f>Table1[[#This Row],[qPer board]]*Table1[[#This Row],[boards]]</f>
        <v>17</v>
      </c>
      <c r="AB274">
        <v>1</v>
      </c>
      <c r="AC274">
        <v>17</v>
      </c>
    </row>
    <row r="275" spans="1:29" hidden="1" x14ac:dyDescent="0.3">
      <c r="A275" t="s">
        <v>943</v>
      </c>
      <c r="B275" s="1">
        <v>7252779130</v>
      </c>
      <c r="C275" s="1"/>
      <c r="D275" t="s">
        <v>282</v>
      </c>
      <c r="E275" t="s">
        <v>860</v>
      </c>
      <c r="F275" t="b">
        <v>1</v>
      </c>
      <c r="I275">
        <v>1</v>
      </c>
      <c r="X275">
        <v>50</v>
      </c>
      <c r="AA275">
        <f>Table1[[#This Row],[qPer board]]*Table1[[#This Row],[boards]]</f>
        <v>17</v>
      </c>
      <c r="AB275">
        <v>1</v>
      </c>
      <c r="AC275">
        <v>17</v>
      </c>
    </row>
    <row r="276" spans="1:29" hidden="1" x14ac:dyDescent="0.3">
      <c r="B276" s="1">
        <v>7252779130</v>
      </c>
      <c r="C276" s="1"/>
      <c r="G276" t="s">
        <v>943</v>
      </c>
      <c r="H276" t="s">
        <v>944</v>
      </c>
      <c r="I276">
        <v>1</v>
      </c>
      <c r="J276">
        <v>40</v>
      </c>
      <c r="K276">
        <v>35</v>
      </c>
      <c r="L276">
        <v>57</v>
      </c>
      <c r="M276" t="s">
        <v>52</v>
      </c>
      <c r="N276" t="s">
        <v>24</v>
      </c>
      <c r="O276" t="b">
        <v>1</v>
      </c>
      <c r="X276">
        <v>50</v>
      </c>
      <c r="AA276">
        <f>Table1[[#This Row],[qPer board]]*Table1[[#This Row],[boards]]</f>
        <v>17</v>
      </c>
      <c r="AB276">
        <v>1</v>
      </c>
      <c r="AC276">
        <v>17</v>
      </c>
    </row>
    <row r="277" spans="1:29" hidden="1" x14ac:dyDescent="0.3">
      <c r="B277" s="1">
        <v>7252779130</v>
      </c>
      <c r="C277" s="1"/>
      <c r="G277" t="s">
        <v>943</v>
      </c>
      <c r="H277" t="s">
        <v>945</v>
      </c>
      <c r="I277">
        <v>1</v>
      </c>
      <c r="J277">
        <v>47</v>
      </c>
      <c r="K277">
        <v>22</v>
      </c>
      <c r="L277">
        <v>37</v>
      </c>
      <c r="M277" t="s">
        <v>54</v>
      </c>
      <c r="N277" t="s">
        <v>24</v>
      </c>
      <c r="O277" t="b">
        <v>1</v>
      </c>
      <c r="X277">
        <v>50</v>
      </c>
      <c r="AA277">
        <f>Table1[[#This Row],[qPer board]]*Table1[[#This Row],[boards]]</f>
        <v>17</v>
      </c>
      <c r="AB277">
        <v>1</v>
      </c>
      <c r="AC277">
        <v>17</v>
      </c>
    </row>
    <row r="278" spans="1:29" hidden="1" x14ac:dyDescent="0.3">
      <c r="A278" t="s">
        <v>954</v>
      </c>
      <c r="B278" s="1">
        <v>7252785330</v>
      </c>
      <c r="C278" s="1">
        <v>7247075530</v>
      </c>
      <c r="D278" t="s">
        <v>282</v>
      </c>
      <c r="E278" t="s">
        <v>860</v>
      </c>
      <c r="F278" t="b">
        <v>1</v>
      </c>
      <c r="I278">
        <v>1</v>
      </c>
      <c r="X278">
        <v>31</v>
      </c>
      <c r="AA278">
        <f>Table1[[#This Row],[qPer board]]*Table1[[#This Row],[boards]]</f>
        <v>51</v>
      </c>
      <c r="AB278">
        <v>3</v>
      </c>
      <c r="AC278">
        <v>17</v>
      </c>
    </row>
    <row r="279" spans="1:29" ht="13.8" hidden="1" customHeight="1" x14ac:dyDescent="0.3">
      <c r="B279" s="1">
        <v>7252785330</v>
      </c>
      <c r="C279" s="1"/>
      <c r="G279" t="s">
        <v>954</v>
      </c>
      <c r="H279" t="s">
        <v>955</v>
      </c>
      <c r="I279">
        <v>1</v>
      </c>
      <c r="J279">
        <v>40</v>
      </c>
      <c r="K279">
        <v>35</v>
      </c>
      <c r="L279">
        <v>60</v>
      </c>
      <c r="M279" t="s">
        <v>52</v>
      </c>
      <c r="N279" t="s">
        <v>24</v>
      </c>
      <c r="O279" t="b">
        <v>1</v>
      </c>
      <c r="X279">
        <v>31</v>
      </c>
      <c r="AA279">
        <f>Table1[[#This Row],[qPer board]]*Table1[[#This Row],[boards]]</f>
        <v>51</v>
      </c>
      <c r="AB279">
        <v>3</v>
      </c>
      <c r="AC279">
        <v>17</v>
      </c>
    </row>
    <row r="280" spans="1:29" hidden="1" x14ac:dyDescent="0.3">
      <c r="B280" s="1">
        <v>7252785330</v>
      </c>
      <c r="C280" s="1"/>
      <c r="G280" t="s">
        <v>954</v>
      </c>
      <c r="H280" t="s">
        <v>956</v>
      </c>
      <c r="I280">
        <v>1</v>
      </c>
      <c r="J280">
        <v>47</v>
      </c>
      <c r="K280">
        <v>30</v>
      </c>
      <c r="L280">
        <v>28</v>
      </c>
      <c r="M280" t="s">
        <v>54</v>
      </c>
      <c r="N280" t="s">
        <v>24</v>
      </c>
      <c r="O280" t="b">
        <v>1</v>
      </c>
      <c r="X280">
        <v>31</v>
      </c>
      <c r="AA280">
        <f>Table1[[#This Row],[qPer board]]*Table1[[#This Row],[boards]]</f>
        <v>51</v>
      </c>
      <c r="AB280">
        <v>3</v>
      </c>
      <c r="AC280">
        <v>17</v>
      </c>
    </row>
    <row r="281" spans="1:29" hidden="1" x14ac:dyDescent="0.3">
      <c r="A281" t="s">
        <v>878</v>
      </c>
      <c r="B281" s="1">
        <v>7047052330</v>
      </c>
      <c r="C281" s="1"/>
      <c r="D281" t="s">
        <v>282</v>
      </c>
      <c r="F281" t="b">
        <v>0</v>
      </c>
      <c r="I281">
        <v>1</v>
      </c>
      <c r="J281">
        <v>35</v>
      </c>
      <c r="K281">
        <v>35</v>
      </c>
      <c r="L281">
        <v>45</v>
      </c>
      <c r="M281" t="s">
        <v>49</v>
      </c>
      <c r="N281" t="s">
        <v>24</v>
      </c>
      <c r="O281" t="b">
        <v>1</v>
      </c>
      <c r="AA281" t="e">
        <f>Table1[[#This Row],[qPer board]]*Table1[[#This Row],[boards]]</f>
        <v>#REF!</v>
      </c>
      <c r="AB281" t="e">
        <f>VLOOKUP(Table1[[#This Row],[MA_Number]],#REF!, 2,FALSE)</f>
        <v>#REF!</v>
      </c>
      <c r="AC281">
        <v>17</v>
      </c>
    </row>
    <row r="282" spans="1:29" hidden="1" x14ac:dyDescent="0.3">
      <c r="A282" t="s">
        <v>935</v>
      </c>
      <c r="B282" s="1" t="s">
        <v>299</v>
      </c>
      <c r="C282" s="1" t="s">
        <v>874</v>
      </c>
      <c r="D282" t="s">
        <v>279</v>
      </c>
      <c r="F282" t="b">
        <v>0</v>
      </c>
      <c r="I282">
        <v>1</v>
      </c>
      <c r="J282">
        <v>42</v>
      </c>
      <c r="K282">
        <v>37</v>
      </c>
      <c r="L282">
        <v>43</v>
      </c>
      <c r="M282" t="s">
        <v>54</v>
      </c>
      <c r="N282" t="s">
        <v>24</v>
      </c>
      <c r="O282" t="b">
        <v>1</v>
      </c>
      <c r="AA282" t="e">
        <f>Table1[[#This Row],[qPer board]]*Table1[[#This Row],[boards]]</f>
        <v>#REF!</v>
      </c>
      <c r="AB282" t="e">
        <f>VLOOKUP(Table1[[#This Row],[MA_Number]],#REF!, 2,FALSE)</f>
        <v>#REF!</v>
      </c>
      <c r="AC282">
        <v>17</v>
      </c>
    </row>
    <row r="283" spans="1:29" hidden="1" x14ac:dyDescent="0.3">
      <c r="A283" t="s">
        <v>2023</v>
      </c>
      <c r="B283" s="1" t="s">
        <v>936</v>
      </c>
      <c r="C283" s="1"/>
      <c r="D283" t="s">
        <v>279</v>
      </c>
      <c r="E283" t="s">
        <v>1755</v>
      </c>
      <c r="F283" t="b">
        <v>0</v>
      </c>
      <c r="I283">
        <v>1</v>
      </c>
      <c r="J283">
        <v>52</v>
      </c>
      <c r="K283">
        <v>36</v>
      </c>
      <c r="L283">
        <v>47</v>
      </c>
      <c r="M283" t="s">
        <v>49</v>
      </c>
      <c r="N283" t="s">
        <v>24</v>
      </c>
      <c r="O283" t="b">
        <v>1</v>
      </c>
      <c r="X283">
        <v>34</v>
      </c>
      <c r="AA283">
        <f>Table1[[#This Row],[qPer board]]*Table1[[#This Row],[boards]]</f>
        <v>17</v>
      </c>
      <c r="AB283">
        <v>1</v>
      </c>
      <c r="AC283">
        <v>17</v>
      </c>
    </row>
    <row r="284" spans="1:29" hidden="1" x14ac:dyDescent="0.3">
      <c r="A284" t="s">
        <v>2006</v>
      </c>
      <c r="B284" s="1" t="s">
        <v>936</v>
      </c>
      <c r="C284" s="1"/>
      <c r="D284" t="s">
        <v>279</v>
      </c>
      <c r="E284" t="s">
        <v>2008</v>
      </c>
      <c r="F284" t="b">
        <v>0</v>
      </c>
      <c r="I284">
        <v>1</v>
      </c>
      <c r="J284">
        <v>46</v>
      </c>
      <c r="K284">
        <v>35</v>
      </c>
      <c r="L284">
        <v>65</v>
      </c>
      <c r="M284" t="s">
        <v>49</v>
      </c>
      <c r="N284" t="s">
        <v>24</v>
      </c>
      <c r="O284" t="b">
        <v>1</v>
      </c>
      <c r="X284">
        <v>34</v>
      </c>
      <c r="AA284">
        <f>Table1[[#This Row],[qPer board]]*Table1[[#This Row],[boards]]</f>
        <v>17</v>
      </c>
      <c r="AB284">
        <v>1</v>
      </c>
      <c r="AC284">
        <v>17</v>
      </c>
    </row>
    <row r="285" spans="1:29" hidden="1" x14ac:dyDescent="0.3">
      <c r="A285" t="s">
        <v>1361</v>
      </c>
      <c r="B285" s="1">
        <v>7298808730</v>
      </c>
      <c r="C285" s="1"/>
      <c r="D285" t="s">
        <v>279</v>
      </c>
      <c r="F285" t="b">
        <v>0</v>
      </c>
      <c r="I285">
        <v>1</v>
      </c>
      <c r="J285">
        <v>47</v>
      </c>
      <c r="K285">
        <v>47</v>
      </c>
      <c r="L285">
        <v>70</v>
      </c>
      <c r="M285" t="s">
        <v>49</v>
      </c>
      <c r="N285" t="s">
        <v>24</v>
      </c>
      <c r="O285" t="b">
        <v>1</v>
      </c>
      <c r="AA285" t="e">
        <f>Table1[[#This Row],[qPer board]]*Table1[[#This Row],[boards]]</f>
        <v>#REF!</v>
      </c>
      <c r="AB285" t="e">
        <f>VLOOKUP(Table1[[#This Row],[MA_Number]],#REF!, 2,FALSE)</f>
        <v>#REF!</v>
      </c>
      <c r="AC285">
        <v>17</v>
      </c>
    </row>
    <row r="286" spans="1:29" hidden="1" x14ac:dyDescent="0.3">
      <c r="A286" t="s">
        <v>957</v>
      </c>
      <c r="B286" s="1" t="s">
        <v>558</v>
      </c>
      <c r="C286" s="1"/>
      <c r="D286" t="s">
        <v>279</v>
      </c>
      <c r="E286" t="s">
        <v>959</v>
      </c>
      <c r="F286" t="b">
        <v>0</v>
      </c>
      <c r="I286">
        <v>1</v>
      </c>
      <c r="J286">
        <v>100</v>
      </c>
      <c r="K286">
        <v>75</v>
      </c>
      <c r="L286">
        <v>60</v>
      </c>
      <c r="M286" t="s">
        <v>48</v>
      </c>
      <c r="N286" t="s">
        <v>24</v>
      </c>
      <c r="O286" t="b">
        <v>1</v>
      </c>
      <c r="AA286" t="e">
        <f>Table1[[#This Row],[qPer board]]*Table1[[#This Row],[boards]]</f>
        <v>#REF!</v>
      </c>
      <c r="AB286" t="e">
        <f>VLOOKUP(Table1[[#This Row],[MA_Number]],#REF!, 2,FALSE)</f>
        <v>#REF!</v>
      </c>
      <c r="AC286">
        <v>17</v>
      </c>
    </row>
    <row r="287" spans="1:29" hidden="1" x14ac:dyDescent="0.3">
      <c r="A287" t="s">
        <v>961</v>
      </c>
      <c r="B287" s="1">
        <v>7223686530</v>
      </c>
      <c r="C287" s="1"/>
      <c r="D287" t="s">
        <v>279</v>
      </c>
      <c r="E287" t="s">
        <v>962</v>
      </c>
      <c r="F287" t="b">
        <v>0</v>
      </c>
      <c r="I287">
        <v>1</v>
      </c>
      <c r="J287">
        <v>32</v>
      </c>
      <c r="K287">
        <v>74</v>
      </c>
      <c r="L287">
        <v>48</v>
      </c>
      <c r="M287" t="s">
        <v>49</v>
      </c>
      <c r="N287" t="s">
        <v>24</v>
      </c>
      <c r="O287" t="b">
        <v>1</v>
      </c>
      <c r="AA287" t="e">
        <f>Table1[[#This Row],[qPer board]]*Table1[[#This Row],[boards]]</f>
        <v>#REF!</v>
      </c>
      <c r="AB287" t="e">
        <f>VLOOKUP(Table1[[#This Row],[MA_Number]],#REF!, 2,FALSE)</f>
        <v>#REF!</v>
      </c>
      <c r="AC287">
        <v>17</v>
      </c>
    </row>
    <row r="288" spans="1:29" hidden="1" x14ac:dyDescent="0.3">
      <c r="A288" t="s">
        <v>1362</v>
      </c>
      <c r="B288" s="1" t="s">
        <v>259</v>
      </c>
      <c r="C288" s="1"/>
      <c r="D288" t="s">
        <v>279</v>
      </c>
      <c r="E288" t="s">
        <v>1201</v>
      </c>
      <c r="F288" t="b">
        <v>0</v>
      </c>
      <c r="I288">
        <v>1</v>
      </c>
      <c r="J288">
        <v>82</v>
      </c>
      <c r="K288">
        <v>57</v>
      </c>
      <c r="L288">
        <v>54</v>
      </c>
      <c r="M288" t="s">
        <v>49</v>
      </c>
      <c r="N288" t="s">
        <v>24</v>
      </c>
      <c r="O288" t="b">
        <v>1</v>
      </c>
      <c r="AA288" t="e">
        <f>Table1[[#This Row],[qPer board]]*Table1[[#This Row],[boards]]</f>
        <v>#REF!</v>
      </c>
      <c r="AB288" t="e">
        <f>VLOOKUP(Table1[[#This Row],[MA_Number]],#REF!, 2,FALSE)</f>
        <v>#REF!</v>
      </c>
      <c r="AC288">
        <v>17</v>
      </c>
    </row>
    <row r="289" spans="1:29" hidden="1" x14ac:dyDescent="0.3">
      <c r="A289" t="s">
        <v>971</v>
      </c>
      <c r="B289" s="1">
        <v>7035990430</v>
      </c>
      <c r="C289" s="1"/>
      <c r="D289" t="s">
        <v>279</v>
      </c>
      <c r="E289" t="s">
        <v>972</v>
      </c>
      <c r="F289" t="b">
        <v>0</v>
      </c>
      <c r="I289">
        <v>1</v>
      </c>
      <c r="J289">
        <v>64</v>
      </c>
      <c r="K289">
        <v>69</v>
      </c>
      <c r="L289">
        <v>59</v>
      </c>
      <c r="M289" t="s">
        <v>49</v>
      </c>
      <c r="N289" t="s">
        <v>24</v>
      </c>
      <c r="O289" t="b">
        <v>1</v>
      </c>
      <c r="AA289" t="e">
        <f>Table1[[#This Row],[qPer board]]*Table1[[#This Row],[boards]]</f>
        <v>#REF!</v>
      </c>
      <c r="AB289" t="e">
        <f>VLOOKUP(Table1[[#This Row],[MA_Number]],#REF!, 2,FALSE)</f>
        <v>#REF!</v>
      </c>
      <c r="AC289">
        <v>17</v>
      </c>
    </row>
    <row r="290" spans="1:29" hidden="1" x14ac:dyDescent="0.3">
      <c r="A290" t="s">
        <v>1209</v>
      </c>
      <c r="B290" s="1" t="s">
        <v>1208</v>
      </c>
      <c r="C290" s="1"/>
      <c r="D290" t="s">
        <v>281</v>
      </c>
      <c r="F290" t="b">
        <v>0</v>
      </c>
      <c r="I290">
        <v>1</v>
      </c>
      <c r="AA290" t="e">
        <f>Table1[[#This Row],[qPer board]]*Table1[[#This Row],[boards]]</f>
        <v>#REF!</v>
      </c>
      <c r="AB290" t="e">
        <f>VLOOKUP(Table1[[#This Row],[MA_Number]],#REF!, 2,FALSE)</f>
        <v>#REF!</v>
      </c>
      <c r="AC290">
        <v>17</v>
      </c>
    </row>
    <row r="291" spans="1:29" hidden="1" x14ac:dyDescent="0.3">
      <c r="A291" t="s">
        <v>1212</v>
      </c>
      <c r="B291" s="1">
        <v>7297914930</v>
      </c>
      <c r="C291" s="1"/>
      <c r="D291" t="s">
        <v>279</v>
      </c>
      <c r="F291" t="b">
        <v>0</v>
      </c>
      <c r="I291">
        <v>1</v>
      </c>
      <c r="J291">
        <v>67</v>
      </c>
      <c r="K291">
        <v>48</v>
      </c>
      <c r="L291">
        <v>65</v>
      </c>
      <c r="M291" t="s">
        <v>49</v>
      </c>
      <c r="N291" t="s">
        <v>24</v>
      </c>
      <c r="O291" t="b">
        <v>1</v>
      </c>
      <c r="AA291" t="e">
        <f>Table1[[#This Row],[qPer board]]*Table1[[#This Row],[boards]]</f>
        <v>#REF!</v>
      </c>
      <c r="AB291" t="e">
        <f>VLOOKUP(Table1[[#This Row],[MA_Number]],#REF!, 2,FALSE)</f>
        <v>#REF!</v>
      </c>
      <c r="AC291">
        <v>17</v>
      </c>
    </row>
    <row r="292" spans="1:29" hidden="1" x14ac:dyDescent="0.3">
      <c r="A292" t="s">
        <v>1213</v>
      </c>
      <c r="B292" s="1">
        <v>7297913630</v>
      </c>
      <c r="C292" s="1"/>
      <c r="D292" t="s">
        <v>279</v>
      </c>
      <c r="F292" t="b">
        <v>0</v>
      </c>
      <c r="I292">
        <v>1</v>
      </c>
      <c r="J292">
        <v>66</v>
      </c>
      <c r="K292">
        <v>47</v>
      </c>
      <c r="L292">
        <v>56</v>
      </c>
      <c r="M292" t="s">
        <v>49</v>
      </c>
      <c r="N292" t="s">
        <v>24</v>
      </c>
      <c r="O292" t="b">
        <v>1</v>
      </c>
      <c r="AA292" t="e">
        <f>Table1[[#This Row],[qPer board]]*Table1[[#This Row],[boards]]</f>
        <v>#REF!</v>
      </c>
      <c r="AB292" t="e">
        <f>VLOOKUP(Table1[[#This Row],[MA_Number]],#REF!, 2,FALSE)</f>
        <v>#REF!</v>
      </c>
      <c r="AC292">
        <v>17</v>
      </c>
    </row>
    <row r="293" spans="1:29" hidden="1" x14ac:dyDescent="0.3">
      <c r="A293" t="s">
        <v>1756</v>
      </c>
      <c r="B293" s="1" t="s">
        <v>798</v>
      </c>
      <c r="C293" s="1"/>
      <c r="D293" t="s">
        <v>279</v>
      </c>
      <c r="E293" t="s">
        <v>1755</v>
      </c>
      <c r="F293" t="b">
        <v>0</v>
      </c>
      <c r="I293">
        <v>1</v>
      </c>
      <c r="J293">
        <v>60</v>
      </c>
      <c r="K293">
        <v>46</v>
      </c>
      <c r="L293">
        <v>48</v>
      </c>
      <c r="M293" t="s">
        <v>49</v>
      </c>
      <c r="N293" t="s">
        <v>24</v>
      </c>
      <c r="O293" t="b">
        <v>1</v>
      </c>
      <c r="X293">
        <v>30</v>
      </c>
      <c r="AA293" t="e">
        <f>Table1[[#This Row],[qPer board]]*Table1[[#This Row],[boards]]</f>
        <v>#REF!</v>
      </c>
      <c r="AB293" t="e">
        <f>VLOOKUP(Table1[[#This Row],[MA_Number]],#REF!, 2,FALSE)</f>
        <v>#REF!</v>
      </c>
      <c r="AC293">
        <v>17</v>
      </c>
    </row>
    <row r="294" spans="1:29" hidden="1" x14ac:dyDescent="0.3">
      <c r="A294" t="s">
        <v>1249</v>
      </c>
      <c r="B294" s="1">
        <v>7198808890</v>
      </c>
      <c r="C294" s="1"/>
      <c r="D294" t="s">
        <v>279</v>
      </c>
      <c r="F294" t="b">
        <v>0</v>
      </c>
      <c r="I294">
        <v>1</v>
      </c>
      <c r="J294">
        <v>0</v>
      </c>
      <c r="K294">
        <v>0</v>
      </c>
      <c r="L294">
        <v>0</v>
      </c>
      <c r="M294" t="s">
        <v>50</v>
      </c>
      <c r="N294" t="s">
        <v>24</v>
      </c>
      <c r="O294" t="b">
        <v>1</v>
      </c>
      <c r="AA294" t="e">
        <f>Table1[[#This Row],[qPer board]]*Table1[[#This Row],[boards]]</f>
        <v>#REF!</v>
      </c>
      <c r="AB294" t="e">
        <f>VLOOKUP(Table1[[#This Row],[MA_Number]],#REF!, 2,FALSE)</f>
        <v>#REF!</v>
      </c>
      <c r="AC294">
        <v>17</v>
      </c>
    </row>
    <row r="295" spans="1:29" hidden="1" x14ac:dyDescent="0.3">
      <c r="A295" t="s">
        <v>1250</v>
      </c>
      <c r="B295" s="1">
        <v>71989158</v>
      </c>
      <c r="C295" s="1"/>
      <c r="D295" t="s">
        <v>279</v>
      </c>
      <c r="F295" t="b">
        <v>0</v>
      </c>
      <c r="I295">
        <v>1</v>
      </c>
      <c r="J295">
        <v>0</v>
      </c>
      <c r="K295">
        <v>0</v>
      </c>
      <c r="L295">
        <v>0</v>
      </c>
      <c r="M295" t="s">
        <v>48</v>
      </c>
      <c r="N295" t="s">
        <v>24</v>
      </c>
      <c r="O295" t="b">
        <v>1</v>
      </c>
      <c r="AA295" t="e">
        <f>Table1[[#This Row],[qPer board]]*Table1[[#This Row],[boards]]</f>
        <v>#REF!</v>
      </c>
      <c r="AB295" t="e">
        <f>VLOOKUP(Table1[[#This Row],[MA_Number]],#REF!, 2,FALSE)</f>
        <v>#REF!</v>
      </c>
      <c r="AC295">
        <v>17</v>
      </c>
    </row>
    <row r="296" spans="1:29" hidden="1" x14ac:dyDescent="0.3">
      <c r="A296" t="s">
        <v>1366</v>
      </c>
      <c r="B296" s="1">
        <v>7035964930</v>
      </c>
      <c r="C296" s="1"/>
      <c r="D296" t="s">
        <v>280</v>
      </c>
      <c r="F296" t="b">
        <v>1</v>
      </c>
      <c r="I296">
        <v>1</v>
      </c>
      <c r="J296" t="s">
        <v>671</v>
      </c>
      <c r="K296" t="s">
        <v>671</v>
      </c>
      <c r="L296" t="s">
        <v>671</v>
      </c>
      <c r="O296" t="b">
        <v>1</v>
      </c>
      <c r="AA296" t="e">
        <f>Table1[[#This Row],[qPer board]]*Table1[[#This Row],[boards]]</f>
        <v>#REF!</v>
      </c>
      <c r="AB296" t="e">
        <f>VLOOKUP(Table1[[#This Row],[MA_Number]],#REF!, 2,FALSE)</f>
        <v>#REF!</v>
      </c>
      <c r="AC296">
        <v>17</v>
      </c>
    </row>
    <row r="297" spans="1:29" hidden="1" x14ac:dyDescent="0.3">
      <c r="B297" s="1">
        <v>7035964930</v>
      </c>
      <c r="C297" s="1"/>
      <c r="E297" t="s">
        <v>1367</v>
      </c>
      <c r="G297" t="s">
        <v>1366</v>
      </c>
      <c r="H297" t="s">
        <v>1368</v>
      </c>
      <c r="I297">
        <v>1</v>
      </c>
      <c r="J297">
        <v>83</v>
      </c>
      <c r="K297">
        <v>60</v>
      </c>
      <c r="L297">
        <v>80</v>
      </c>
      <c r="M297" t="s">
        <v>49</v>
      </c>
      <c r="N297" t="s">
        <v>24</v>
      </c>
      <c r="O297" t="b">
        <v>1</v>
      </c>
      <c r="AA297" t="e">
        <f>Table1[[#This Row],[qPer board]]*Table1[[#This Row],[boards]]</f>
        <v>#REF!</v>
      </c>
      <c r="AB297" t="e">
        <f>VLOOKUP(Table1[[#This Row],[MA_Number]],#REF!, 2,FALSE)</f>
        <v>#REF!</v>
      </c>
      <c r="AC297">
        <v>17</v>
      </c>
    </row>
    <row r="298" spans="1:29" hidden="1" x14ac:dyDescent="0.3">
      <c r="A298" t="s">
        <v>1369</v>
      </c>
      <c r="B298" s="1">
        <v>7047009730</v>
      </c>
      <c r="C298" s="1"/>
      <c r="D298" t="s">
        <v>1187</v>
      </c>
      <c r="E298" t="s">
        <v>1200</v>
      </c>
      <c r="F298" t="b">
        <v>1</v>
      </c>
      <c r="I298">
        <v>1</v>
      </c>
      <c r="J298" t="s">
        <v>671</v>
      </c>
      <c r="K298" t="s">
        <v>671</v>
      </c>
      <c r="L298" t="s">
        <v>671</v>
      </c>
      <c r="AA298" t="e">
        <f>Table1[[#This Row],[qPer board]]*Table1[[#This Row],[boards]]</f>
        <v>#REF!</v>
      </c>
      <c r="AB298" t="e">
        <f>VLOOKUP(Table1[[#This Row],[MA_Number]],#REF!, 2,FALSE)</f>
        <v>#REF!</v>
      </c>
      <c r="AC298">
        <v>17</v>
      </c>
    </row>
    <row r="299" spans="1:29" hidden="1" x14ac:dyDescent="0.3">
      <c r="B299" s="1">
        <v>7047009730</v>
      </c>
      <c r="C299" s="1"/>
      <c r="G299" t="s">
        <v>1369</v>
      </c>
      <c r="H299" t="s">
        <v>1370</v>
      </c>
      <c r="I299">
        <v>1</v>
      </c>
      <c r="AA299" t="e">
        <f>Table1[[#This Row],[qPer board]]*Table1[[#This Row],[boards]]</f>
        <v>#REF!</v>
      </c>
      <c r="AB299" t="e">
        <f>VLOOKUP(Table1[[#This Row],[MA_Number]],#REF!, 2,FALSE)</f>
        <v>#REF!</v>
      </c>
      <c r="AC299">
        <v>17</v>
      </c>
    </row>
    <row r="300" spans="1:29" hidden="1" x14ac:dyDescent="0.3">
      <c r="A300" t="s">
        <v>673</v>
      </c>
      <c r="B300" s="1">
        <v>7047052330</v>
      </c>
      <c r="C300" s="1"/>
      <c r="D300" t="s">
        <v>1187</v>
      </c>
      <c r="F300" t="b">
        <v>1</v>
      </c>
      <c r="I300">
        <v>1</v>
      </c>
      <c r="J300" t="s">
        <v>671</v>
      </c>
      <c r="K300" t="s">
        <v>671</v>
      </c>
      <c r="L300" t="s">
        <v>671</v>
      </c>
      <c r="O300" t="b">
        <v>1</v>
      </c>
      <c r="AA300" t="e">
        <f>Table1[[#This Row],[qPer board]]*Table1[[#This Row],[boards]]</f>
        <v>#REF!</v>
      </c>
      <c r="AB300" t="e">
        <f>VLOOKUP(Table1[[#This Row],[MA_Number]],#REF!, 2,FALSE)</f>
        <v>#REF!</v>
      </c>
      <c r="AC300">
        <v>17</v>
      </c>
    </row>
    <row r="301" spans="1:29" hidden="1" x14ac:dyDescent="0.3">
      <c r="B301" s="1">
        <v>7047052330</v>
      </c>
      <c r="C301" s="1"/>
      <c r="E301" t="s">
        <v>1371</v>
      </c>
      <c r="G301" t="s">
        <v>673</v>
      </c>
      <c r="H301" t="s">
        <v>1372</v>
      </c>
      <c r="I301">
        <v>1</v>
      </c>
      <c r="J301">
        <v>30</v>
      </c>
      <c r="K301">
        <v>30</v>
      </c>
      <c r="L301">
        <v>35</v>
      </c>
      <c r="N301" t="s">
        <v>40</v>
      </c>
      <c r="O301" t="b">
        <v>1</v>
      </c>
      <c r="AA301" t="e">
        <f>Table1[[#This Row],[qPer board]]*Table1[[#This Row],[boards]]</f>
        <v>#REF!</v>
      </c>
      <c r="AB301" t="e">
        <f>VLOOKUP(Table1[[#This Row],[MA_Number]],#REF!, 2,FALSE)</f>
        <v>#REF!</v>
      </c>
      <c r="AC301">
        <v>17</v>
      </c>
    </row>
    <row r="302" spans="1:29" hidden="1" x14ac:dyDescent="0.3">
      <c r="B302" s="1">
        <v>7047052330</v>
      </c>
      <c r="C302" s="1"/>
      <c r="E302" t="s">
        <v>1373</v>
      </c>
      <c r="G302" t="s">
        <v>673</v>
      </c>
      <c r="H302" t="s">
        <v>1374</v>
      </c>
      <c r="I302">
        <v>1</v>
      </c>
      <c r="J302">
        <v>47</v>
      </c>
      <c r="K302">
        <v>30</v>
      </c>
      <c r="L302">
        <v>54</v>
      </c>
      <c r="M302" t="s">
        <v>49</v>
      </c>
      <c r="N302" t="s">
        <v>24</v>
      </c>
      <c r="O302" t="b">
        <v>1</v>
      </c>
      <c r="AA302" t="e">
        <f>Table1[[#This Row],[qPer board]]*Table1[[#This Row],[boards]]</f>
        <v>#REF!</v>
      </c>
      <c r="AB302" t="e">
        <f>VLOOKUP(Table1[[#This Row],[MA_Number]],#REF!, 2,FALSE)</f>
        <v>#REF!</v>
      </c>
      <c r="AC302">
        <v>17</v>
      </c>
    </row>
    <row r="303" spans="1:29" hidden="1" x14ac:dyDescent="0.3">
      <c r="B303" s="1">
        <v>7047052330</v>
      </c>
      <c r="C303" s="1"/>
      <c r="E303" t="s">
        <v>1375</v>
      </c>
      <c r="G303" t="s">
        <v>673</v>
      </c>
      <c r="H303" t="s">
        <v>1376</v>
      </c>
      <c r="I303">
        <v>1</v>
      </c>
      <c r="J303">
        <v>75</v>
      </c>
      <c r="K303">
        <v>30</v>
      </c>
      <c r="L303">
        <v>35</v>
      </c>
      <c r="M303" t="s">
        <v>49</v>
      </c>
      <c r="N303" t="s">
        <v>24</v>
      </c>
      <c r="O303" t="b">
        <v>1</v>
      </c>
      <c r="AA303" t="e">
        <f>Table1[[#This Row],[qPer board]]*Table1[[#This Row],[boards]]</f>
        <v>#REF!</v>
      </c>
      <c r="AB303" t="e">
        <f>VLOOKUP(Table1[[#This Row],[MA_Number]],#REF!, 2,FALSE)</f>
        <v>#REF!</v>
      </c>
      <c r="AC303">
        <v>17</v>
      </c>
    </row>
    <row r="304" spans="1:29" hidden="1" x14ac:dyDescent="0.3">
      <c r="A304" t="s">
        <v>1377</v>
      </c>
      <c r="B304" s="1">
        <v>7047135830</v>
      </c>
      <c r="C304" s="1"/>
      <c r="D304" t="s">
        <v>1187</v>
      </c>
      <c r="F304" t="b">
        <v>1</v>
      </c>
      <c r="I304">
        <v>1</v>
      </c>
      <c r="J304" t="s">
        <v>671</v>
      </c>
      <c r="K304" t="s">
        <v>671</v>
      </c>
      <c r="L304" t="s">
        <v>671</v>
      </c>
      <c r="O304" t="b">
        <v>1</v>
      </c>
      <c r="AA304" t="e">
        <f>Table1[[#This Row],[qPer board]]*Table1[[#This Row],[boards]]</f>
        <v>#REF!</v>
      </c>
      <c r="AB304" t="e">
        <f>VLOOKUP(Table1[[#This Row],[MA_Number]],#REF!, 2,FALSE)</f>
        <v>#REF!</v>
      </c>
      <c r="AC304">
        <v>17</v>
      </c>
    </row>
    <row r="305" spans="1:29" hidden="1" x14ac:dyDescent="0.3">
      <c r="B305" s="1">
        <v>7047135830</v>
      </c>
      <c r="C305" s="1"/>
      <c r="E305" t="s">
        <v>1378</v>
      </c>
      <c r="G305" t="s">
        <v>1377</v>
      </c>
      <c r="H305" t="s">
        <v>1379</v>
      </c>
      <c r="I305">
        <v>1</v>
      </c>
      <c r="J305">
        <v>25</v>
      </c>
      <c r="K305">
        <v>20</v>
      </c>
      <c r="L305">
        <v>35</v>
      </c>
      <c r="N305" t="s">
        <v>40</v>
      </c>
      <c r="O305" t="b">
        <v>1</v>
      </c>
      <c r="AA305" t="e">
        <f>Table1[[#This Row],[qPer board]]*Table1[[#This Row],[boards]]</f>
        <v>#REF!</v>
      </c>
      <c r="AB305" t="e">
        <f>VLOOKUP(Table1[[#This Row],[MA_Number]],#REF!, 2,FALSE)</f>
        <v>#REF!</v>
      </c>
      <c r="AC305">
        <v>17</v>
      </c>
    </row>
    <row r="306" spans="1:29" hidden="1" x14ac:dyDescent="0.3">
      <c r="B306" s="1">
        <v>7047135830</v>
      </c>
      <c r="C306" s="1"/>
      <c r="E306" t="s">
        <v>1380</v>
      </c>
      <c r="G306" t="s">
        <v>1377</v>
      </c>
      <c r="H306" t="s">
        <v>1381</v>
      </c>
      <c r="I306">
        <v>1</v>
      </c>
      <c r="J306">
        <v>43</v>
      </c>
      <c r="K306">
        <v>20</v>
      </c>
      <c r="L306">
        <v>47</v>
      </c>
      <c r="M306" t="s">
        <v>49</v>
      </c>
      <c r="N306" t="s">
        <v>24</v>
      </c>
      <c r="O306" t="b">
        <v>1</v>
      </c>
      <c r="AA306" t="e">
        <f>Table1[[#This Row],[qPer board]]*Table1[[#This Row],[boards]]</f>
        <v>#REF!</v>
      </c>
      <c r="AB306" t="e">
        <f>VLOOKUP(Table1[[#This Row],[MA_Number]],#REF!, 2,FALSE)</f>
        <v>#REF!</v>
      </c>
      <c r="AC306">
        <v>17</v>
      </c>
    </row>
    <row r="307" spans="1:29" hidden="1" x14ac:dyDescent="0.3">
      <c r="A307" s="83"/>
      <c r="B307" s="84">
        <v>7047135830</v>
      </c>
      <c r="C307" s="84"/>
      <c r="D307" s="83"/>
      <c r="E307" s="83"/>
      <c r="F307" s="83"/>
      <c r="G307" s="83" t="s">
        <v>1377</v>
      </c>
      <c r="H307" s="83" t="s">
        <v>2247</v>
      </c>
      <c r="I307" s="83">
        <v>1</v>
      </c>
      <c r="J307" s="83">
        <v>70</v>
      </c>
      <c r="K307" s="83">
        <v>20</v>
      </c>
      <c r="L307" s="83">
        <v>30</v>
      </c>
      <c r="M307" s="83" t="s">
        <v>49</v>
      </c>
      <c r="N307" s="83" t="s">
        <v>24</v>
      </c>
      <c r="O307" s="83" t="b">
        <v>1</v>
      </c>
      <c r="P307" s="83"/>
      <c r="Q307" s="83"/>
      <c r="R307" s="83"/>
      <c r="S307" s="83"/>
      <c r="T307" s="83"/>
      <c r="U307" s="83"/>
      <c r="V307" s="83"/>
      <c r="W307" s="83"/>
      <c r="X307" s="83"/>
      <c r="Y307" s="83"/>
      <c r="Z307" s="83"/>
      <c r="AA307" s="85" t="e">
        <f>Table1[[#This Row],[qPer board]]*Table1[[#This Row],[boards]]</f>
        <v>#REF!</v>
      </c>
      <c r="AB307" s="85" t="e">
        <f>VLOOKUP(Table1[[#This Row],[MA_Number]],#REF!, 2,FALSE)</f>
        <v>#REF!</v>
      </c>
      <c r="AC307" s="83"/>
    </row>
    <row r="308" spans="1:29" hidden="1" x14ac:dyDescent="0.3">
      <c r="A308" t="s">
        <v>1382</v>
      </c>
      <c r="B308" s="1">
        <v>7047186030</v>
      </c>
      <c r="C308" s="1"/>
      <c r="D308" t="s">
        <v>1187</v>
      </c>
      <c r="E308" t="s">
        <v>1200</v>
      </c>
      <c r="F308" t="b">
        <v>1</v>
      </c>
      <c r="I308">
        <v>1</v>
      </c>
      <c r="J308" t="s">
        <v>671</v>
      </c>
      <c r="K308" t="s">
        <v>671</v>
      </c>
      <c r="L308" t="s">
        <v>671</v>
      </c>
      <c r="AA308" t="e">
        <f>Table1[[#This Row],[qPer board]]*Table1[[#This Row],[boards]]</f>
        <v>#REF!</v>
      </c>
      <c r="AB308" t="e">
        <f>VLOOKUP(Table1[[#This Row],[MA_Number]],#REF!, 2,FALSE)</f>
        <v>#REF!</v>
      </c>
      <c r="AC308">
        <v>17</v>
      </c>
    </row>
    <row r="309" spans="1:29" hidden="1" x14ac:dyDescent="0.3">
      <c r="B309" s="1">
        <v>7047186030</v>
      </c>
      <c r="C309" s="1"/>
      <c r="G309" t="s">
        <v>1382</v>
      </c>
      <c r="H309" t="s">
        <v>1383</v>
      </c>
      <c r="I309">
        <v>1</v>
      </c>
      <c r="AA309" t="e">
        <f>Table1[[#This Row],[qPer board]]*Table1[[#This Row],[boards]]</f>
        <v>#REF!</v>
      </c>
      <c r="AB309" t="e">
        <f>VLOOKUP(Table1[[#This Row],[MA_Number]],#REF!, 2,FALSE)</f>
        <v>#REF!</v>
      </c>
      <c r="AC309">
        <v>17</v>
      </c>
    </row>
    <row r="310" spans="1:29" hidden="1" x14ac:dyDescent="0.3">
      <c r="A310" t="s">
        <v>1384</v>
      </c>
      <c r="B310" s="1">
        <v>7047273930</v>
      </c>
      <c r="C310" s="1"/>
      <c r="D310" t="s">
        <v>1187</v>
      </c>
      <c r="F310" t="b">
        <v>1</v>
      </c>
      <c r="I310">
        <v>1</v>
      </c>
      <c r="J310" t="s">
        <v>671</v>
      </c>
      <c r="K310" t="s">
        <v>671</v>
      </c>
      <c r="L310" t="s">
        <v>671</v>
      </c>
      <c r="O310" t="b">
        <v>1</v>
      </c>
      <c r="AA310" t="e">
        <f>Table1[[#This Row],[qPer board]]*Table1[[#This Row],[boards]]</f>
        <v>#REF!</v>
      </c>
      <c r="AB310" t="e">
        <f>VLOOKUP(Table1[[#This Row],[MA_Number]],#REF!, 2,FALSE)</f>
        <v>#REF!</v>
      </c>
      <c r="AC310">
        <v>17</v>
      </c>
    </row>
    <row r="311" spans="1:29" hidden="1" x14ac:dyDescent="0.3">
      <c r="B311" s="1">
        <v>7047273930</v>
      </c>
      <c r="C311" s="1"/>
      <c r="E311" t="s">
        <v>1385</v>
      </c>
      <c r="G311" t="s">
        <v>1384</v>
      </c>
      <c r="H311" t="s">
        <v>1386</v>
      </c>
      <c r="I311">
        <v>1</v>
      </c>
      <c r="J311">
        <v>27</v>
      </c>
      <c r="K311">
        <v>20</v>
      </c>
      <c r="L311">
        <v>40</v>
      </c>
      <c r="N311" t="s">
        <v>40</v>
      </c>
      <c r="O311" t="b">
        <v>1</v>
      </c>
      <c r="AA311" t="e">
        <f>Table1[[#This Row],[qPer board]]*Table1[[#This Row],[boards]]</f>
        <v>#REF!</v>
      </c>
      <c r="AB311" t="e">
        <f>VLOOKUP(Table1[[#This Row],[MA_Number]],#REF!, 2,FALSE)</f>
        <v>#REF!</v>
      </c>
      <c r="AC311">
        <v>17</v>
      </c>
    </row>
    <row r="312" spans="1:29" hidden="1" x14ac:dyDescent="0.3">
      <c r="A312" t="s">
        <v>1874</v>
      </c>
      <c r="B312" s="1">
        <v>7052109630</v>
      </c>
      <c r="C312" s="1"/>
      <c r="D312" t="s">
        <v>1187</v>
      </c>
      <c r="E312" t="s">
        <v>1875</v>
      </c>
      <c r="F312" t="b">
        <v>1</v>
      </c>
      <c r="I312">
        <v>1</v>
      </c>
      <c r="J312" t="s">
        <v>671</v>
      </c>
      <c r="K312" t="s">
        <v>671</v>
      </c>
      <c r="L312" t="s">
        <v>671</v>
      </c>
      <c r="O312" t="b">
        <v>1</v>
      </c>
      <c r="AA312" t="e">
        <f>Table1[[#This Row],[qPer board]]*Table1[[#This Row],[boards]]</f>
        <v>#REF!</v>
      </c>
      <c r="AB312" t="e">
        <f>VLOOKUP(Table1[[#This Row],[MA_Number]],#REF!, 2,FALSE)</f>
        <v>#REF!</v>
      </c>
      <c r="AC312">
        <v>17</v>
      </c>
    </row>
    <row r="313" spans="1:29" hidden="1" x14ac:dyDescent="0.3">
      <c r="B313" s="1">
        <v>7052109630</v>
      </c>
      <c r="C313" s="1"/>
      <c r="G313" t="s">
        <v>1874</v>
      </c>
      <c r="H313" t="s">
        <v>1876</v>
      </c>
      <c r="I313">
        <v>1</v>
      </c>
      <c r="J313">
        <v>45</v>
      </c>
      <c r="K313">
        <v>20</v>
      </c>
      <c r="L313">
        <v>42</v>
      </c>
      <c r="M313" t="s">
        <v>49</v>
      </c>
      <c r="N313" t="s">
        <v>24</v>
      </c>
      <c r="O313" t="b">
        <v>1</v>
      </c>
      <c r="AA313" t="e">
        <f>Table1[[#This Row],[qPer board]]*Table1[[#This Row],[boards]]</f>
        <v>#REF!</v>
      </c>
      <c r="AB313" t="e">
        <f>VLOOKUP(Table1[[#This Row],[MA_Number]],#REF!, 2,FALSE)</f>
        <v>#REF!</v>
      </c>
      <c r="AC313">
        <v>17</v>
      </c>
    </row>
    <row r="314" spans="1:29" hidden="1" x14ac:dyDescent="0.3">
      <c r="B314" s="1">
        <v>7052109630</v>
      </c>
      <c r="C314" s="1"/>
      <c r="G314" t="s">
        <v>1874</v>
      </c>
      <c r="H314" t="s">
        <v>1877</v>
      </c>
      <c r="I314">
        <v>1</v>
      </c>
      <c r="J314">
        <v>77</v>
      </c>
      <c r="K314">
        <v>30</v>
      </c>
      <c r="L314">
        <v>35</v>
      </c>
      <c r="M314" t="s">
        <v>49</v>
      </c>
      <c r="N314" t="s">
        <v>24</v>
      </c>
      <c r="O314" t="b">
        <v>1</v>
      </c>
      <c r="AA314" t="e">
        <f>Table1[[#This Row],[qPer board]]*Table1[[#This Row],[boards]]</f>
        <v>#REF!</v>
      </c>
      <c r="AB314" t="e">
        <f>VLOOKUP(Table1[[#This Row],[MA_Number]],#REF!, 2,FALSE)</f>
        <v>#REF!</v>
      </c>
      <c r="AC314">
        <v>17</v>
      </c>
    </row>
    <row r="315" spans="1:29" hidden="1" x14ac:dyDescent="0.3">
      <c r="A315" t="s">
        <v>1387</v>
      </c>
      <c r="B315" s="1">
        <v>70521459</v>
      </c>
      <c r="C315" s="1"/>
      <c r="D315" t="s">
        <v>1187</v>
      </c>
      <c r="F315" t="b">
        <v>1</v>
      </c>
      <c r="I315">
        <v>1</v>
      </c>
      <c r="J315" t="s">
        <v>671</v>
      </c>
      <c r="K315" t="s">
        <v>671</v>
      </c>
      <c r="L315" t="s">
        <v>671</v>
      </c>
      <c r="O315" t="b">
        <v>1</v>
      </c>
      <c r="AA315" t="e">
        <f>Table1[[#This Row],[qPer board]]*Table1[[#This Row],[boards]]</f>
        <v>#REF!</v>
      </c>
      <c r="AB315" t="e">
        <f>VLOOKUP(Table1[[#This Row],[MA_Number]],#REF!, 2,FALSE)</f>
        <v>#REF!</v>
      </c>
      <c r="AC315">
        <v>17</v>
      </c>
    </row>
    <row r="316" spans="1:29" hidden="1" x14ac:dyDescent="0.3">
      <c r="B316" s="1">
        <v>70521459</v>
      </c>
      <c r="C316" s="1"/>
      <c r="E316" t="s">
        <v>1388</v>
      </c>
      <c r="G316" t="s">
        <v>1387</v>
      </c>
      <c r="H316" t="s">
        <v>1389</v>
      </c>
      <c r="I316">
        <v>1</v>
      </c>
      <c r="J316">
        <v>28</v>
      </c>
      <c r="K316">
        <v>28</v>
      </c>
      <c r="L316">
        <v>36</v>
      </c>
      <c r="N316" t="s">
        <v>40</v>
      </c>
      <c r="O316" t="b">
        <v>1</v>
      </c>
      <c r="AA316" t="e">
        <f>Table1[[#This Row],[qPer board]]*Table1[[#This Row],[boards]]</f>
        <v>#REF!</v>
      </c>
      <c r="AB316" t="e">
        <f>VLOOKUP(Table1[[#This Row],[MA_Number]],#REF!, 2,FALSE)</f>
        <v>#REF!</v>
      </c>
      <c r="AC316">
        <v>17</v>
      </c>
    </row>
    <row r="317" spans="1:29" hidden="1" x14ac:dyDescent="0.3">
      <c r="A317" t="s">
        <v>733</v>
      </c>
      <c r="B317" s="1">
        <v>7052161430</v>
      </c>
      <c r="C317" s="1"/>
      <c r="D317" t="s">
        <v>1187</v>
      </c>
      <c r="E317" t="s">
        <v>1200</v>
      </c>
      <c r="F317" t="b">
        <v>1</v>
      </c>
      <c r="I317">
        <v>1</v>
      </c>
      <c r="J317" t="s">
        <v>671</v>
      </c>
      <c r="K317" t="s">
        <v>671</v>
      </c>
      <c r="L317" t="s">
        <v>671</v>
      </c>
      <c r="AA317" t="e">
        <f>Table1[[#This Row],[qPer board]]*Table1[[#This Row],[boards]]</f>
        <v>#REF!</v>
      </c>
      <c r="AB317" t="e">
        <f>VLOOKUP(Table1[[#This Row],[MA_Number]],#REF!, 2,FALSE)</f>
        <v>#REF!</v>
      </c>
      <c r="AC317">
        <v>17</v>
      </c>
    </row>
    <row r="318" spans="1:29" hidden="1" x14ac:dyDescent="0.3">
      <c r="B318" s="1">
        <v>7052161430</v>
      </c>
      <c r="C318" s="1"/>
      <c r="G318" t="s">
        <v>733</v>
      </c>
      <c r="H318" t="s">
        <v>1197</v>
      </c>
      <c r="I318">
        <v>1</v>
      </c>
      <c r="AA318" t="e">
        <f>Table1[[#This Row],[qPer board]]*Table1[[#This Row],[boards]]</f>
        <v>#REF!</v>
      </c>
      <c r="AB318" t="e">
        <f>VLOOKUP(Table1[[#This Row],[MA_Number]],#REF!, 2,FALSE)</f>
        <v>#REF!</v>
      </c>
      <c r="AC318">
        <v>17</v>
      </c>
    </row>
    <row r="319" spans="1:29" hidden="1" x14ac:dyDescent="0.3">
      <c r="A319" t="s">
        <v>1696</v>
      </c>
      <c r="B319" s="1">
        <v>7075181330</v>
      </c>
      <c r="C319" s="1"/>
      <c r="D319" t="s">
        <v>280</v>
      </c>
      <c r="E319" s="3" t="s">
        <v>1697</v>
      </c>
      <c r="F319" t="b">
        <v>0</v>
      </c>
      <c r="I319">
        <v>1</v>
      </c>
      <c r="J319">
        <v>55</v>
      </c>
      <c r="K319">
        <v>20</v>
      </c>
      <c r="L319">
        <v>50</v>
      </c>
      <c r="M319" t="s">
        <v>49</v>
      </c>
      <c r="N319" t="s">
        <v>24</v>
      </c>
      <c r="O319" t="b">
        <v>1</v>
      </c>
      <c r="AA319" t="e">
        <f>Table1[[#This Row],[qPer board]]*Table1[[#This Row],[boards]]</f>
        <v>#REF!</v>
      </c>
      <c r="AB319" t="e">
        <f>VLOOKUP(Table1[[#This Row],[MA_Number]],#REF!, 2,FALSE)</f>
        <v>#REF!</v>
      </c>
      <c r="AC319">
        <v>17</v>
      </c>
    </row>
    <row r="320" spans="1:29" hidden="1" x14ac:dyDescent="0.3">
      <c r="A320" t="s">
        <v>513</v>
      </c>
      <c r="B320" s="1" t="s">
        <v>1390</v>
      </c>
      <c r="C320" s="1"/>
      <c r="D320" t="s">
        <v>280</v>
      </c>
      <c r="F320" t="b">
        <v>1</v>
      </c>
      <c r="I320">
        <v>1</v>
      </c>
      <c r="O320" t="b">
        <v>1</v>
      </c>
      <c r="AA320" t="e">
        <f>Table1[[#This Row],[qPer board]]*Table1[[#This Row],[boards]]</f>
        <v>#REF!</v>
      </c>
      <c r="AB320" t="e">
        <f>VLOOKUP(Table1[[#This Row],[MA_Number]],#REF!, 2,FALSE)</f>
        <v>#REF!</v>
      </c>
      <c r="AC320">
        <v>17</v>
      </c>
    </row>
    <row r="321" spans="1:29" hidden="1" x14ac:dyDescent="0.3">
      <c r="B321" s="1" t="s">
        <v>1390</v>
      </c>
      <c r="C321" s="1"/>
      <c r="E321" t="s">
        <v>1391</v>
      </c>
      <c r="G321" t="s">
        <v>513</v>
      </c>
      <c r="H321" t="s">
        <v>1392</v>
      </c>
      <c r="I321">
        <v>1</v>
      </c>
      <c r="J321">
        <v>93</v>
      </c>
      <c r="K321">
        <v>52</v>
      </c>
      <c r="L321">
        <v>75</v>
      </c>
      <c r="O321" t="b">
        <v>1</v>
      </c>
      <c r="AA321" t="e">
        <f>Table1[[#This Row],[qPer board]]*Table1[[#This Row],[boards]]</f>
        <v>#REF!</v>
      </c>
      <c r="AB321" t="e">
        <f>VLOOKUP(Table1[[#This Row],[MA_Number]],#REF!, 2,FALSE)</f>
        <v>#REF!</v>
      </c>
      <c r="AC321">
        <v>17</v>
      </c>
    </row>
    <row r="322" spans="1:29" hidden="1" x14ac:dyDescent="0.3">
      <c r="A322" t="s">
        <v>446</v>
      </c>
      <c r="B322" s="1">
        <v>7075244730</v>
      </c>
      <c r="C322" s="1"/>
      <c r="D322" t="s">
        <v>280</v>
      </c>
      <c r="F322" t="b">
        <v>1</v>
      </c>
      <c r="I322">
        <v>1</v>
      </c>
      <c r="J322">
        <v>77</v>
      </c>
      <c r="K322">
        <v>42</v>
      </c>
      <c r="L322">
        <v>66</v>
      </c>
      <c r="M322" t="s">
        <v>49</v>
      </c>
      <c r="N322" t="s">
        <v>24</v>
      </c>
      <c r="O322" t="b">
        <v>1</v>
      </c>
      <c r="AA322" t="e">
        <f>Table1[[#This Row],[qPer board]]*Table1[[#This Row],[boards]]</f>
        <v>#REF!</v>
      </c>
      <c r="AB322" t="e">
        <f>VLOOKUP(Table1[[#This Row],[MA_Number]],#REF!, 2,FALSE)</f>
        <v>#REF!</v>
      </c>
      <c r="AC322">
        <v>17</v>
      </c>
    </row>
    <row r="323" spans="1:29" hidden="1" x14ac:dyDescent="0.3">
      <c r="A323" t="s">
        <v>448</v>
      </c>
      <c r="B323" s="1" t="s">
        <v>1393</v>
      </c>
      <c r="C323" s="1"/>
      <c r="D323" t="s">
        <v>280</v>
      </c>
      <c r="E323" t="s">
        <v>1394</v>
      </c>
      <c r="F323" t="b">
        <v>1</v>
      </c>
      <c r="I323">
        <v>1</v>
      </c>
      <c r="J323" t="s">
        <v>671</v>
      </c>
      <c r="K323" t="s">
        <v>671</v>
      </c>
      <c r="L323" t="s">
        <v>671</v>
      </c>
      <c r="O323" t="b">
        <v>1</v>
      </c>
      <c r="AA323" t="e">
        <f>Table1[[#This Row],[qPer board]]*Table1[[#This Row],[boards]]</f>
        <v>#REF!</v>
      </c>
      <c r="AB323" t="e">
        <f>VLOOKUP(Table1[[#This Row],[MA_Number]],#REF!, 2,FALSE)</f>
        <v>#REF!</v>
      </c>
      <c r="AC323">
        <v>17</v>
      </c>
    </row>
    <row r="324" spans="1:29" hidden="1" x14ac:dyDescent="0.3">
      <c r="B324" s="1" t="s">
        <v>1393</v>
      </c>
      <c r="C324" s="1"/>
      <c r="E324" t="s">
        <v>1395</v>
      </c>
      <c r="G324" t="s">
        <v>448</v>
      </c>
      <c r="H324" t="s">
        <v>1396</v>
      </c>
      <c r="I324">
        <v>1</v>
      </c>
      <c r="J324">
        <v>50</v>
      </c>
      <c r="K324">
        <v>39</v>
      </c>
      <c r="L324">
        <v>44</v>
      </c>
      <c r="M324" t="s">
        <v>52</v>
      </c>
      <c r="N324" t="s">
        <v>24</v>
      </c>
      <c r="O324" t="b">
        <v>1</v>
      </c>
      <c r="AA324" t="e">
        <f>Table1[[#This Row],[qPer board]]*Table1[[#This Row],[boards]]</f>
        <v>#REF!</v>
      </c>
      <c r="AB324" t="e">
        <f>VLOOKUP(Table1[[#This Row],[MA_Number]],#REF!, 2,FALSE)</f>
        <v>#REF!</v>
      </c>
      <c r="AC324">
        <v>17</v>
      </c>
    </row>
    <row r="325" spans="1:29" hidden="1" x14ac:dyDescent="0.3">
      <c r="B325" s="1" t="s">
        <v>1393</v>
      </c>
      <c r="C325" s="1"/>
      <c r="E325" t="s">
        <v>1397</v>
      </c>
      <c r="G325" t="s">
        <v>448</v>
      </c>
      <c r="H325" t="s">
        <v>1398</v>
      </c>
      <c r="I325">
        <v>1</v>
      </c>
      <c r="J325">
        <v>50</v>
      </c>
      <c r="K325">
        <v>39</v>
      </c>
      <c r="L325">
        <v>30</v>
      </c>
      <c r="M325" t="s">
        <v>52</v>
      </c>
      <c r="N325" t="s">
        <v>24</v>
      </c>
      <c r="O325" t="b">
        <v>1</v>
      </c>
      <c r="AA325" t="e">
        <f>Table1[[#This Row],[qPer board]]*Table1[[#This Row],[boards]]</f>
        <v>#REF!</v>
      </c>
      <c r="AB325" t="e">
        <f>VLOOKUP(Table1[[#This Row],[MA_Number]],#REF!, 2,FALSE)</f>
        <v>#REF!</v>
      </c>
      <c r="AC325">
        <v>17</v>
      </c>
    </row>
    <row r="326" spans="1:29" hidden="1" x14ac:dyDescent="0.3">
      <c r="B326" s="1" t="s">
        <v>1393</v>
      </c>
      <c r="C326" s="1"/>
      <c r="E326" t="s">
        <v>1399</v>
      </c>
      <c r="G326" t="s">
        <v>448</v>
      </c>
      <c r="H326" t="s">
        <v>1400</v>
      </c>
      <c r="I326">
        <v>1</v>
      </c>
      <c r="J326">
        <v>50</v>
      </c>
      <c r="K326">
        <v>39</v>
      </c>
      <c r="L326">
        <v>21</v>
      </c>
      <c r="M326" t="s">
        <v>52</v>
      </c>
      <c r="N326" t="s">
        <v>24</v>
      </c>
      <c r="O326" t="b">
        <v>1</v>
      </c>
      <c r="AA326" t="e">
        <f>Table1[[#This Row],[qPer board]]*Table1[[#This Row],[boards]]</f>
        <v>#REF!</v>
      </c>
      <c r="AB326" t="e">
        <f>VLOOKUP(Table1[[#This Row],[MA_Number]],#REF!, 2,FALSE)</f>
        <v>#REF!</v>
      </c>
      <c r="AC326">
        <v>17</v>
      </c>
    </row>
    <row r="327" spans="1:29" hidden="1" x14ac:dyDescent="0.3">
      <c r="A327" t="s">
        <v>449</v>
      </c>
      <c r="B327" s="1" t="s">
        <v>1029</v>
      </c>
      <c r="C327" s="1"/>
      <c r="D327" t="s">
        <v>280</v>
      </c>
      <c r="E327" t="s">
        <v>1401</v>
      </c>
      <c r="F327" t="b">
        <v>1</v>
      </c>
      <c r="I327">
        <v>1</v>
      </c>
      <c r="J327" t="s">
        <v>671</v>
      </c>
      <c r="K327" t="s">
        <v>671</v>
      </c>
      <c r="L327" t="s">
        <v>671</v>
      </c>
      <c r="O327" t="b">
        <v>1</v>
      </c>
      <c r="AA327" t="e">
        <f>Table1[[#This Row],[qPer board]]*Table1[[#This Row],[boards]]</f>
        <v>#REF!</v>
      </c>
      <c r="AB327" t="e">
        <f>VLOOKUP(Table1[[#This Row],[MA_Number]],#REF!, 2,FALSE)</f>
        <v>#REF!</v>
      </c>
      <c r="AC327">
        <v>17</v>
      </c>
    </row>
    <row r="328" spans="1:29" hidden="1" x14ac:dyDescent="0.3">
      <c r="B328" s="1" t="s">
        <v>1029</v>
      </c>
      <c r="C328" s="1"/>
      <c r="E328" t="s">
        <v>1402</v>
      </c>
      <c r="G328" t="s">
        <v>449</v>
      </c>
      <c r="H328" t="s">
        <v>1403</v>
      </c>
      <c r="I328">
        <v>1</v>
      </c>
      <c r="J328">
        <v>55</v>
      </c>
      <c r="K328">
        <v>39</v>
      </c>
      <c r="L328">
        <v>48</v>
      </c>
      <c r="M328" t="s">
        <v>49</v>
      </c>
      <c r="N328" t="s">
        <v>24</v>
      </c>
      <c r="O328" t="b">
        <v>1</v>
      </c>
      <c r="AA328" t="e">
        <f>Table1[[#This Row],[qPer board]]*Table1[[#This Row],[boards]]</f>
        <v>#REF!</v>
      </c>
      <c r="AB328" t="e">
        <f>VLOOKUP(Table1[[#This Row],[MA_Number]],#REF!, 2,FALSE)</f>
        <v>#REF!</v>
      </c>
      <c r="AC328">
        <v>17</v>
      </c>
    </row>
    <row r="329" spans="1:29" hidden="1" x14ac:dyDescent="0.3">
      <c r="B329" s="1" t="s">
        <v>1029</v>
      </c>
      <c r="C329" s="1"/>
      <c r="E329" t="s">
        <v>1404</v>
      </c>
      <c r="G329" t="s">
        <v>449</v>
      </c>
      <c r="H329" t="s">
        <v>1405</v>
      </c>
      <c r="I329">
        <v>1</v>
      </c>
      <c r="J329">
        <v>55</v>
      </c>
      <c r="K329">
        <v>39</v>
      </c>
      <c r="L329">
        <v>30</v>
      </c>
      <c r="M329" t="s">
        <v>49</v>
      </c>
      <c r="N329" t="s">
        <v>24</v>
      </c>
      <c r="O329" t="b">
        <v>1</v>
      </c>
      <c r="AA329" t="e">
        <f>Table1[[#This Row],[qPer board]]*Table1[[#This Row],[boards]]</f>
        <v>#REF!</v>
      </c>
      <c r="AB329" t="e">
        <f>VLOOKUP(Table1[[#This Row],[MA_Number]],#REF!, 2,FALSE)</f>
        <v>#REF!</v>
      </c>
      <c r="AC329">
        <v>17</v>
      </c>
    </row>
    <row r="330" spans="1:29" hidden="1" x14ac:dyDescent="0.3">
      <c r="B330" s="1" t="s">
        <v>1029</v>
      </c>
      <c r="C330" s="1"/>
      <c r="E330" t="s">
        <v>1406</v>
      </c>
      <c r="G330" t="s">
        <v>449</v>
      </c>
      <c r="H330" t="s">
        <v>1407</v>
      </c>
      <c r="I330">
        <v>1</v>
      </c>
      <c r="J330">
        <v>55</v>
      </c>
      <c r="K330">
        <v>39</v>
      </c>
      <c r="L330">
        <v>21</v>
      </c>
      <c r="M330" t="s">
        <v>49</v>
      </c>
      <c r="N330" t="s">
        <v>24</v>
      </c>
      <c r="O330" t="b">
        <v>1</v>
      </c>
      <c r="AA330" t="e">
        <f>Table1[[#This Row],[qPer board]]*Table1[[#This Row],[boards]]</f>
        <v>#REF!</v>
      </c>
      <c r="AB330" t="e">
        <f>VLOOKUP(Table1[[#This Row],[MA_Number]],#REF!, 2,FALSE)</f>
        <v>#REF!</v>
      </c>
      <c r="AC330">
        <v>17</v>
      </c>
    </row>
    <row r="331" spans="1:29" hidden="1" x14ac:dyDescent="0.3">
      <c r="A331" t="s">
        <v>1121</v>
      </c>
      <c r="B331" s="1" t="s">
        <v>1020</v>
      </c>
      <c r="C331" s="1"/>
      <c r="D331" t="s">
        <v>280</v>
      </c>
      <c r="E331" t="s">
        <v>1408</v>
      </c>
      <c r="F331" t="b">
        <v>1</v>
      </c>
      <c r="I331">
        <v>1</v>
      </c>
      <c r="J331" t="s">
        <v>671</v>
      </c>
      <c r="K331" t="s">
        <v>671</v>
      </c>
      <c r="L331" t="s">
        <v>671</v>
      </c>
      <c r="O331" t="b">
        <v>1</v>
      </c>
      <c r="AA331" t="e">
        <f>Table1[[#This Row],[qPer board]]*Table1[[#This Row],[boards]]</f>
        <v>#REF!</v>
      </c>
      <c r="AB331" t="e">
        <f>VLOOKUP(Table1[[#This Row],[MA_Number]],#REF!, 2,FALSE)</f>
        <v>#REF!</v>
      </c>
      <c r="AC331">
        <v>17</v>
      </c>
    </row>
    <row r="332" spans="1:29" hidden="1" x14ac:dyDescent="0.3">
      <c r="B332" s="1" t="s">
        <v>1020</v>
      </c>
      <c r="C332" s="1"/>
      <c r="E332" t="s">
        <v>1409</v>
      </c>
      <c r="G332" t="s">
        <v>1121</v>
      </c>
      <c r="H332" t="s">
        <v>1410</v>
      </c>
      <c r="I332">
        <v>1</v>
      </c>
      <c r="J332">
        <v>54</v>
      </c>
      <c r="K332">
        <v>40</v>
      </c>
      <c r="L332">
        <v>44</v>
      </c>
      <c r="M332" t="s">
        <v>53</v>
      </c>
      <c r="N332" t="s">
        <v>24</v>
      </c>
      <c r="O332" t="b">
        <v>1</v>
      </c>
      <c r="AA332" t="e">
        <f>Table1[[#This Row],[qPer board]]*Table1[[#This Row],[boards]]</f>
        <v>#REF!</v>
      </c>
      <c r="AB332" t="e">
        <f>VLOOKUP(Table1[[#This Row],[MA_Number]],#REF!, 2,FALSE)</f>
        <v>#REF!</v>
      </c>
      <c r="AC332">
        <v>17</v>
      </c>
    </row>
    <row r="333" spans="1:29" hidden="1" x14ac:dyDescent="0.3">
      <c r="B333" s="1" t="s">
        <v>1020</v>
      </c>
      <c r="C333" s="1"/>
      <c r="E333" t="s">
        <v>1411</v>
      </c>
      <c r="G333" t="s">
        <v>1121</v>
      </c>
      <c r="H333" t="s">
        <v>1412</v>
      </c>
      <c r="I333">
        <v>1</v>
      </c>
      <c r="J333">
        <v>54</v>
      </c>
      <c r="K333">
        <v>40</v>
      </c>
      <c r="L333">
        <v>30</v>
      </c>
      <c r="M333" t="s">
        <v>53</v>
      </c>
      <c r="N333" t="s">
        <v>24</v>
      </c>
      <c r="O333" t="b">
        <v>1</v>
      </c>
      <c r="AA333" t="e">
        <f>Table1[[#This Row],[qPer board]]*Table1[[#This Row],[boards]]</f>
        <v>#REF!</v>
      </c>
      <c r="AB333" t="e">
        <f>VLOOKUP(Table1[[#This Row],[MA_Number]],#REF!, 2,FALSE)</f>
        <v>#REF!</v>
      </c>
      <c r="AC333">
        <v>17</v>
      </c>
    </row>
    <row r="334" spans="1:29" hidden="1" x14ac:dyDescent="0.3">
      <c r="B334" s="1" t="s">
        <v>1020</v>
      </c>
      <c r="C334" s="1"/>
      <c r="E334" t="s">
        <v>1413</v>
      </c>
      <c r="G334" t="s">
        <v>1121</v>
      </c>
      <c r="H334" t="s">
        <v>1414</v>
      </c>
      <c r="I334">
        <v>1</v>
      </c>
      <c r="J334">
        <v>54</v>
      </c>
      <c r="K334">
        <v>40</v>
      </c>
      <c r="L334">
        <v>21</v>
      </c>
      <c r="M334" t="s">
        <v>53</v>
      </c>
      <c r="N334" t="s">
        <v>24</v>
      </c>
      <c r="O334" t="b">
        <v>1</v>
      </c>
      <c r="AA334" t="e">
        <f>Table1[[#This Row],[qPer board]]*Table1[[#This Row],[boards]]</f>
        <v>#REF!</v>
      </c>
      <c r="AB334" t="e">
        <f>VLOOKUP(Table1[[#This Row],[MA_Number]],#REF!, 2,FALSE)</f>
        <v>#REF!</v>
      </c>
      <c r="AC334">
        <v>17</v>
      </c>
    </row>
    <row r="335" spans="1:29" hidden="1" x14ac:dyDescent="0.3">
      <c r="A335" t="s">
        <v>450</v>
      </c>
      <c r="B335" s="1" t="s">
        <v>1415</v>
      </c>
      <c r="C335" s="1"/>
      <c r="D335" t="s">
        <v>280</v>
      </c>
      <c r="E335" t="s">
        <v>1416</v>
      </c>
      <c r="F335" t="b">
        <v>1</v>
      </c>
      <c r="I335">
        <v>1</v>
      </c>
      <c r="J335" t="s">
        <v>671</v>
      </c>
      <c r="K335" t="s">
        <v>671</v>
      </c>
      <c r="L335" t="s">
        <v>671</v>
      </c>
      <c r="O335" t="b">
        <v>1</v>
      </c>
      <c r="AA335" t="e">
        <f>Table1[[#This Row],[qPer board]]*Table1[[#This Row],[boards]]</f>
        <v>#REF!</v>
      </c>
      <c r="AB335" t="e">
        <f>VLOOKUP(Table1[[#This Row],[MA_Number]],#REF!, 2,FALSE)</f>
        <v>#REF!</v>
      </c>
      <c r="AC335">
        <v>17</v>
      </c>
    </row>
    <row r="336" spans="1:29" hidden="1" x14ac:dyDescent="0.3">
      <c r="B336" s="1" t="s">
        <v>1415</v>
      </c>
      <c r="C336" s="1"/>
      <c r="E336" t="s">
        <v>1417</v>
      </c>
      <c r="G336" t="s">
        <v>450</v>
      </c>
      <c r="H336" t="s">
        <v>1418</v>
      </c>
      <c r="I336">
        <v>1</v>
      </c>
      <c r="J336">
        <v>50</v>
      </c>
      <c r="K336">
        <v>39</v>
      </c>
      <c r="L336">
        <v>46</v>
      </c>
      <c r="M336" t="s">
        <v>49</v>
      </c>
      <c r="N336" t="s">
        <v>24</v>
      </c>
      <c r="O336" t="b">
        <v>1</v>
      </c>
      <c r="AA336" t="e">
        <f>Table1[[#This Row],[qPer board]]*Table1[[#This Row],[boards]]</f>
        <v>#REF!</v>
      </c>
      <c r="AB336" t="e">
        <f>VLOOKUP(Table1[[#This Row],[MA_Number]],#REF!, 2,FALSE)</f>
        <v>#REF!</v>
      </c>
      <c r="AC336">
        <v>17</v>
      </c>
    </row>
    <row r="337" spans="1:29" hidden="1" x14ac:dyDescent="0.3">
      <c r="B337" s="1" t="s">
        <v>1415</v>
      </c>
      <c r="C337" s="1"/>
      <c r="E337" t="s">
        <v>1397</v>
      </c>
      <c r="G337" t="s">
        <v>450</v>
      </c>
      <c r="H337" t="s">
        <v>1419</v>
      </c>
      <c r="I337">
        <v>1</v>
      </c>
      <c r="J337">
        <v>50</v>
      </c>
      <c r="K337">
        <v>39</v>
      </c>
      <c r="L337">
        <v>30</v>
      </c>
      <c r="M337" t="s">
        <v>49</v>
      </c>
      <c r="N337" t="s">
        <v>24</v>
      </c>
      <c r="O337" t="b">
        <v>1</v>
      </c>
      <c r="AA337" t="e">
        <f>Table1[[#This Row],[qPer board]]*Table1[[#This Row],[boards]]</f>
        <v>#REF!</v>
      </c>
      <c r="AB337" t="e">
        <f>VLOOKUP(Table1[[#This Row],[MA_Number]],#REF!, 2,FALSE)</f>
        <v>#REF!</v>
      </c>
      <c r="AC337">
        <v>17</v>
      </c>
    </row>
    <row r="338" spans="1:29" hidden="1" x14ac:dyDescent="0.3">
      <c r="B338" s="1" t="s">
        <v>1415</v>
      </c>
      <c r="C338" s="1"/>
      <c r="E338" t="s">
        <v>1399</v>
      </c>
      <c r="G338" t="s">
        <v>450</v>
      </c>
      <c r="H338" t="s">
        <v>1420</v>
      </c>
      <c r="I338">
        <v>1</v>
      </c>
      <c r="J338">
        <v>50</v>
      </c>
      <c r="K338">
        <v>39</v>
      </c>
      <c r="L338">
        <v>21</v>
      </c>
      <c r="M338" t="s">
        <v>49</v>
      </c>
      <c r="N338" t="s">
        <v>24</v>
      </c>
      <c r="O338" t="b">
        <v>1</v>
      </c>
      <c r="AA338" t="e">
        <f>Table1[[#This Row],[qPer board]]*Table1[[#This Row],[boards]]</f>
        <v>#REF!</v>
      </c>
      <c r="AB338" t="e">
        <f>VLOOKUP(Table1[[#This Row],[MA_Number]],#REF!, 2,FALSE)</f>
        <v>#REF!</v>
      </c>
      <c r="AC338">
        <v>17</v>
      </c>
    </row>
    <row r="339" spans="1:29" hidden="1" x14ac:dyDescent="0.3">
      <c r="B339" s="1" t="s">
        <v>1415</v>
      </c>
      <c r="C339" s="1"/>
      <c r="E339" t="s">
        <v>1421</v>
      </c>
      <c r="G339" t="s">
        <v>450</v>
      </c>
      <c r="H339" t="s">
        <v>1422</v>
      </c>
      <c r="I339">
        <v>1</v>
      </c>
      <c r="J339">
        <v>26</v>
      </c>
      <c r="K339">
        <v>21</v>
      </c>
      <c r="L339">
        <v>25</v>
      </c>
      <c r="M339" t="s">
        <v>49</v>
      </c>
      <c r="N339" t="s">
        <v>24</v>
      </c>
      <c r="O339" t="b">
        <v>1</v>
      </c>
      <c r="AA339" t="e">
        <f>Table1[[#This Row],[qPer board]]*Table1[[#This Row],[boards]]</f>
        <v>#REF!</v>
      </c>
      <c r="AB339" t="e">
        <f>VLOOKUP(Table1[[#This Row],[MA_Number]],#REF!, 2,FALSE)</f>
        <v>#REF!</v>
      </c>
      <c r="AC339">
        <v>17</v>
      </c>
    </row>
    <row r="340" spans="1:29" hidden="1" x14ac:dyDescent="0.3">
      <c r="A340" t="s">
        <v>424</v>
      </c>
      <c r="B340" s="1" t="s">
        <v>1028</v>
      </c>
      <c r="C340" s="1"/>
      <c r="D340" t="s">
        <v>280</v>
      </c>
      <c r="E340" t="s">
        <v>1423</v>
      </c>
      <c r="F340" t="b">
        <v>1</v>
      </c>
      <c r="I340">
        <v>1</v>
      </c>
      <c r="J340" t="s">
        <v>671</v>
      </c>
      <c r="K340" t="s">
        <v>671</v>
      </c>
      <c r="L340" t="s">
        <v>671</v>
      </c>
      <c r="O340" t="b">
        <v>1</v>
      </c>
      <c r="AA340" t="e">
        <f>Table1[[#This Row],[qPer board]]*Table1[[#This Row],[boards]]</f>
        <v>#REF!</v>
      </c>
      <c r="AB340" t="e">
        <f>VLOOKUP(Table1[[#This Row],[MA_Number]],#REF!, 2,FALSE)</f>
        <v>#REF!</v>
      </c>
      <c r="AC340">
        <v>17</v>
      </c>
    </row>
    <row r="341" spans="1:29" hidden="1" x14ac:dyDescent="0.3">
      <c r="B341" s="1" t="s">
        <v>1028</v>
      </c>
      <c r="C341" s="1"/>
      <c r="E341" t="s">
        <v>1424</v>
      </c>
      <c r="G341" t="s">
        <v>424</v>
      </c>
      <c r="H341" t="s">
        <v>1425</v>
      </c>
      <c r="I341">
        <v>1</v>
      </c>
      <c r="J341">
        <v>50</v>
      </c>
      <c r="K341">
        <v>39</v>
      </c>
      <c r="L341">
        <v>47</v>
      </c>
      <c r="M341" t="s">
        <v>48</v>
      </c>
      <c r="N341" t="s">
        <v>24</v>
      </c>
      <c r="O341" t="b">
        <v>1</v>
      </c>
      <c r="AA341" t="e">
        <f>Table1[[#This Row],[qPer board]]*Table1[[#This Row],[boards]]</f>
        <v>#REF!</v>
      </c>
      <c r="AB341" t="e">
        <f>VLOOKUP(Table1[[#This Row],[MA_Number]],#REF!, 2,FALSE)</f>
        <v>#REF!</v>
      </c>
      <c r="AC341">
        <v>17</v>
      </c>
    </row>
    <row r="342" spans="1:29" hidden="1" x14ac:dyDescent="0.3">
      <c r="B342" s="1" t="s">
        <v>1028</v>
      </c>
      <c r="C342" s="1"/>
      <c r="E342" t="s">
        <v>1397</v>
      </c>
      <c r="G342" t="s">
        <v>424</v>
      </c>
      <c r="H342" t="s">
        <v>1426</v>
      </c>
      <c r="I342">
        <v>1</v>
      </c>
      <c r="J342">
        <v>50</v>
      </c>
      <c r="K342">
        <v>39</v>
      </c>
      <c r="L342">
        <v>30</v>
      </c>
      <c r="M342" t="s">
        <v>48</v>
      </c>
      <c r="N342" t="s">
        <v>24</v>
      </c>
      <c r="O342" t="b">
        <v>1</v>
      </c>
      <c r="AA342" t="e">
        <f>Table1[[#This Row],[qPer board]]*Table1[[#This Row],[boards]]</f>
        <v>#REF!</v>
      </c>
      <c r="AB342" t="e">
        <f>VLOOKUP(Table1[[#This Row],[MA_Number]],#REF!, 2,FALSE)</f>
        <v>#REF!</v>
      </c>
      <c r="AC342">
        <v>17</v>
      </c>
    </row>
    <row r="343" spans="1:29" hidden="1" x14ac:dyDescent="0.3">
      <c r="B343" s="1" t="s">
        <v>1028</v>
      </c>
      <c r="C343" s="1"/>
      <c r="E343" t="s">
        <v>1399</v>
      </c>
      <c r="G343" t="s">
        <v>424</v>
      </c>
      <c r="H343" t="s">
        <v>1427</v>
      </c>
      <c r="I343">
        <v>1</v>
      </c>
      <c r="J343">
        <v>50</v>
      </c>
      <c r="K343">
        <v>39</v>
      </c>
      <c r="L343">
        <v>21</v>
      </c>
      <c r="M343" t="s">
        <v>48</v>
      </c>
      <c r="N343" t="s">
        <v>24</v>
      </c>
      <c r="O343" t="b">
        <v>1</v>
      </c>
      <c r="AA343" t="e">
        <f>Table1[[#This Row],[qPer board]]*Table1[[#This Row],[boards]]</f>
        <v>#REF!</v>
      </c>
      <c r="AB343" t="e">
        <f>VLOOKUP(Table1[[#This Row],[MA_Number]],#REF!, 2,FALSE)</f>
        <v>#REF!</v>
      </c>
      <c r="AC343">
        <v>17</v>
      </c>
    </row>
    <row r="344" spans="1:29" hidden="1" x14ac:dyDescent="0.3">
      <c r="A344" t="s">
        <v>454</v>
      </c>
      <c r="B344" s="1" t="s">
        <v>1428</v>
      </c>
      <c r="C344" s="1"/>
      <c r="D344" t="s">
        <v>280</v>
      </c>
      <c r="E344" t="s">
        <v>1429</v>
      </c>
      <c r="F344" t="b">
        <v>1</v>
      </c>
      <c r="I344">
        <v>1</v>
      </c>
      <c r="J344" t="s">
        <v>671</v>
      </c>
      <c r="K344" t="s">
        <v>671</v>
      </c>
      <c r="L344" t="s">
        <v>671</v>
      </c>
      <c r="O344" t="b">
        <v>1</v>
      </c>
      <c r="AA344" t="e">
        <f>Table1[[#This Row],[qPer board]]*Table1[[#This Row],[boards]]</f>
        <v>#REF!</v>
      </c>
      <c r="AB344" t="e">
        <f>VLOOKUP(Table1[[#This Row],[MA_Number]],#REF!, 2,FALSE)</f>
        <v>#REF!</v>
      </c>
      <c r="AC344">
        <v>17</v>
      </c>
    </row>
    <row r="345" spans="1:29" hidden="1" x14ac:dyDescent="0.3">
      <c r="B345" s="1" t="s">
        <v>1428</v>
      </c>
      <c r="C345" s="1"/>
      <c r="E345" t="s">
        <v>1430</v>
      </c>
      <c r="G345" t="s">
        <v>454</v>
      </c>
      <c r="H345" t="s">
        <v>1431</v>
      </c>
      <c r="I345">
        <v>1</v>
      </c>
      <c r="J345">
        <v>50</v>
      </c>
      <c r="K345">
        <v>39</v>
      </c>
      <c r="L345">
        <v>50</v>
      </c>
      <c r="M345" t="s">
        <v>49</v>
      </c>
      <c r="N345" t="s">
        <v>24</v>
      </c>
      <c r="O345" t="b">
        <v>1</v>
      </c>
      <c r="AA345" t="e">
        <f>Table1[[#This Row],[qPer board]]*Table1[[#This Row],[boards]]</f>
        <v>#REF!</v>
      </c>
      <c r="AB345" t="e">
        <f>VLOOKUP(Table1[[#This Row],[MA_Number]],#REF!, 2,FALSE)</f>
        <v>#REF!</v>
      </c>
      <c r="AC345">
        <v>17</v>
      </c>
    </row>
    <row r="346" spans="1:29" hidden="1" x14ac:dyDescent="0.3">
      <c r="B346" s="1" t="s">
        <v>1428</v>
      </c>
      <c r="C346" s="1"/>
      <c r="E346" t="s">
        <v>1397</v>
      </c>
      <c r="G346" t="s">
        <v>454</v>
      </c>
      <c r="H346" t="s">
        <v>1432</v>
      </c>
      <c r="I346">
        <v>1</v>
      </c>
      <c r="J346">
        <v>50</v>
      </c>
      <c r="K346">
        <v>39</v>
      </c>
      <c r="L346">
        <v>30</v>
      </c>
      <c r="M346" t="s">
        <v>49</v>
      </c>
      <c r="N346" t="s">
        <v>24</v>
      </c>
      <c r="O346" t="b">
        <v>1</v>
      </c>
      <c r="AA346" t="e">
        <f>Table1[[#This Row],[qPer board]]*Table1[[#This Row],[boards]]</f>
        <v>#REF!</v>
      </c>
      <c r="AB346" t="e">
        <f>VLOOKUP(Table1[[#This Row],[MA_Number]],#REF!, 2,FALSE)</f>
        <v>#REF!</v>
      </c>
      <c r="AC346">
        <v>17</v>
      </c>
    </row>
    <row r="347" spans="1:29" hidden="1" x14ac:dyDescent="0.3">
      <c r="B347" s="1" t="s">
        <v>1428</v>
      </c>
      <c r="C347" s="1"/>
      <c r="E347" t="s">
        <v>1433</v>
      </c>
      <c r="G347" t="s">
        <v>454</v>
      </c>
      <c r="H347" t="s">
        <v>1434</v>
      </c>
      <c r="I347">
        <v>1</v>
      </c>
      <c r="J347">
        <v>50</v>
      </c>
      <c r="K347">
        <v>39</v>
      </c>
      <c r="L347">
        <v>20</v>
      </c>
      <c r="M347" t="s">
        <v>49</v>
      </c>
      <c r="N347" t="s">
        <v>24</v>
      </c>
      <c r="O347" t="b">
        <v>1</v>
      </c>
      <c r="AA347" t="e">
        <f>Table1[[#This Row],[qPer board]]*Table1[[#This Row],[boards]]</f>
        <v>#REF!</v>
      </c>
      <c r="AB347" t="e">
        <f>VLOOKUP(Table1[[#This Row],[MA_Number]],#REF!, 2,FALSE)</f>
        <v>#REF!</v>
      </c>
      <c r="AC347">
        <v>17</v>
      </c>
    </row>
    <row r="348" spans="1:29" hidden="1" x14ac:dyDescent="0.3">
      <c r="A348" t="s">
        <v>1011</v>
      </c>
      <c r="B348" s="1">
        <v>7147878930</v>
      </c>
      <c r="C348" s="1"/>
      <c r="D348" t="s">
        <v>1187</v>
      </c>
      <c r="F348" t="b">
        <v>1</v>
      </c>
      <c r="I348">
        <v>1</v>
      </c>
      <c r="J348" t="s">
        <v>671</v>
      </c>
      <c r="K348" t="s">
        <v>671</v>
      </c>
      <c r="L348" t="s">
        <v>671</v>
      </c>
      <c r="O348" t="b">
        <v>1</v>
      </c>
      <c r="AA348" t="e">
        <f>Table1[[#This Row],[qPer board]]*Table1[[#This Row],[boards]]</f>
        <v>#REF!</v>
      </c>
      <c r="AB348" t="e">
        <f>VLOOKUP(Table1[[#This Row],[MA_Number]],#REF!, 2,FALSE)</f>
        <v>#REF!</v>
      </c>
      <c r="AC348">
        <v>17</v>
      </c>
    </row>
    <row r="349" spans="1:29" hidden="1" x14ac:dyDescent="0.3">
      <c r="B349" s="1">
        <v>7147878930</v>
      </c>
      <c r="C349" s="1"/>
      <c r="E349" t="s">
        <v>1435</v>
      </c>
      <c r="G349" t="s">
        <v>1011</v>
      </c>
      <c r="H349" t="s">
        <v>1436</v>
      </c>
      <c r="I349">
        <v>1</v>
      </c>
      <c r="J349">
        <v>28</v>
      </c>
      <c r="K349">
        <v>24</v>
      </c>
      <c r="L349">
        <v>29</v>
      </c>
      <c r="N349" t="s">
        <v>40</v>
      </c>
      <c r="O349" t="b">
        <v>1</v>
      </c>
      <c r="AA349" t="e">
        <f>Table1[[#This Row],[qPer board]]*Table1[[#This Row],[boards]]</f>
        <v>#REF!</v>
      </c>
      <c r="AB349" t="e">
        <f>VLOOKUP(Table1[[#This Row],[MA_Number]],#REF!, 2,FALSE)</f>
        <v>#REF!</v>
      </c>
      <c r="AC349">
        <v>17</v>
      </c>
    </row>
    <row r="350" spans="1:29" hidden="1" x14ac:dyDescent="0.3">
      <c r="B350" s="1">
        <v>7147878930</v>
      </c>
      <c r="C350" s="1"/>
      <c r="E350" t="s">
        <v>1437</v>
      </c>
      <c r="G350" t="s">
        <v>1011</v>
      </c>
      <c r="H350" t="s">
        <v>1438</v>
      </c>
      <c r="I350">
        <v>1</v>
      </c>
      <c r="J350">
        <v>48</v>
      </c>
      <c r="K350">
        <v>22</v>
      </c>
      <c r="L350">
        <v>44</v>
      </c>
      <c r="M350" t="s">
        <v>49</v>
      </c>
      <c r="N350" t="s">
        <v>24</v>
      </c>
      <c r="O350" t="b">
        <v>1</v>
      </c>
      <c r="AA350" t="e">
        <f>Table1[[#This Row],[qPer board]]*Table1[[#This Row],[boards]]</f>
        <v>#REF!</v>
      </c>
      <c r="AB350" t="e">
        <f>VLOOKUP(Table1[[#This Row],[MA_Number]],#REF!, 2,FALSE)</f>
        <v>#REF!</v>
      </c>
      <c r="AC350">
        <v>17</v>
      </c>
    </row>
    <row r="351" spans="1:29" hidden="1" x14ac:dyDescent="0.3">
      <c r="B351" s="1">
        <v>7147878930</v>
      </c>
      <c r="C351" s="1"/>
      <c r="E351" t="s">
        <v>1439</v>
      </c>
      <c r="G351" t="s">
        <v>1011</v>
      </c>
      <c r="H351" t="s">
        <v>1440</v>
      </c>
      <c r="I351">
        <v>1</v>
      </c>
      <c r="J351">
        <v>79</v>
      </c>
      <c r="K351">
        <v>30</v>
      </c>
      <c r="L351">
        <v>35</v>
      </c>
      <c r="M351" t="s">
        <v>49</v>
      </c>
      <c r="N351" t="s">
        <v>24</v>
      </c>
      <c r="O351" t="b">
        <v>1</v>
      </c>
      <c r="AA351" t="e">
        <f>Table1[[#This Row],[qPer board]]*Table1[[#This Row],[boards]]</f>
        <v>#REF!</v>
      </c>
      <c r="AB351" t="e">
        <f>VLOOKUP(Table1[[#This Row],[MA_Number]],#REF!, 2,FALSE)</f>
        <v>#REF!</v>
      </c>
      <c r="AC351">
        <v>17</v>
      </c>
    </row>
    <row r="352" spans="1:29" hidden="1" x14ac:dyDescent="0.3">
      <c r="A352" t="s">
        <v>1196</v>
      </c>
      <c r="B352" s="1">
        <v>7147882430</v>
      </c>
      <c r="C352" s="1"/>
      <c r="D352" t="s">
        <v>1187</v>
      </c>
      <c r="E352" t="s">
        <v>1200</v>
      </c>
      <c r="F352" t="b">
        <v>1</v>
      </c>
      <c r="I352">
        <v>1</v>
      </c>
      <c r="J352" t="s">
        <v>671</v>
      </c>
      <c r="K352" t="s">
        <v>671</v>
      </c>
      <c r="L352" t="s">
        <v>671</v>
      </c>
      <c r="AA352" t="e">
        <f>Table1[[#This Row],[qPer board]]*Table1[[#This Row],[boards]]</f>
        <v>#REF!</v>
      </c>
      <c r="AB352" t="e">
        <f>VLOOKUP(Table1[[#This Row],[MA_Number]],#REF!, 2,FALSE)</f>
        <v>#REF!</v>
      </c>
      <c r="AC352">
        <v>17</v>
      </c>
    </row>
    <row r="353" spans="1:29" hidden="1" x14ac:dyDescent="0.3">
      <c r="B353" s="1">
        <v>7147882430</v>
      </c>
      <c r="C353" s="1"/>
      <c r="G353" t="s">
        <v>1196</v>
      </c>
      <c r="H353" t="s">
        <v>1197</v>
      </c>
      <c r="I353">
        <v>1</v>
      </c>
      <c r="AA353" t="e">
        <f>Table1[[#This Row],[qPer board]]*Table1[[#This Row],[boards]]</f>
        <v>#REF!</v>
      </c>
      <c r="AB353" t="e">
        <f>VLOOKUP(Table1[[#This Row],[MA_Number]],#REF!, 2,FALSE)</f>
        <v>#REF!</v>
      </c>
      <c r="AC353">
        <v>17</v>
      </c>
    </row>
    <row r="354" spans="1:29" hidden="1" x14ac:dyDescent="0.3">
      <c r="A354" t="s">
        <v>725</v>
      </c>
      <c r="B354" s="1" t="s">
        <v>1441</v>
      </c>
      <c r="C354" s="1"/>
      <c r="D354" t="s">
        <v>280</v>
      </c>
      <c r="E354" t="s">
        <v>1442</v>
      </c>
      <c r="F354" t="b">
        <v>1</v>
      </c>
      <c r="I354">
        <v>1</v>
      </c>
      <c r="J354" t="s">
        <v>671</v>
      </c>
      <c r="K354" t="s">
        <v>671</v>
      </c>
      <c r="L354" t="s">
        <v>671</v>
      </c>
      <c r="O354" t="b">
        <v>1</v>
      </c>
      <c r="AA354" t="e">
        <f>Table1[[#This Row],[qPer board]]*Table1[[#This Row],[boards]]</f>
        <v>#REF!</v>
      </c>
      <c r="AB354" t="e">
        <f>VLOOKUP(Table1[[#This Row],[MA_Number]],#REF!, 2,FALSE)</f>
        <v>#REF!</v>
      </c>
      <c r="AC354">
        <v>17</v>
      </c>
    </row>
    <row r="355" spans="1:29" hidden="1" x14ac:dyDescent="0.3">
      <c r="B355" s="1" t="s">
        <v>1441</v>
      </c>
      <c r="C355" s="1"/>
      <c r="E355" t="s">
        <v>1443</v>
      </c>
      <c r="G355" t="s">
        <v>725</v>
      </c>
      <c r="H355" t="s">
        <v>1444</v>
      </c>
      <c r="I355">
        <v>1</v>
      </c>
      <c r="J355">
        <v>53</v>
      </c>
      <c r="K355">
        <v>45</v>
      </c>
      <c r="L355">
        <v>43</v>
      </c>
      <c r="M355" t="s">
        <v>48</v>
      </c>
      <c r="N355" t="s">
        <v>24</v>
      </c>
      <c r="O355" t="b">
        <v>1</v>
      </c>
      <c r="AA355" t="e">
        <f>Table1[[#This Row],[qPer board]]*Table1[[#This Row],[boards]]</f>
        <v>#REF!</v>
      </c>
      <c r="AB355" t="e">
        <f>VLOOKUP(Table1[[#This Row],[MA_Number]],#REF!, 2,FALSE)</f>
        <v>#REF!</v>
      </c>
      <c r="AC355">
        <v>17</v>
      </c>
    </row>
    <row r="356" spans="1:29" hidden="1" x14ac:dyDescent="0.3">
      <c r="B356" s="1" t="s">
        <v>1441</v>
      </c>
      <c r="C356" s="1"/>
      <c r="E356" t="s">
        <v>1445</v>
      </c>
      <c r="G356" t="s">
        <v>725</v>
      </c>
      <c r="H356" t="s">
        <v>1446</v>
      </c>
      <c r="I356">
        <v>1</v>
      </c>
      <c r="J356">
        <v>53</v>
      </c>
      <c r="K356">
        <v>45</v>
      </c>
      <c r="L356">
        <v>30</v>
      </c>
      <c r="M356" t="s">
        <v>48</v>
      </c>
      <c r="N356" t="s">
        <v>24</v>
      </c>
      <c r="O356" t="b">
        <v>1</v>
      </c>
      <c r="AA356" t="e">
        <f>Table1[[#This Row],[qPer board]]*Table1[[#This Row],[boards]]</f>
        <v>#REF!</v>
      </c>
      <c r="AB356" t="e">
        <f>VLOOKUP(Table1[[#This Row],[MA_Number]],#REF!, 2,FALSE)</f>
        <v>#REF!</v>
      </c>
      <c r="AC356">
        <v>17</v>
      </c>
    </row>
    <row r="357" spans="1:29" hidden="1" x14ac:dyDescent="0.3">
      <c r="B357" s="1" t="s">
        <v>1441</v>
      </c>
      <c r="C357" s="1"/>
      <c r="E357" t="s">
        <v>1447</v>
      </c>
      <c r="G357" t="s">
        <v>725</v>
      </c>
      <c r="H357" t="s">
        <v>1448</v>
      </c>
      <c r="I357">
        <v>1</v>
      </c>
      <c r="J357">
        <v>53</v>
      </c>
      <c r="K357">
        <v>45</v>
      </c>
      <c r="L357">
        <v>20</v>
      </c>
      <c r="M357" t="s">
        <v>48</v>
      </c>
      <c r="N357" t="s">
        <v>24</v>
      </c>
      <c r="O357" t="b">
        <v>1</v>
      </c>
      <c r="AA357" t="e">
        <f>Table1[[#This Row],[qPer board]]*Table1[[#This Row],[boards]]</f>
        <v>#REF!</v>
      </c>
      <c r="AB357" t="e">
        <f>VLOOKUP(Table1[[#This Row],[MA_Number]],#REF!, 2,FALSE)</f>
        <v>#REF!</v>
      </c>
      <c r="AC357">
        <v>17</v>
      </c>
    </row>
    <row r="358" spans="1:29" hidden="1" x14ac:dyDescent="0.3">
      <c r="A358" t="s">
        <v>433</v>
      </c>
      <c r="B358" s="1" t="s">
        <v>1449</v>
      </c>
      <c r="C358" s="1"/>
      <c r="D358" t="s">
        <v>280</v>
      </c>
      <c r="E358" t="s">
        <v>1450</v>
      </c>
      <c r="F358" t="b">
        <v>1</v>
      </c>
      <c r="I358">
        <v>1</v>
      </c>
      <c r="J358" t="s">
        <v>671</v>
      </c>
      <c r="K358" t="s">
        <v>671</v>
      </c>
      <c r="L358" t="s">
        <v>671</v>
      </c>
      <c r="O358" t="b">
        <v>1</v>
      </c>
      <c r="AA358" t="e">
        <f>Table1[[#This Row],[qPer board]]*Table1[[#This Row],[boards]]</f>
        <v>#REF!</v>
      </c>
      <c r="AB358" t="e">
        <f>VLOOKUP(Table1[[#This Row],[MA_Number]],#REF!, 2,FALSE)</f>
        <v>#REF!</v>
      </c>
      <c r="AC358">
        <v>17</v>
      </c>
    </row>
    <row r="359" spans="1:29" hidden="1" x14ac:dyDescent="0.3">
      <c r="B359" s="1" t="s">
        <v>1449</v>
      </c>
      <c r="C359" s="1"/>
      <c r="E359" t="s">
        <v>1451</v>
      </c>
      <c r="G359" t="s">
        <v>433</v>
      </c>
      <c r="H359" t="s">
        <v>1452</v>
      </c>
      <c r="I359">
        <v>1</v>
      </c>
      <c r="J359">
        <v>59</v>
      </c>
      <c r="K359">
        <v>39</v>
      </c>
      <c r="L359">
        <v>58</v>
      </c>
      <c r="M359" t="s">
        <v>48</v>
      </c>
      <c r="N359" t="s">
        <v>24</v>
      </c>
      <c r="O359" t="b">
        <v>1</v>
      </c>
      <c r="AA359" t="e">
        <f>Table1[[#This Row],[qPer board]]*Table1[[#This Row],[boards]]</f>
        <v>#REF!</v>
      </c>
      <c r="AB359" t="e">
        <f>VLOOKUP(Table1[[#This Row],[MA_Number]],#REF!, 2,FALSE)</f>
        <v>#REF!</v>
      </c>
      <c r="AC359">
        <v>17</v>
      </c>
    </row>
    <row r="360" spans="1:29" hidden="1" x14ac:dyDescent="0.3">
      <c r="B360" s="1" t="s">
        <v>1449</v>
      </c>
      <c r="C360" s="1"/>
      <c r="E360" t="s">
        <v>1453</v>
      </c>
      <c r="G360" t="s">
        <v>433</v>
      </c>
      <c r="H360" t="s">
        <v>1454</v>
      </c>
      <c r="I360">
        <v>1</v>
      </c>
      <c r="J360">
        <v>59</v>
      </c>
      <c r="K360">
        <v>39</v>
      </c>
      <c r="L360">
        <v>30</v>
      </c>
      <c r="M360" t="s">
        <v>48</v>
      </c>
      <c r="N360" t="s">
        <v>24</v>
      </c>
      <c r="O360" t="b">
        <v>1</v>
      </c>
      <c r="AA360" t="e">
        <f>Table1[[#This Row],[qPer board]]*Table1[[#This Row],[boards]]</f>
        <v>#REF!</v>
      </c>
      <c r="AB360" t="e">
        <f>VLOOKUP(Table1[[#This Row],[MA_Number]],#REF!, 2,FALSE)</f>
        <v>#REF!</v>
      </c>
      <c r="AC360">
        <v>17</v>
      </c>
    </row>
    <row r="361" spans="1:29" hidden="1" x14ac:dyDescent="0.3">
      <c r="B361" s="1" t="s">
        <v>1449</v>
      </c>
      <c r="C361" s="1"/>
      <c r="E361" t="s">
        <v>1455</v>
      </c>
      <c r="G361" t="s">
        <v>433</v>
      </c>
      <c r="H361" t="s">
        <v>1456</v>
      </c>
      <c r="I361">
        <v>1</v>
      </c>
      <c r="J361">
        <v>59</v>
      </c>
      <c r="K361">
        <v>39</v>
      </c>
      <c r="L361">
        <v>21</v>
      </c>
      <c r="M361" t="s">
        <v>48</v>
      </c>
      <c r="N361" t="s">
        <v>24</v>
      </c>
      <c r="O361" t="b">
        <v>1</v>
      </c>
      <c r="AA361" t="e">
        <f>Table1[[#This Row],[qPer board]]*Table1[[#This Row],[boards]]</f>
        <v>#REF!</v>
      </c>
      <c r="AB361" t="e">
        <f>VLOOKUP(Table1[[#This Row],[MA_Number]],#REF!, 2,FALSE)</f>
        <v>#REF!</v>
      </c>
      <c r="AC361">
        <v>17</v>
      </c>
    </row>
    <row r="362" spans="1:29" hidden="1" x14ac:dyDescent="0.3">
      <c r="B362" s="1" t="s">
        <v>1449</v>
      </c>
      <c r="C362" s="1"/>
      <c r="E362" t="s">
        <v>1457</v>
      </c>
      <c r="G362" t="s">
        <v>433</v>
      </c>
      <c r="H362" t="s">
        <v>1458</v>
      </c>
      <c r="I362">
        <v>1</v>
      </c>
      <c r="J362">
        <v>34</v>
      </c>
      <c r="K362">
        <v>21</v>
      </c>
      <c r="L362">
        <v>25</v>
      </c>
      <c r="M362" t="s">
        <v>48</v>
      </c>
      <c r="N362" t="s">
        <v>24</v>
      </c>
      <c r="O362" t="b">
        <v>1</v>
      </c>
      <c r="AA362" t="e">
        <f>Table1[[#This Row],[qPer board]]*Table1[[#This Row],[boards]]</f>
        <v>#REF!</v>
      </c>
      <c r="AB362" t="e">
        <f>VLOOKUP(Table1[[#This Row],[MA_Number]],#REF!, 2,FALSE)</f>
        <v>#REF!</v>
      </c>
      <c r="AC362">
        <v>17</v>
      </c>
    </row>
    <row r="363" spans="1:29" hidden="1" x14ac:dyDescent="0.3">
      <c r="A363" t="s">
        <v>1459</v>
      </c>
      <c r="B363" s="1" t="s">
        <v>1460</v>
      </c>
      <c r="C363" s="1"/>
      <c r="D363" t="s">
        <v>280</v>
      </c>
      <c r="F363" t="b">
        <v>1</v>
      </c>
      <c r="I363">
        <v>1</v>
      </c>
      <c r="J363" t="s">
        <v>671</v>
      </c>
      <c r="K363" t="s">
        <v>671</v>
      </c>
      <c r="L363" t="s">
        <v>671</v>
      </c>
      <c r="O363" t="b">
        <v>1</v>
      </c>
      <c r="AA363" t="e">
        <f>Table1[[#This Row],[qPer board]]*Table1[[#This Row],[boards]]</f>
        <v>#REF!</v>
      </c>
      <c r="AB363" t="e">
        <f>VLOOKUP(Table1[[#This Row],[MA_Number]],#REF!, 2,FALSE)</f>
        <v>#REF!</v>
      </c>
      <c r="AC363">
        <v>17</v>
      </c>
    </row>
    <row r="364" spans="1:29" hidden="1" x14ac:dyDescent="0.3">
      <c r="B364" s="1" t="s">
        <v>1460</v>
      </c>
      <c r="C364" s="1"/>
      <c r="E364" t="s">
        <v>1461</v>
      </c>
      <c r="G364" t="s">
        <v>1459</v>
      </c>
      <c r="H364" t="s">
        <v>1462</v>
      </c>
      <c r="I364">
        <v>1</v>
      </c>
      <c r="J364">
        <v>58</v>
      </c>
      <c r="K364">
        <v>35</v>
      </c>
      <c r="L364">
        <v>47</v>
      </c>
      <c r="M364" t="s">
        <v>48</v>
      </c>
      <c r="N364" t="s">
        <v>24</v>
      </c>
      <c r="O364" t="b">
        <v>1</v>
      </c>
      <c r="AA364" t="e">
        <f>Table1[[#This Row],[qPer board]]*Table1[[#This Row],[boards]]</f>
        <v>#REF!</v>
      </c>
      <c r="AB364" t="e">
        <f>VLOOKUP(Table1[[#This Row],[MA_Number]],#REF!, 2,FALSE)</f>
        <v>#REF!</v>
      </c>
      <c r="AC364">
        <v>17</v>
      </c>
    </row>
    <row r="365" spans="1:29" hidden="1" x14ac:dyDescent="0.3">
      <c r="B365" s="1" t="s">
        <v>1460</v>
      </c>
      <c r="C365" s="1"/>
      <c r="E365" t="s">
        <v>1463</v>
      </c>
      <c r="G365" t="s">
        <v>1459</v>
      </c>
      <c r="H365" t="s">
        <v>1464</v>
      </c>
      <c r="I365">
        <v>1</v>
      </c>
      <c r="J365">
        <v>58</v>
      </c>
      <c r="K365">
        <v>35</v>
      </c>
      <c r="L365">
        <v>30</v>
      </c>
      <c r="M365" t="s">
        <v>48</v>
      </c>
      <c r="N365" t="s">
        <v>24</v>
      </c>
      <c r="O365" t="b">
        <v>1</v>
      </c>
      <c r="AA365" t="e">
        <f>Table1[[#This Row],[qPer board]]*Table1[[#This Row],[boards]]</f>
        <v>#REF!</v>
      </c>
      <c r="AB365" t="e">
        <f>VLOOKUP(Table1[[#This Row],[MA_Number]],#REF!, 2,FALSE)</f>
        <v>#REF!</v>
      </c>
      <c r="AC365">
        <v>17</v>
      </c>
    </row>
    <row r="366" spans="1:29" hidden="1" x14ac:dyDescent="0.3">
      <c r="B366" s="1" t="s">
        <v>1460</v>
      </c>
      <c r="C366" s="1"/>
      <c r="E366" t="s">
        <v>1465</v>
      </c>
      <c r="G366" t="s">
        <v>1459</v>
      </c>
      <c r="H366" t="s">
        <v>1466</v>
      </c>
      <c r="I366">
        <v>1</v>
      </c>
      <c r="J366">
        <v>58</v>
      </c>
      <c r="K366">
        <v>35</v>
      </c>
      <c r="L366">
        <v>20</v>
      </c>
      <c r="M366" t="s">
        <v>48</v>
      </c>
      <c r="N366" t="s">
        <v>24</v>
      </c>
      <c r="O366" t="b">
        <v>1</v>
      </c>
      <c r="AA366" t="e">
        <f>Table1[[#This Row],[qPer board]]*Table1[[#This Row],[boards]]</f>
        <v>#REF!</v>
      </c>
      <c r="AB366" t="e">
        <f>VLOOKUP(Table1[[#This Row],[MA_Number]],#REF!, 2,FALSE)</f>
        <v>#REF!</v>
      </c>
      <c r="AC366">
        <v>17</v>
      </c>
    </row>
    <row r="367" spans="1:29" hidden="1" x14ac:dyDescent="0.3">
      <c r="A367" t="s">
        <v>462</v>
      </c>
      <c r="B367" s="1" t="s">
        <v>1058</v>
      </c>
      <c r="C367" s="1"/>
      <c r="D367" t="s">
        <v>280</v>
      </c>
      <c r="E367" t="s">
        <v>1467</v>
      </c>
      <c r="F367" t="b">
        <v>1</v>
      </c>
      <c r="I367">
        <v>1</v>
      </c>
      <c r="J367" t="s">
        <v>671</v>
      </c>
      <c r="K367" t="s">
        <v>671</v>
      </c>
      <c r="L367" t="s">
        <v>671</v>
      </c>
      <c r="O367" t="b">
        <v>1</v>
      </c>
      <c r="AA367" t="e">
        <f>Table1[[#This Row],[qPer board]]*Table1[[#This Row],[boards]]</f>
        <v>#REF!</v>
      </c>
      <c r="AB367" t="e">
        <f>VLOOKUP(Table1[[#This Row],[MA_Number]],#REF!, 2,FALSE)</f>
        <v>#REF!</v>
      </c>
      <c r="AC367">
        <v>17</v>
      </c>
    </row>
    <row r="368" spans="1:29" hidden="1" x14ac:dyDescent="0.3">
      <c r="B368" s="1" t="s">
        <v>1058</v>
      </c>
      <c r="C368" s="1"/>
      <c r="E368" t="s">
        <v>1468</v>
      </c>
      <c r="G368" t="s">
        <v>462</v>
      </c>
      <c r="H368" t="s">
        <v>1469</v>
      </c>
      <c r="I368">
        <v>1</v>
      </c>
      <c r="J368">
        <v>54</v>
      </c>
      <c r="K368">
        <v>39</v>
      </c>
      <c r="L368">
        <v>42</v>
      </c>
      <c r="M368" t="s">
        <v>50</v>
      </c>
      <c r="N368" t="s">
        <v>24</v>
      </c>
      <c r="O368" t="b">
        <v>1</v>
      </c>
      <c r="AA368" t="e">
        <f>Table1[[#This Row],[qPer board]]*Table1[[#This Row],[boards]]</f>
        <v>#REF!</v>
      </c>
      <c r="AB368" t="e">
        <f>VLOOKUP(Table1[[#This Row],[MA_Number]],#REF!, 2,FALSE)</f>
        <v>#REF!</v>
      </c>
      <c r="AC368">
        <v>17</v>
      </c>
    </row>
    <row r="369" spans="1:29" hidden="1" x14ac:dyDescent="0.3">
      <c r="B369" s="1" t="s">
        <v>1058</v>
      </c>
      <c r="C369" s="1"/>
      <c r="E369" t="s">
        <v>1470</v>
      </c>
      <c r="G369" t="s">
        <v>462</v>
      </c>
      <c r="H369" t="s">
        <v>1471</v>
      </c>
      <c r="I369">
        <v>1</v>
      </c>
      <c r="J369">
        <v>54</v>
      </c>
      <c r="K369">
        <v>39</v>
      </c>
      <c r="L369">
        <v>30</v>
      </c>
      <c r="M369" t="s">
        <v>50</v>
      </c>
      <c r="N369" t="s">
        <v>24</v>
      </c>
      <c r="O369" t="b">
        <v>1</v>
      </c>
      <c r="AA369" t="e">
        <f>Table1[[#This Row],[qPer board]]*Table1[[#This Row],[boards]]</f>
        <v>#REF!</v>
      </c>
      <c r="AB369" t="e">
        <f>VLOOKUP(Table1[[#This Row],[MA_Number]],#REF!, 2,FALSE)</f>
        <v>#REF!</v>
      </c>
      <c r="AC369">
        <v>17</v>
      </c>
    </row>
    <row r="370" spans="1:29" hidden="1" x14ac:dyDescent="0.3">
      <c r="B370" s="1" t="s">
        <v>1058</v>
      </c>
      <c r="C370" s="1"/>
      <c r="E370" t="s">
        <v>1472</v>
      </c>
      <c r="G370" t="s">
        <v>462</v>
      </c>
      <c r="H370" t="s">
        <v>1473</v>
      </c>
      <c r="I370">
        <v>1</v>
      </c>
      <c r="J370">
        <v>54</v>
      </c>
      <c r="K370">
        <v>39</v>
      </c>
      <c r="L370">
        <v>20</v>
      </c>
      <c r="M370" t="s">
        <v>50</v>
      </c>
      <c r="N370" t="s">
        <v>24</v>
      </c>
      <c r="O370" t="b">
        <v>1</v>
      </c>
      <c r="AA370" t="e">
        <f>Table1[[#This Row],[qPer board]]*Table1[[#This Row],[boards]]</f>
        <v>#REF!</v>
      </c>
      <c r="AB370" t="e">
        <f>VLOOKUP(Table1[[#This Row],[MA_Number]],#REF!, 2,FALSE)</f>
        <v>#REF!</v>
      </c>
      <c r="AC370">
        <v>17</v>
      </c>
    </row>
    <row r="371" spans="1:29" hidden="1" x14ac:dyDescent="0.3">
      <c r="A371" t="s">
        <v>561</v>
      </c>
      <c r="B371" s="1" t="s">
        <v>1474</v>
      </c>
      <c r="C371" s="1"/>
      <c r="D371" t="s">
        <v>280</v>
      </c>
      <c r="E371" t="s">
        <v>1475</v>
      </c>
      <c r="F371" t="b">
        <v>1</v>
      </c>
      <c r="I371">
        <v>1</v>
      </c>
      <c r="J371" t="s">
        <v>671</v>
      </c>
      <c r="K371" t="s">
        <v>671</v>
      </c>
      <c r="L371" t="s">
        <v>671</v>
      </c>
      <c r="O371" t="b">
        <v>1</v>
      </c>
      <c r="AA371" t="e">
        <f>Table1[[#This Row],[qPer board]]*Table1[[#This Row],[boards]]</f>
        <v>#REF!</v>
      </c>
      <c r="AB371" t="e">
        <f>VLOOKUP(Table1[[#This Row],[MA_Number]],#REF!, 2,FALSE)</f>
        <v>#REF!</v>
      </c>
      <c r="AC371">
        <v>17</v>
      </c>
    </row>
    <row r="372" spans="1:29" hidden="1" x14ac:dyDescent="0.3">
      <c r="B372" s="1" t="s">
        <v>1474</v>
      </c>
      <c r="C372" s="1"/>
      <c r="E372" t="s">
        <v>1476</v>
      </c>
      <c r="G372" t="s">
        <v>561</v>
      </c>
      <c r="H372" t="s">
        <v>1477</v>
      </c>
      <c r="I372">
        <v>1</v>
      </c>
      <c r="J372">
        <v>50</v>
      </c>
      <c r="K372">
        <v>52</v>
      </c>
      <c r="L372">
        <v>69</v>
      </c>
      <c r="M372" t="s">
        <v>48</v>
      </c>
      <c r="N372" t="s">
        <v>24</v>
      </c>
      <c r="O372" t="b">
        <v>1</v>
      </c>
      <c r="AA372" t="e">
        <f>Table1[[#This Row],[qPer board]]*Table1[[#This Row],[boards]]</f>
        <v>#REF!</v>
      </c>
      <c r="AB372" t="e">
        <f>VLOOKUP(Table1[[#This Row],[MA_Number]],#REF!, 2,FALSE)</f>
        <v>#REF!</v>
      </c>
      <c r="AC372">
        <v>17</v>
      </c>
    </row>
    <row r="373" spans="1:29" hidden="1" x14ac:dyDescent="0.3">
      <c r="B373" s="1" t="s">
        <v>1474</v>
      </c>
      <c r="C373" s="1"/>
      <c r="E373" t="s">
        <v>1478</v>
      </c>
      <c r="G373" t="s">
        <v>561</v>
      </c>
      <c r="H373" t="s">
        <v>1479</v>
      </c>
      <c r="I373">
        <v>1</v>
      </c>
      <c r="J373">
        <v>50</v>
      </c>
      <c r="K373">
        <v>52</v>
      </c>
      <c r="L373">
        <v>30</v>
      </c>
      <c r="M373" t="s">
        <v>48</v>
      </c>
      <c r="N373" t="s">
        <v>24</v>
      </c>
      <c r="O373" t="b">
        <v>1</v>
      </c>
      <c r="AA373" t="e">
        <f>Table1[[#This Row],[qPer board]]*Table1[[#This Row],[boards]]</f>
        <v>#REF!</v>
      </c>
      <c r="AB373" t="e">
        <f>VLOOKUP(Table1[[#This Row],[MA_Number]],#REF!, 2,FALSE)</f>
        <v>#REF!</v>
      </c>
      <c r="AC373">
        <v>17</v>
      </c>
    </row>
    <row r="374" spans="1:29" hidden="1" x14ac:dyDescent="0.3">
      <c r="B374" s="1" t="s">
        <v>1474</v>
      </c>
      <c r="C374" s="1"/>
      <c r="E374" t="s">
        <v>1480</v>
      </c>
      <c r="G374" t="s">
        <v>561</v>
      </c>
      <c r="H374" t="s">
        <v>1481</v>
      </c>
      <c r="I374">
        <v>1</v>
      </c>
      <c r="J374">
        <v>50</v>
      </c>
      <c r="K374">
        <v>52</v>
      </c>
      <c r="L374">
        <v>20</v>
      </c>
      <c r="M374" t="s">
        <v>48</v>
      </c>
      <c r="N374" t="s">
        <v>24</v>
      </c>
      <c r="O374" t="b">
        <v>1</v>
      </c>
      <c r="AA374" t="e">
        <f>Table1[[#This Row],[qPer board]]*Table1[[#This Row],[boards]]</f>
        <v>#REF!</v>
      </c>
      <c r="AB374" t="e">
        <f>VLOOKUP(Table1[[#This Row],[MA_Number]],#REF!, 2,FALSE)</f>
        <v>#REF!</v>
      </c>
      <c r="AC374">
        <v>17</v>
      </c>
    </row>
    <row r="375" spans="1:29" hidden="1" x14ac:dyDescent="0.3">
      <c r="A375" t="s">
        <v>463</v>
      </c>
      <c r="B375" s="1" t="s">
        <v>1057</v>
      </c>
      <c r="C375" s="1"/>
      <c r="D375" t="s">
        <v>280</v>
      </c>
      <c r="E375" t="s">
        <v>1482</v>
      </c>
      <c r="F375" t="b">
        <v>1</v>
      </c>
      <c r="I375">
        <v>1</v>
      </c>
      <c r="J375" t="s">
        <v>671</v>
      </c>
      <c r="K375" t="s">
        <v>671</v>
      </c>
      <c r="L375" t="s">
        <v>671</v>
      </c>
      <c r="O375" t="b">
        <v>1</v>
      </c>
      <c r="AA375" t="e">
        <f>Table1[[#This Row],[qPer board]]*Table1[[#This Row],[boards]]</f>
        <v>#REF!</v>
      </c>
      <c r="AB375" t="e">
        <f>VLOOKUP(Table1[[#This Row],[MA_Number]],#REF!, 2,FALSE)</f>
        <v>#REF!</v>
      </c>
      <c r="AC375">
        <v>17</v>
      </c>
    </row>
    <row r="376" spans="1:29" hidden="1" x14ac:dyDescent="0.3">
      <c r="B376" s="1" t="s">
        <v>1057</v>
      </c>
      <c r="C376" s="1"/>
      <c r="E376" t="s">
        <v>1483</v>
      </c>
      <c r="G376" t="s">
        <v>463</v>
      </c>
      <c r="H376" t="s">
        <v>1484</v>
      </c>
      <c r="I376">
        <v>1</v>
      </c>
      <c r="J376">
        <v>52</v>
      </c>
      <c r="K376">
        <v>34</v>
      </c>
      <c r="L376">
        <v>43</v>
      </c>
      <c r="M376" t="s">
        <v>52</v>
      </c>
      <c r="N376" t="s">
        <v>24</v>
      </c>
      <c r="O376" t="b">
        <v>1</v>
      </c>
      <c r="AA376" t="e">
        <f>Table1[[#This Row],[qPer board]]*Table1[[#This Row],[boards]]</f>
        <v>#REF!</v>
      </c>
      <c r="AB376" t="e">
        <f>VLOOKUP(Table1[[#This Row],[MA_Number]],#REF!, 2,FALSE)</f>
        <v>#REF!</v>
      </c>
      <c r="AC376">
        <v>17</v>
      </c>
    </row>
    <row r="377" spans="1:29" hidden="1" x14ac:dyDescent="0.3">
      <c r="B377" s="1" t="s">
        <v>1057</v>
      </c>
      <c r="C377" s="1"/>
      <c r="E377" t="s">
        <v>1485</v>
      </c>
      <c r="G377" t="s">
        <v>463</v>
      </c>
      <c r="H377" t="s">
        <v>1486</v>
      </c>
      <c r="I377">
        <v>1</v>
      </c>
      <c r="J377">
        <v>52</v>
      </c>
      <c r="K377">
        <v>34</v>
      </c>
      <c r="L377">
        <v>30</v>
      </c>
      <c r="M377" t="s">
        <v>52</v>
      </c>
      <c r="N377" t="s">
        <v>24</v>
      </c>
      <c r="O377" t="b">
        <v>1</v>
      </c>
      <c r="AA377" t="e">
        <f>Table1[[#This Row],[qPer board]]*Table1[[#This Row],[boards]]</f>
        <v>#REF!</v>
      </c>
      <c r="AB377" t="e">
        <f>VLOOKUP(Table1[[#This Row],[MA_Number]],#REF!, 2,FALSE)</f>
        <v>#REF!</v>
      </c>
      <c r="AC377">
        <v>17</v>
      </c>
    </row>
    <row r="378" spans="1:29" hidden="1" x14ac:dyDescent="0.3">
      <c r="B378" s="1" t="s">
        <v>1057</v>
      </c>
      <c r="C378" s="1"/>
      <c r="E378" t="s">
        <v>1487</v>
      </c>
      <c r="G378" t="s">
        <v>463</v>
      </c>
      <c r="H378" t="s">
        <v>1488</v>
      </c>
      <c r="I378">
        <v>1</v>
      </c>
      <c r="J378">
        <v>52</v>
      </c>
      <c r="K378">
        <v>34</v>
      </c>
      <c r="L378">
        <v>20</v>
      </c>
      <c r="M378" t="s">
        <v>52</v>
      </c>
      <c r="N378" t="s">
        <v>24</v>
      </c>
      <c r="O378" t="b">
        <v>1</v>
      </c>
      <c r="AA378" t="e">
        <f>Table1[[#This Row],[qPer board]]*Table1[[#This Row],[boards]]</f>
        <v>#REF!</v>
      </c>
      <c r="AB378" t="e">
        <f>VLOOKUP(Table1[[#This Row],[MA_Number]],#REF!, 2,FALSE)</f>
        <v>#REF!</v>
      </c>
      <c r="AC378">
        <v>17</v>
      </c>
    </row>
    <row r="379" spans="1:29" hidden="1" x14ac:dyDescent="0.3">
      <c r="A379" t="s">
        <v>465</v>
      </c>
      <c r="B379" s="1" t="s">
        <v>1022</v>
      </c>
      <c r="C379" s="1"/>
      <c r="D379" t="s">
        <v>280</v>
      </c>
      <c r="E379" t="s">
        <v>1489</v>
      </c>
      <c r="F379" t="b">
        <v>1</v>
      </c>
      <c r="I379">
        <v>1</v>
      </c>
      <c r="J379" t="s">
        <v>671</v>
      </c>
      <c r="K379" t="s">
        <v>671</v>
      </c>
      <c r="L379" t="s">
        <v>671</v>
      </c>
      <c r="O379" t="b">
        <v>1</v>
      </c>
      <c r="AA379" t="e">
        <f>Table1[[#This Row],[qPer board]]*Table1[[#This Row],[boards]]</f>
        <v>#REF!</v>
      </c>
      <c r="AB379" t="e">
        <f>VLOOKUP(Table1[[#This Row],[MA_Number]],#REF!, 2,FALSE)</f>
        <v>#REF!</v>
      </c>
      <c r="AC379">
        <v>17</v>
      </c>
    </row>
    <row r="380" spans="1:29" hidden="1" x14ac:dyDescent="0.3">
      <c r="B380" s="1" t="s">
        <v>1022</v>
      </c>
      <c r="C380" s="1"/>
      <c r="E380" t="s">
        <v>1490</v>
      </c>
      <c r="G380" t="s">
        <v>465</v>
      </c>
      <c r="H380" t="s">
        <v>1491</v>
      </c>
      <c r="I380">
        <v>1</v>
      </c>
      <c r="J380">
        <v>64</v>
      </c>
      <c r="K380">
        <v>42</v>
      </c>
      <c r="L380">
        <v>52</v>
      </c>
      <c r="M380" t="s">
        <v>49</v>
      </c>
      <c r="N380" t="s">
        <v>24</v>
      </c>
      <c r="O380" t="b">
        <v>1</v>
      </c>
      <c r="AA380" t="e">
        <f>Table1[[#This Row],[qPer board]]*Table1[[#This Row],[boards]]</f>
        <v>#REF!</v>
      </c>
      <c r="AB380" t="e">
        <f>VLOOKUP(Table1[[#This Row],[MA_Number]],#REF!, 2,FALSE)</f>
        <v>#REF!</v>
      </c>
      <c r="AC380">
        <v>17</v>
      </c>
    </row>
    <row r="381" spans="1:29" hidden="1" x14ac:dyDescent="0.3">
      <c r="B381" s="1" t="s">
        <v>1022</v>
      </c>
      <c r="C381" s="1"/>
      <c r="E381" t="s">
        <v>1492</v>
      </c>
      <c r="G381" t="s">
        <v>465</v>
      </c>
      <c r="H381" t="s">
        <v>1493</v>
      </c>
      <c r="I381">
        <v>1</v>
      </c>
      <c r="J381">
        <v>64</v>
      </c>
      <c r="K381">
        <v>42</v>
      </c>
      <c r="L381">
        <v>30</v>
      </c>
      <c r="M381" t="s">
        <v>49</v>
      </c>
      <c r="N381" t="s">
        <v>24</v>
      </c>
      <c r="O381" t="b">
        <v>1</v>
      </c>
      <c r="AA381" t="e">
        <f>Table1[[#This Row],[qPer board]]*Table1[[#This Row],[boards]]</f>
        <v>#REF!</v>
      </c>
      <c r="AB381" t="e">
        <f>VLOOKUP(Table1[[#This Row],[MA_Number]],#REF!, 2,FALSE)</f>
        <v>#REF!</v>
      </c>
      <c r="AC381">
        <v>17</v>
      </c>
    </row>
    <row r="382" spans="1:29" hidden="1" x14ac:dyDescent="0.3">
      <c r="B382" s="1" t="s">
        <v>1022</v>
      </c>
      <c r="C382" s="1"/>
      <c r="E382" t="s">
        <v>1494</v>
      </c>
      <c r="G382" t="s">
        <v>465</v>
      </c>
      <c r="H382" t="s">
        <v>1495</v>
      </c>
      <c r="I382">
        <v>1</v>
      </c>
      <c r="J382">
        <v>64</v>
      </c>
      <c r="K382">
        <v>42</v>
      </c>
      <c r="L382">
        <v>21</v>
      </c>
      <c r="M382" t="s">
        <v>49</v>
      </c>
      <c r="N382" t="s">
        <v>24</v>
      </c>
      <c r="O382" t="b">
        <v>1</v>
      </c>
      <c r="AA382" t="e">
        <f>Table1[[#This Row],[qPer board]]*Table1[[#This Row],[boards]]</f>
        <v>#REF!</v>
      </c>
      <c r="AB382" t="e">
        <f>VLOOKUP(Table1[[#This Row],[MA_Number]],#REF!, 2,FALSE)</f>
        <v>#REF!</v>
      </c>
      <c r="AC382">
        <v>17</v>
      </c>
    </row>
    <row r="383" spans="1:29" hidden="1" x14ac:dyDescent="0.3">
      <c r="A383" t="s">
        <v>467</v>
      </c>
      <c r="B383" s="1" t="s">
        <v>1053</v>
      </c>
      <c r="C383" s="1"/>
      <c r="D383" t="s">
        <v>280</v>
      </c>
      <c r="E383" t="s">
        <v>1496</v>
      </c>
      <c r="F383" t="b">
        <v>1</v>
      </c>
      <c r="I383">
        <v>1</v>
      </c>
      <c r="J383" t="s">
        <v>671</v>
      </c>
      <c r="K383" t="s">
        <v>671</v>
      </c>
      <c r="L383" t="s">
        <v>671</v>
      </c>
      <c r="O383" t="b">
        <v>1</v>
      </c>
      <c r="AA383" t="e">
        <f>Table1[[#This Row],[qPer board]]*Table1[[#This Row],[boards]]</f>
        <v>#REF!</v>
      </c>
      <c r="AB383" t="e">
        <f>VLOOKUP(Table1[[#This Row],[MA_Number]],#REF!, 2,FALSE)</f>
        <v>#REF!</v>
      </c>
      <c r="AC383">
        <v>17</v>
      </c>
    </row>
    <row r="384" spans="1:29" hidden="1" x14ac:dyDescent="0.3">
      <c r="B384" s="1" t="s">
        <v>1053</v>
      </c>
      <c r="C384" s="1"/>
      <c r="E384" t="s">
        <v>1497</v>
      </c>
      <c r="G384" t="s">
        <v>467</v>
      </c>
      <c r="H384" t="s">
        <v>1498</v>
      </c>
      <c r="I384">
        <v>1</v>
      </c>
      <c r="J384">
        <v>65</v>
      </c>
      <c r="K384">
        <v>39</v>
      </c>
      <c r="L384">
        <v>60</v>
      </c>
      <c r="M384" t="s">
        <v>49</v>
      </c>
      <c r="N384" t="s">
        <v>24</v>
      </c>
      <c r="O384" t="b">
        <v>1</v>
      </c>
      <c r="AA384" t="e">
        <f>Table1[[#This Row],[qPer board]]*Table1[[#This Row],[boards]]</f>
        <v>#REF!</v>
      </c>
      <c r="AB384" t="e">
        <f>VLOOKUP(Table1[[#This Row],[MA_Number]],#REF!, 2,FALSE)</f>
        <v>#REF!</v>
      </c>
      <c r="AC384">
        <v>17</v>
      </c>
    </row>
    <row r="385" spans="1:29" hidden="1" x14ac:dyDescent="0.3">
      <c r="B385" s="1" t="s">
        <v>1053</v>
      </c>
      <c r="C385" s="1"/>
      <c r="E385" t="s">
        <v>1499</v>
      </c>
      <c r="G385" t="s">
        <v>467</v>
      </c>
      <c r="H385" t="s">
        <v>1500</v>
      </c>
      <c r="I385">
        <v>1</v>
      </c>
      <c r="J385">
        <v>65</v>
      </c>
      <c r="K385">
        <v>39</v>
      </c>
      <c r="L385">
        <v>30</v>
      </c>
      <c r="M385" t="s">
        <v>49</v>
      </c>
      <c r="N385" t="s">
        <v>24</v>
      </c>
      <c r="O385" t="b">
        <v>1</v>
      </c>
      <c r="AA385" t="e">
        <f>Table1[[#This Row],[qPer board]]*Table1[[#This Row],[boards]]</f>
        <v>#REF!</v>
      </c>
      <c r="AB385" t="e">
        <f>VLOOKUP(Table1[[#This Row],[MA_Number]],#REF!, 2,FALSE)</f>
        <v>#REF!</v>
      </c>
      <c r="AC385">
        <v>17</v>
      </c>
    </row>
    <row r="386" spans="1:29" hidden="1" x14ac:dyDescent="0.3">
      <c r="B386" s="1" t="s">
        <v>1053</v>
      </c>
      <c r="C386" s="1"/>
      <c r="E386" t="s">
        <v>1501</v>
      </c>
      <c r="G386" t="s">
        <v>467</v>
      </c>
      <c r="H386" t="s">
        <v>1502</v>
      </c>
      <c r="I386">
        <v>1</v>
      </c>
      <c r="J386">
        <v>65</v>
      </c>
      <c r="K386">
        <v>39</v>
      </c>
      <c r="L386">
        <v>21</v>
      </c>
      <c r="M386" t="s">
        <v>49</v>
      </c>
      <c r="N386" t="s">
        <v>24</v>
      </c>
      <c r="O386" t="b">
        <v>1</v>
      </c>
      <c r="AA386" t="e">
        <f>Table1[[#This Row],[qPer board]]*Table1[[#This Row],[boards]]</f>
        <v>#REF!</v>
      </c>
      <c r="AB386" t="e">
        <f>VLOOKUP(Table1[[#This Row],[MA_Number]],#REF!, 2,FALSE)</f>
        <v>#REF!</v>
      </c>
      <c r="AC386">
        <v>17</v>
      </c>
    </row>
    <row r="387" spans="1:29" hidden="1" x14ac:dyDescent="0.3">
      <c r="B387" s="1" t="s">
        <v>1053</v>
      </c>
      <c r="C387" s="1"/>
      <c r="E387" t="s">
        <v>1457</v>
      </c>
      <c r="G387" t="s">
        <v>467</v>
      </c>
      <c r="H387" t="s">
        <v>1503</v>
      </c>
      <c r="I387">
        <v>1</v>
      </c>
      <c r="J387">
        <v>34</v>
      </c>
      <c r="K387">
        <v>21</v>
      </c>
      <c r="L387">
        <v>25</v>
      </c>
      <c r="M387" t="s">
        <v>49</v>
      </c>
      <c r="N387" t="s">
        <v>24</v>
      </c>
      <c r="O387" t="b">
        <v>1</v>
      </c>
      <c r="AA387" t="e">
        <f>Table1[[#This Row],[qPer board]]*Table1[[#This Row],[boards]]</f>
        <v>#REF!</v>
      </c>
      <c r="AB387" t="e">
        <f>VLOOKUP(Table1[[#This Row],[MA_Number]],#REF!, 2,FALSE)</f>
        <v>#REF!</v>
      </c>
      <c r="AC387">
        <v>17</v>
      </c>
    </row>
    <row r="388" spans="1:29" hidden="1" x14ac:dyDescent="0.3">
      <c r="A388" t="s">
        <v>469</v>
      </c>
      <c r="B388" s="1" t="s">
        <v>1504</v>
      </c>
      <c r="C388" s="1"/>
      <c r="D388" t="s">
        <v>280</v>
      </c>
      <c r="E388" t="s">
        <v>1505</v>
      </c>
      <c r="F388" t="b">
        <v>1</v>
      </c>
      <c r="I388">
        <v>1</v>
      </c>
      <c r="J388" t="s">
        <v>671</v>
      </c>
      <c r="K388" t="s">
        <v>671</v>
      </c>
      <c r="L388" t="s">
        <v>671</v>
      </c>
      <c r="O388" t="b">
        <v>1</v>
      </c>
      <c r="AA388" t="e">
        <f>Table1[[#This Row],[qPer board]]*Table1[[#This Row],[boards]]</f>
        <v>#REF!</v>
      </c>
      <c r="AB388" t="e">
        <f>VLOOKUP(Table1[[#This Row],[MA_Number]],#REF!, 2,FALSE)</f>
        <v>#REF!</v>
      </c>
      <c r="AC388">
        <v>17</v>
      </c>
    </row>
    <row r="389" spans="1:29" hidden="1" x14ac:dyDescent="0.3">
      <c r="B389" s="1" t="s">
        <v>1504</v>
      </c>
      <c r="C389" s="1"/>
      <c r="E389" t="s">
        <v>1506</v>
      </c>
      <c r="G389" t="s">
        <v>469</v>
      </c>
      <c r="H389" t="s">
        <v>1507</v>
      </c>
      <c r="I389">
        <v>1</v>
      </c>
      <c r="J389">
        <v>64</v>
      </c>
      <c r="K389">
        <v>48</v>
      </c>
      <c r="L389">
        <v>52</v>
      </c>
      <c r="M389" t="s">
        <v>49</v>
      </c>
      <c r="N389" t="s">
        <v>24</v>
      </c>
      <c r="O389" t="b">
        <v>1</v>
      </c>
      <c r="AA389" t="e">
        <f>Table1[[#This Row],[qPer board]]*Table1[[#This Row],[boards]]</f>
        <v>#REF!</v>
      </c>
      <c r="AB389" t="e">
        <f>VLOOKUP(Table1[[#This Row],[MA_Number]],#REF!, 2,FALSE)</f>
        <v>#REF!</v>
      </c>
      <c r="AC389">
        <v>17</v>
      </c>
    </row>
    <row r="390" spans="1:29" hidden="1" x14ac:dyDescent="0.3">
      <c r="B390" s="1" t="s">
        <v>1504</v>
      </c>
      <c r="C390" s="1"/>
      <c r="E390" t="s">
        <v>1508</v>
      </c>
      <c r="G390" t="s">
        <v>469</v>
      </c>
      <c r="H390" t="s">
        <v>1509</v>
      </c>
      <c r="I390">
        <v>1</v>
      </c>
      <c r="J390">
        <v>64</v>
      </c>
      <c r="K390">
        <v>48</v>
      </c>
      <c r="L390">
        <v>30</v>
      </c>
      <c r="M390" t="s">
        <v>49</v>
      </c>
      <c r="N390" t="s">
        <v>24</v>
      </c>
      <c r="O390" t="b">
        <v>1</v>
      </c>
      <c r="AA390" t="e">
        <f>Table1[[#This Row],[qPer board]]*Table1[[#This Row],[boards]]</f>
        <v>#REF!</v>
      </c>
      <c r="AB390" t="e">
        <f>VLOOKUP(Table1[[#This Row],[MA_Number]],#REF!, 2,FALSE)</f>
        <v>#REF!</v>
      </c>
      <c r="AC390">
        <v>17</v>
      </c>
    </row>
    <row r="391" spans="1:29" hidden="1" x14ac:dyDescent="0.3">
      <c r="B391" s="1" t="s">
        <v>1504</v>
      </c>
      <c r="C391" s="1"/>
      <c r="E391" t="s">
        <v>1510</v>
      </c>
      <c r="G391" t="s">
        <v>469</v>
      </c>
      <c r="H391" t="s">
        <v>1511</v>
      </c>
      <c r="I391">
        <v>1</v>
      </c>
      <c r="J391">
        <v>64</v>
      </c>
      <c r="K391">
        <v>48</v>
      </c>
      <c r="L391">
        <v>20</v>
      </c>
      <c r="M391" t="s">
        <v>49</v>
      </c>
      <c r="N391" t="s">
        <v>24</v>
      </c>
      <c r="O391" t="b">
        <v>1</v>
      </c>
      <c r="AA391" t="e">
        <f>Table1[[#This Row],[qPer board]]*Table1[[#This Row],[boards]]</f>
        <v>#REF!</v>
      </c>
      <c r="AB391" t="e">
        <f>VLOOKUP(Table1[[#This Row],[MA_Number]],#REF!, 2,FALSE)</f>
        <v>#REF!</v>
      </c>
      <c r="AC391">
        <v>17</v>
      </c>
    </row>
    <row r="392" spans="1:29" hidden="1" x14ac:dyDescent="0.3">
      <c r="A392" t="s">
        <v>1702</v>
      </c>
      <c r="B392" s="1">
        <v>7235053630</v>
      </c>
      <c r="C392" s="1"/>
      <c r="D392" t="s">
        <v>280</v>
      </c>
      <c r="E392" t="s">
        <v>1883</v>
      </c>
      <c r="F392" t="b">
        <v>1</v>
      </c>
      <c r="I392">
        <v>1</v>
      </c>
      <c r="J392" t="s">
        <v>671</v>
      </c>
      <c r="K392" t="s">
        <v>671</v>
      </c>
      <c r="L392" t="s">
        <v>671</v>
      </c>
      <c r="O392" t="b">
        <v>1</v>
      </c>
      <c r="AA392">
        <f>Table1[[#This Row],[qPer board]]*Table1[[#This Row],[boards]]</f>
        <v>0</v>
      </c>
    </row>
    <row r="393" spans="1:29" hidden="1" x14ac:dyDescent="0.3">
      <c r="B393" s="1">
        <v>7235053630</v>
      </c>
      <c r="C393" s="1"/>
      <c r="G393" t="s">
        <v>1702</v>
      </c>
      <c r="H393" t="s">
        <v>1703</v>
      </c>
      <c r="I393">
        <v>1</v>
      </c>
      <c r="J393">
        <v>101</v>
      </c>
      <c r="K393">
        <v>73</v>
      </c>
      <c r="L393">
        <v>75</v>
      </c>
      <c r="M393" t="s">
        <v>49</v>
      </c>
      <c r="N393" t="s">
        <v>24</v>
      </c>
      <c r="P393" t="b">
        <v>1</v>
      </c>
      <c r="AA393">
        <f>Table1[[#This Row],[qPer board]]*Table1[[#This Row],[boards]]</f>
        <v>0</v>
      </c>
    </row>
    <row r="394" spans="1:29" hidden="1" x14ac:dyDescent="0.3">
      <c r="B394" s="1">
        <v>7235053630</v>
      </c>
      <c r="C394" s="1"/>
      <c r="G394" t="s">
        <v>1702</v>
      </c>
      <c r="H394" t="s">
        <v>1704</v>
      </c>
      <c r="I394">
        <v>1</v>
      </c>
      <c r="J394">
        <v>99</v>
      </c>
      <c r="K394">
        <v>34</v>
      </c>
      <c r="L394">
        <v>40</v>
      </c>
      <c r="M394" t="s">
        <v>49</v>
      </c>
      <c r="N394" t="s">
        <v>24</v>
      </c>
      <c r="O394" t="b">
        <v>1</v>
      </c>
      <c r="AA394">
        <f>Table1[[#This Row],[qPer board]]*Table1[[#This Row],[boards]]</f>
        <v>0</v>
      </c>
    </row>
    <row r="395" spans="1:29" hidden="1" x14ac:dyDescent="0.3">
      <c r="B395" s="1">
        <v>7235053630</v>
      </c>
      <c r="C395" s="1"/>
      <c r="G395" t="s">
        <v>1702</v>
      </c>
      <c r="H395" t="s">
        <v>1878</v>
      </c>
      <c r="I395">
        <v>1</v>
      </c>
      <c r="J395">
        <v>34</v>
      </c>
      <c r="K395">
        <v>22</v>
      </c>
      <c r="L395">
        <v>25</v>
      </c>
      <c r="N395" t="s">
        <v>40</v>
      </c>
      <c r="O395" t="b">
        <v>1</v>
      </c>
      <c r="AA395">
        <f>Table1[[#This Row],[qPer board]]*Table1[[#This Row],[boards]]</f>
        <v>0</v>
      </c>
    </row>
    <row r="396" spans="1:29" hidden="1" x14ac:dyDescent="0.3">
      <c r="A396" t="s">
        <v>1879</v>
      </c>
      <c r="B396" s="1">
        <v>7235053630</v>
      </c>
      <c r="C396" s="1"/>
      <c r="D396" t="s">
        <v>280</v>
      </c>
      <c r="E396" t="s">
        <v>1883</v>
      </c>
      <c r="F396" t="b">
        <v>1</v>
      </c>
      <c r="I396">
        <v>1</v>
      </c>
      <c r="J396" t="s">
        <v>671</v>
      </c>
      <c r="K396" t="s">
        <v>671</v>
      </c>
      <c r="L396" t="s">
        <v>671</v>
      </c>
      <c r="O396" t="b">
        <v>1</v>
      </c>
      <c r="AA396" t="e">
        <f>Table1[[#This Row],[qPer board]]*Table1[[#This Row],[boards]]</f>
        <v>#REF!</v>
      </c>
      <c r="AB396" t="e">
        <f>VLOOKUP(Table1[[#This Row],[MA_Number]],#REF!, 2,FALSE)</f>
        <v>#REF!</v>
      </c>
      <c r="AC396">
        <v>17</v>
      </c>
    </row>
    <row r="397" spans="1:29" hidden="1" x14ac:dyDescent="0.3">
      <c r="B397" s="1">
        <v>7235053630</v>
      </c>
      <c r="C397" s="1"/>
      <c r="G397" t="s">
        <v>1879</v>
      </c>
      <c r="H397" t="s">
        <v>1880</v>
      </c>
      <c r="I397">
        <v>1</v>
      </c>
      <c r="J397">
        <v>102</v>
      </c>
      <c r="K397">
        <v>75</v>
      </c>
      <c r="L397">
        <v>93</v>
      </c>
      <c r="M397" t="s">
        <v>49</v>
      </c>
      <c r="N397" t="s">
        <v>24</v>
      </c>
      <c r="O397" t="b">
        <v>1</v>
      </c>
      <c r="AA397" t="e">
        <f>Table1[[#This Row],[qPer board]]*Table1[[#This Row],[boards]]</f>
        <v>#REF!</v>
      </c>
      <c r="AB397" t="e">
        <f>VLOOKUP(Table1[[#This Row],[MA_Number]],#REF!, 2,FALSE)</f>
        <v>#REF!</v>
      </c>
      <c r="AC397">
        <v>17</v>
      </c>
    </row>
    <row r="398" spans="1:29" hidden="1" x14ac:dyDescent="0.3">
      <c r="B398" s="1">
        <v>7235053630</v>
      </c>
      <c r="C398" s="1"/>
      <c r="G398" t="s">
        <v>1879</v>
      </c>
      <c r="H398" t="s">
        <v>1881</v>
      </c>
      <c r="I398">
        <v>1</v>
      </c>
      <c r="J398">
        <v>83</v>
      </c>
      <c r="K398">
        <v>30</v>
      </c>
      <c r="L398">
        <v>42</v>
      </c>
      <c r="M398" t="s">
        <v>49</v>
      </c>
      <c r="N398" t="s">
        <v>24</v>
      </c>
      <c r="O398" t="b">
        <v>1</v>
      </c>
      <c r="AA398" t="e">
        <f>Table1[[#This Row],[qPer board]]*Table1[[#This Row],[boards]]</f>
        <v>#REF!</v>
      </c>
      <c r="AB398" t="e">
        <f>VLOOKUP(Table1[[#This Row],[MA_Number]],#REF!, 2,FALSE)</f>
        <v>#REF!</v>
      </c>
      <c r="AC398">
        <v>17</v>
      </c>
    </row>
    <row r="399" spans="1:29" hidden="1" x14ac:dyDescent="0.3">
      <c r="B399" s="1">
        <v>7235053630</v>
      </c>
      <c r="C399" s="1"/>
      <c r="G399" t="s">
        <v>1879</v>
      </c>
      <c r="H399" t="s">
        <v>1882</v>
      </c>
      <c r="I399">
        <v>1</v>
      </c>
      <c r="J399">
        <v>25</v>
      </c>
      <c r="K399">
        <v>20</v>
      </c>
      <c r="L399">
        <v>36</v>
      </c>
      <c r="N399" t="s">
        <v>40</v>
      </c>
      <c r="O399" t="b">
        <v>1</v>
      </c>
      <c r="AA399" t="e">
        <f>Table1[[#This Row],[qPer board]]*Table1[[#This Row],[boards]]</f>
        <v>#REF!</v>
      </c>
      <c r="AB399" t="e">
        <f>VLOOKUP(Table1[[#This Row],[MA_Number]],#REF!, 2,FALSE)</f>
        <v>#REF!</v>
      </c>
      <c r="AC399">
        <v>17</v>
      </c>
    </row>
    <row r="400" spans="1:29" hidden="1" x14ac:dyDescent="0.3">
      <c r="A400" t="s">
        <v>1010</v>
      </c>
      <c r="B400" s="1">
        <v>7247374530</v>
      </c>
      <c r="C400" s="1"/>
      <c r="D400" t="s">
        <v>1187</v>
      </c>
      <c r="E400" t="s">
        <v>1200</v>
      </c>
      <c r="F400" t="b">
        <v>1</v>
      </c>
      <c r="I400">
        <v>1</v>
      </c>
      <c r="J400" t="s">
        <v>671</v>
      </c>
      <c r="K400" t="s">
        <v>671</v>
      </c>
      <c r="L400" t="s">
        <v>671</v>
      </c>
      <c r="AA400" t="e">
        <f>Table1[[#This Row],[qPer board]]*Table1[[#This Row],[boards]]</f>
        <v>#REF!</v>
      </c>
      <c r="AB400" t="e">
        <f>VLOOKUP(Table1[[#This Row],[MA_Number]],#REF!, 2,FALSE)</f>
        <v>#REF!</v>
      </c>
      <c r="AC400">
        <v>17</v>
      </c>
    </row>
    <row r="401" spans="1:29" hidden="1" x14ac:dyDescent="0.3">
      <c r="B401" s="1">
        <v>7247374530</v>
      </c>
      <c r="C401" s="1"/>
      <c r="G401" t="s">
        <v>1010</v>
      </c>
      <c r="H401" t="s">
        <v>1512</v>
      </c>
      <c r="I401">
        <v>1</v>
      </c>
      <c r="AA401" t="e">
        <f>Table1[[#This Row],[qPer board]]*Table1[[#This Row],[boards]]</f>
        <v>#REF!</v>
      </c>
      <c r="AB401" t="e">
        <f>VLOOKUP(Table1[[#This Row],[MA_Number]],#REF!, 2,FALSE)</f>
        <v>#REF!</v>
      </c>
      <c r="AC401">
        <v>17</v>
      </c>
    </row>
    <row r="402" spans="1:29" hidden="1" x14ac:dyDescent="0.3">
      <c r="A402" t="s">
        <v>1753</v>
      </c>
      <c r="B402" s="1">
        <v>7247760830</v>
      </c>
      <c r="C402" s="1"/>
      <c r="D402" t="s">
        <v>1187</v>
      </c>
      <c r="F402" t="b">
        <v>1</v>
      </c>
      <c r="I402">
        <v>1</v>
      </c>
      <c r="J402" t="s">
        <v>671</v>
      </c>
      <c r="K402" t="s">
        <v>671</v>
      </c>
      <c r="L402" t="s">
        <v>671</v>
      </c>
      <c r="O402" t="b">
        <v>1</v>
      </c>
      <c r="AA402" t="e">
        <f>Table1[[#This Row],[qPer board]]*Table1[[#This Row],[boards]]</f>
        <v>#REF!</v>
      </c>
      <c r="AB402" t="e">
        <f>VLOOKUP(Table1[[#This Row],[MA_Number]],#REF!, 2,FALSE)</f>
        <v>#REF!</v>
      </c>
      <c r="AC402">
        <v>17</v>
      </c>
    </row>
    <row r="403" spans="1:29" hidden="1" x14ac:dyDescent="0.3">
      <c r="B403" s="1">
        <v>7247760830</v>
      </c>
      <c r="C403" s="1"/>
      <c r="E403" t="s">
        <v>1513</v>
      </c>
      <c r="G403" t="s">
        <v>1753</v>
      </c>
      <c r="H403" t="s">
        <v>1754</v>
      </c>
      <c r="I403">
        <v>1</v>
      </c>
      <c r="J403">
        <v>22</v>
      </c>
      <c r="K403">
        <v>27</v>
      </c>
      <c r="L403">
        <v>35</v>
      </c>
      <c r="N403" t="s">
        <v>40</v>
      </c>
      <c r="O403" t="b">
        <v>1</v>
      </c>
      <c r="AA403" t="e">
        <f>Table1[[#This Row],[qPer board]]*Table1[[#This Row],[boards]]</f>
        <v>#REF!</v>
      </c>
      <c r="AB403" t="e">
        <f>VLOOKUP(Table1[[#This Row],[MA_Number]],#REF!, 2,FALSE)</f>
        <v>#REF!</v>
      </c>
      <c r="AC403">
        <v>17</v>
      </c>
    </row>
    <row r="404" spans="1:29" hidden="1" x14ac:dyDescent="0.3">
      <c r="A404" t="s">
        <v>1514</v>
      </c>
      <c r="B404" s="1">
        <v>7247760930</v>
      </c>
      <c r="C404" s="1"/>
      <c r="D404" t="s">
        <v>1187</v>
      </c>
      <c r="F404" t="b">
        <v>1</v>
      </c>
      <c r="I404">
        <v>1</v>
      </c>
      <c r="J404" t="s">
        <v>671</v>
      </c>
      <c r="K404" t="s">
        <v>671</v>
      </c>
      <c r="L404" t="s">
        <v>671</v>
      </c>
      <c r="O404" t="b">
        <v>1</v>
      </c>
      <c r="AA404" t="e">
        <f>Table1[[#This Row],[qPer board]]*Table1[[#This Row],[boards]]</f>
        <v>#REF!</v>
      </c>
      <c r="AB404" t="e">
        <f>VLOOKUP(Table1[[#This Row],[MA_Number]],#REF!, 2,FALSE)</f>
        <v>#REF!</v>
      </c>
      <c r="AC404">
        <v>17</v>
      </c>
    </row>
    <row r="405" spans="1:29" hidden="1" x14ac:dyDescent="0.3">
      <c r="B405" s="1">
        <v>7247760930</v>
      </c>
      <c r="C405" s="1"/>
      <c r="E405" t="s">
        <v>1515</v>
      </c>
      <c r="G405" t="s">
        <v>1514</v>
      </c>
      <c r="H405" t="s">
        <v>1516</v>
      </c>
      <c r="I405">
        <v>1</v>
      </c>
      <c r="J405">
        <v>23</v>
      </c>
      <c r="K405">
        <v>24</v>
      </c>
      <c r="L405">
        <v>35</v>
      </c>
      <c r="N405" t="s">
        <v>40</v>
      </c>
      <c r="O405" t="b">
        <v>1</v>
      </c>
      <c r="AA405" t="e">
        <f>Table1[[#This Row],[qPer board]]*Table1[[#This Row],[boards]]</f>
        <v>#REF!</v>
      </c>
      <c r="AB405" t="e">
        <f>VLOOKUP(Table1[[#This Row],[MA_Number]],#REF!, 2,FALSE)</f>
        <v>#REF!</v>
      </c>
      <c r="AC405">
        <v>17</v>
      </c>
    </row>
    <row r="406" spans="1:29" hidden="1" x14ac:dyDescent="0.3">
      <c r="A406" t="s">
        <v>471</v>
      </c>
      <c r="B406" s="1">
        <v>7247761330</v>
      </c>
      <c r="C406" s="1"/>
      <c r="D406" t="s">
        <v>1187</v>
      </c>
      <c r="F406" t="b">
        <v>1</v>
      </c>
      <c r="I406">
        <v>1</v>
      </c>
      <c r="J406" t="s">
        <v>671</v>
      </c>
      <c r="K406" t="s">
        <v>671</v>
      </c>
      <c r="L406" t="s">
        <v>671</v>
      </c>
      <c r="O406" t="b">
        <v>1</v>
      </c>
      <c r="AA406" t="e">
        <f>Table1[[#This Row],[qPer board]]*Table1[[#This Row],[boards]]</f>
        <v>#REF!</v>
      </c>
      <c r="AB406" t="e">
        <f>VLOOKUP(Table1[[#This Row],[MA_Number]],#REF!, 2,FALSE)</f>
        <v>#REF!</v>
      </c>
      <c r="AC406">
        <v>17</v>
      </c>
    </row>
    <row r="407" spans="1:29" hidden="1" x14ac:dyDescent="0.3">
      <c r="B407" s="1">
        <v>7247761330</v>
      </c>
      <c r="C407" s="1"/>
      <c r="E407" t="s">
        <v>1517</v>
      </c>
      <c r="G407" t="s">
        <v>471</v>
      </c>
      <c r="H407" t="s">
        <v>1518</v>
      </c>
      <c r="I407">
        <v>1</v>
      </c>
      <c r="J407">
        <v>25</v>
      </c>
      <c r="K407">
        <v>25</v>
      </c>
      <c r="L407">
        <v>35</v>
      </c>
      <c r="N407" t="s">
        <v>40</v>
      </c>
      <c r="O407" t="b">
        <v>1</v>
      </c>
      <c r="AA407" t="e">
        <f>Table1[[#This Row],[qPer board]]*Table1[[#This Row],[boards]]</f>
        <v>#REF!</v>
      </c>
      <c r="AB407" t="e">
        <f>VLOOKUP(Table1[[#This Row],[MA_Number]],#REF!, 2,FALSE)</f>
        <v>#REF!</v>
      </c>
      <c r="AC407">
        <v>17</v>
      </c>
    </row>
    <row r="408" spans="1:29" hidden="1" x14ac:dyDescent="0.3">
      <c r="B408" s="1">
        <v>7247761330</v>
      </c>
      <c r="C408" s="1"/>
      <c r="E408" t="s">
        <v>1519</v>
      </c>
      <c r="G408" t="s">
        <v>471</v>
      </c>
      <c r="H408" t="s">
        <v>1520</v>
      </c>
      <c r="I408">
        <v>1</v>
      </c>
      <c r="J408">
        <v>45</v>
      </c>
      <c r="K408">
        <v>25</v>
      </c>
      <c r="L408">
        <v>47</v>
      </c>
      <c r="M408" t="s">
        <v>49</v>
      </c>
      <c r="N408" t="s">
        <v>24</v>
      </c>
      <c r="O408" t="b">
        <v>1</v>
      </c>
      <c r="AA408" t="e">
        <f>Table1[[#This Row],[qPer board]]*Table1[[#This Row],[boards]]</f>
        <v>#REF!</v>
      </c>
      <c r="AB408" t="e">
        <f>VLOOKUP(Table1[[#This Row],[MA_Number]],#REF!, 2,FALSE)</f>
        <v>#REF!</v>
      </c>
      <c r="AC408">
        <v>17</v>
      </c>
    </row>
    <row r="409" spans="1:29" hidden="1" x14ac:dyDescent="0.3">
      <c r="B409" s="1">
        <v>7247761330</v>
      </c>
      <c r="C409" s="1"/>
      <c r="E409" t="s">
        <v>1521</v>
      </c>
      <c r="G409" t="s">
        <v>471</v>
      </c>
      <c r="H409" t="s">
        <v>1522</v>
      </c>
      <c r="I409">
        <v>1</v>
      </c>
      <c r="J409">
        <v>78</v>
      </c>
      <c r="K409">
        <v>30</v>
      </c>
      <c r="L409">
        <v>35</v>
      </c>
      <c r="M409" t="s">
        <v>49</v>
      </c>
      <c r="N409" t="s">
        <v>24</v>
      </c>
      <c r="O409" t="b">
        <v>1</v>
      </c>
      <c r="AA409" t="e">
        <f>Table1[[#This Row],[qPer board]]*Table1[[#This Row],[boards]]</f>
        <v>#REF!</v>
      </c>
      <c r="AB409" t="e">
        <f>VLOOKUP(Table1[[#This Row],[MA_Number]],#REF!, 2,FALSE)</f>
        <v>#REF!</v>
      </c>
      <c r="AC409">
        <v>17</v>
      </c>
    </row>
    <row r="410" spans="1:29" hidden="1" x14ac:dyDescent="0.3">
      <c r="A410" t="s">
        <v>1523</v>
      </c>
      <c r="B410" s="1">
        <v>7247764130</v>
      </c>
      <c r="C410" s="1"/>
      <c r="D410" t="s">
        <v>1187</v>
      </c>
      <c r="F410" t="b">
        <v>1</v>
      </c>
      <c r="I410">
        <v>1</v>
      </c>
      <c r="J410" t="s">
        <v>671</v>
      </c>
      <c r="K410" t="s">
        <v>671</v>
      </c>
      <c r="L410" t="s">
        <v>671</v>
      </c>
      <c r="O410" t="b">
        <v>1</v>
      </c>
      <c r="AA410" t="e">
        <f>Table1[[#This Row],[qPer board]]*Table1[[#This Row],[boards]]</f>
        <v>#REF!</v>
      </c>
      <c r="AB410" t="e">
        <f>VLOOKUP(Table1[[#This Row],[MA_Number]],#REF!, 2,FALSE)</f>
        <v>#REF!</v>
      </c>
      <c r="AC410">
        <v>17</v>
      </c>
    </row>
    <row r="411" spans="1:29" hidden="1" x14ac:dyDescent="0.3">
      <c r="B411" s="1">
        <v>7247764130</v>
      </c>
      <c r="C411" s="1"/>
      <c r="E411" t="s">
        <v>1524</v>
      </c>
      <c r="G411" t="s">
        <v>1523</v>
      </c>
      <c r="H411" t="s">
        <v>1525</v>
      </c>
      <c r="I411">
        <v>1</v>
      </c>
      <c r="J411">
        <v>22</v>
      </c>
      <c r="K411">
        <v>25</v>
      </c>
      <c r="L411">
        <v>35</v>
      </c>
      <c r="N411" t="s">
        <v>40</v>
      </c>
      <c r="O411" t="b">
        <v>1</v>
      </c>
      <c r="AA411" t="e">
        <f>Table1[[#This Row],[qPer board]]*Table1[[#This Row],[boards]]</f>
        <v>#REF!</v>
      </c>
      <c r="AB411" t="e">
        <f>VLOOKUP(Table1[[#This Row],[MA_Number]],#REF!, 2,FALSE)</f>
        <v>#REF!</v>
      </c>
      <c r="AC411">
        <v>17</v>
      </c>
    </row>
    <row r="412" spans="1:29" hidden="1" x14ac:dyDescent="0.3">
      <c r="A412" t="s">
        <v>1186</v>
      </c>
      <c r="B412" s="1">
        <v>7247781530</v>
      </c>
      <c r="C412" s="1"/>
      <c r="D412" t="s">
        <v>1187</v>
      </c>
      <c r="E412" t="s">
        <v>1526</v>
      </c>
      <c r="F412" t="b">
        <v>1</v>
      </c>
      <c r="I412">
        <v>1</v>
      </c>
      <c r="J412" t="s">
        <v>671</v>
      </c>
      <c r="K412" t="s">
        <v>671</v>
      </c>
      <c r="L412" t="s">
        <v>671</v>
      </c>
      <c r="O412" t="b">
        <v>1</v>
      </c>
      <c r="AA412" t="e">
        <f>Table1[[#This Row],[qPer board]]*Table1[[#This Row],[boards]]</f>
        <v>#REF!</v>
      </c>
      <c r="AB412" t="e">
        <f>VLOOKUP(Table1[[#This Row],[MA_Number]],#REF!, 2,FALSE)</f>
        <v>#REF!</v>
      </c>
      <c r="AC412">
        <v>17</v>
      </c>
    </row>
    <row r="413" spans="1:29" hidden="1" x14ac:dyDescent="0.3">
      <c r="B413" s="1">
        <v>7247781530</v>
      </c>
      <c r="C413" s="1"/>
      <c r="E413" t="s">
        <v>1527</v>
      </c>
      <c r="G413" t="s">
        <v>1186</v>
      </c>
      <c r="H413" t="s">
        <v>1528</v>
      </c>
      <c r="I413">
        <v>1</v>
      </c>
      <c r="J413">
        <v>33</v>
      </c>
      <c r="K413">
        <v>30</v>
      </c>
      <c r="L413">
        <v>32</v>
      </c>
      <c r="N413" t="s">
        <v>40</v>
      </c>
      <c r="O413" t="b">
        <v>1</v>
      </c>
      <c r="AA413" t="e">
        <f>Table1[[#This Row],[qPer board]]*Table1[[#This Row],[boards]]</f>
        <v>#REF!</v>
      </c>
      <c r="AB413" t="e">
        <f>VLOOKUP(Table1[[#This Row],[MA_Number]],#REF!, 2,FALSE)</f>
        <v>#REF!</v>
      </c>
      <c r="AC413">
        <v>17</v>
      </c>
    </row>
    <row r="414" spans="1:29" hidden="1" x14ac:dyDescent="0.3">
      <c r="B414" s="1">
        <v>7247781530</v>
      </c>
      <c r="C414" s="1"/>
      <c r="E414" t="s">
        <v>1529</v>
      </c>
      <c r="G414" t="s">
        <v>1186</v>
      </c>
      <c r="H414" t="s">
        <v>1530</v>
      </c>
      <c r="I414">
        <v>1</v>
      </c>
      <c r="J414">
        <v>52</v>
      </c>
      <c r="K414">
        <v>30</v>
      </c>
      <c r="L414">
        <v>47</v>
      </c>
      <c r="M414" t="s">
        <v>49</v>
      </c>
      <c r="N414" t="s">
        <v>24</v>
      </c>
      <c r="O414" t="b">
        <v>1</v>
      </c>
      <c r="AA414" t="e">
        <f>Table1[[#This Row],[qPer board]]*Table1[[#This Row],[boards]]</f>
        <v>#REF!</v>
      </c>
      <c r="AB414" t="e">
        <f>VLOOKUP(Table1[[#This Row],[MA_Number]],#REF!, 2,FALSE)</f>
        <v>#REF!</v>
      </c>
      <c r="AC414">
        <v>17</v>
      </c>
    </row>
    <row r="415" spans="1:29" hidden="1" x14ac:dyDescent="0.3">
      <c r="B415" s="1">
        <v>7247781530</v>
      </c>
      <c r="C415" s="1"/>
      <c r="E415" t="s">
        <v>1531</v>
      </c>
      <c r="G415" t="s">
        <v>1186</v>
      </c>
      <c r="H415" t="s">
        <v>1532</v>
      </c>
      <c r="I415">
        <v>1</v>
      </c>
      <c r="J415">
        <v>74</v>
      </c>
      <c r="K415">
        <v>30</v>
      </c>
      <c r="L415">
        <v>35</v>
      </c>
      <c r="M415" t="s">
        <v>49</v>
      </c>
      <c r="N415" t="s">
        <v>24</v>
      </c>
      <c r="O415" t="b">
        <v>1</v>
      </c>
      <c r="AA415" t="e">
        <f>Table1[[#This Row],[qPer board]]*Table1[[#This Row],[boards]]</f>
        <v>#REF!</v>
      </c>
      <c r="AB415" t="e">
        <f>VLOOKUP(Table1[[#This Row],[MA_Number]],#REF!, 2,FALSE)</f>
        <v>#REF!</v>
      </c>
      <c r="AC415">
        <v>17</v>
      </c>
    </row>
    <row r="416" spans="1:29" hidden="1" x14ac:dyDescent="0.3">
      <c r="A416" t="s">
        <v>1533</v>
      </c>
      <c r="B416" s="1">
        <v>7247787730</v>
      </c>
      <c r="C416" s="1"/>
      <c r="D416" t="s">
        <v>1187</v>
      </c>
      <c r="F416" t="b">
        <v>1</v>
      </c>
      <c r="I416">
        <v>1</v>
      </c>
      <c r="J416" t="s">
        <v>671</v>
      </c>
      <c r="K416" t="s">
        <v>671</v>
      </c>
      <c r="L416" t="s">
        <v>671</v>
      </c>
      <c r="O416" t="b">
        <v>1</v>
      </c>
      <c r="AA416" t="e">
        <f>Table1[[#This Row],[qPer board]]*Table1[[#This Row],[boards]]</f>
        <v>#REF!</v>
      </c>
      <c r="AB416" t="e">
        <f>VLOOKUP(Table1[[#This Row],[MA_Number]],#REF!, 2,FALSE)</f>
        <v>#REF!</v>
      </c>
      <c r="AC416">
        <v>17</v>
      </c>
    </row>
    <row r="417" spans="1:29" hidden="1" x14ac:dyDescent="0.3">
      <c r="B417" s="1">
        <v>7247787730</v>
      </c>
      <c r="C417" s="1"/>
      <c r="E417" t="s">
        <v>1534</v>
      </c>
      <c r="G417" t="s">
        <v>1533</v>
      </c>
      <c r="H417" t="s">
        <v>1535</v>
      </c>
      <c r="I417">
        <v>1</v>
      </c>
      <c r="J417">
        <v>22</v>
      </c>
      <c r="K417">
        <v>24</v>
      </c>
      <c r="L417">
        <v>35</v>
      </c>
      <c r="N417" t="s">
        <v>40</v>
      </c>
      <c r="O417" t="b">
        <v>1</v>
      </c>
      <c r="AA417" t="e">
        <f>Table1[[#This Row],[qPer board]]*Table1[[#This Row],[boards]]</f>
        <v>#REF!</v>
      </c>
      <c r="AB417" t="e">
        <f>VLOOKUP(Table1[[#This Row],[MA_Number]],#REF!, 2,FALSE)</f>
        <v>#REF!</v>
      </c>
      <c r="AC417">
        <v>17</v>
      </c>
    </row>
    <row r="418" spans="1:29" hidden="1" x14ac:dyDescent="0.3">
      <c r="A418" t="s">
        <v>1536</v>
      </c>
      <c r="B418" s="1">
        <v>7252779130</v>
      </c>
      <c r="C418" s="1"/>
      <c r="D418" t="s">
        <v>1187</v>
      </c>
      <c r="E418" t="s">
        <v>1200</v>
      </c>
      <c r="F418" t="b">
        <v>1</v>
      </c>
      <c r="I418">
        <v>1</v>
      </c>
      <c r="J418" t="s">
        <v>671</v>
      </c>
      <c r="K418" t="s">
        <v>671</v>
      </c>
      <c r="L418" t="s">
        <v>671</v>
      </c>
      <c r="AA418" t="e">
        <f>Table1[[#This Row],[qPer board]]*Table1[[#This Row],[boards]]</f>
        <v>#REF!</v>
      </c>
      <c r="AB418" t="e">
        <f>VLOOKUP(Table1[[#This Row],[MA_Number]],#REF!, 2,FALSE)</f>
        <v>#REF!</v>
      </c>
      <c r="AC418">
        <v>17</v>
      </c>
    </row>
    <row r="419" spans="1:29" hidden="1" x14ac:dyDescent="0.3">
      <c r="B419" s="1">
        <v>7252779130</v>
      </c>
      <c r="C419" s="1"/>
      <c r="G419" t="s">
        <v>1536</v>
      </c>
      <c r="H419" t="s">
        <v>1537</v>
      </c>
      <c r="I419">
        <v>1</v>
      </c>
      <c r="AA419" t="e">
        <f>Table1[[#This Row],[qPer board]]*Table1[[#This Row],[boards]]</f>
        <v>#REF!</v>
      </c>
      <c r="AB419" t="e">
        <f>VLOOKUP(Table1[[#This Row],[MA_Number]],#REF!, 2,FALSE)</f>
        <v>#REF!</v>
      </c>
      <c r="AC419">
        <v>17</v>
      </c>
    </row>
    <row r="420" spans="1:29" hidden="1" x14ac:dyDescent="0.3">
      <c r="A420" t="s">
        <v>1538</v>
      </c>
      <c r="B420" s="1">
        <v>7252785330</v>
      </c>
      <c r="C420" s="1"/>
      <c r="D420" t="s">
        <v>1187</v>
      </c>
      <c r="E420" t="s">
        <v>1200</v>
      </c>
      <c r="F420" t="b">
        <v>1</v>
      </c>
      <c r="I420">
        <v>1</v>
      </c>
      <c r="J420" t="s">
        <v>671</v>
      </c>
      <c r="K420" t="s">
        <v>671</v>
      </c>
      <c r="L420" t="s">
        <v>671</v>
      </c>
      <c r="AA420" t="e">
        <f>Table1[[#This Row],[qPer board]]*Table1[[#This Row],[boards]]</f>
        <v>#REF!</v>
      </c>
      <c r="AB420" t="e">
        <f>VLOOKUP(Table1[[#This Row],[MA_Number]],#REF!, 2,FALSE)</f>
        <v>#REF!</v>
      </c>
      <c r="AC420">
        <v>17</v>
      </c>
    </row>
    <row r="421" spans="1:29" hidden="1" x14ac:dyDescent="0.3">
      <c r="B421" s="1">
        <v>7252785330</v>
      </c>
      <c r="C421" s="1"/>
      <c r="G421" t="s">
        <v>1538</v>
      </c>
      <c r="H421" t="s">
        <v>1512</v>
      </c>
      <c r="I421">
        <v>1</v>
      </c>
      <c r="AA421" t="e">
        <f>Table1[[#This Row],[qPer board]]*Table1[[#This Row],[boards]]</f>
        <v>#REF!</v>
      </c>
      <c r="AB421" t="e">
        <f>VLOOKUP(Table1[[#This Row],[MA_Number]],#REF!, 2,FALSE)</f>
        <v>#REF!</v>
      </c>
      <c r="AC421">
        <v>17</v>
      </c>
    </row>
    <row r="422" spans="1:29" hidden="1" x14ac:dyDescent="0.3">
      <c r="A422" t="s">
        <v>1539</v>
      </c>
      <c r="B422" s="1">
        <v>7252809330</v>
      </c>
      <c r="C422" s="1"/>
      <c r="D422" t="s">
        <v>1187</v>
      </c>
      <c r="F422" t="b">
        <v>1</v>
      </c>
      <c r="I422">
        <v>1</v>
      </c>
      <c r="J422" t="s">
        <v>671</v>
      </c>
      <c r="K422" t="s">
        <v>671</v>
      </c>
      <c r="L422" t="s">
        <v>671</v>
      </c>
      <c r="O422" t="b">
        <v>1</v>
      </c>
      <c r="AA422" t="e">
        <f>Table1[[#This Row],[qPer board]]*Table1[[#This Row],[boards]]</f>
        <v>#REF!</v>
      </c>
      <c r="AB422" t="e">
        <f>VLOOKUP(Table1[[#This Row],[MA_Number]],#REF!, 2,FALSE)</f>
        <v>#REF!</v>
      </c>
      <c r="AC422">
        <v>17</v>
      </c>
    </row>
    <row r="423" spans="1:29" hidden="1" x14ac:dyDescent="0.3">
      <c r="B423" s="1">
        <v>7252809330</v>
      </c>
      <c r="C423" s="1"/>
      <c r="E423" t="s">
        <v>1540</v>
      </c>
      <c r="G423" t="s">
        <v>1539</v>
      </c>
      <c r="H423" t="s">
        <v>1541</v>
      </c>
      <c r="I423">
        <v>1</v>
      </c>
      <c r="J423">
        <v>35</v>
      </c>
      <c r="K423">
        <v>35</v>
      </c>
      <c r="L423">
        <v>35</v>
      </c>
      <c r="N423" t="s">
        <v>40</v>
      </c>
      <c r="O423" t="b">
        <v>1</v>
      </c>
      <c r="AA423" t="e">
        <f>Table1[[#This Row],[qPer board]]*Table1[[#This Row],[boards]]</f>
        <v>#REF!</v>
      </c>
      <c r="AB423" t="e">
        <f>VLOOKUP(Table1[[#This Row],[MA_Number]],#REF!, 2,FALSE)</f>
        <v>#REF!</v>
      </c>
      <c r="AC423">
        <v>17</v>
      </c>
    </row>
    <row r="424" spans="1:29" hidden="1" x14ac:dyDescent="0.3">
      <c r="A424" t="s">
        <v>1542</v>
      </c>
      <c r="B424" s="1" t="s">
        <v>1543</v>
      </c>
      <c r="C424" s="1"/>
      <c r="D424" t="s">
        <v>280</v>
      </c>
      <c r="E424" t="s">
        <v>1544</v>
      </c>
      <c r="F424" t="b">
        <v>1</v>
      </c>
      <c r="I424">
        <v>1</v>
      </c>
      <c r="J424" t="s">
        <v>671</v>
      </c>
      <c r="K424" t="s">
        <v>671</v>
      </c>
      <c r="L424" t="s">
        <v>671</v>
      </c>
      <c r="O424" t="b">
        <v>1</v>
      </c>
      <c r="AA424" t="e">
        <f>Table1[[#This Row],[qPer board]]*Table1[[#This Row],[boards]]</f>
        <v>#REF!</v>
      </c>
      <c r="AB424" t="e">
        <f>VLOOKUP(Table1[[#This Row],[MA_Number]],#REF!, 2,FALSE)</f>
        <v>#REF!</v>
      </c>
      <c r="AC424">
        <v>17</v>
      </c>
    </row>
    <row r="425" spans="1:29" hidden="1" x14ac:dyDescent="0.3">
      <c r="B425" s="1" t="s">
        <v>1543</v>
      </c>
      <c r="C425" s="1"/>
      <c r="E425" t="s">
        <v>1545</v>
      </c>
      <c r="G425" t="s">
        <v>1542</v>
      </c>
      <c r="H425" t="s">
        <v>1546</v>
      </c>
      <c r="I425">
        <v>1</v>
      </c>
      <c r="J425">
        <v>60</v>
      </c>
      <c r="K425">
        <v>40</v>
      </c>
      <c r="L425">
        <v>53</v>
      </c>
      <c r="M425" t="s">
        <v>49</v>
      </c>
      <c r="N425" t="s">
        <v>24</v>
      </c>
      <c r="O425" t="b">
        <v>1</v>
      </c>
      <c r="AA425" t="e">
        <f>Table1[[#This Row],[qPer board]]*Table1[[#This Row],[boards]]</f>
        <v>#REF!</v>
      </c>
      <c r="AB425" t="e">
        <f>VLOOKUP(Table1[[#This Row],[MA_Number]],#REF!, 2,FALSE)</f>
        <v>#REF!</v>
      </c>
      <c r="AC425">
        <v>17</v>
      </c>
    </row>
    <row r="426" spans="1:29" hidden="1" x14ac:dyDescent="0.3">
      <c r="B426" s="1" t="s">
        <v>1543</v>
      </c>
      <c r="C426" s="1"/>
      <c r="E426" t="s">
        <v>1547</v>
      </c>
      <c r="G426" t="s">
        <v>1542</v>
      </c>
      <c r="H426" t="s">
        <v>1548</v>
      </c>
      <c r="I426">
        <v>1</v>
      </c>
      <c r="J426">
        <v>60</v>
      </c>
      <c r="K426">
        <v>40</v>
      </c>
      <c r="L426">
        <v>30</v>
      </c>
      <c r="M426" t="s">
        <v>49</v>
      </c>
      <c r="N426" t="s">
        <v>24</v>
      </c>
      <c r="O426" t="b">
        <v>1</v>
      </c>
      <c r="AA426" t="e">
        <f>Table1[[#This Row],[qPer board]]*Table1[[#This Row],[boards]]</f>
        <v>#REF!</v>
      </c>
      <c r="AB426" t="e">
        <f>VLOOKUP(Table1[[#This Row],[MA_Number]],#REF!, 2,FALSE)</f>
        <v>#REF!</v>
      </c>
      <c r="AC426">
        <v>17</v>
      </c>
    </row>
    <row r="427" spans="1:29" hidden="1" x14ac:dyDescent="0.3">
      <c r="B427" s="1" t="s">
        <v>1543</v>
      </c>
      <c r="C427" s="1"/>
      <c r="E427" t="s">
        <v>1549</v>
      </c>
      <c r="G427" t="s">
        <v>1542</v>
      </c>
      <c r="H427" t="s">
        <v>1550</v>
      </c>
      <c r="I427">
        <v>1</v>
      </c>
      <c r="J427">
        <v>60</v>
      </c>
      <c r="K427">
        <v>40</v>
      </c>
      <c r="L427">
        <v>20</v>
      </c>
      <c r="M427" t="s">
        <v>49</v>
      </c>
      <c r="N427" t="s">
        <v>24</v>
      </c>
      <c r="O427" t="b">
        <v>1</v>
      </c>
      <c r="AA427" t="e">
        <f>Table1[[#This Row],[qPer board]]*Table1[[#This Row],[boards]]</f>
        <v>#REF!</v>
      </c>
      <c r="AB427" t="e">
        <f>VLOOKUP(Table1[[#This Row],[MA_Number]],#REF!, 2,FALSE)</f>
        <v>#REF!</v>
      </c>
      <c r="AC427">
        <v>17</v>
      </c>
    </row>
    <row r="428" spans="1:29" hidden="1" x14ac:dyDescent="0.3">
      <c r="A428" t="s">
        <v>477</v>
      </c>
      <c r="B428" s="1" t="s">
        <v>1017</v>
      </c>
      <c r="C428" s="1"/>
      <c r="D428" t="s">
        <v>280</v>
      </c>
      <c r="E428" t="s">
        <v>1551</v>
      </c>
      <c r="F428" t="b">
        <v>1</v>
      </c>
      <c r="I428">
        <v>1</v>
      </c>
      <c r="J428" t="s">
        <v>671</v>
      </c>
      <c r="K428" t="s">
        <v>671</v>
      </c>
      <c r="L428" t="s">
        <v>671</v>
      </c>
      <c r="O428" t="b">
        <v>1</v>
      </c>
      <c r="AA428" t="e">
        <f>Table1[[#This Row],[qPer board]]*Table1[[#This Row],[boards]]</f>
        <v>#REF!</v>
      </c>
      <c r="AB428" t="e">
        <f>VLOOKUP(Table1[[#This Row],[MA_Number]],#REF!, 2,FALSE)</f>
        <v>#REF!</v>
      </c>
      <c r="AC428">
        <v>17</v>
      </c>
    </row>
    <row r="429" spans="1:29" hidden="1" x14ac:dyDescent="0.3">
      <c r="B429" s="1" t="s">
        <v>1017</v>
      </c>
      <c r="C429" s="1"/>
      <c r="E429" t="s">
        <v>1552</v>
      </c>
      <c r="G429" t="s">
        <v>477</v>
      </c>
      <c r="H429" t="s">
        <v>1553</v>
      </c>
      <c r="I429">
        <v>1</v>
      </c>
      <c r="J429">
        <v>61</v>
      </c>
      <c r="K429">
        <v>55</v>
      </c>
      <c r="L429">
        <v>48</v>
      </c>
      <c r="M429" t="s">
        <v>49</v>
      </c>
      <c r="N429" t="s">
        <v>24</v>
      </c>
      <c r="O429" t="b">
        <v>1</v>
      </c>
      <c r="AA429" t="e">
        <f>Table1[[#This Row],[qPer board]]*Table1[[#This Row],[boards]]</f>
        <v>#REF!</v>
      </c>
      <c r="AB429" t="e">
        <f>VLOOKUP(Table1[[#This Row],[MA_Number]],#REF!, 2,FALSE)</f>
        <v>#REF!</v>
      </c>
      <c r="AC429">
        <v>17</v>
      </c>
    </row>
    <row r="430" spans="1:29" hidden="1" x14ac:dyDescent="0.3">
      <c r="B430" s="1" t="s">
        <v>1017</v>
      </c>
      <c r="C430" s="1"/>
      <c r="E430" t="s">
        <v>1554</v>
      </c>
      <c r="G430" t="s">
        <v>477</v>
      </c>
      <c r="H430" t="s">
        <v>1555</v>
      </c>
      <c r="I430">
        <v>1</v>
      </c>
      <c r="J430">
        <v>61</v>
      </c>
      <c r="K430">
        <v>55</v>
      </c>
      <c r="L430">
        <v>30</v>
      </c>
      <c r="M430" t="s">
        <v>49</v>
      </c>
      <c r="N430" t="s">
        <v>24</v>
      </c>
      <c r="O430" t="b">
        <v>1</v>
      </c>
      <c r="AA430" t="e">
        <f>Table1[[#This Row],[qPer board]]*Table1[[#This Row],[boards]]</f>
        <v>#REF!</v>
      </c>
      <c r="AB430" t="e">
        <f>VLOOKUP(Table1[[#This Row],[MA_Number]],#REF!, 2,FALSE)</f>
        <v>#REF!</v>
      </c>
      <c r="AC430">
        <v>17</v>
      </c>
    </row>
    <row r="431" spans="1:29" hidden="1" x14ac:dyDescent="0.3">
      <c r="B431" s="1" t="s">
        <v>1017</v>
      </c>
      <c r="C431" s="1"/>
      <c r="E431" t="s">
        <v>1556</v>
      </c>
      <c r="G431" t="s">
        <v>477</v>
      </c>
      <c r="H431" t="s">
        <v>1557</v>
      </c>
      <c r="I431">
        <v>1</v>
      </c>
      <c r="J431">
        <v>61</v>
      </c>
      <c r="K431">
        <v>55</v>
      </c>
      <c r="L431">
        <v>20</v>
      </c>
      <c r="M431" t="s">
        <v>49</v>
      </c>
      <c r="N431" t="s">
        <v>24</v>
      </c>
      <c r="O431" t="b">
        <v>1</v>
      </c>
      <c r="AA431" t="e">
        <f>Table1[[#This Row],[qPer board]]*Table1[[#This Row],[boards]]</f>
        <v>#REF!</v>
      </c>
      <c r="AB431" t="e">
        <f>VLOOKUP(Table1[[#This Row],[MA_Number]],#REF!, 2,FALSE)</f>
        <v>#REF!</v>
      </c>
      <c r="AC431">
        <v>17</v>
      </c>
    </row>
    <row r="432" spans="1:29" hidden="1" x14ac:dyDescent="0.3">
      <c r="A432" t="s">
        <v>701</v>
      </c>
      <c r="B432" s="1" t="s">
        <v>1558</v>
      </c>
      <c r="C432" s="1"/>
      <c r="D432" t="s">
        <v>280</v>
      </c>
      <c r="E432" t="s">
        <v>1559</v>
      </c>
      <c r="F432" t="b">
        <v>1</v>
      </c>
      <c r="I432">
        <v>1</v>
      </c>
      <c r="J432" t="s">
        <v>671</v>
      </c>
      <c r="K432" t="s">
        <v>671</v>
      </c>
      <c r="L432" t="s">
        <v>671</v>
      </c>
      <c r="O432" t="b">
        <v>1</v>
      </c>
      <c r="AA432" t="e">
        <f>Table1[[#This Row],[qPer board]]*Table1[[#This Row],[boards]]</f>
        <v>#REF!</v>
      </c>
      <c r="AB432" t="e">
        <f>VLOOKUP(Table1[[#This Row],[MA_Number]],#REF!, 2,FALSE)</f>
        <v>#REF!</v>
      </c>
      <c r="AC432">
        <v>17</v>
      </c>
    </row>
    <row r="433" spans="1:29" hidden="1" x14ac:dyDescent="0.3">
      <c r="B433" s="1" t="s">
        <v>1558</v>
      </c>
      <c r="C433" s="1"/>
      <c r="E433" t="s">
        <v>1560</v>
      </c>
      <c r="G433" t="s">
        <v>701</v>
      </c>
      <c r="H433" t="s">
        <v>1561</v>
      </c>
      <c r="I433">
        <v>1</v>
      </c>
      <c r="J433">
        <v>61</v>
      </c>
      <c r="K433">
        <v>42</v>
      </c>
      <c r="L433">
        <v>53</v>
      </c>
      <c r="M433" t="s">
        <v>49</v>
      </c>
      <c r="N433" t="s">
        <v>24</v>
      </c>
      <c r="O433" t="b">
        <v>1</v>
      </c>
      <c r="AA433" t="e">
        <f>Table1[[#This Row],[qPer board]]*Table1[[#This Row],[boards]]</f>
        <v>#REF!</v>
      </c>
      <c r="AB433" t="e">
        <f>VLOOKUP(Table1[[#This Row],[MA_Number]],#REF!, 2,FALSE)</f>
        <v>#REF!</v>
      </c>
      <c r="AC433">
        <v>17</v>
      </c>
    </row>
    <row r="434" spans="1:29" hidden="1" x14ac:dyDescent="0.3">
      <c r="B434" s="1" t="s">
        <v>1558</v>
      </c>
      <c r="C434" s="1"/>
      <c r="E434" t="s">
        <v>1562</v>
      </c>
      <c r="G434" t="s">
        <v>701</v>
      </c>
      <c r="H434" t="s">
        <v>1563</v>
      </c>
      <c r="I434">
        <v>1</v>
      </c>
      <c r="J434">
        <v>61</v>
      </c>
      <c r="K434">
        <v>42</v>
      </c>
      <c r="L434">
        <v>30</v>
      </c>
      <c r="M434" t="s">
        <v>49</v>
      </c>
      <c r="N434" t="s">
        <v>24</v>
      </c>
      <c r="O434" t="b">
        <v>1</v>
      </c>
      <c r="AA434" t="e">
        <f>Table1[[#This Row],[qPer board]]*Table1[[#This Row],[boards]]</f>
        <v>#REF!</v>
      </c>
      <c r="AB434" t="e">
        <f>VLOOKUP(Table1[[#This Row],[MA_Number]],#REF!, 2,FALSE)</f>
        <v>#REF!</v>
      </c>
      <c r="AC434">
        <v>17</v>
      </c>
    </row>
    <row r="435" spans="1:29" hidden="1" x14ac:dyDescent="0.3">
      <c r="B435" s="1" t="s">
        <v>1558</v>
      </c>
      <c r="C435" s="1"/>
      <c r="E435" t="s">
        <v>1564</v>
      </c>
      <c r="G435" t="s">
        <v>701</v>
      </c>
      <c r="H435" t="s">
        <v>1565</v>
      </c>
      <c r="I435">
        <v>1</v>
      </c>
      <c r="J435">
        <v>61</v>
      </c>
      <c r="K435">
        <v>42</v>
      </c>
      <c r="L435">
        <v>20</v>
      </c>
      <c r="M435" t="s">
        <v>49</v>
      </c>
      <c r="N435" t="s">
        <v>24</v>
      </c>
      <c r="O435" t="b">
        <v>1</v>
      </c>
      <c r="AA435" t="e">
        <f>Table1[[#This Row],[qPer board]]*Table1[[#This Row],[boards]]</f>
        <v>#REF!</v>
      </c>
      <c r="AB435" t="e">
        <f>VLOOKUP(Table1[[#This Row],[MA_Number]],#REF!, 2,FALSE)</f>
        <v>#REF!</v>
      </c>
      <c r="AC435">
        <v>17</v>
      </c>
    </row>
    <row r="436" spans="1:29" hidden="1" x14ac:dyDescent="0.3">
      <c r="A436" t="s">
        <v>479</v>
      </c>
      <c r="B436" s="1" t="s">
        <v>1027</v>
      </c>
      <c r="C436" s="1"/>
      <c r="D436" t="s">
        <v>280</v>
      </c>
      <c r="E436" t="s">
        <v>1566</v>
      </c>
      <c r="F436" t="b">
        <v>1</v>
      </c>
      <c r="I436">
        <v>1</v>
      </c>
      <c r="J436" t="s">
        <v>671</v>
      </c>
      <c r="K436" t="s">
        <v>671</v>
      </c>
      <c r="L436" t="s">
        <v>671</v>
      </c>
      <c r="O436" t="b">
        <v>1</v>
      </c>
      <c r="AA436" t="e">
        <f>Table1[[#This Row],[qPer board]]*Table1[[#This Row],[boards]]</f>
        <v>#REF!</v>
      </c>
      <c r="AB436" t="e">
        <f>VLOOKUP(Table1[[#This Row],[MA_Number]],#REF!, 2,FALSE)</f>
        <v>#REF!</v>
      </c>
      <c r="AC436">
        <v>17</v>
      </c>
    </row>
    <row r="437" spans="1:29" hidden="1" x14ac:dyDescent="0.3">
      <c r="B437" s="1" t="s">
        <v>1027</v>
      </c>
      <c r="C437" s="1"/>
      <c r="E437" t="s">
        <v>1567</v>
      </c>
      <c r="G437" t="s">
        <v>479</v>
      </c>
      <c r="H437" t="s">
        <v>1568</v>
      </c>
      <c r="I437">
        <v>1</v>
      </c>
      <c r="J437">
        <v>60</v>
      </c>
      <c r="K437">
        <v>46</v>
      </c>
      <c r="L437">
        <v>47</v>
      </c>
      <c r="M437" t="s">
        <v>49</v>
      </c>
      <c r="N437" t="s">
        <v>24</v>
      </c>
      <c r="O437" t="b">
        <v>1</v>
      </c>
      <c r="AA437" t="e">
        <f>Table1[[#This Row],[qPer board]]*Table1[[#This Row],[boards]]</f>
        <v>#REF!</v>
      </c>
      <c r="AB437" t="e">
        <f>VLOOKUP(Table1[[#This Row],[MA_Number]],#REF!, 2,FALSE)</f>
        <v>#REF!</v>
      </c>
      <c r="AC437">
        <v>17</v>
      </c>
    </row>
    <row r="438" spans="1:29" hidden="1" x14ac:dyDescent="0.3">
      <c r="B438" s="1" t="s">
        <v>1027</v>
      </c>
      <c r="C438" s="1"/>
      <c r="E438" t="s">
        <v>1569</v>
      </c>
      <c r="G438" t="s">
        <v>479</v>
      </c>
      <c r="H438" t="s">
        <v>1570</v>
      </c>
      <c r="I438">
        <v>1</v>
      </c>
      <c r="J438">
        <v>60</v>
      </c>
      <c r="K438">
        <v>46</v>
      </c>
      <c r="L438">
        <v>30</v>
      </c>
      <c r="M438" t="s">
        <v>49</v>
      </c>
      <c r="N438" t="s">
        <v>24</v>
      </c>
      <c r="O438" t="b">
        <v>1</v>
      </c>
      <c r="AA438" t="e">
        <f>Table1[[#This Row],[qPer board]]*Table1[[#This Row],[boards]]</f>
        <v>#REF!</v>
      </c>
      <c r="AB438" t="e">
        <f>VLOOKUP(Table1[[#This Row],[MA_Number]],#REF!, 2,FALSE)</f>
        <v>#REF!</v>
      </c>
      <c r="AC438">
        <v>17</v>
      </c>
    </row>
    <row r="439" spans="1:29" hidden="1" x14ac:dyDescent="0.3">
      <c r="B439" s="1" t="s">
        <v>1027</v>
      </c>
      <c r="C439" s="1"/>
      <c r="E439" t="s">
        <v>1571</v>
      </c>
      <c r="G439" t="s">
        <v>479</v>
      </c>
      <c r="H439" t="s">
        <v>1572</v>
      </c>
      <c r="I439">
        <v>1</v>
      </c>
      <c r="J439">
        <v>60</v>
      </c>
      <c r="K439">
        <v>46</v>
      </c>
      <c r="L439">
        <v>20</v>
      </c>
      <c r="M439" t="s">
        <v>49</v>
      </c>
      <c r="N439" t="s">
        <v>24</v>
      </c>
      <c r="O439" t="b">
        <v>1</v>
      </c>
      <c r="AA439" t="e">
        <f>Table1[[#This Row],[qPer board]]*Table1[[#This Row],[boards]]</f>
        <v>#REF!</v>
      </c>
      <c r="AB439" t="e">
        <f>VLOOKUP(Table1[[#This Row],[MA_Number]],#REF!, 2,FALSE)</f>
        <v>#REF!</v>
      </c>
      <c r="AC439">
        <v>17</v>
      </c>
    </row>
    <row r="440" spans="1:29" hidden="1" x14ac:dyDescent="0.3">
      <c r="A440" t="s">
        <v>480</v>
      </c>
      <c r="B440" s="1" t="s">
        <v>1021</v>
      </c>
      <c r="C440" s="1"/>
      <c r="D440" t="s">
        <v>280</v>
      </c>
      <c r="E440" t="s">
        <v>1573</v>
      </c>
      <c r="F440" t="b">
        <v>1</v>
      </c>
      <c r="I440">
        <v>1</v>
      </c>
      <c r="J440" t="s">
        <v>671</v>
      </c>
      <c r="K440" t="s">
        <v>671</v>
      </c>
      <c r="L440" t="s">
        <v>671</v>
      </c>
      <c r="O440" t="b">
        <v>1</v>
      </c>
      <c r="AA440" t="e">
        <f>Table1[[#This Row],[qPer board]]*Table1[[#This Row],[boards]]</f>
        <v>#REF!</v>
      </c>
      <c r="AB440" t="e">
        <f>VLOOKUP(Table1[[#This Row],[MA_Number]],#REF!, 2,FALSE)</f>
        <v>#REF!</v>
      </c>
      <c r="AC440">
        <v>17</v>
      </c>
    </row>
    <row r="441" spans="1:29" hidden="1" x14ac:dyDescent="0.3">
      <c r="B441" s="1" t="s">
        <v>1021</v>
      </c>
      <c r="C441" s="1"/>
      <c r="E441" t="s">
        <v>1574</v>
      </c>
      <c r="G441" t="s">
        <v>480</v>
      </c>
      <c r="H441" t="s">
        <v>1575</v>
      </c>
      <c r="I441">
        <v>1</v>
      </c>
      <c r="J441">
        <v>60</v>
      </c>
      <c r="K441">
        <v>41</v>
      </c>
      <c r="L441">
        <v>51</v>
      </c>
      <c r="M441" t="s">
        <v>49</v>
      </c>
      <c r="N441" t="s">
        <v>24</v>
      </c>
      <c r="O441" t="b">
        <v>1</v>
      </c>
      <c r="AA441" t="e">
        <f>Table1[[#This Row],[qPer board]]*Table1[[#This Row],[boards]]</f>
        <v>#REF!</v>
      </c>
      <c r="AB441" t="e">
        <f>VLOOKUP(Table1[[#This Row],[MA_Number]],#REF!, 2,FALSE)</f>
        <v>#REF!</v>
      </c>
      <c r="AC441">
        <v>17</v>
      </c>
    </row>
    <row r="442" spans="1:29" hidden="1" x14ac:dyDescent="0.3">
      <c r="B442" s="1" t="s">
        <v>1021</v>
      </c>
      <c r="C442" s="1"/>
      <c r="E442" t="s">
        <v>1576</v>
      </c>
      <c r="G442" t="s">
        <v>480</v>
      </c>
      <c r="H442" t="s">
        <v>1577</v>
      </c>
      <c r="I442">
        <v>1</v>
      </c>
      <c r="J442">
        <v>60</v>
      </c>
      <c r="K442">
        <v>41</v>
      </c>
      <c r="L442">
        <v>30</v>
      </c>
      <c r="M442" t="s">
        <v>49</v>
      </c>
      <c r="N442" t="s">
        <v>24</v>
      </c>
      <c r="O442" t="b">
        <v>1</v>
      </c>
      <c r="AA442" t="e">
        <f>Table1[[#This Row],[qPer board]]*Table1[[#This Row],[boards]]</f>
        <v>#REF!</v>
      </c>
      <c r="AB442" t="e">
        <f>VLOOKUP(Table1[[#This Row],[MA_Number]],#REF!, 2,FALSE)</f>
        <v>#REF!</v>
      </c>
      <c r="AC442">
        <v>17</v>
      </c>
    </row>
    <row r="443" spans="1:29" hidden="1" x14ac:dyDescent="0.3">
      <c r="B443" s="1" t="s">
        <v>1021</v>
      </c>
      <c r="C443" s="1"/>
      <c r="E443" t="s">
        <v>1578</v>
      </c>
      <c r="G443" t="s">
        <v>480</v>
      </c>
      <c r="H443" t="s">
        <v>1579</v>
      </c>
      <c r="I443">
        <v>1</v>
      </c>
      <c r="J443">
        <v>60</v>
      </c>
      <c r="K443">
        <v>41</v>
      </c>
      <c r="L443">
        <v>20</v>
      </c>
      <c r="M443" t="s">
        <v>49</v>
      </c>
      <c r="N443" t="s">
        <v>24</v>
      </c>
      <c r="O443" t="b">
        <v>1</v>
      </c>
      <c r="AA443" t="e">
        <f>Table1[[#This Row],[qPer board]]*Table1[[#This Row],[boards]]</f>
        <v>#REF!</v>
      </c>
      <c r="AB443" t="e">
        <f>VLOOKUP(Table1[[#This Row],[MA_Number]],#REF!, 2,FALSE)</f>
        <v>#REF!</v>
      </c>
      <c r="AC443">
        <v>17</v>
      </c>
    </row>
    <row r="444" spans="1:29" hidden="1" x14ac:dyDescent="0.3">
      <c r="A444" t="s">
        <v>481</v>
      </c>
      <c r="B444" s="1" t="s">
        <v>1580</v>
      </c>
      <c r="C444" s="1"/>
      <c r="D444" t="s">
        <v>280</v>
      </c>
      <c r="E444" t="s">
        <v>1581</v>
      </c>
      <c r="F444" t="b">
        <v>1</v>
      </c>
      <c r="I444">
        <v>1</v>
      </c>
      <c r="J444" t="s">
        <v>671</v>
      </c>
      <c r="K444" t="s">
        <v>671</v>
      </c>
      <c r="L444" t="s">
        <v>671</v>
      </c>
      <c r="O444" t="b">
        <v>1</v>
      </c>
      <c r="AA444" t="e">
        <f>Table1[[#This Row],[qPer board]]*Table1[[#This Row],[boards]]</f>
        <v>#REF!</v>
      </c>
      <c r="AB444" t="e">
        <f>VLOOKUP(Table1[[#This Row],[MA_Number]],#REF!, 2,FALSE)</f>
        <v>#REF!</v>
      </c>
      <c r="AC444">
        <v>17</v>
      </c>
    </row>
    <row r="445" spans="1:29" hidden="1" x14ac:dyDescent="0.3">
      <c r="B445" s="1" t="s">
        <v>1580</v>
      </c>
      <c r="C445" s="1"/>
      <c r="E445" t="s">
        <v>1582</v>
      </c>
      <c r="G445" t="s">
        <v>481</v>
      </c>
      <c r="H445" t="s">
        <v>1583</v>
      </c>
      <c r="I445">
        <v>1</v>
      </c>
      <c r="J445">
        <v>61</v>
      </c>
      <c r="K445">
        <v>42</v>
      </c>
      <c r="L445">
        <v>52</v>
      </c>
      <c r="M445" t="s">
        <v>49</v>
      </c>
      <c r="N445" t="s">
        <v>24</v>
      </c>
      <c r="O445" t="b">
        <v>1</v>
      </c>
      <c r="AA445" t="e">
        <f>Table1[[#This Row],[qPer board]]*Table1[[#This Row],[boards]]</f>
        <v>#REF!</v>
      </c>
      <c r="AB445" t="e">
        <f>VLOOKUP(Table1[[#This Row],[MA_Number]],#REF!, 2,FALSE)</f>
        <v>#REF!</v>
      </c>
      <c r="AC445">
        <v>17</v>
      </c>
    </row>
    <row r="446" spans="1:29" hidden="1" x14ac:dyDescent="0.3">
      <c r="B446" s="1" t="s">
        <v>1580</v>
      </c>
      <c r="C446" s="1"/>
      <c r="E446" t="s">
        <v>1562</v>
      </c>
      <c r="G446" t="s">
        <v>481</v>
      </c>
      <c r="H446" t="s">
        <v>1584</v>
      </c>
      <c r="I446">
        <v>1</v>
      </c>
      <c r="J446">
        <v>61</v>
      </c>
      <c r="K446">
        <v>42</v>
      </c>
      <c r="L446">
        <v>30</v>
      </c>
      <c r="M446" t="s">
        <v>49</v>
      </c>
      <c r="N446" t="s">
        <v>24</v>
      </c>
      <c r="O446" t="b">
        <v>1</v>
      </c>
      <c r="AA446" t="e">
        <f>Table1[[#This Row],[qPer board]]*Table1[[#This Row],[boards]]</f>
        <v>#REF!</v>
      </c>
      <c r="AB446" t="e">
        <f>VLOOKUP(Table1[[#This Row],[MA_Number]],#REF!, 2,FALSE)</f>
        <v>#REF!</v>
      </c>
      <c r="AC446">
        <v>17</v>
      </c>
    </row>
    <row r="447" spans="1:29" hidden="1" x14ac:dyDescent="0.3">
      <c r="B447" s="1" t="s">
        <v>1580</v>
      </c>
      <c r="C447" s="1"/>
      <c r="E447" t="s">
        <v>1585</v>
      </c>
      <c r="G447" t="s">
        <v>481</v>
      </c>
      <c r="H447" t="s">
        <v>1586</v>
      </c>
      <c r="I447">
        <v>1</v>
      </c>
      <c r="J447">
        <v>61</v>
      </c>
      <c r="K447">
        <v>42</v>
      </c>
      <c r="L447">
        <v>21</v>
      </c>
      <c r="M447" t="s">
        <v>49</v>
      </c>
      <c r="N447" t="s">
        <v>24</v>
      </c>
      <c r="O447" t="b">
        <v>1</v>
      </c>
      <c r="AA447" t="e">
        <f>Table1[[#This Row],[qPer board]]*Table1[[#This Row],[boards]]</f>
        <v>#REF!</v>
      </c>
      <c r="AB447" t="e">
        <f>VLOOKUP(Table1[[#This Row],[MA_Number]],#REF!, 2,FALSE)</f>
        <v>#REF!</v>
      </c>
      <c r="AC447">
        <v>17</v>
      </c>
    </row>
    <row r="448" spans="1:29" hidden="1" x14ac:dyDescent="0.3">
      <c r="A448" t="s">
        <v>1587</v>
      </c>
      <c r="B448" s="1" t="s">
        <v>1588</v>
      </c>
      <c r="C448" s="1"/>
      <c r="D448" t="s">
        <v>280</v>
      </c>
      <c r="E448" t="s">
        <v>1589</v>
      </c>
      <c r="F448" t="b">
        <v>1</v>
      </c>
      <c r="I448">
        <v>1</v>
      </c>
      <c r="J448" t="s">
        <v>671</v>
      </c>
      <c r="K448" t="s">
        <v>671</v>
      </c>
      <c r="L448" t="s">
        <v>671</v>
      </c>
      <c r="O448" t="b">
        <v>1</v>
      </c>
      <c r="AA448" t="e">
        <f>Table1[[#This Row],[qPer board]]*Table1[[#This Row],[boards]]</f>
        <v>#REF!</v>
      </c>
      <c r="AB448" t="e">
        <f>VLOOKUP(Table1[[#This Row],[MA_Number]],#REF!, 2,FALSE)</f>
        <v>#REF!</v>
      </c>
      <c r="AC448">
        <v>17</v>
      </c>
    </row>
    <row r="449" spans="1:29" hidden="1" x14ac:dyDescent="0.3">
      <c r="B449" s="1" t="s">
        <v>1588</v>
      </c>
      <c r="C449" s="1"/>
      <c r="E449" t="s">
        <v>1590</v>
      </c>
      <c r="G449" t="s">
        <v>1587</v>
      </c>
      <c r="H449" t="s">
        <v>1591</v>
      </c>
      <c r="I449">
        <v>1</v>
      </c>
      <c r="J449">
        <v>61</v>
      </c>
      <c r="K449">
        <v>43</v>
      </c>
      <c r="L449">
        <v>63</v>
      </c>
      <c r="M449" t="s">
        <v>49</v>
      </c>
      <c r="N449" t="s">
        <v>24</v>
      </c>
      <c r="O449" t="b">
        <v>1</v>
      </c>
      <c r="AA449" t="e">
        <f>Table1[[#This Row],[qPer board]]*Table1[[#This Row],[boards]]</f>
        <v>#REF!</v>
      </c>
      <c r="AB449" t="e">
        <f>VLOOKUP(Table1[[#This Row],[MA_Number]],#REF!, 2,FALSE)</f>
        <v>#REF!</v>
      </c>
      <c r="AC449">
        <v>17</v>
      </c>
    </row>
    <row r="450" spans="1:29" hidden="1" x14ac:dyDescent="0.3">
      <c r="B450" s="1" t="s">
        <v>1588</v>
      </c>
      <c r="C450" s="1"/>
      <c r="E450" t="s">
        <v>1592</v>
      </c>
      <c r="G450" t="s">
        <v>1587</v>
      </c>
      <c r="H450" t="s">
        <v>1593</v>
      </c>
      <c r="I450">
        <v>1</v>
      </c>
      <c r="J450">
        <v>61</v>
      </c>
      <c r="K450">
        <v>43</v>
      </c>
      <c r="L450">
        <v>30</v>
      </c>
      <c r="M450" t="s">
        <v>49</v>
      </c>
      <c r="N450" t="s">
        <v>24</v>
      </c>
      <c r="O450" t="b">
        <v>1</v>
      </c>
      <c r="AA450" t="e">
        <f>Table1[[#This Row],[qPer board]]*Table1[[#This Row],[boards]]</f>
        <v>#REF!</v>
      </c>
      <c r="AB450" t="e">
        <f>VLOOKUP(Table1[[#This Row],[MA_Number]],#REF!, 2,FALSE)</f>
        <v>#REF!</v>
      </c>
      <c r="AC450">
        <v>17</v>
      </c>
    </row>
    <row r="451" spans="1:29" hidden="1" x14ac:dyDescent="0.3">
      <c r="B451" s="1" t="s">
        <v>1588</v>
      </c>
      <c r="C451" s="1"/>
      <c r="E451" t="s">
        <v>1594</v>
      </c>
      <c r="G451" t="s">
        <v>1587</v>
      </c>
      <c r="H451" t="s">
        <v>1595</v>
      </c>
      <c r="I451">
        <v>1</v>
      </c>
      <c r="J451">
        <v>61</v>
      </c>
      <c r="K451">
        <v>43</v>
      </c>
      <c r="L451">
        <v>20</v>
      </c>
      <c r="M451" t="s">
        <v>49</v>
      </c>
      <c r="N451" t="s">
        <v>24</v>
      </c>
      <c r="O451" t="b">
        <v>1</v>
      </c>
      <c r="AA451" t="e">
        <f>Table1[[#This Row],[qPer board]]*Table1[[#This Row],[boards]]</f>
        <v>#REF!</v>
      </c>
      <c r="AB451" t="e">
        <f>VLOOKUP(Table1[[#This Row],[MA_Number]],#REF!, 2,FALSE)</f>
        <v>#REF!</v>
      </c>
      <c r="AC451">
        <v>17</v>
      </c>
    </row>
    <row r="452" spans="1:29" hidden="1" x14ac:dyDescent="0.3">
      <c r="A452" t="s">
        <v>482</v>
      </c>
      <c r="B452" s="1" t="s">
        <v>1051</v>
      </c>
      <c r="C452" s="1"/>
      <c r="D452" t="s">
        <v>280</v>
      </c>
      <c r="E452" t="s">
        <v>1596</v>
      </c>
      <c r="F452" t="b">
        <v>1</v>
      </c>
      <c r="I452">
        <v>1</v>
      </c>
      <c r="J452" t="s">
        <v>671</v>
      </c>
      <c r="K452" t="s">
        <v>671</v>
      </c>
      <c r="L452" t="s">
        <v>671</v>
      </c>
      <c r="O452" t="b">
        <v>1</v>
      </c>
      <c r="AA452" t="e">
        <f>Table1[[#This Row],[qPer board]]*Table1[[#This Row],[boards]]</f>
        <v>#REF!</v>
      </c>
      <c r="AB452" t="e">
        <f>VLOOKUP(Table1[[#This Row],[MA_Number]],#REF!, 2,FALSE)</f>
        <v>#REF!</v>
      </c>
      <c r="AC452">
        <v>17</v>
      </c>
    </row>
    <row r="453" spans="1:29" hidden="1" x14ac:dyDescent="0.3">
      <c r="B453" s="1" t="s">
        <v>1051</v>
      </c>
      <c r="C453" s="1"/>
      <c r="E453" t="s">
        <v>1597</v>
      </c>
      <c r="G453" t="s">
        <v>482</v>
      </c>
      <c r="H453" t="s">
        <v>1598</v>
      </c>
      <c r="I453">
        <v>1</v>
      </c>
      <c r="J453">
        <v>61</v>
      </c>
      <c r="K453">
        <v>39</v>
      </c>
      <c r="L453">
        <v>65</v>
      </c>
      <c r="M453" t="s">
        <v>49</v>
      </c>
      <c r="N453" t="s">
        <v>24</v>
      </c>
      <c r="O453" t="b">
        <v>1</v>
      </c>
      <c r="AA453" t="e">
        <f>Table1[[#This Row],[qPer board]]*Table1[[#This Row],[boards]]</f>
        <v>#REF!</v>
      </c>
      <c r="AB453" t="e">
        <f>VLOOKUP(Table1[[#This Row],[MA_Number]],#REF!, 2,FALSE)</f>
        <v>#REF!</v>
      </c>
      <c r="AC453">
        <v>17</v>
      </c>
    </row>
    <row r="454" spans="1:29" hidden="1" x14ac:dyDescent="0.3">
      <c r="B454" s="1" t="s">
        <v>1051</v>
      </c>
      <c r="C454" s="1"/>
      <c r="E454" t="s">
        <v>1599</v>
      </c>
      <c r="G454" t="s">
        <v>482</v>
      </c>
      <c r="H454" t="s">
        <v>1600</v>
      </c>
      <c r="I454">
        <v>1</v>
      </c>
      <c r="J454">
        <v>61</v>
      </c>
      <c r="K454">
        <v>39</v>
      </c>
      <c r="L454">
        <v>30</v>
      </c>
      <c r="M454" t="s">
        <v>49</v>
      </c>
      <c r="N454" t="s">
        <v>24</v>
      </c>
      <c r="O454" t="b">
        <v>1</v>
      </c>
      <c r="AA454" t="e">
        <f>Table1[[#This Row],[qPer board]]*Table1[[#This Row],[boards]]</f>
        <v>#REF!</v>
      </c>
      <c r="AB454" t="e">
        <f>VLOOKUP(Table1[[#This Row],[MA_Number]],#REF!, 2,FALSE)</f>
        <v>#REF!</v>
      </c>
      <c r="AC454">
        <v>17</v>
      </c>
    </row>
    <row r="455" spans="1:29" hidden="1" x14ac:dyDescent="0.3">
      <c r="B455" s="1" t="s">
        <v>1051</v>
      </c>
      <c r="C455" s="1"/>
      <c r="E455" t="s">
        <v>1601</v>
      </c>
      <c r="G455" t="s">
        <v>482</v>
      </c>
      <c r="H455" t="s">
        <v>1602</v>
      </c>
      <c r="I455">
        <v>1</v>
      </c>
      <c r="J455">
        <v>61</v>
      </c>
      <c r="K455">
        <v>39</v>
      </c>
      <c r="L455">
        <v>20</v>
      </c>
      <c r="M455" t="s">
        <v>49</v>
      </c>
      <c r="N455" t="s">
        <v>24</v>
      </c>
      <c r="O455" t="b">
        <v>1</v>
      </c>
      <c r="AA455" t="e">
        <f>Table1[[#This Row],[qPer board]]*Table1[[#This Row],[boards]]</f>
        <v>#REF!</v>
      </c>
      <c r="AB455" t="e">
        <f>VLOOKUP(Table1[[#This Row],[MA_Number]],#REF!, 2,FALSE)</f>
        <v>#REF!</v>
      </c>
      <c r="AC455">
        <v>17</v>
      </c>
    </row>
    <row r="456" spans="1:29" hidden="1" x14ac:dyDescent="0.3">
      <c r="A456" t="s">
        <v>485</v>
      </c>
      <c r="B456" s="1" t="s">
        <v>1055</v>
      </c>
      <c r="C456" s="1"/>
      <c r="D456" t="s">
        <v>280</v>
      </c>
      <c r="F456" t="b">
        <v>1</v>
      </c>
      <c r="I456">
        <v>1</v>
      </c>
      <c r="J456" t="s">
        <v>671</v>
      </c>
      <c r="K456" t="s">
        <v>671</v>
      </c>
      <c r="L456" t="s">
        <v>671</v>
      </c>
      <c r="O456" t="b">
        <v>1</v>
      </c>
      <c r="AA456" t="e">
        <f>Table1[[#This Row],[qPer board]]*Table1[[#This Row],[boards]]</f>
        <v>#REF!</v>
      </c>
      <c r="AB456" t="e">
        <f>VLOOKUP(Table1[[#This Row],[MA_Number]],#REF!, 2,FALSE)</f>
        <v>#REF!</v>
      </c>
      <c r="AC456">
        <v>17</v>
      </c>
    </row>
    <row r="457" spans="1:29" hidden="1" x14ac:dyDescent="0.3">
      <c r="B457" s="1" t="s">
        <v>1055</v>
      </c>
      <c r="C457" s="1"/>
      <c r="E457" t="s">
        <v>1603</v>
      </c>
      <c r="G457" t="s">
        <v>485</v>
      </c>
      <c r="H457" t="s">
        <v>1604</v>
      </c>
      <c r="I457">
        <v>1</v>
      </c>
      <c r="J457">
        <v>65</v>
      </c>
      <c r="K457">
        <v>50</v>
      </c>
      <c r="L457">
        <v>85</v>
      </c>
      <c r="M457" t="s">
        <v>49</v>
      </c>
      <c r="N457" t="s">
        <v>24</v>
      </c>
      <c r="O457" t="b">
        <v>1</v>
      </c>
      <c r="AA457" t="e">
        <f>Table1[[#This Row],[qPer board]]*Table1[[#This Row],[boards]]</f>
        <v>#REF!</v>
      </c>
      <c r="AB457" t="e">
        <f>VLOOKUP(Table1[[#This Row],[MA_Number]],#REF!, 2,FALSE)</f>
        <v>#REF!</v>
      </c>
      <c r="AC457">
        <v>17</v>
      </c>
    </row>
    <row r="458" spans="1:29" hidden="1" x14ac:dyDescent="0.3">
      <c r="B458" s="1" t="s">
        <v>1055</v>
      </c>
      <c r="C458" s="1"/>
      <c r="E458" t="s">
        <v>1605</v>
      </c>
      <c r="G458" t="s">
        <v>485</v>
      </c>
      <c r="H458" t="s">
        <v>1606</v>
      </c>
      <c r="I458">
        <v>1</v>
      </c>
      <c r="J458">
        <v>65</v>
      </c>
      <c r="K458">
        <v>50</v>
      </c>
      <c r="L458">
        <v>30</v>
      </c>
      <c r="M458" t="s">
        <v>49</v>
      </c>
      <c r="N458" t="s">
        <v>24</v>
      </c>
      <c r="O458" t="b">
        <v>1</v>
      </c>
      <c r="AA458" t="e">
        <f>Table1[[#This Row],[qPer board]]*Table1[[#This Row],[boards]]</f>
        <v>#REF!</v>
      </c>
      <c r="AB458" t="e">
        <f>VLOOKUP(Table1[[#This Row],[MA_Number]],#REF!, 2,FALSE)</f>
        <v>#REF!</v>
      </c>
      <c r="AC458">
        <v>17</v>
      </c>
    </row>
    <row r="459" spans="1:29" hidden="1" x14ac:dyDescent="0.3">
      <c r="B459" s="1" t="s">
        <v>1055</v>
      </c>
      <c r="C459" s="1"/>
      <c r="E459" t="s">
        <v>1607</v>
      </c>
      <c r="G459" t="s">
        <v>485</v>
      </c>
      <c r="H459" t="s">
        <v>1608</v>
      </c>
      <c r="I459">
        <v>1</v>
      </c>
      <c r="J459">
        <v>65</v>
      </c>
      <c r="K459">
        <v>50</v>
      </c>
      <c r="L459">
        <v>20</v>
      </c>
      <c r="M459" t="s">
        <v>49</v>
      </c>
      <c r="N459" t="s">
        <v>24</v>
      </c>
      <c r="O459" t="b">
        <v>1</v>
      </c>
      <c r="AA459" t="e">
        <f>Table1[[#This Row],[qPer board]]*Table1[[#This Row],[boards]]</f>
        <v>#REF!</v>
      </c>
      <c r="AB459" t="e">
        <f>VLOOKUP(Table1[[#This Row],[MA_Number]],#REF!, 2,FALSE)</f>
        <v>#REF!</v>
      </c>
      <c r="AC459">
        <v>17</v>
      </c>
    </row>
    <row r="460" spans="1:29" hidden="1" x14ac:dyDescent="0.3">
      <c r="A460" t="s">
        <v>1609</v>
      </c>
      <c r="B460" s="1" t="s">
        <v>1610</v>
      </c>
      <c r="C460" s="1"/>
      <c r="D460" t="s">
        <v>280</v>
      </c>
      <c r="E460" t="s">
        <v>1611</v>
      </c>
      <c r="F460" t="b">
        <v>1</v>
      </c>
      <c r="I460">
        <v>1</v>
      </c>
      <c r="J460" t="s">
        <v>671</v>
      </c>
      <c r="K460" t="s">
        <v>671</v>
      </c>
      <c r="L460" t="s">
        <v>671</v>
      </c>
      <c r="O460" t="b">
        <v>1</v>
      </c>
      <c r="AA460" t="e">
        <f>Table1[[#This Row],[qPer board]]*Table1[[#This Row],[boards]]</f>
        <v>#REF!</v>
      </c>
      <c r="AB460" t="e">
        <f>VLOOKUP(Table1[[#This Row],[MA_Number]],#REF!, 2,FALSE)</f>
        <v>#REF!</v>
      </c>
      <c r="AC460">
        <v>17</v>
      </c>
    </row>
    <row r="461" spans="1:29" hidden="1" x14ac:dyDescent="0.3">
      <c r="B461" s="1" t="s">
        <v>1610</v>
      </c>
      <c r="C461" s="1"/>
      <c r="E461" t="s">
        <v>1612</v>
      </c>
      <c r="G461" t="s">
        <v>1609</v>
      </c>
      <c r="H461" t="s">
        <v>1613</v>
      </c>
      <c r="I461">
        <v>1</v>
      </c>
      <c r="J461">
        <v>84</v>
      </c>
      <c r="K461">
        <v>48</v>
      </c>
      <c r="L461">
        <v>53</v>
      </c>
      <c r="M461" t="s">
        <v>49</v>
      </c>
      <c r="N461" t="s">
        <v>24</v>
      </c>
      <c r="O461" t="b">
        <v>1</v>
      </c>
      <c r="AA461" t="e">
        <f>Table1[[#This Row],[qPer board]]*Table1[[#This Row],[boards]]</f>
        <v>#REF!</v>
      </c>
      <c r="AB461" t="e">
        <f>VLOOKUP(Table1[[#This Row],[MA_Number]],#REF!, 2,FALSE)</f>
        <v>#REF!</v>
      </c>
      <c r="AC461">
        <v>17</v>
      </c>
    </row>
    <row r="462" spans="1:29" hidden="1" x14ac:dyDescent="0.3">
      <c r="B462" s="1" t="s">
        <v>1610</v>
      </c>
      <c r="C462" s="1"/>
      <c r="E462" t="s">
        <v>1614</v>
      </c>
      <c r="G462" t="s">
        <v>1609</v>
      </c>
      <c r="H462" t="s">
        <v>1615</v>
      </c>
      <c r="I462">
        <v>1</v>
      </c>
      <c r="J462">
        <v>84</v>
      </c>
      <c r="K462">
        <v>48</v>
      </c>
      <c r="L462">
        <v>30</v>
      </c>
      <c r="M462" t="s">
        <v>49</v>
      </c>
      <c r="N462" t="s">
        <v>24</v>
      </c>
      <c r="O462" t="b">
        <v>1</v>
      </c>
      <c r="AA462" t="e">
        <f>Table1[[#This Row],[qPer board]]*Table1[[#This Row],[boards]]</f>
        <v>#REF!</v>
      </c>
      <c r="AB462" t="e">
        <f>VLOOKUP(Table1[[#This Row],[MA_Number]],#REF!, 2,FALSE)</f>
        <v>#REF!</v>
      </c>
      <c r="AC462">
        <v>17</v>
      </c>
    </row>
    <row r="463" spans="1:29" hidden="1" x14ac:dyDescent="0.3">
      <c r="B463" s="1" t="s">
        <v>1610</v>
      </c>
      <c r="C463" s="1"/>
      <c r="E463" t="s">
        <v>1616</v>
      </c>
      <c r="G463" t="s">
        <v>1609</v>
      </c>
      <c r="H463" t="s">
        <v>1617</v>
      </c>
      <c r="I463">
        <v>1</v>
      </c>
      <c r="J463">
        <v>84</v>
      </c>
      <c r="K463">
        <v>48</v>
      </c>
      <c r="L463">
        <v>20</v>
      </c>
      <c r="M463" t="s">
        <v>49</v>
      </c>
      <c r="N463" t="s">
        <v>24</v>
      </c>
      <c r="O463" t="b">
        <v>1</v>
      </c>
      <c r="AA463" t="e">
        <f>Table1[[#This Row],[qPer board]]*Table1[[#This Row],[boards]]</f>
        <v>#REF!</v>
      </c>
      <c r="AB463" t="e">
        <f>VLOOKUP(Table1[[#This Row],[MA_Number]],#REF!, 2,FALSE)</f>
        <v>#REF!</v>
      </c>
      <c r="AC463">
        <v>17</v>
      </c>
    </row>
    <row r="464" spans="1:29" hidden="1" x14ac:dyDescent="0.3">
      <c r="A464" t="s">
        <v>705</v>
      </c>
      <c r="B464" s="1" t="s">
        <v>1064</v>
      </c>
      <c r="C464" s="1"/>
      <c r="D464" t="s">
        <v>280</v>
      </c>
      <c r="F464" t="b">
        <v>1</v>
      </c>
      <c r="I464">
        <v>1</v>
      </c>
      <c r="J464" t="s">
        <v>671</v>
      </c>
      <c r="K464" t="s">
        <v>671</v>
      </c>
      <c r="L464" t="s">
        <v>671</v>
      </c>
      <c r="O464" t="b">
        <v>1</v>
      </c>
      <c r="AA464" t="e">
        <f>Table1[[#This Row],[qPer board]]*Table1[[#This Row],[boards]]</f>
        <v>#REF!</v>
      </c>
      <c r="AB464" t="e">
        <f>VLOOKUP(Table1[[#This Row],[MA_Number]],#REF!, 2,FALSE)</f>
        <v>#REF!</v>
      </c>
      <c r="AC464">
        <v>17</v>
      </c>
    </row>
    <row r="465" spans="1:29" hidden="1" x14ac:dyDescent="0.3">
      <c r="B465" s="1" t="s">
        <v>1064</v>
      </c>
      <c r="C465" s="1"/>
      <c r="E465" t="s">
        <v>1618</v>
      </c>
      <c r="G465" t="s">
        <v>705</v>
      </c>
      <c r="H465" t="s">
        <v>1619</v>
      </c>
      <c r="I465">
        <v>1</v>
      </c>
      <c r="J465">
        <v>83</v>
      </c>
      <c r="K465">
        <v>54</v>
      </c>
      <c r="L465">
        <v>54</v>
      </c>
      <c r="M465" t="s">
        <v>49</v>
      </c>
      <c r="N465" t="s">
        <v>24</v>
      </c>
      <c r="O465" t="b">
        <v>1</v>
      </c>
      <c r="AA465" t="e">
        <f>Table1[[#This Row],[qPer board]]*Table1[[#This Row],[boards]]</f>
        <v>#REF!</v>
      </c>
      <c r="AB465" t="e">
        <f>VLOOKUP(Table1[[#This Row],[MA_Number]],#REF!, 2,FALSE)</f>
        <v>#REF!</v>
      </c>
      <c r="AC465">
        <v>17</v>
      </c>
    </row>
    <row r="466" spans="1:29" hidden="1" x14ac:dyDescent="0.3">
      <c r="B466" s="1" t="s">
        <v>1064</v>
      </c>
      <c r="C466" s="1"/>
      <c r="E466" t="s">
        <v>1620</v>
      </c>
      <c r="G466" t="s">
        <v>705</v>
      </c>
      <c r="H466" t="s">
        <v>1621</v>
      </c>
      <c r="I466">
        <v>1</v>
      </c>
      <c r="J466">
        <v>83</v>
      </c>
      <c r="K466">
        <v>54</v>
      </c>
      <c r="L466">
        <v>30</v>
      </c>
      <c r="M466" t="s">
        <v>49</v>
      </c>
      <c r="N466" t="s">
        <v>24</v>
      </c>
      <c r="O466" t="b">
        <v>1</v>
      </c>
      <c r="AA466" t="e">
        <f>Table1[[#This Row],[qPer board]]*Table1[[#This Row],[boards]]</f>
        <v>#REF!</v>
      </c>
      <c r="AB466" t="e">
        <f>VLOOKUP(Table1[[#This Row],[MA_Number]],#REF!, 2,FALSE)</f>
        <v>#REF!</v>
      </c>
      <c r="AC466">
        <v>17</v>
      </c>
    </row>
    <row r="467" spans="1:29" hidden="1" x14ac:dyDescent="0.3">
      <c r="B467" s="1" t="s">
        <v>1064</v>
      </c>
      <c r="C467" s="1"/>
      <c r="E467" t="s">
        <v>1622</v>
      </c>
      <c r="G467" t="s">
        <v>705</v>
      </c>
      <c r="H467" t="s">
        <v>1623</v>
      </c>
      <c r="I467">
        <v>1</v>
      </c>
      <c r="J467">
        <v>83</v>
      </c>
      <c r="K467">
        <v>54</v>
      </c>
      <c r="L467">
        <v>20</v>
      </c>
      <c r="M467" t="s">
        <v>49</v>
      </c>
      <c r="N467" t="s">
        <v>24</v>
      </c>
      <c r="O467" t="b">
        <v>1</v>
      </c>
      <c r="AA467" t="e">
        <f>Table1[[#This Row],[qPer board]]*Table1[[#This Row],[boards]]</f>
        <v>#REF!</v>
      </c>
      <c r="AB467" t="e">
        <f>VLOOKUP(Table1[[#This Row],[MA_Number]],#REF!, 2,FALSE)</f>
        <v>#REF!</v>
      </c>
      <c r="AC467">
        <v>17</v>
      </c>
    </row>
    <row r="468" spans="1:29" hidden="1" x14ac:dyDescent="0.3">
      <c r="A468" t="s">
        <v>1624</v>
      </c>
      <c r="B468" s="1" t="s">
        <v>1625</v>
      </c>
      <c r="C468" s="1"/>
      <c r="D468" t="s">
        <v>280</v>
      </c>
      <c r="E468" t="s">
        <v>1626</v>
      </c>
      <c r="F468" t="b">
        <v>1</v>
      </c>
      <c r="I468">
        <v>1</v>
      </c>
      <c r="J468" t="s">
        <v>671</v>
      </c>
      <c r="K468" t="s">
        <v>671</v>
      </c>
      <c r="L468" t="s">
        <v>671</v>
      </c>
      <c r="O468" t="b">
        <v>1</v>
      </c>
      <c r="AA468" t="e">
        <f>Table1[[#This Row],[qPer board]]*Table1[[#This Row],[boards]]</f>
        <v>#REF!</v>
      </c>
      <c r="AB468" t="e">
        <f>VLOOKUP(Table1[[#This Row],[MA_Number]],#REF!, 2,FALSE)</f>
        <v>#REF!</v>
      </c>
      <c r="AC468">
        <v>17</v>
      </c>
    </row>
    <row r="469" spans="1:29" hidden="1" x14ac:dyDescent="0.3">
      <c r="B469" s="1" t="s">
        <v>1625</v>
      </c>
      <c r="C469" s="1"/>
      <c r="E469" t="s">
        <v>1627</v>
      </c>
      <c r="G469" t="s">
        <v>1624</v>
      </c>
      <c r="H469" t="s">
        <v>1628</v>
      </c>
      <c r="I469">
        <v>1</v>
      </c>
      <c r="J469">
        <v>67</v>
      </c>
      <c r="K469">
        <v>60</v>
      </c>
      <c r="L469">
        <v>63</v>
      </c>
      <c r="M469" t="s">
        <v>1012</v>
      </c>
      <c r="N469" t="s">
        <v>24</v>
      </c>
      <c r="O469" t="b">
        <v>1</v>
      </c>
      <c r="AA469" t="e">
        <f>Table1[[#This Row],[qPer board]]*Table1[[#This Row],[boards]]</f>
        <v>#REF!</v>
      </c>
      <c r="AB469" t="e">
        <f>VLOOKUP(Table1[[#This Row],[MA_Number]],#REF!, 2,FALSE)</f>
        <v>#REF!</v>
      </c>
      <c r="AC469">
        <v>17</v>
      </c>
    </row>
    <row r="470" spans="1:29" hidden="1" x14ac:dyDescent="0.3">
      <c r="B470" s="1" t="s">
        <v>1625</v>
      </c>
      <c r="C470" s="1"/>
      <c r="E470" t="s">
        <v>1629</v>
      </c>
      <c r="G470" t="s">
        <v>1624</v>
      </c>
      <c r="H470" t="s">
        <v>1630</v>
      </c>
      <c r="I470">
        <v>1</v>
      </c>
      <c r="J470">
        <v>67</v>
      </c>
      <c r="K470">
        <v>60</v>
      </c>
      <c r="L470">
        <v>30</v>
      </c>
      <c r="M470" t="s">
        <v>1012</v>
      </c>
      <c r="N470" t="s">
        <v>24</v>
      </c>
      <c r="O470" t="b">
        <v>1</v>
      </c>
      <c r="AA470" t="e">
        <f>Table1[[#This Row],[qPer board]]*Table1[[#This Row],[boards]]</f>
        <v>#REF!</v>
      </c>
      <c r="AB470" t="e">
        <f>VLOOKUP(Table1[[#This Row],[MA_Number]],#REF!, 2,FALSE)</f>
        <v>#REF!</v>
      </c>
      <c r="AC470">
        <v>17</v>
      </c>
    </row>
    <row r="471" spans="1:29" hidden="1" x14ac:dyDescent="0.3">
      <c r="B471" s="1" t="s">
        <v>1625</v>
      </c>
      <c r="C471" s="1"/>
      <c r="E471" t="s">
        <v>1631</v>
      </c>
      <c r="G471" t="s">
        <v>1624</v>
      </c>
      <c r="H471" t="s">
        <v>1632</v>
      </c>
      <c r="I471">
        <v>1</v>
      </c>
      <c r="J471">
        <v>67</v>
      </c>
      <c r="K471">
        <v>60</v>
      </c>
      <c r="L471">
        <v>20</v>
      </c>
      <c r="M471" t="s">
        <v>1012</v>
      </c>
      <c r="N471" t="s">
        <v>24</v>
      </c>
      <c r="O471" t="b">
        <v>1</v>
      </c>
      <c r="AA471" t="e">
        <f>Table1[[#This Row],[qPer board]]*Table1[[#This Row],[boards]]</f>
        <v>#REF!</v>
      </c>
      <c r="AB471" t="e">
        <f>VLOOKUP(Table1[[#This Row],[MA_Number]],#REF!, 2,FALSE)</f>
        <v>#REF!</v>
      </c>
      <c r="AC471">
        <v>17</v>
      </c>
    </row>
    <row r="472" spans="1:29" hidden="1" x14ac:dyDescent="0.3">
      <c r="A472" t="s">
        <v>492</v>
      </c>
      <c r="B472" s="1" t="s">
        <v>1060</v>
      </c>
      <c r="C472" s="1"/>
      <c r="D472" t="s">
        <v>280</v>
      </c>
      <c r="E472" t="s">
        <v>1633</v>
      </c>
      <c r="F472" t="b">
        <v>1</v>
      </c>
      <c r="I472">
        <v>1</v>
      </c>
      <c r="J472" t="s">
        <v>671</v>
      </c>
      <c r="K472" t="s">
        <v>671</v>
      </c>
      <c r="L472" t="s">
        <v>671</v>
      </c>
      <c r="O472" t="b">
        <v>1</v>
      </c>
      <c r="AA472" t="e">
        <f>Table1[[#This Row],[qPer board]]*Table1[[#This Row],[boards]]</f>
        <v>#REF!</v>
      </c>
      <c r="AB472" t="e">
        <f>VLOOKUP(Table1[[#This Row],[MA_Number]],#REF!, 2,FALSE)</f>
        <v>#REF!</v>
      </c>
      <c r="AC472">
        <v>17</v>
      </c>
    </row>
    <row r="473" spans="1:29" hidden="1" x14ac:dyDescent="0.3">
      <c r="B473" s="1" t="s">
        <v>1060</v>
      </c>
      <c r="C473" s="1"/>
      <c r="E473" t="s">
        <v>1634</v>
      </c>
      <c r="G473" t="s">
        <v>492</v>
      </c>
      <c r="H473" t="s">
        <v>1635</v>
      </c>
      <c r="I473">
        <v>1</v>
      </c>
      <c r="J473">
        <v>61</v>
      </c>
      <c r="K473">
        <v>39</v>
      </c>
      <c r="L473">
        <v>53</v>
      </c>
      <c r="M473" t="s">
        <v>49</v>
      </c>
      <c r="N473" t="s">
        <v>24</v>
      </c>
      <c r="O473" t="b">
        <v>1</v>
      </c>
      <c r="AA473" t="e">
        <f>Table1[[#This Row],[qPer board]]*Table1[[#This Row],[boards]]</f>
        <v>#REF!</v>
      </c>
      <c r="AB473" t="e">
        <f>VLOOKUP(Table1[[#This Row],[MA_Number]],#REF!, 2,FALSE)</f>
        <v>#REF!</v>
      </c>
      <c r="AC473">
        <v>17</v>
      </c>
    </row>
    <row r="474" spans="1:29" hidden="1" x14ac:dyDescent="0.3">
      <c r="B474" s="1" t="s">
        <v>1060</v>
      </c>
      <c r="C474" s="1"/>
      <c r="E474" t="s">
        <v>1599</v>
      </c>
      <c r="G474" t="s">
        <v>492</v>
      </c>
      <c r="H474" t="s">
        <v>1636</v>
      </c>
      <c r="I474">
        <v>1</v>
      </c>
      <c r="J474">
        <v>61</v>
      </c>
      <c r="K474">
        <v>39</v>
      </c>
      <c r="L474">
        <v>30</v>
      </c>
      <c r="M474" t="s">
        <v>49</v>
      </c>
      <c r="N474" t="s">
        <v>24</v>
      </c>
      <c r="O474" t="b">
        <v>1</v>
      </c>
      <c r="AA474" t="e">
        <f>Table1[[#This Row],[qPer board]]*Table1[[#This Row],[boards]]</f>
        <v>#REF!</v>
      </c>
      <c r="AB474" t="e">
        <f>VLOOKUP(Table1[[#This Row],[MA_Number]],#REF!, 2,FALSE)</f>
        <v>#REF!</v>
      </c>
      <c r="AC474">
        <v>17</v>
      </c>
    </row>
    <row r="475" spans="1:29" hidden="1" x14ac:dyDescent="0.3">
      <c r="B475" s="1" t="s">
        <v>1060</v>
      </c>
      <c r="C475" s="1"/>
      <c r="E475" t="s">
        <v>1637</v>
      </c>
      <c r="G475" t="s">
        <v>492</v>
      </c>
      <c r="H475" t="s">
        <v>1638</v>
      </c>
      <c r="I475">
        <v>1</v>
      </c>
      <c r="J475">
        <v>61</v>
      </c>
      <c r="K475">
        <v>39</v>
      </c>
      <c r="L475">
        <v>21</v>
      </c>
      <c r="M475" t="s">
        <v>49</v>
      </c>
      <c r="N475" t="s">
        <v>24</v>
      </c>
      <c r="O475" t="b">
        <v>1</v>
      </c>
      <c r="AA475" t="e">
        <f>Table1[[#This Row],[qPer board]]*Table1[[#This Row],[boards]]</f>
        <v>#REF!</v>
      </c>
      <c r="AB475" t="e">
        <f>VLOOKUP(Table1[[#This Row],[MA_Number]],#REF!, 2,FALSE)</f>
        <v>#REF!</v>
      </c>
      <c r="AC475">
        <v>17</v>
      </c>
    </row>
    <row r="476" spans="1:29" hidden="1" x14ac:dyDescent="0.3">
      <c r="A476" t="s">
        <v>493</v>
      </c>
      <c r="B476" s="1" t="s">
        <v>1639</v>
      </c>
      <c r="C476" s="1"/>
      <c r="D476" t="s">
        <v>280</v>
      </c>
      <c r="E476" t="s">
        <v>1640</v>
      </c>
      <c r="F476" t="b">
        <v>1</v>
      </c>
      <c r="I476">
        <v>1</v>
      </c>
      <c r="J476" t="s">
        <v>671</v>
      </c>
      <c r="K476" t="s">
        <v>671</v>
      </c>
      <c r="L476" t="s">
        <v>671</v>
      </c>
      <c r="O476" t="b">
        <v>1</v>
      </c>
      <c r="AA476" t="e">
        <f>Table1[[#This Row],[qPer board]]*Table1[[#This Row],[boards]]</f>
        <v>#REF!</v>
      </c>
      <c r="AB476" t="e">
        <f>VLOOKUP(Table1[[#This Row],[MA_Number]],#REF!, 2,FALSE)</f>
        <v>#REF!</v>
      </c>
      <c r="AC476">
        <v>17</v>
      </c>
    </row>
    <row r="477" spans="1:29" hidden="1" x14ac:dyDescent="0.3">
      <c r="B477" s="1" t="s">
        <v>1639</v>
      </c>
      <c r="C477" s="1"/>
      <c r="E477" t="s">
        <v>1641</v>
      </c>
      <c r="G477" t="s">
        <v>493</v>
      </c>
      <c r="H477" t="s">
        <v>1642</v>
      </c>
      <c r="I477">
        <v>1</v>
      </c>
      <c r="J477">
        <v>61</v>
      </c>
      <c r="K477">
        <v>36</v>
      </c>
      <c r="L477">
        <v>53</v>
      </c>
      <c r="M477" t="s">
        <v>49</v>
      </c>
      <c r="N477" t="s">
        <v>24</v>
      </c>
      <c r="O477" t="b">
        <v>1</v>
      </c>
      <c r="AA477" t="e">
        <f>Table1[[#This Row],[qPer board]]*Table1[[#This Row],[boards]]</f>
        <v>#REF!</v>
      </c>
      <c r="AB477" t="e">
        <f>VLOOKUP(Table1[[#This Row],[MA_Number]],#REF!, 2,FALSE)</f>
        <v>#REF!</v>
      </c>
      <c r="AC477">
        <v>17</v>
      </c>
    </row>
    <row r="478" spans="1:29" hidden="1" x14ac:dyDescent="0.3">
      <c r="B478" s="1" t="s">
        <v>1639</v>
      </c>
      <c r="C478" s="1"/>
      <c r="E478" t="s">
        <v>1643</v>
      </c>
      <c r="G478" t="s">
        <v>493</v>
      </c>
      <c r="H478" t="s">
        <v>1644</v>
      </c>
      <c r="I478">
        <v>1</v>
      </c>
      <c r="J478">
        <v>61</v>
      </c>
      <c r="K478">
        <v>36</v>
      </c>
      <c r="L478">
        <v>30</v>
      </c>
      <c r="M478" t="s">
        <v>49</v>
      </c>
      <c r="N478" t="s">
        <v>24</v>
      </c>
      <c r="O478" t="b">
        <v>1</v>
      </c>
      <c r="AA478" t="e">
        <f>Table1[[#This Row],[qPer board]]*Table1[[#This Row],[boards]]</f>
        <v>#REF!</v>
      </c>
      <c r="AB478" t="e">
        <f>VLOOKUP(Table1[[#This Row],[MA_Number]],#REF!, 2,FALSE)</f>
        <v>#REF!</v>
      </c>
      <c r="AC478">
        <v>17</v>
      </c>
    </row>
    <row r="479" spans="1:29" hidden="1" x14ac:dyDescent="0.3">
      <c r="B479" s="1" t="s">
        <v>1639</v>
      </c>
      <c r="C479" s="1"/>
      <c r="E479" t="s">
        <v>1645</v>
      </c>
      <c r="G479" t="s">
        <v>493</v>
      </c>
      <c r="H479" t="s">
        <v>1646</v>
      </c>
      <c r="I479">
        <v>1</v>
      </c>
      <c r="J479">
        <v>61</v>
      </c>
      <c r="K479">
        <v>36</v>
      </c>
      <c r="L479">
        <v>21</v>
      </c>
      <c r="M479" t="s">
        <v>49</v>
      </c>
      <c r="N479" t="s">
        <v>24</v>
      </c>
      <c r="O479" t="b">
        <v>1</v>
      </c>
      <c r="AA479" t="e">
        <f>Table1[[#This Row],[qPer board]]*Table1[[#This Row],[boards]]</f>
        <v>#REF!</v>
      </c>
      <c r="AB479" t="e">
        <f>VLOOKUP(Table1[[#This Row],[MA_Number]],#REF!, 2,FALSE)</f>
        <v>#REF!</v>
      </c>
      <c r="AC479">
        <v>17</v>
      </c>
    </row>
    <row r="480" spans="1:29" hidden="1" x14ac:dyDescent="0.3">
      <c r="A480" t="s">
        <v>709</v>
      </c>
      <c r="B480" s="1" t="s">
        <v>1065</v>
      </c>
      <c r="C480" s="1"/>
      <c r="D480" t="s">
        <v>280</v>
      </c>
      <c r="E480" t="s">
        <v>1647</v>
      </c>
      <c r="F480" t="b">
        <v>1</v>
      </c>
      <c r="I480">
        <v>1</v>
      </c>
      <c r="J480" t="s">
        <v>671</v>
      </c>
      <c r="K480" t="s">
        <v>671</v>
      </c>
      <c r="L480" t="s">
        <v>671</v>
      </c>
      <c r="O480" t="b">
        <v>1</v>
      </c>
      <c r="AA480" t="e">
        <f>Table1[[#This Row],[qPer board]]*Table1[[#This Row],[boards]]</f>
        <v>#REF!</v>
      </c>
      <c r="AB480" t="e">
        <f>VLOOKUP(Table1[[#This Row],[MA_Number]],#REF!, 2,FALSE)</f>
        <v>#REF!</v>
      </c>
      <c r="AC480">
        <v>17</v>
      </c>
    </row>
    <row r="481" spans="1:29" hidden="1" x14ac:dyDescent="0.3">
      <c r="B481" s="1" t="s">
        <v>1065</v>
      </c>
      <c r="C481" s="1"/>
      <c r="E481" t="s">
        <v>1641</v>
      </c>
      <c r="G481" t="s">
        <v>709</v>
      </c>
      <c r="H481" t="s">
        <v>1648</v>
      </c>
      <c r="I481">
        <v>1</v>
      </c>
      <c r="J481">
        <v>61</v>
      </c>
      <c r="K481">
        <v>36</v>
      </c>
      <c r="L481">
        <v>53</v>
      </c>
      <c r="M481" t="s">
        <v>49</v>
      </c>
      <c r="N481" t="s">
        <v>24</v>
      </c>
      <c r="O481" t="b">
        <v>1</v>
      </c>
      <c r="AA481" t="e">
        <f>Table1[[#This Row],[qPer board]]*Table1[[#This Row],[boards]]</f>
        <v>#REF!</v>
      </c>
      <c r="AB481" t="e">
        <f>VLOOKUP(Table1[[#This Row],[MA_Number]],#REF!, 2,FALSE)</f>
        <v>#REF!</v>
      </c>
      <c r="AC481">
        <v>17</v>
      </c>
    </row>
    <row r="482" spans="1:29" hidden="1" x14ac:dyDescent="0.3">
      <c r="B482" s="1" t="s">
        <v>1065</v>
      </c>
      <c r="C482" s="1"/>
      <c r="E482" t="s">
        <v>1643</v>
      </c>
      <c r="G482" t="s">
        <v>709</v>
      </c>
      <c r="H482" t="s">
        <v>1649</v>
      </c>
      <c r="I482">
        <v>1</v>
      </c>
      <c r="J482">
        <v>61</v>
      </c>
      <c r="K482">
        <v>36</v>
      </c>
      <c r="L482">
        <v>30</v>
      </c>
      <c r="M482" t="s">
        <v>49</v>
      </c>
      <c r="N482" t="s">
        <v>24</v>
      </c>
      <c r="O482" t="b">
        <v>1</v>
      </c>
      <c r="AA482" t="e">
        <f>Table1[[#This Row],[qPer board]]*Table1[[#This Row],[boards]]</f>
        <v>#REF!</v>
      </c>
      <c r="AB482" t="e">
        <f>VLOOKUP(Table1[[#This Row],[MA_Number]],#REF!, 2,FALSE)</f>
        <v>#REF!</v>
      </c>
      <c r="AC482">
        <v>17</v>
      </c>
    </row>
    <row r="483" spans="1:29" hidden="1" x14ac:dyDescent="0.3">
      <c r="B483" s="1" t="s">
        <v>1065</v>
      </c>
      <c r="C483" s="1"/>
      <c r="E483" t="s">
        <v>1645</v>
      </c>
      <c r="G483" t="s">
        <v>709</v>
      </c>
      <c r="H483" t="s">
        <v>1650</v>
      </c>
      <c r="I483">
        <v>1</v>
      </c>
      <c r="J483">
        <v>61</v>
      </c>
      <c r="K483">
        <v>36</v>
      </c>
      <c r="L483">
        <v>21</v>
      </c>
      <c r="M483" t="s">
        <v>49</v>
      </c>
      <c r="N483" t="s">
        <v>24</v>
      </c>
      <c r="O483" t="b">
        <v>1</v>
      </c>
      <c r="AA483" t="e">
        <f>Table1[[#This Row],[qPer board]]*Table1[[#This Row],[boards]]</f>
        <v>#REF!</v>
      </c>
      <c r="AB483" t="e">
        <f>VLOOKUP(Table1[[#This Row],[MA_Number]],#REF!, 2,FALSE)</f>
        <v>#REF!</v>
      </c>
      <c r="AC483">
        <v>17</v>
      </c>
    </row>
    <row r="484" spans="1:29" hidden="1" x14ac:dyDescent="0.3">
      <c r="A484" t="s">
        <v>499</v>
      </c>
      <c r="B484" s="1" t="s">
        <v>1061</v>
      </c>
      <c r="C484" s="1"/>
      <c r="D484" t="s">
        <v>280</v>
      </c>
      <c r="E484" t="s">
        <v>1640</v>
      </c>
      <c r="F484" t="b">
        <v>1</v>
      </c>
      <c r="I484">
        <v>1</v>
      </c>
      <c r="J484" t="s">
        <v>671</v>
      </c>
      <c r="K484" t="s">
        <v>671</v>
      </c>
      <c r="L484" t="s">
        <v>671</v>
      </c>
      <c r="O484" t="b">
        <v>1</v>
      </c>
      <c r="AA484" t="e">
        <f>Table1[[#This Row],[qPer board]]*Table1[[#This Row],[boards]]</f>
        <v>#REF!</v>
      </c>
      <c r="AB484" t="e">
        <f>VLOOKUP(Table1[[#This Row],[MA_Number]],#REF!, 2,FALSE)</f>
        <v>#REF!</v>
      </c>
      <c r="AC484">
        <v>17</v>
      </c>
    </row>
    <row r="485" spans="1:29" hidden="1" x14ac:dyDescent="0.3">
      <c r="B485" s="1" t="s">
        <v>1061</v>
      </c>
      <c r="C485" s="1"/>
      <c r="E485" t="s">
        <v>1641</v>
      </c>
      <c r="G485" t="s">
        <v>499</v>
      </c>
      <c r="H485" t="s">
        <v>1651</v>
      </c>
      <c r="I485">
        <v>1</v>
      </c>
      <c r="J485">
        <v>61</v>
      </c>
      <c r="K485">
        <v>36</v>
      </c>
      <c r="L485">
        <v>53</v>
      </c>
      <c r="M485" t="s">
        <v>49</v>
      </c>
      <c r="N485" t="s">
        <v>24</v>
      </c>
      <c r="O485" t="b">
        <v>1</v>
      </c>
      <c r="AA485" t="e">
        <f>Table1[[#This Row],[qPer board]]*Table1[[#This Row],[boards]]</f>
        <v>#REF!</v>
      </c>
      <c r="AB485" t="e">
        <f>VLOOKUP(Table1[[#This Row],[MA_Number]],#REF!, 2,FALSE)</f>
        <v>#REF!</v>
      </c>
      <c r="AC485">
        <v>17</v>
      </c>
    </row>
    <row r="486" spans="1:29" hidden="1" x14ac:dyDescent="0.3">
      <c r="B486" s="1" t="s">
        <v>1061</v>
      </c>
      <c r="C486" s="1"/>
      <c r="E486" t="s">
        <v>1643</v>
      </c>
      <c r="G486" t="s">
        <v>499</v>
      </c>
      <c r="H486" t="s">
        <v>1652</v>
      </c>
      <c r="I486">
        <v>1</v>
      </c>
      <c r="J486">
        <v>61</v>
      </c>
      <c r="K486">
        <v>36</v>
      </c>
      <c r="L486">
        <v>30</v>
      </c>
      <c r="M486" t="s">
        <v>49</v>
      </c>
      <c r="N486" t="s">
        <v>24</v>
      </c>
      <c r="O486" t="b">
        <v>1</v>
      </c>
      <c r="AA486" t="e">
        <f>Table1[[#This Row],[qPer board]]*Table1[[#This Row],[boards]]</f>
        <v>#REF!</v>
      </c>
      <c r="AB486" t="e">
        <f>VLOOKUP(Table1[[#This Row],[MA_Number]],#REF!, 2,FALSE)</f>
        <v>#REF!</v>
      </c>
      <c r="AC486">
        <v>17</v>
      </c>
    </row>
    <row r="487" spans="1:29" hidden="1" x14ac:dyDescent="0.3">
      <c r="B487" s="1" t="s">
        <v>1061</v>
      </c>
      <c r="C487" s="1"/>
      <c r="E487" t="s">
        <v>1645</v>
      </c>
      <c r="G487" t="s">
        <v>499</v>
      </c>
      <c r="H487" t="s">
        <v>1653</v>
      </c>
      <c r="I487">
        <v>1</v>
      </c>
      <c r="J487">
        <v>61</v>
      </c>
      <c r="K487">
        <v>36</v>
      </c>
      <c r="L487">
        <v>21</v>
      </c>
      <c r="M487" t="s">
        <v>49</v>
      </c>
      <c r="N487" t="s">
        <v>24</v>
      </c>
      <c r="O487" t="b">
        <v>1</v>
      </c>
      <c r="AA487" t="e">
        <f>Table1[[#This Row],[qPer board]]*Table1[[#This Row],[boards]]</f>
        <v>#REF!</v>
      </c>
      <c r="AB487" t="e">
        <f>VLOOKUP(Table1[[#This Row],[MA_Number]],#REF!, 2,FALSE)</f>
        <v>#REF!</v>
      </c>
      <c r="AC487">
        <v>17</v>
      </c>
    </row>
    <row r="488" spans="1:29" hidden="1" x14ac:dyDescent="0.3">
      <c r="A488" t="s">
        <v>711</v>
      </c>
      <c r="B488" s="1" t="s">
        <v>1069</v>
      </c>
      <c r="C488" s="1"/>
      <c r="D488" t="s">
        <v>280</v>
      </c>
      <c r="E488" t="s">
        <v>1633</v>
      </c>
      <c r="F488" t="b">
        <v>1</v>
      </c>
      <c r="I488">
        <v>1</v>
      </c>
      <c r="J488" t="s">
        <v>671</v>
      </c>
      <c r="K488" t="s">
        <v>671</v>
      </c>
      <c r="L488" t="s">
        <v>671</v>
      </c>
      <c r="O488" t="b">
        <v>1</v>
      </c>
      <c r="AA488" t="e">
        <f>Table1[[#This Row],[qPer board]]*Table1[[#This Row],[boards]]</f>
        <v>#REF!</v>
      </c>
      <c r="AB488" t="e">
        <f>VLOOKUP(Table1[[#This Row],[MA_Number]],#REF!, 2,FALSE)</f>
        <v>#REF!</v>
      </c>
      <c r="AC488">
        <v>17</v>
      </c>
    </row>
    <row r="489" spans="1:29" hidden="1" x14ac:dyDescent="0.3">
      <c r="B489" s="1" t="s">
        <v>1069</v>
      </c>
      <c r="C489" s="1"/>
      <c r="E489" t="s">
        <v>1654</v>
      </c>
      <c r="G489" t="s">
        <v>711</v>
      </c>
      <c r="H489" t="s">
        <v>1655</v>
      </c>
      <c r="I489">
        <v>1</v>
      </c>
      <c r="J489">
        <v>56</v>
      </c>
      <c r="K489">
        <v>51</v>
      </c>
      <c r="L489">
        <v>53</v>
      </c>
      <c r="M489" t="s">
        <v>49</v>
      </c>
      <c r="N489" t="s">
        <v>24</v>
      </c>
      <c r="O489" t="b">
        <v>1</v>
      </c>
      <c r="AA489" t="e">
        <f>Table1[[#This Row],[qPer board]]*Table1[[#This Row],[boards]]</f>
        <v>#REF!</v>
      </c>
      <c r="AB489" t="e">
        <f>VLOOKUP(Table1[[#This Row],[MA_Number]],#REF!, 2,FALSE)</f>
        <v>#REF!</v>
      </c>
      <c r="AC489">
        <v>17</v>
      </c>
    </row>
    <row r="490" spans="1:29" hidden="1" x14ac:dyDescent="0.3">
      <c r="B490" s="1" t="s">
        <v>1069</v>
      </c>
      <c r="C490" s="1"/>
      <c r="E490" t="s">
        <v>1656</v>
      </c>
      <c r="G490" t="s">
        <v>711</v>
      </c>
      <c r="H490" t="s">
        <v>1657</v>
      </c>
      <c r="I490">
        <v>1</v>
      </c>
      <c r="J490">
        <v>56</v>
      </c>
      <c r="K490">
        <v>51</v>
      </c>
      <c r="L490">
        <v>30</v>
      </c>
      <c r="M490" t="s">
        <v>49</v>
      </c>
      <c r="N490" t="s">
        <v>24</v>
      </c>
      <c r="O490" t="b">
        <v>1</v>
      </c>
      <c r="AA490" t="e">
        <f>Table1[[#This Row],[qPer board]]*Table1[[#This Row],[boards]]</f>
        <v>#REF!</v>
      </c>
      <c r="AB490" t="e">
        <f>VLOOKUP(Table1[[#This Row],[MA_Number]],#REF!, 2,FALSE)</f>
        <v>#REF!</v>
      </c>
      <c r="AC490">
        <v>17</v>
      </c>
    </row>
    <row r="491" spans="1:29" hidden="1" x14ac:dyDescent="0.3">
      <c r="B491" s="1" t="s">
        <v>1069</v>
      </c>
      <c r="C491" s="1"/>
      <c r="E491" t="s">
        <v>1658</v>
      </c>
      <c r="G491" t="s">
        <v>711</v>
      </c>
      <c r="H491" t="s">
        <v>1659</v>
      </c>
      <c r="I491">
        <v>1</v>
      </c>
      <c r="J491">
        <v>56</v>
      </c>
      <c r="K491">
        <v>51</v>
      </c>
      <c r="L491">
        <v>20</v>
      </c>
      <c r="M491" t="s">
        <v>49</v>
      </c>
      <c r="N491" t="s">
        <v>24</v>
      </c>
      <c r="O491" t="b">
        <v>1</v>
      </c>
      <c r="AA491" t="e">
        <f>Table1[[#This Row],[qPer board]]*Table1[[#This Row],[boards]]</f>
        <v>#REF!</v>
      </c>
      <c r="AB491" t="e">
        <f>VLOOKUP(Table1[[#This Row],[MA_Number]],#REF!, 2,FALSE)</f>
        <v>#REF!</v>
      </c>
      <c r="AC491">
        <v>17</v>
      </c>
    </row>
    <row r="492" spans="1:29" hidden="1" x14ac:dyDescent="0.3">
      <c r="A492" t="s">
        <v>1189</v>
      </c>
      <c r="B492" s="1" t="s">
        <v>1190</v>
      </c>
      <c r="C492" s="1"/>
      <c r="D492" t="s">
        <v>280</v>
      </c>
      <c r="E492" t="s">
        <v>1191</v>
      </c>
      <c r="F492" t="b">
        <v>1</v>
      </c>
      <c r="I492">
        <v>1</v>
      </c>
      <c r="J492" t="s">
        <v>671</v>
      </c>
      <c r="K492" t="s">
        <v>671</v>
      </c>
      <c r="L492" t="s">
        <v>671</v>
      </c>
      <c r="O492" t="b">
        <v>1</v>
      </c>
      <c r="AA492" t="e">
        <f>Table1[[#This Row],[qPer board]]*Table1[[#This Row],[boards]]</f>
        <v>#REF!</v>
      </c>
      <c r="AB492" t="e">
        <f>VLOOKUP(Table1[[#This Row],[MA_Number]],#REF!, 2,FALSE)</f>
        <v>#REF!</v>
      </c>
      <c r="AC492">
        <v>17</v>
      </c>
    </row>
    <row r="493" spans="1:29" hidden="1" x14ac:dyDescent="0.3">
      <c r="B493" s="1" t="s">
        <v>1190</v>
      </c>
      <c r="C493" s="1"/>
      <c r="E493" t="s">
        <v>1660</v>
      </c>
      <c r="G493" t="s">
        <v>1189</v>
      </c>
      <c r="H493" t="s">
        <v>1192</v>
      </c>
      <c r="I493">
        <v>1</v>
      </c>
      <c r="J493">
        <v>66</v>
      </c>
      <c r="K493">
        <v>47</v>
      </c>
      <c r="L493">
        <v>48</v>
      </c>
      <c r="M493" t="s">
        <v>48</v>
      </c>
      <c r="N493" t="s">
        <v>24</v>
      </c>
      <c r="O493" t="b">
        <v>1</v>
      </c>
      <c r="AA493" t="e">
        <f>Table1[[#This Row],[qPer board]]*Table1[[#This Row],[boards]]</f>
        <v>#REF!</v>
      </c>
      <c r="AB493" t="e">
        <f>VLOOKUP(Table1[[#This Row],[MA_Number]],#REF!, 2,FALSE)</f>
        <v>#REF!</v>
      </c>
      <c r="AC493">
        <v>17</v>
      </c>
    </row>
    <row r="494" spans="1:29" hidden="1" x14ac:dyDescent="0.3">
      <c r="B494" s="1" t="s">
        <v>1190</v>
      </c>
      <c r="C494" s="1"/>
      <c r="E494" t="s">
        <v>1661</v>
      </c>
      <c r="G494" t="s">
        <v>1189</v>
      </c>
      <c r="H494" t="s">
        <v>1193</v>
      </c>
      <c r="I494">
        <v>1</v>
      </c>
      <c r="J494">
        <v>66</v>
      </c>
      <c r="K494">
        <v>47</v>
      </c>
      <c r="L494">
        <v>30</v>
      </c>
      <c r="M494" t="s">
        <v>48</v>
      </c>
      <c r="N494" t="s">
        <v>24</v>
      </c>
      <c r="O494" t="b">
        <v>1</v>
      </c>
      <c r="AA494" t="e">
        <f>Table1[[#This Row],[qPer board]]*Table1[[#This Row],[boards]]</f>
        <v>#REF!</v>
      </c>
      <c r="AB494" t="e">
        <f>VLOOKUP(Table1[[#This Row],[MA_Number]],#REF!, 2,FALSE)</f>
        <v>#REF!</v>
      </c>
      <c r="AC494">
        <v>17</v>
      </c>
    </row>
    <row r="495" spans="1:29" hidden="1" x14ac:dyDescent="0.3">
      <c r="B495" s="1" t="s">
        <v>1190</v>
      </c>
      <c r="C495" s="1"/>
      <c r="E495" t="s">
        <v>1662</v>
      </c>
      <c r="G495" t="s">
        <v>1189</v>
      </c>
      <c r="H495" t="s">
        <v>1194</v>
      </c>
      <c r="I495">
        <v>1</v>
      </c>
      <c r="J495">
        <v>66</v>
      </c>
      <c r="K495">
        <v>47</v>
      </c>
      <c r="L495">
        <v>20</v>
      </c>
      <c r="M495" t="s">
        <v>48</v>
      </c>
      <c r="N495" t="s">
        <v>24</v>
      </c>
      <c r="O495" t="b">
        <v>1</v>
      </c>
      <c r="AA495" t="e">
        <f>Table1[[#This Row],[qPer board]]*Table1[[#This Row],[boards]]</f>
        <v>#REF!</v>
      </c>
      <c r="AB495" t="e">
        <f>VLOOKUP(Table1[[#This Row],[MA_Number]],#REF!, 2,FALSE)</f>
        <v>#REF!</v>
      </c>
      <c r="AC495">
        <v>17</v>
      </c>
    </row>
    <row r="496" spans="1:29" hidden="1" x14ac:dyDescent="0.3">
      <c r="A496" t="s">
        <v>1698</v>
      </c>
      <c r="B496" s="1" t="s">
        <v>1663</v>
      </c>
      <c r="C496" s="1"/>
      <c r="D496" t="s">
        <v>280</v>
      </c>
      <c r="F496" t="b">
        <v>1</v>
      </c>
      <c r="I496">
        <v>1</v>
      </c>
      <c r="J496" t="s">
        <v>671</v>
      </c>
      <c r="K496" t="s">
        <v>671</v>
      </c>
      <c r="L496" t="s">
        <v>671</v>
      </c>
      <c r="O496" t="b">
        <v>1</v>
      </c>
      <c r="AA496" t="e">
        <f>Table1[[#This Row],[qPer board]]*Table1[[#This Row],[boards]]</f>
        <v>#REF!</v>
      </c>
      <c r="AB496" t="e">
        <f>VLOOKUP(Table1[[#This Row],[MA_Number]],#REF!, 2,FALSE)</f>
        <v>#REF!</v>
      </c>
      <c r="AC496">
        <v>17</v>
      </c>
    </row>
    <row r="497" spans="1:29" hidden="1" x14ac:dyDescent="0.3">
      <c r="B497" s="1" t="s">
        <v>1663</v>
      </c>
      <c r="C497" s="1"/>
      <c r="G497" t="s">
        <v>1698</v>
      </c>
      <c r="H497" t="s">
        <v>1699</v>
      </c>
      <c r="I497">
        <v>1</v>
      </c>
      <c r="J497">
        <v>66</v>
      </c>
      <c r="K497">
        <v>47</v>
      </c>
      <c r="L497">
        <v>47</v>
      </c>
      <c r="M497" t="s">
        <v>48</v>
      </c>
      <c r="N497" t="s">
        <v>24</v>
      </c>
      <c r="O497" t="b">
        <v>1</v>
      </c>
      <c r="AA497" t="e">
        <f>Table1[[#This Row],[qPer board]]*Table1[[#This Row],[boards]]</f>
        <v>#REF!</v>
      </c>
      <c r="AB497" t="e">
        <f>VLOOKUP(Table1[[#This Row],[MA_Number]],#REF!, 2,FALSE)</f>
        <v>#REF!</v>
      </c>
      <c r="AC497">
        <v>17</v>
      </c>
    </row>
    <row r="498" spans="1:29" hidden="1" x14ac:dyDescent="0.3">
      <c r="B498" s="1" t="s">
        <v>1663</v>
      </c>
      <c r="C498" s="1"/>
      <c r="G498" t="s">
        <v>1698</v>
      </c>
      <c r="H498" t="s">
        <v>1700</v>
      </c>
      <c r="I498">
        <v>1</v>
      </c>
      <c r="J498">
        <v>66</v>
      </c>
      <c r="K498">
        <v>47</v>
      </c>
      <c r="L498">
        <v>30</v>
      </c>
      <c r="M498" t="s">
        <v>48</v>
      </c>
      <c r="N498" t="s">
        <v>24</v>
      </c>
      <c r="O498" t="b">
        <v>1</v>
      </c>
      <c r="AA498" t="e">
        <f>Table1[[#This Row],[qPer board]]*Table1[[#This Row],[boards]]</f>
        <v>#REF!</v>
      </c>
      <c r="AB498" t="e">
        <f>VLOOKUP(Table1[[#This Row],[MA_Number]],#REF!, 2,FALSE)</f>
        <v>#REF!</v>
      </c>
      <c r="AC498">
        <v>17</v>
      </c>
    </row>
    <row r="499" spans="1:29" hidden="1" x14ac:dyDescent="0.3">
      <c r="B499" s="1" t="s">
        <v>1663</v>
      </c>
      <c r="C499" s="1"/>
      <c r="G499" t="s">
        <v>1698</v>
      </c>
      <c r="H499" t="s">
        <v>1701</v>
      </c>
      <c r="I499">
        <v>1</v>
      </c>
      <c r="J499">
        <v>66</v>
      </c>
      <c r="K499">
        <v>47</v>
      </c>
      <c r="L499">
        <v>20</v>
      </c>
      <c r="M499" t="s">
        <v>48</v>
      </c>
      <c r="N499" t="s">
        <v>24</v>
      </c>
      <c r="O499" t="b">
        <v>1</v>
      </c>
      <c r="AA499" t="e">
        <f>Table1[[#This Row],[qPer board]]*Table1[[#This Row],[boards]]</f>
        <v>#REF!</v>
      </c>
      <c r="AB499" t="e">
        <f>VLOOKUP(Table1[[#This Row],[MA_Number]],#REF!, 2,FALSE)</f>
        <v>#REF!</v>
      </c>
      <c r="AC499">
        <v>17</v>
      </c>
    </row>
    <row r="500" spans="1:29" hidden="1" x14ac:dyDescent="0.3">
      <c r="A500" t="s">
        <v>713</v>
      </c>
      <c r="B500" s="1" t="s">
        <v>1085</v>
      </c>
      <c r="C500" s="1"/>
      <c r="D500" t="s">
        <v>280</v>
      </c>
      <c r="E500" t="s">
        <v>1664</v>
      </c>
      <c r="F500" t="b">
        <v>1</v>
      </c>
      <c r="I500">
        <v>1</v>
      </c>
      <c r="J500" t="s">
        <v>671</v>
      </c>
      <c r="K500" t="s">
        <v>671</v>
      </c>
      <c r="L500" t="s">
        <v>671</v>
      </c>
      <c r="O500" t="b">
        <v>1</v>
      </c>
      <c r="AA500" t="e">
        <f>Table1[[#This Row],[qPer board]]*Table1[[#This Row],[boards]]</f>
        <v>#REF!</v>
      </c>
      <c r="AB500" t="e">
        <f>VLOOKUP(Table1[[#This Row],[MA_Number]],#REF!, 2,FALSE)</f>
        <v>#REF!</v>
      </c>
      <c r="AC500">
        <v>17</v>
      </c>
    </row>
    <row r="501" spans="1:29" hidden="1" x14ac:dyDescent="0.3">
      <c r="B501" s="1" t="s">
        <v>1085</v>
      </c>
      <c r="C501" s="1"/>
      <c r="E501" t="s">
        <v>1665</v>
      </c>
      <c r="G501" t="s">
        <v>713</v>
      </c>
      <c r="H501" t="s">
        <v>1666</v>
      </c>
      <c r="I501">
        <v>1</v>
      </c>
      <c r="J501">
        <v>56</v>
      </c>
      <c r="K501">
        <v>50</v>
      </c>
      <c r="L501">
        <v>52</v>
      </c>
      <c r="M501" t="s">
        <v>49</v>
      </c>
      <c r="N501" t="s">
        <v>24</v>
      </c>
      <c r="O501" t="b">
        <v>1</v>
      </c>
      <c r="AA501" t="e">
        <f>Table1[[#This Row],[qPer board]]*Table1[[#This Row],[boards]]</f>
        <v>#REF!</v>
      </c>
      <c r="AB501" t="e">
        <f>VLOOKUP(Table1[[#This Row],[MA_Number]],#REF!, 2,FALSE)</f>
        <v>#REF!</v>
      </c>
      <c r="AC501">
        <v>17</v>
      </c>
    </row>
    <row r="502" spans="1:29" hidden="1" x14ac:dyDescent="0.3">
      <c r="B502" s="1" t="s">
        <v>1085</v>
      </c>
      <c r="C502" s="1"/>
      <c r="E502" t="s">
        <v>1667</v>
      </c>
      <c r="G502" t="s">
        <v>713</v>
      </c>
      <c r="H502" t="s">
        <v>1668</v>
      </c>
      <c r="I502">
        <v>1</v>
      </c>
      <c r="J502">
        <v>56</v>
      </c>
      <c r="K502">
        <v>50</v>
      </c>
      <c r="L502">
        <v>30</v>
      </c>
      <c r="M502" t="s">
        <v>49</v>
      </c>
      <c r="N502" t="s">
        <v>24</v>
      </c>
      <c r="O502" t="b">
        <v>1</v>
      </c>
      <c r="AA502" t="e">
        <f>Table1[[#This Row],[qPer board]]*Table1[[#This Row],[boards]]</f>
        <v>#REF!</v>
      </c>
      <c r="AB502" t="e">
        <f>VLOOKUP(Table1[[#This Row],[MA_Number]],#REF!, 2,FALSE)</f>
        <v>#REF!</v>
      </c>
      <c r="AC502">
        <v>17</v>
      </c>
    </row>
    <row r="503" spans="1:29" hidden="1" x14ac:dyDescent="0.3">
      <c r="B503" s="1" t="s">
        <v>1085</v>
      </c>
      <c r="C503" s="1"/>
      <c r="E503" t="s">
        <v>1669</v>
      </c>
      <c r="G503" t="s">
        <v>713</v>
      </c>
      <c r="H503" t="s">
        <v>1670</v>
      </c>
      <c r="I503">
        <v>1</v>
      </c>
      <c r="J503">
        <v>56</v>
      </c>
      <c r="K503">
        <v>50</v>
      </c>
      <c r="L503">
        <v>20</v>
      </c>
      <c r="M503" t="s">
        <v>49</v>
      </c>
      <c r="N503" t="s">
        <v>24</v>
      </c>
      <c r="O503" t="b">
        <v>1</v>
      </c>
      <c r="AA503" t="e">
        <f>Table1[[#This Row],[qPer board]]*Table1[[#This Row],[boards]]</f>
        <v>#REF!</v>
      </c>
      <c r="AB503" t="e">
        <f>VLOOKUP(Table1[[#This Row],[MA_Number]],#REF!, 2,FALSE)</f>
        <v>#REF!</v>
      </c>
      <c r="AC503">
        <v>17</v>
      </c>
    </row>
    <row r="504" spans="1:29" hidden="1" x14ac:dyDescent="0.3">
      <c r="A504" t="s">
        <v>1789</v>
      </c>
      <c r="B504" s="1" t="s">
        <v>1210</v>
      </c>
      <c r="C504" s="1"/>
      <c r="D504" t="s">
        <v>280</v>
      </c>
      <c r="E504" t="s">
        <v>1695</v>
      </c>
      <c r="F504" t="b">
        <v>1</v>
      </c>
      <c r="I504">
        <v>1</v>
      </c>
      <c r="J504" t="s">
        <v>671</v>
      </c>
      <c r="K504" t="s">
        <v>671</v>
      </c>
      <c r="L504" t="s">
        <v>671</v>
      </c>
      <c r="O504" t="b">
        <v>1</v>
      </c>
      <c r="AA504" t="e">
        <f>Table1[[#This Row],[qPer board]]*Table1[[#This Row],[boards]]</f>
        <v>#REF!</v>
      </c>
      <c r="AB504" t="e">
        <f>VLOOKUP(Table1[[#This Row],[MA_Number]],#REF!, 2,FALSE)</f>
        <v>#REF!</v>
      </c>
      <c r="AC504">
        <v>17</v>
      </c>
    </row>
    <row r="505" spans="1:29" hidden="1" x14ac:dyDescent="0.3">
      <c r="B505" s="1" t="s">
        <v>1210</v>
      </c>
      <c r="C505" s="1"/>
      <c r="G505" t="s">
        <v>1789</v>
      </c>
      <c r="H505" t="s">
        <v>1790</v>
      </c>
      <c r="I505">
        <v>1</v>
      </c>
      <c r="J505">
        <v>58</v>
      </c>
      <c r="K505">
        <v>35</v>
      </c>
      <c r="L505">
        <v>41</v>
      </c>
      <c r="M505" t="s">
        <v>49</v>
      </c>
      <c r="N505" t="s">
        <v>24</v>
      </c>
      <c r="O505" t="b">
        <v>1</v>
      </c>
      <c r="AA505" t="e">
        <f>Table1[[#This Row],[qPer board]]*Table1[[#This Row],[boards]]</f>
        <v>#REF!</v>
      </c>
      <c r="AB505" t="e">
        <f>VLOOKUP(Table1[[#This Row],[MA_Number]],#REF!, 2,FALSE)</f>
        <v>#REF!</v>
      </c>
      <c r="AC505">
        <v>17</v>
      </c>
    </row>
    <row r="506" spans="1:29" hidden="1" x14ac:dyDescent="0.3">
      <c r="B506" s="1" t="s">
        <v>1210</v>
      </c>
      <c r="C506" s="1"/>
      <c r="G506" t="s">
        <v>1789</v>
      </c>
      <c r="H506" t="s">
        <v>1791</v>
      </c>
      <c r="I506">
        <v>1</v>
      </c>
      <c r="J506">
        <v>58</v>
      </c>
      <c r="K506">
        <v>35</v>
      </c>
      <c r="L506">
        <v>30</v>
      </c>
      <c r="M506" t="s">
        <v>49</v>
      </c>
      <c r="N506" t="s">
        <v>24</v>
      </c>
      <c r="O506" t="b">
        <v>1</v>
      </c>
      <c r="AA506" t="e">
        <f>Table1[[#This Row],[qPer board]]*Table1[[#This Row],[boards]]</f>
        <v>#REF!</v>
      </c>
      <c r="AB506" t="e">
        <f>VLOOKUP(Table1[[#This Row],[MA_Number]],#REF!, 2,FALSE)</f>
        <v>#REF!</v>
      </c>
      <c r="AC506">
        <v>17</v>
      </c>
    </row>
    <row r="507" spans="1:29" hidden="1" x14ac:dyDescent="0.3">
      <c r="B507" s="1" t="s">
        <v>1210</v>
      </c>
      <c r="C507" s="1"/>
      <c r="G507" t="s">
        <v>1789</v>
      </c>
      <c r="H507" t="s">
        <v>1792</v>
      </c>
      <c r="I507">
        <v>1</v>
      </c>
      <c r="J507">
        <v>58</v>
      </c>
      <c r="K507">
        <v>35</v>
      </c>
      <c r="L507">
        <v>20</v>
      </c>
      <c r="M507" t="s">
        <v>49</v>
      </c>
      <c r="N507" t="s">
        <v>24</v>
      </c>
      <c r="O507" t="b">
        <v>1</v>
      </c>
      <c r="AA507" t="e">
        <f>Table1[[#This Row],[qPer board]]*Table1[[#This Row],[boards]]</f>
        <v>#REF!</v>
      </c>
      <c r="AB507" t="e">
        <f>VLOOKUP(Table1[[#This Row],[MA_Number]],#REF!, 2,FALSE)</f>
        <v>#REF!</v>
      </c>
      <c r="AC507">
        <v>17</v>
      </c>
    </row>
    <row r="508" spans="1:29" hidden="1" x14ac:dyDescent="0.3">
      <c r="A508" t="s">
        <v>1671</v>
      </c>
      <c r="B508" s="1" t="s">
        <v>1672</v>
      </c>
      <c r="C508" s="1"/>
      <c r="D508" t="s">
        <v>280</v>
      </c>
      <c r="E508" t="s">
        <v>1423</v>
      </c>
      <c r="F508" t="b">
        <v>1</v>
      </c>
      <c r="I508">
        <v>1</v>
      </c>
      <c r="J508" t="s">
        <v>671</v>
      </c>
      <c r="K508" t="s">
        <v>671</v>
      </c>
      <c r="L508" t="s">
        <v>671</v>
      </c>
      <c r="O508" t="b">
        <v>1</v>
      </c>
      <c r="AA508" t="e">
        <f>Table1[[#This Row],[qPer board]]*Table1[[#This Row],[boards]]</f>
        <v>#REF!</v>
      </c>
      <c r="AB508" t="e">
        <f>VLOOKUP(Table1[[#This Row],[MA_Number]],#REF!, 2,FALSE)</f>
        <v>#REF!</v>
      </c>
      <c r="AC508">
        <v>17</v>
      </c>
    </row>
    <row r="509" spans="1:29" hidden="1" x14ac:dyDescent="0.3">
      <c r="B509" s="1" t="s">
        <v>1672</v>
      </c>
      <c r="C509" s="1"/>
      <c r="E509" t="s">
        <v>1673</v>
      </c>
      <c r="G509" t="s">
        <v>1671</v>
      </c>
      <c r="H509" t="s">
        <v>1674</v>
      </c>
      <c r="I509">
        <v>1</v>
      </c>
      <c r="J509">
        <v>60</v>
      </c>
      <c r="K509">
        <v>40</v>
      </c>
      <c r="L509">
        <v>46</v>
      </c>
      <c r="M509" t="s">
        <v>48</v>
      </c>
      <c r="N509" t="s">
        <v>24</v>
      </c>
      <c r="O509" t="b">
        <v>1</v>
      </c>
      <c r="AA509" t="e">
        <f>Table1[[#This Row],[qPer board]]*Table1[[#This Row],[boards]]</f>
        <v>#REF!</v>
      </c>
      <c r="AB509" t="e">
        <f>VLOOKUP(Table1[[#This Row],[MA_Number]],#REF!, 2,FALSE)</f>
        <v>#REF!</v>
      </c>
      <c r="AC509">
        <v>17</v>
      </c>
    </row>
    <row r="510" spans="1:29" hidden="1" x14ac:dyDescent="0.3">
      <c r="B510" s="1" t="s">
        <v>1672</v>
      </c>
      <c r="C510" s="1"/>
      <c r="E510" t="s">
        <v>1547</v>
      </c>
      <c r="G510" t="s">
        <v>1671</v>
      </c>
      <c r="H510" t="s">
        <v>1675</v>
      </c>
      <c r="I510">
        <v>1</v>
      </c>
      <c r="J510">
        <v>60</v>
      </c>
      <c r="K510">
        <v>40</v>
      </c>
      <c r="L510">
        <v>30</v>
      </c>
      <c r="M510" t="s">
        <v>48</v>
      </c>
      <c r="N510" t="s">
        <v>24</v>
      </c>
      <c r="O510" t="b">
        <v>1</v>
      </c>
      <c r="AA510" t="e">
        <f>Table1[[#This Row],[qPer board]]*Table1[[#This Row],[boards]]</f>
        <v>#REF!</v>
      </c>
      <c r="AB510" t="e">
        <f>VLOOKUP(Table1[[#This Row],[MA_Number]],#REF!, 2,FALSE)</f>
        <v>#REF!</v>
      </c>
      <c r="AC510">
        <v>17</v>
      </c>
    </row>
    <row r="511" spans="1:29" hidden="1" x14ac:dyDescent="0.3">
      <c r="B511" s="1" t="s">
        <v>1672</v>
      </c>
      <c r="C511" s="1"/>
      <c r="E511" t="s">
        <v>1549</v>
      </c>
      <c r="G511" t="s">
        <v>1671</v>
      </c>
      <c r="H511" t="s">
        <v>1676</v>
      </c>
      <c r="I511">
        <v>1</v>
      </c>
      <c r="J511">
        <v>60</v>
      </c>
      <c r="K511">
        <v>40</v>
      </c>
      <c r="L511">
        <v>20</v>
      </c>
      <c r="M511" t="s">
        <v>48</v>
      </c>
      <c r="N511" t="s">
        <v>24</v>
      </c>
      <c r="O511" t="b">
        <v>1</v>
      </c>
      <c r="AA511" t="e">
        <f>Table1[[#This Row],[qPer board]]*Table1[[#This Row],[boards]]</f>
        <v>#REF!</v>
      </c>
      <c r="AB511" t="e">
        <f>VLOOKUP(Table1[[#This Row],[MA_Number]],#REF!, 2,FALSE)</f>
        <v>#REF!</v>
      </c>
      <c r="AC511">
        <v>17</v>
      </c>
    </row>
    <row r="512" spans="1:29" hidden="1" x14ac:dyDescent="0.3">
      <c r="A512" t="s">
        <v>602</v>
      </c>
      <c r="B512" s="1" t="s">
        <v>1078</v>
      </c>
      <c r="C512" s="1"/>
      <c r="D512" t="s">
        <v>280</v>
      </c>
      <c r="E512" t="s">
        <v>1677</v>
      </c>
      <c r="F512" t="b">
        <v>1</v>
      </c>
      <c r="I512">
        <v>1</v>
      </c>
      <c r="J512" t="s">
        <v>671</v>
      </c>
      <c r="K512" t="s">
        <v>671</v>
      </c>
      <c r="L512" t="s">
        <v>671</v>
      </c>
      <c r="O512" t="b">
        <v>1</v>
      </c>
      <c r="AA512" t="e">
        <f>Table1[[#This Row],[qPer board]]*Table1[[#This Row],[boards]]</f>
        <v>#REF!</v>
      </c>
      <c r="AB512" t="e">
        <f>VLOOKUP(Table1[[#This Row],[MA_Number]],#REF!, 2,FALSE)</f>
        <v>#REF!</v>
      </c>
      <c r="AC512">
        <v>17</v>
      </c>
    </row>
    <row r="513" spans="1:29" hidden="1" x14ac:dyDescent="0.3">
      <c r="B513" s="1" t="s">
        <v>1078</v>
      </c>
      <c r="C513" s="1"/>
      <c r="E513" t="s">
        <v>1678</v>
      </c>
      <c r="G513" t="s">
        <v>602</v>
      </c>
      <c r="H513" t="s">
        <v>1679</v>
      </c>
      <c r="I513">
        <v>1</v>
      </c>
      <c r="J513">
        <v>60</v>
      </c>
      <c r="K513">
        <v>39</v>
      </c>
      <c r="L513">
        <v>47</v>
      </c>
      <c r="M513" t="s">
        <v>50</v>
      </c>
      <c r="N513" t="s">
        <v>24</v>
      </c>
      <c r="O513" t="b">
        <v>1</v>
      </c>
      <c r="AA513" t="e">
        <f>Table1[[#This Row],[qPer board]]*Table1[[#This Row],[boards]]</f>
        <v>#REF!</v>
      </c>
      <c r="AB513" t="e">
        <f>VLOOKUP(Table1[[#This Row],[MA_Number]],#REF!, 2,FALSE)</f>
        <v>#REF!</v>
      </c>
      <c r="AC513">
        <v>17</v>
      </c>
    </row>
    <row r="514" spans="1:29" hidden="1" x14ac:dyDescent="0.3">
      <c r="B514" s="1" t="s">
        <v>1078</v>
      </c>
      <c r="C514" s="1"/>
      <c r="E514" t="s">
        <v>1680</v>
      </c>
      <c r="G514" t="s">
        <v>602</v>
      </c>
      <c r="H514" t="s">
        <v>1681</v>
      </c>
      <c r="I514">
        <v>1</v>
      </c>
      <c r="J514">
        <v>60</v>
      </c>
      <c r="K514">
        <v>39</v>
      </c>
      <c r="L514">
        <v>30</v>
      </c>
      <c r="M514" t="s">
        <v>50</v>
      </c>
      <c r="N514" t="s">
        <v>24</v>
      </c>
      <c r="O514" t="b">
        <v>1</v>
      </c>
      <c r="AA514" t="e">
        <f>Table1[[#This Row],[qPer board]]*Table1[[#This Row],[boards]]</f>
        <v>#REF!</v>
      </c>
      <c r="AB514" t="e">
        <f>VLOOKUP(Table1[[#This Row],[MA_Number]],#REF!, 2,FALSE)</f>
        <v>#REF!</v>
      </c>
      <c r="AC514">
        <v>17</v>
      </c>
    </row>
    <row r="515" spans="1:29" hidden="1" x14ac:dyDescent="0.3">
      <c r="B515" s="1" t="s">
        <v>1078</v>
      </c>
      <c r="C515" s="1"/>
      <c r="E515" t="s">
        <v>1682</v>
      </c>
      <c r="G515" t="s">
        <v>602</v>
      </c>
      <c r="H515" t="s">
        <v>1683</v>
      </c>
      <c r="I515">
        <v>1</v>
      </c>
      <c r="J515">
        <v>60</v>
      </c>
      <c r="K515">
        <v>39</v>
      </c>
      <c r="L515">
        <v>21</v>
      </c>
      <c r="M515" t="s">
        <v>50</v>
      </c>
      <c r="N515" t="s">
        <v>24</v>
      </c>
      <c r="O515" t="b">
        <v>1</v>
      </c>
      <c r="AA515" t="e">
        <f>Table1[[#This Row],[qPer board]]*Table1[[#This Row],[boards]]</f>
        <v>#REF!</v>
      </c>
      <c r="AB515" t="e">
        <f>VLOOKUP(Table1[[#This Row],[MA_Number]],#REF!, 2,FALSE)</f>
        <v>#REF!</v>
      </c>
      <c r="AC515">
        <v>17</v>
      </c>
    </row>
    <row r="516" spans="1:29" hidden="1" x14ac:dyDescent="0.3">
      <c r="A516" t="s">
        <v>718</v>
      </c>
      <c r="B516" s="1" t="s">
        <v>1086</v>
      </c>
      <c r="C516" s="1"/>
      <c r="D516" t="s">
        <v>280</v>
      </c>
      <c r="E516" t="s">
        <v>1684</v>
      </c>
      <c r="F516" t="b">
        <v>1</v>
      </c>
      <c r="I516">
        <v>1</v>
      </c>
      <c r="J516" t="s">
        <v>671</v>
      </c>
      <c r="K516" t="s">
        <v>671</v>
      </c>
      <c r="L516" t="s">
        <v>671</v>
      </c>
      <c r="O516" t="b">
        <v>1</v>
      </c>
      <c r="AA516" t="e">
        <f>Table1[[#This Row],[qPer board]]*Table1[[#This Row],[boards]]</f>
        <v>#REF!</v>
      </c>
      <c r="AB516" t="e">
        <f>VLOOKUP(Table1[[#This Row],[MA_Number]],#REF!, 2,FALSE)</f>
        <v>#REF!</v>
      </c>
      <c r="AC516">
        <v>17</v>
      </c>
    </row>
    <row r="517" spans="1:29" hidden="1" x14ac:dyDescent="0.3">
      <c r="B517" s="1" t="s">
        <v>1086</v>
      </c>
      <c r="C517" s="1"/>
      <c r="E517" t="s">
        <v>1685</v>
      </c>
      <c r="G517" t="s">
        <v>718</v>
      </c>
      <c r="H517" t="s">
        <v>1686</v>
      </c>
      <c r="I517">
        <v>1</v>
      </c>
      <c r="J517">
        <v>57</v>
      </c>
      <c r="K517">
        <v>40</v>
      </c>
      <c r="L517">
        <v>47</v>
      </c>
      <c r="M517" t="s">
        <v>51</v>
      </c>
      <c r="N517" t="s">
        <v>24</v>
      </c>
      <c r="O517" t="b">
        <v>1</v>
      </c>
      <c r="AA517" t="e">
        <f>Table1[[#This Row],[qPer board]]*Table1[[#This Row],[boards]]</f>
        <v>#REF!</v>
      </c>
      <c r="AB517" t="e">
        <f>VLOOKUP(Table1[[#This Row],[MA_Number]],#REF!, 2,FALSE)</f>
        <v>#REF!</v>
      </c>
      <c r="AC517">
        <v>17</v>
      </c>
    </row>
    <row r="518" spans="1:29" hidden="1" x14ac:dyDescent="0.3">
      <c r="B518" s="1" t="s">
        <v>1086</v>
      </c>
      <c r="C518" s="1"/>
      <c r="E518" t="s">
        <v>1687</v>
      </c>
      <c r="G518" t="s">
        <v>718</v>
      </c>
      <c r="H518" t="s">
        <v>1688</v>
      </c>
      <c r="I518">
        <v>1</v>
      </c>
      <c r="J518">
        <v>57</v>
      </c>
      <c r="K518">
        <v>40</v>
      </c>
      <c r="L518">
        <v>30</v>
      </c>
      <c r="M518" t="s">
        <v>51</v>
      </c>
      <c r="N518" t="s">
        <v>24</v>
      </c>
      <c r="O518" t="b">
        <v>1</v>
      </c>
      <c r="AA518" t="e">
        <f>Table1[[#This Row],[qPer board]]*Table1[[#This Row],[boards]]</f>
        <v>#REF!</v>
      </c>
      <c r="AB518" t="e">
        <f>VLOOKUP(Table1[[#This Row],[MA_Number]],#REF!, 2,FALSE)</f>
        <v>#REF!</v>
      </c>
      <c r="AC518">
        <v>17</v>
      </c>
    </row>
    <row r="519" spans="1:29" hidden="1" x14ac:dyDescent="0.3">
      <c r="B519" s="1" t="s">
        <v>1086</v>
      </c>
      <c r="C519" s="1"/>
      <c r="E519" t="s">
        <v>1689</v>
      </c>
      <c r="G519" t="s">
        <v>718</v>
      </c>
      <c r="H519" t="s">
        <v>1690</v>
      </c>
      <c r="I519">
        <v>1</v>
      </c>
      <c r="J519">
        <v>57</v>
      </c>
      <c r="K519">
        <v>40</v>
      </c>
      <c r="L519">
        <v>21</v>
      </c>
      <c r="M519" t="s">
        <v>51</v>
      </c>
      <c r="N519" t="s">
        <v>24</v>
      </c>
      <c r="O519" t="b">
        <v>1</v>
      </c>
      <c r="AA519" t="e">
        <f>Table1[[#This Row],[qPer board]]*Table1[[#This Row],[boards]]</f>
        <v>#REF!</v>
      </c>
      <c r="AB519" t="e">
        <f>VLOOKUP(Table1[[#This Row],[MA_Number]],#REF!, 2,FALSE)</f>
        <v>#REF!</v>
      </c>
      <c r="AC519">
        <v>17</v>
      </c>
    </row>
    <row r="520" spans="1:29" hidden="1" x14ac:dyDescent="0.3">
      <c r="A520" s="62" t="s">
        <v>1891</v>
      </c>
      <c r="B520" s="1" t="s">
        <v>1691</v>
      </c>
      <c r="C520" s="1"/>
      <c r="D520" t="s">
        <v>280</v>
      </c>
      <c r="E520" t="s">
        <v>1899</v>
      </c>
      <c r="F520" t="b">
        <v>1</v>
      </c>
      <c r="I520">
        <v>1</v>
      </c>
      <c r="J520" t="s">
        <v>671</v>
      </c>
      <c r="K520" t="s">
        <v>671</v>
      </c>
      <c r="L520" t="s">
        <v>671</v>
      </c>
      <c r="N520" t="s">
        <v>24</v>
      </c>
      <c r="O520" t="b">
        <v>1</v>
      </c>
      <c r="X520">
        <v>21</v>
      </c>
      <c r="AA520" t="e">
        <f>Table1[[#This Row],[qPer board]]*Table1[[#This Row],[boards]]</f>
        <v>#REF!</v>
      </c>
      <c r="AB520" t="e">
        <f>VLOOKUP(Table1[[#This Row],[MA_Number]],#REF!, 2,FALSE)</f>
        <v>#REF!</v>
      </c>
      <c r="AC520">
        <v>1</v>
      </c>
    </row>
    <row r="521" spans="1:29" hidden="1" x14ac:dyDescent="0.3">
      <c r="A521" s="62"/>
      <c r="B521" s="1" t="s">
        <v>1691</v>
      </c>
      <c r="C521" s="1"/>
      <c r="G521" t="s">
        <v>1891</v>
      </c>
      <c r="H521" t="s">
        <v>1893</v>
      </c>
      <c r="I521">
        <v>1</v>
      </c>
      <c r="J521">
        <v>70</v>
      </c>
      <c r="K521">
        <v>40</v>
      </c>
      <c r="L521">
        <v>48</v>
      </c>
      <c r="M521" t="s">
        <v>49</v>
      </c>
      <c r="N521" t="s">
        <v>24</v>
      </c>
      <c r="O521" t="b">
        <v>1</v>
      </c>
      <c r="X521">
        <v>21</v>
      </c>
      <c r="AA521" t="e">
        <f>Table1[[#This Row],[qPer board]]*Table1[[#This Row],[boards]]</f>
        <v>#REF!</v>
      </c>
      <c r="AB521" t="e">
        <f>VLOOKUP(Table1[[#This Row],[MA_Number]],#REF!, 2,FALSE)</f>
        <v>#REF!</v>
      </c>
      <c r="AC521">
        <v>1</v>
      </c>
    </row>
    <row r="522" spans="1:29" hidden="1" x14ac:dyDescent="0.3">
      <c r="A522" s="62"/>
      <c r="B522" s="1" t="s">
        <v>1691</v>
      </c>
      <c r="C522" s="1"/>
      <c r="G522" t="s">
        <v>1891</v>
      </c>
      <c r="H522" t="s">
        <v>1894</v>
      </c>
      <c r="I522">
        <v>1</v>
      </c>
      <c r="J522">
        <v>70</v>
      </c>
      <c r="K522">
        <v>40</v>
      </c>
      <c r="L522">
        <v>30</v>
      </c>
      <c r="M522" t="s">
        <v>49</v>
      </c>
      <c r="N522" t="s">
        <v>24</v>
      </c>
      <c r="O522" t="b">
        <v>1</v>
      </c>
      <c r="X522">
        <v>21</v>
      </c>
      <c r="AA522" t="e">
        <f>Table1[[#This Row],[qPer board]]*Table1[[#This Row],[boards]]</f>
        <v>#REF!</v>
      </c>
      <c r="AB522" t="e">
        <f>VLOOKUP(Table1[[#This Row],[MA_Number]],#REF!, 2,FALSE)</f>
        <v>#REF!</v>
      </c>
      <c r="AC522">
        <v>1</v>
      </c>
    </row>
    <row r="523" spans="1:29" hidden="1" x14ac:dyDescent="0.3">
      <c r="A523" s="62"/>
      <c r="B523" s="1" t="s">
        <v>1691</v>
      </c>
      <c r="C523" s="1"/>
      <c r="G523" t="s">
        <v>1891</v>
      </c>
      <c r="H523" t="s">
        <v>1895</v>
      </c>
      <c r="I523">
        <v>1</v>
      </c>
      <c r="J523">
        <v>70</v>
      </c>
      <c r="K523">
        <v>40</v>
      </c>
      <c r="L523">
        <v>20</v>
      </c>
      <c r="M523" t="s">
        <v>49</v>
      </c>
      <c r="N523" t="s">
        <v>24</v>
      </c>
      <c r="O523" t="b">
        <v>1</v>
      </c>
      <c r="X523">
        <v>21</v>
      </c>
      <c r="AA523" t="e">
        <f>Table1[[#This Row],[qPer board]]*Table1[[#This Row],[boards]]</f>
        <v>#REF!</v>
      </c>
      <c r="AB523" t="e">
        <f>VLOOKUP(Table1[[#This Row],[MA_Number]],#REF!, 2,FALSE)</f>
        <v>#REF!</v>
      </c>
      <c r="AC523">
        <v>1</v>
      </c>
    </row>
    <row r="524" spans="1:29" hidden="1" x14ac:dyDescent="0.3">
      <c r="A524" s="62" t="s">
        <v>1892</v>
      </c>
      <c r="B524" s="1" t="s">
        <v>1691</v>
      </c>
      <c r="C524" s="1"/>
      <c r="D524" t="s">
        <v>280</v>
      </c>
      <c r="E524" t="s">
        <v>1900</v>
      </c>
      <c r="F524" t="b">
        <v>1</v>
      </c>
      <c r="I524">
        <v>1</v>
      </c>
      <c r="J524" t="s">
        <v>671</v>
      </c>
      <c r="K524" t="s">
        <v>671</v>
      </c>
      <c r="L524" t="s">
        <v>671</v>
      </c>
      <c r="N524" t="s">
        <v>24</v>
      </c>
      <c r="O524" t="b">
        <v>1</v>
      </c>
      <c r="X524">
        <v>42</v>
      </c>
      <c r="AA524">
        <f>Table1[[#This Row],[qPer board]]*Table1[[#This Row],[boards]]</f>
        <v>1</v>
      </c>
      <c r="AB524">
        <v>1</v>
      </c>
      <c r="AC524">
        <v>1</v>
      </c>
    </row>
    <row r="525" spans="1:29" hidden="1" x14ac:dyDescent="0.3">
      <c r="A525" s="62"/>
      <c r="B525" s="1" t="s">
        <v>1691</v>
      </c>
      <c r="C525" s="1"/>
      <c r="G525" t="s">
        <v>1892</v>
      </c>
      <c r="H525" t="s">
        <v>1896</v>
      </c>
      <c r="I525">
        <v>1</v>
      </c>
      <c r="J525">
        <v>50</v>
      </c>
      <c r="K525">
        <v>40</v>
      </c>
      <c r="L525">
        <v>70</v>
      </c>
      <c r="M525" t="s">
        <v>48</v>
      </c>
      <c r="N525" t="s">
        <v>24</v>
      </c>
      <c r="O525" t="b">
        <v>1</v>
      </c>
      <c r="X525">
        <v>42</v>
      </c>
      <c r="AA525">
        <f>Table1[[#This Row],[qPer board]]*Table1[[#This Row],[boards]]</f>
        <v>1</v>
      </c>
      <c r="AB525">
        <v>1</v>
      </c>
      <c r="AC525">
        <v>1</v>
      </c>
    </row>
    <row r="526" spans="1:29" hidden="1" x14ac:dyDescent="0.3">
      <c r="A526" s="62"/>
      <c r="B526" s="1" t="s">
        <v>1691</v>
      </c>
      <c r="C526" s="1"/>
      <c r="G526" t="s">
        <v>1892</v>
      </c>
      <c r="H526" t="s">
        <v>1897</v>
      </c>
      <c r="I526">
        <v>1</v>
      </c>
      <c r="J526">
        <v>50</v>
      </c>
      <c r="K526">
        <v>40</v>
      </c>
      <c r="L526">
        <v>30</v>
      </c>
      <c r="M526" t="s">
        <v>48</v>
      </c>
      <c r="N526" t="s">
        <v>24</v>
      </c>
      <c r="O526" t="b">
        <v>1</v>
      </c>
      <c r="X526">
        <v>42</v>
      </c>
      <c r="AA526">
        <f>Table1[[#This Row],[qPer board]]*Table1[[#This Row],[boards]]</f>
        <v>1</v>
      </c>
      <c r="AB526">
        <v>1</v>
      </c>
      <c r="AC526">
        <v>1</v>
      </c>
    </row>
    <row r="527" spans="1:29" hidden="1" x14ac:dyDescent="0.3">
      <c r="A527" s="62"/>
      <c r="B527" s="1" t="s">
        <v>1691</v>
      </c>
      <c r="C527" s="1"/>
      <c r="G527" t="s">
        <v>1892</v>
      </c>
      <c r="H527" t="s">
        <v>1898</v>
      </c>
      <c r="I527">
        <v>1</v>
      </c>
      <c r="J527">
        <v>50</v>
      </c>
      <c r="K527">
        <v>40</v>
      </c>
      <c r="L527">
        <v>20</v>
      </c>
      <c r="M527" t="s">
        <v>48</v>
      </c>
      <c r="N527" t="s">
        <v>24</v>
      </c>
      <c r="O527" t="b">
        <v>1</v>
      </c>
      <c r="X527">
        <v>42</v>
      </c>
      <c r="AA527">
        <f>Table1[[#This Row],[qPer board]]*Table1[[#This Row],[boards]]</f>
        <v>1</v>
      </c>
      <c r="AB527">
        <v>1</v>
      </c>
      <c r="AC527">
        <v>1</v>
      </c>
    </row>
    <row r="528" spans="1:29" hidden="1" x14ac:dyDescent="0.3">
      <c r="A528" s="62" t="s">
        <v>1871</v>
      </c>
      <c r="B528" s="1">
        <v>7035990430</v>
      </c>
      <c r="C528" s="1"/>
      <c r="D528" t="s">
        <v>280</v>
      </c>
      <c r="E528" t="s">
        <v>1708</v>
      </c>
      <c r="F528" t="b">
        <v>1</v>
      </c>
      <c r="I528">
        <v>1</v>
      </c>
      <c r="N528" t="s">
        <v>24</v>
      </c>
      <c r="O528" t="b">
        <v>1</v>
      </c>
      <c r="AA528" t="e">
        <f>Table1[[#This Row],[qPer board]]*Table1[[#This Row],[boards]]</f>
        <v>#REF!</v>
      </c>
      <c r="AB528" t="e">
        <f>VLOOKUP(Table1[[#This Row],[MA_Number]],#REF!, 2,FALSE)</f>
        <v>#REF!</v>
      </c>
      <c r="AC528">
        <v>17</v>
      </c>
    </row>
    <row r="529" spans="1:29" hidden="1" x14ac:dyDescent="0.3">
      <c r="A529" s="62"/>
      <c r="B529" s="1">
        <v>7035990430</v>
      </c>
      <c r="C529" s="1"/>
      <c r="G529" t="s">
        <v>1871</v>
      </c>
      <c r="H529" t="s">
        <v>1872</v>
      </c>
      <c r="I529">
        <v>1</v>
      </c>
      <c r="J529">
        <v>70</v>
      </c>
      <c r="K529">
        <v>65</v>
      </c>
      <c r="L529">
        <v>70</v>
      </c>
      <c r="M529" t="s">
        <v>49</v>
      </c>
      <c r="N529" t="s">
        <v>24</v>
      </c>
      <c r="O529" t="b">
        <v>1</v>
      </c>
      <c r="AA529" t="e">
        <f>Table1[[#This Row],[qPer board]]*Table1[[#This Row],[boards]]</f>
        <v>#REF!</v>
      </c>
      <c r="AB529" t="e">
        <f>VLOOKUP(Table1[[#This Row],[MA_Number]],#REF!, 2,FALSE)</f>
        <v>#REF!</v>
      </c>
      <c r="AC529">
        <v>17</v>
      </c>
    </row>
    <row r="530" spans="1:29" hidden="1" x14ac:dyDescent="0.3">
      <c r="A530" s="62"/>
      <c r="B530" s="1">
        <v>7035990430</v>
      </c>
      <c r="C530" s="1"/>
      <c r="G530" t="s">
        <v>1871</v>
      </c>
      <c r="H530" t="s">
        <v>1873</v>
      </c>
      <c r="I530">
        <v>1</v>
      </c>
      <c r="J530">
        <v>35</v>
      </c>
      <c r="K530">
        <v>15</v>
      </c>
      <c r="L530">
        <v>25</v>
      </c>
      <c r="M530" t="s">
        <v>49</v>
      </c>
      <c r="N530" t="s">
        <v>24</v>
      </c>
      <c r="O530" t="b">
        <v>1</v>
      </c>
      <c r="AA530" t="e">
        <f>Table1[[#This Row],[qPer board]]*Table1[[#This Row],[boards]]</f>
        <v>#REF!</v>
      </c>
      <c r="AB530" t="e">
        <f>VLOOKUP(Table1[[#This Row],[MA_Number]],#REF!, 2,FALSE)</f>
        <v>#REF!</v>
      </c>
      <c r="AC530">
        <v>17</v>
      </c>
    </row>
    <row r="531" spans="1:29" hidden="1" x14ac:dyDescent="0.3">
      <c r="A531" s="62" t="s">
        <v>1786</v>
      </c>
      <c r="B531" s="1">
        <v>7035990930</v>
      </c>
      <c r="C531" s="1"/>
      <c r="D531" t="s">
        <v>280</v>
      </c>
      <c r="E531" t="s">
        <v>1709</v>
      </c>
      <c r="F531" t="b">
        <v>1</v>
      </c>
      <c r="I531">
        <v>1</v>
      </c>
      <c r="N531" t="s">
        <v>24</v>
      </c>
      <c r="O531" t="b">
        <v>1</v>
      </c>
      <c r="AA531" t="e">
        <f>Table1[[#This Row],[qPer board]]*Table1[[#This Row],[boards]]</f>
        <v>#REF!</v>
      </c>
      <c r="AB531" t="e">
        <f>VLOOKUP(Table1[[#This Row],[MA_Number]],#REF!, 2,FALSE)</f>
        <v>#REF!</v>
      </c>
      <c r="AC531">
        <v>17</v>
      </c>
    </row>
    <row r="532" spans="1:29" hidden="1" x14ac:dyDescent="0.3">
      <c r="A532" s="62"/>
      <c r="B532" s="1">
        <v>7035990930</v>
      </c>
      <c r="C532" s="1"/>
      <c r="G532" t="s">
        <v>1786</v>
      </c>
      <c r="H532" t="s">
        <v>1787</v>
      </c>
      <c r="I532">
        <v>1</v>
      </c>
      <c r="J532">
        <v>110</v>
      </c>
      <c r="K532">
        <v>50</v>
      </c>
      <c r="L532">
        <v>75</v>
      </c>
      <c r="M532" t="s">
        <v>49</v>
      </c>
      <c r="N532" t="s">
        <v>24</v>
      </c>
      <c r="O532" t="b">
        <v>1</v>
      </c>
      <c r="AA532" t="e">
        <f>Table1[[#This Row],[qPer board]]*Table1[[#This Row],[boards]]</f>
        <v>#REF!</v>
      </c>
      <c r="AB532" t="e">
        <f>VLOOKUP(Table1[[#This Row],[MA_Number]],#REF!, 2,FALSE)</f>
        <v>#REF!</v>
      </c>
      <c r="AC532">
        <v>17</v>
      </c>
    </row>
    <row r="533" spans="1:29" hidden="1" x14ac:dyDescent="0.3">
      <c r="A533" s="62"/>
      <c r="B533" s="1">
        <v>7035990930</v>
      </c>
      <c r="C533" s="1"/>
      <c r="G533" t="s">
        <v>1786</v>
      </c>
      <c r="H533" t="s">
        <v>1788</v>
      </c>
      <c r="I533">
        <v>1</v>
      </c>
      <c r="J533">
        <v>45</v>
      </c>
      <c r="K533">
        <v>15</v>
      </c>
      <c r="L533">
        <v>42</v>
      </c>
      <c r="M533" t="s">
        <v>49</v>
      </c>
      <c r="N533" t="s">
        <v>24</v>
      </c>
      <c r="O533" t="b">
        <v>1</v>
      </c>
      <c r="AA533" t="e">
        <f>Table1[[#This Row],[qPer board]]*Table1[[#This Row],[boards]]</f>
        <v>#REF!</v>
      </c>
      <c r="AB533" t="e">
        <f>VLOOKUP(Table1[[#This Row],[MA_Number]],#REF!, 2,FALSE)</f>
        <v>#REF!</v>
      </c>
      <c r="AC533">
        <v>17</v>
      </c>
    </row>
    <row r="534" spans="1:29" hidden="1" x14ac:dyDescent="0.3">
      <c r="A534" t="s">
        <v>1757</v>
      </c>
      <c r="B534" s="1">
        <v>7075244730</v>
      </c>
      <c r="C534" s="1"/>
      <c r="D534" t="s">
        <v>279</v>
      </c>
      <c r="E534" t="s">
        <v>1758</v>
      </c>
      <c r="F534" t="b">
        <v>0</v>
      </c>
      <c r="I534">
        <v>1</v>
      </c>
      <c r="J534">
        <v>56</v>
      </c>
      <c r="K534">
        <v>55</v>
      </c>
      <c r="L534">
        <v>65</v>
      </c>
      <c r="M534" t="s">
        <v>49</v>
      </c>
      <c r="N534" t="s">
        <v>24</v>
      </c>
      <c r="O534" t="b">
        <v>1</v>
      </c>
      <c r="X534">
        <v>34</v>
      </c>
      <c r="AA534">
        <f>Table1[[#This Row],[qPer board]]*Table1[[#This Row],[boards]]</f>
        <v>17</v>
      </c>
      <c r="AB534">
        <v>1</v>
      </c>
      <c r="AC534">
        <v>17</v>
      </c>
    </row>
    <row r="535" spans="1:29" hidden="1" x14ac:dyDescent="0.3">
      <c r="A535" t="s">
        <v>1760</v>
      </c>
      <c r="B535" s="1" t="s">
        <v>1219</v>
      </c>
      <c r="C535" s="1"/>
      <c r="D535" t="s">
        <v>279</v>
      </c>
      <c r="E535" t="s">
        <v>1755</v>
      </c>
      <c r="F535" t="b">
        <v>0</v>
      </c>
      <c r="I535">
        <v>1</v>
      </c>
      <c r="J535">
        <v>56</v>
      </c>
      <c r="K535">
        <v>48</v>
      </c>
      <c r="L535">
        <v>57</v>
      </c>
      <c r="M535" t="s">
        <v>53</v>
      </c>
      <c r="N535" t="s">
        <v>24</v>
      </c>
      <c r="O535" t="b">
        <v>1</v>
      </c>
      <c r="X535">
        <v>30</v>
      </c>
      <c r="AA535" t="e">
        <f>Table1[[#This Row],[qPer board]]*Table1[[#This Row],[boards]]</f>
        <v>#REF!</v>
      </c>
      <c r="AB535" t="e">
        <f>VLOOKUP(Table1[[#This Row],[MA_Number]],#REF!, 2,FALSE)</f>
        <v>#REF!</v>
      </c>
      <c r="AC535">
        <v>17</v>
      </c>
    </row>
    <row r="536" spans="1:29" hidden="1" x14ac:dyDescent="0.3">
      <c r="A536" t="s">
        <v>1768</v>
      </c>
      <c r="B536" s="1" t="s">
        <v>521</v>
      </c>
      <c r="C536" s="1"/>
      <c r="D536" t="s">
        <v>279</v>
      </c>
      <c r="E536" t="s">
        <v>1755</v>
      </c>
      <c r="F536" t="b">
        <v>1</v>
      </c>
      <c r="I536">
        <v>1</v>
      </c>
      <c r="N536" t="s">
        <v>24</v>
      </c>
      <c r="O536" t="b">
        <v>1</v>
      </c>
      <c r="V536" t="b">
        <v>1</v>
      </c>
      <c r="X536">
        <v>30</v>
      </c>
      <c r="AA536" t="e">
        <f>Table1[[#This Row],[qPer board]]*Table1[[#This Row],[boards]]</f>
        <v>#REF!</v>
      </c>
      <c r="AB536" t="e">
        <f>VLOOKUP(Table1[[#This Row],[MA_Number]],#REF!, 2,FALSE)</f>
        <v>#REF!</v>
      </c>
      <c r="AC536">
        <v>17</v>
      </c>
    </row>
    <row r="537" spans="1:29" hidden="1" x14ac:dyDescent="0.3">
      <c r="B537" s="1" t="s">
        <v>521</v>
      </c>
      <c r="C537" s="1"/>
      <c r="E537" t="s">
        <v>1902</v>
      </c>
      <c r="G537" t="s">
        <v>1768</v>
      </c>
      <c r="H537" t="s">
        <v>1769</v>
      </c>
      <c r="I537">
        <v>1</v>
      </c>
      <c r="M537" t="s">
        <v>1012</v>
      </c>
      <c r="AB537" t="e">
        <f>VLOOKUP(Table1[[#This Row],[MA_Number]],#REF!, 2,FALSE)</f>
        <v>#REF!</v>
      </c>
      <c r="AC537">
        <v>17</v>
      </c>
    </row>
    <row r="538" spans="1:29" hidden="1" x14ac:dyDescent="0.3">
      <c r="B538" s="1" t="s">
        <v>521</v>
      </c>
      <c r="C538" s="1"/>
      <c r="E538" t="s">
        <v>1902</v>
      </c>
      <c r="G538" t="s">
        <v>1768</v>
      </c>
      <c r="H538" t="s">
        <v>1770</v>
      </c>
      <c r="I538">
        <v>1</v>
      </c>
      <c r="M538" t="s">
        <v>49</v>
      </c>
      <c r="AB538" t="e">
        <f>VLOOKUP(Table1[[#This Row],[MA_Number]],#REF!, 2,FALSE)</f>
        <v>#REF!</v>
      </c>
      <c r="AC538">
        <v>17</v>
      </c>
    </row>
    <row r="539" spans="1:29" hidden="1" x14ac:dyDescent="0.3">
      <c r="B539" s="1" t="s">
        <v>521</v>
      </c>
      <c r="C539" s="1"/>
      <c r="G539" t="s">
        <v>1768</v>
      </c>
      <c r="H539" t="s">
        <v>1771</v>
      </c>
      <c r="I539">
        <v>1</v>
      </c>
      <c r="J539">
        <v>42</v>
      </c>
      <c r="K539">
        <v>46</v>
      </c>
      <c r="L539">
        <v>62</v>
      </c>
      <c r="M539" t="s">
        <v>48</v>
      </c>
      <c r="N539" t="s">
        <v>24</v>
      </c>
      <c r="O539" t="b">
        <v>1</v>
      </c>
      <c r="AB539" t="e">
        <f>VLOOKUP(Table1[[#This Row],[MA_Number]],#REF!, 2,FALSE)</f>
        <v>#REF!</v>
      </c>
      <c r="AC539">
        <v>17</v>
      </c>
    </row>
    <row r="540" spans="1:29" hidden="1" x14ac:dyDescent="0.3">
      <c r="A540" t="s">
        <v>1772</v>
      </c>
      <c r="B540" s="1">
        <v>7119641970</v>
      </c>
      <c r="C540" s="1"/>
      <c r="D540" t="s">
        <v>279</v>
      </c>
      <c r="E540" t="s">
        <v>1755</v>
      </c>
      <c r="F540" t="b">
        <v>0</v>
      </c>
      <c r="I540">
        <v>1</v>
      </c>
      <c r="J540">
        <v>42</v>
      </c>
      <c r="K540">
        <v>34</v>
      </c>
      <c r="L540">
        <v>46</v>
      </c>
      <c r="M540" t="s">
        <v>54</v>
      </c>
      <c r="N540" t="s">
        <v>24</v>
      </c>
      <c r="O540" t="b">
        <v>1</v>
      </c>
      <c r="X540">
        <v>30</v>
      </c>
      <c r="AA540" t="e">
        <f>Table1[[#This Row],[qPer board]]*Table1[[#This Row],[boards]]</f>
        <v>#REF!</v>
      </c>
      <c r="AB540" t="e">
        <f>VLOOKUP(Table1[[#This Row],[MA_Number]],#REF!, 2,FALSE)</f>
        <v>#REF!</v>
      </c>
      <c r="AC540">
        <v>17</v>
      </c>
    </row>
    <row r="541" spans="1:29" hidden="1" x14ac:dyDescent="0.3">
      <c r="A541" t="s">
        <v>1903</v>
      </c>
      <c r="B541" s="1" t="s">
        <v>249</v>
      </c>
      <c r="C541" s="1"/>
      <c r="D541" t="s">
        <v>279</v>
      </c>
      <c r="E541" t="s">
        <v>1755</v>
      </c>
      <c r="F541" t="b">
        <v>0</v>
      </c>
      <c r="I541">
        <v>1</v>
      </c>
      <c r="J541">
        <v>42</v>
      </c>
      <c r="K541">
        <v>37</v>
      </c>
      <c r="L541">
        <v>43</v>
      </c>
      <c r="M541" t="s">
        <v>54</v>
      </c>
      <c r="N541" t="s">
        <v>24</v>
      </c>
      <c r="O541" t="b">
        <v>1</v>
      </c>
      <c r="X541">
        <v>34</v>
      </c>
      <c r="AA541">
        <f>Table1[[#This Row],[qPer board]]*Table1[[#This Row],[boards]]</f>
        <v>102</v>
      </c>
      <c r="AB541">
        <v>6</v>
      </c>
      <c r="AC541">
        <v>17</v>
      </c>
    </row>
    <row r="542" spans="1:29" hidden="1" x14ac:dyDescent="0.3">
      <c r="A542" t="s">
        <v>1904</v>
      </c>
      <c r="B542" s="1" t="s">
        <v>248</v>
      </c>
      <c r="C542" s="1"/>
      <c r="D542" t="s">
        <v>279</v>
      </c>
      <c r="E542" t="s">
        <v>1755</v>
      </c>
      <c r="F542" t="b">
        <v>0</v>
      </c>
      <c r="I542">
        <v>1</v>
      </c>
      <c r="J542">
        <v>42</v>
      </c>
      <c r="K542">
        <v>37</v>
      </c>
      <c r="L542">
        <v>43</v>
      </c>
      <c r="M542" t="s">
        <v>54</v>
      </c>
      <c r="N542" t="s">
        <v>24</v>
      </c>
      <c r="O542" t="b">
        <v>1</v>
      </c>
      <c r="X542">
        <v>34</v>
      </c>
      <c r="AA542">
        <f>Table1[[#This Row],[qPer board]]*Table1[[#This Row],[boards]]</f>
        <v>34</v>
      </c>
      <c r="AB542">
        <v>2</v>
      </c>
      <c r="AC542">
        <v>17</v>
      </c>
    </row>
    <row r="543" spans="1:29" hidden="1" x14ac:dyDescent="0.3">
      <c r="A543" t="s">
        <v>1969</v>
      </c>
      <c r="B543" s="1" t="s">
        <v>219</v>
      </c>
      <c r="C543" s="1"/>
      <c r="D543" t="s">
        <v>279</v>
      </c>
      <c r="E543" t="s">
        <v>1755</v>
      </c>
      <c r="F543" t="b">
        <v>0</v>
      </c>
      <c r="I543">
        <v>1</v>
      </c>
      <c r="J543">
        <v>80</v>
      </c>
      <c r="K543">
        <v>76</v>
      </c>
      <c r="L543">
        <v>52</v>
      </c>
      <c r="M543" t="s">
        <v>48</v>
      </c>
      <c r="N543" t="s">
        <v>24</v>
      </c>
      <c r="O543" t="b">
        <v>1</v>
      </c>
      <c r="X543">
        <v>34</v>
      </c>
      <c r="AA543">
        <f>Table1[[#This Row],[qPer board]]*Table1[[#This Row],[boards]]</f>
        <v>34</v>
      </c>
      <c r="AB543">
        <v>2</v>
      </c>
      <c r="AC543">
        <v>17</v>
      </c>
    </row>
    <row r="544" spans="1:29" hidden="1" x14ac:dyDescent="0.3">
      <c r="A544" t="s">
        <v>1968</v>
      </c>
      <c r="B544" s="1" t="s">
        <v>1227</v>
      </c>
      <c r="C544" s="1"/>
      <c r="D544" t="s">
        <v>279</v>
      </c>
      <c r="E544" t="s">
        <v>1755</v>
      </c>
      <c r="F544" t="b">
        <v>0</v>
      </c>
      <c r="I544">
        <v>1</v>
      </c>
      <c r="J544">
        <v>67</v>
      </c>
      <c r="K544">
        <v>40</v>
      </c>
      <c r="L544">
        <v>53</v>
      </c>
      <c r="M544" t="s">
        <v>48</v>
      </c>
      <c r="N544" t="s">
        <v>24</v>
      </c>
      <c r="O544" t="b">
        <v>1</v>
      </c>
      <c r="X544">
        <v>34</v>
      </c>
      <c r="AA544">
        <f>Table1[[#This Row],[qPer board]]*Table1[[#This Row],[boards]]</f>
        <v>34</v>
      </c>
      <c r="AB544">
        <v>2</v>
      </c>
      <c r="AC544">
        <v>17</v>
      </c>
    </row>
    <row r="545" spans="1:29" hidden="1" x14ac:dyDescent="0.3">
      <c r="A545" t="s">
        <v>1971</v>
      </c>
      <c r="B545" s="1" t="s">
        <v>1226</v>
      </c>
      <c r="C545" s="1"/>
      <c r="D545" t="s">
        <v>279</v>
      </c>
      <c r="E545" t="s">
        <v>1755</v>
      </c>
      <c r="F545" t="b">
        <v>1</v>
      </c>
      <c r="I545">
        <v>1</v>
      </c>
      <c r="X545">
        <v>34</v>
      </c>
      <c r="AA545">
        <f>Table1[[#This Row],[qPer board]]*Table1[[#This Row],[boards]]</f>
        <v>34</v>
      </c>
      <c r="AB545">
        <v>2</v>
      </c>
      <c r="AC545">
        <v>17</v>
      </c>
    </row>
    <row r="546" spans="1:29" hidden="1" x14ac:dyDescent="0.3">
      <c r="B546" s="1" t="s">
        <v>1226</v>
      </c>
      <c r="C546" s="1"/>
      <c r="G546" t="s">
        <v>1971</v>
      </c>
      <c r="H546" t="s">
        <v>1972</v>
      </c>
      <c r="I546">
        <v>1</v>
      </c>
      <c r="J546">
        <v>75</v>
      </c>
      <c r="K546">
        <v>65</v>
      </c>
      <c r="L546">
        <v>55</v>
      </c>
      <c r="M546" t="s">
        <v>49</v>
      </c>
      <c r="N546" t="s">
        <v>24</v>
      </c>
      <c r="O546" t="b">
        <v>1</v>
      </c>
      <c r="X546">
        <v>34</v>
      </c>
      <c r="AA546">
        <f>Table1[[#This Row],[qPer board]]*Table1[[#This Row],[boards]]</f>
        <v>34</v>
      </c>
      <c r="AB546">
        <v>2</v>
      </c>
      <c r="AC546">
        <v>17</v>
      </c>
    </row>
    <row r="547" spans="1:29" hidden="1" x14ac:dyDescent="0.3">
      <c r="B547" s="1" t="s">
        <v>1226</v>
      </c>
      <c r="C547" s="1"/>
      <c r="G547" t="s">
        <v>1971</v>
      </c>
      <c r="H547" t="s">
        <v>1973</v>
      </c>
      <c r="I547">
        <v>1</v>
      </c>
      <c r="J547">
        <v>45</v>
      </c>
      <c r="K547">
        <v>40</v>
      </c>
      <c r="L547">
        <v>78</v>
      </c>
      <c r="M547" t="s">
        <v>48</v>
      </c>
      <c r="N547" t="s">
        <v>24</v>
      </c>
      <c r="O547" t="b">
        <v>1</v>
      </c>
      <c r="X547">
        <v>34</v>
      </c>
      <c r="AA547">
        <f>Table1[[#This Row],[qPer board]]*Table1[[#This Row],[boards]]</f>
        <v>34</v>
      </c>
      <c r="AB547">
        <v>2</v>
      </c>
      <c r="AC547">
        <v>17</v>
      </c>
    </row>
    <row r="548" spans="1:29" hidden="1" x14ac:dyDescent="0.3">
      <c r="A548" t="s">
        <v>2001</v>
      </c>
      <c r="B548" s="1">
        <v>7223686530</v>
      </c>
      <c r="C548" s="1"/>
      <c r="D548" t="s">
        <v>279</v>
      </c>
      <c r="E548" t="s">
        <v>1755</v>
      </c>
      <c r="F548" t="b">
        <v>0</v>
      </c>
      <c r="I548">
        <v>1</v>
      </c>
      <c r="J548">
        <v>61</v>
      </c>
      <c r="K548">
        <v>61</v>
      </c>
      <c r="L548">
        <v>58</v>
      </c>
      <c r="M548" t="s">
        <v>49</v>
      </c>
      <c r="N548" t="s">
        <v>24</v>
      </c>
      <c r="O548" t="b">
        <v>1</v>
      </c>
      <c r="X548">
        <v>34</v>
      </c>
      <c r="AA548">
        <f>Table1[[#This Row],[qPer board]]*Table1[[#This Row],[boards]]</f>
        <v>17</v>
      </c>
      <c r="AB548">
        <v>1</v>
      </c>
      <c r="AC548">
        <v>17</v>
      </c>
    </row>
    <row r="549" spans="1:29" hidden="1" x14ac:dyDescent="0.3">
      <c r="A549" t="s">
        <v>2003</v>
      </c>
      <c r="B549" s="1" t="s">
        <v>547</v>
      </c>
      <c r="C549" s="1"/>
      <c r="D549" t="s">
        <v>279</v>
      </c>
      <c r="E549" t="s">
        <v>1755</v>
      </c>
      <c r="F549" t="b">
        <v>1</v>
      </c>
      <c r="I549">
        <v>1</v>
      </c>
      <c r="X549">
        <v>25</v>
      </c>
      <c r="AA549">
        <f>Table1[[#This Row],[qPer board]]*Table1[[#This Row],[boards]]</f>
        <v>28</v>
      </c>
      <c r="AB549">
        <v>1</v>
      </c>
      <c r="AC549">
        <v>28</v>
      </c>
    </row>
    <row r="550" spans="1:29" hidden="1" x14ac:dyDescent="0.3">
      <c r="B550" s="1" t="s">
        <v>547</v>
      </c>
      <c r="C550" s="1"/>
      <c r="G550" t="s">
        <v>2003</v>
      </c>
      <c r="H550" t="s">
        <v>2004</v>
      </c>
      <c r="I550">
        <v>1</v>
      </c>
      <c r="J550">
        <v>68</v>
      </c>
      <c r="K550">
        <v>37</v>
      </c>
      <c r="L550">
        <v>52</v>
      </c>
      <c r="M550" t="s">
        <v>48</v>
      </c>
      <c r="N550" t="s">
        <v>24</v>
      </c>
      <c r="O550" t="b">
        <v>1</v>
      </c>
      <c r="X550">
        <v>25</v>
      </c>
      <c r="AA550">
        <f>Table1[[#This Row],[qPer board]]*Table1[[#This Row],[boards]]</f>
        <v>28</v>
      </c>
      <c r="AB550">
        <v>1</v>
      </c>
      <c r="AC550">
        <v>28</v>
      </c>
    </row>
    <row r="551" spans="1:29" hidden="1" x14ac:dyDescent="0.3">
      <c r="B551" s="1" t="s">
        <v>547</v>
      </c>
      <c r="C551" s="1"/>
      <c r="G551" t="s">
        <v>2003</v>
      </c>
      <c r="H551" t="s">
        <v>2005</v>
      </c>
      <c r="I551">
        <v>1</v>
      </c>
      <c r="J551">
        <v>76</v>
      </c>
      <c r="K551">
        <v>56</v>
      </c>
      <c r="L551">
        <v>49</v>
      </c>
      <c r="M551" t="s">
        <v>48</v>
      </c>
      <c r="N551" t="s">
        <v>24</v>
      </c>
      <c r="O551" t="b">
        <v>1</v>
      </c>
      <c r="X551">
        <v>25</v>
      </c>
      <c r="AA551">
        <f>Table1[[#This Row],[qPer board]]*Table1[[#This Row],[boards]]</f>
        <v>28</v>
      </c>
      <c r="AB551">
        <v>1</v>
      </c>
      <c r="AC551">
        <v>28</v>
      </c>
    </row>
    <row r="552" spans="1:29" hidden="1" x14ac:dyDescent="0.3">
      <c r="A552" t="s">
        <v>2007</v>
      </c>
      <c r="B552" s="1">
        <v>71979512</v>
      </c>
      <c r="C552" s="1"/>
      <c r="D552" t="s">
        <v>279</v>
      </c>
      <c r="E552" t="s">
        <v>1755</v>
      </c>
      <c r="F552" t="b">
        <v>0</v>
      </c>
      <c r="I552">
        <v>1</v>
      </c>
      <c r="J552">
        <v>46</v>
      </c>
      <c r="K552">
        <v>36</v>
      </c>
      <c r="L552">
        <v>76</v>
      </c>
      <c r="M552" t="s">
        <v>48</v>
      </c>
      <c r="N552" t="s">
        <v>24</v>
      </c>
      <c r="O552" t="b">
        <v>1</v>
      </c>
      <c r="X552">
        <v>34</v>
      </c>
      <c r="AA552">
        <f>Table1[[#This Row],[qPer board]]*Table1[[#This Row],[boards]]</f>
        <v>17</v>
      </c>
      <c r="AB552">
        <v>1</v>
      </c>
      <c r="AC552">
        <v>17</v>
      </c>
    </row>
    <row r="553" spans="1:29" hidden="1" x14ac:dyDescent="0.3">
      <c r="A553" t="s">
        <v>2024</v>
      </c>
      <c r="B553" s="1" t="s">
        <v>2025</v>
      </c>
      <c r="C553" s="1" t="s">
        <v>874</v>
      </c>
      <c r="D553" t="s">
        <v>279</v>
      </c>
      <c r="E553" t="s">
        <v>1755</v>
      </c>
      <c r="F553" t="b">
        <v>0</v>
      </c>
      <c r="I553">
        <v>1</v>
      </c>
      <c r="J553">
        <v>42</v>
      </c>
      <c r="K553">
        <v>37</v>
      </c>
      <c r="L553">
        <v>43</v>
      </c>
      <c r="M553" t="s">
        <v>54</v>
      </c>
      <c r="N553" t="s">
        <v>24</v>
      </c>
      <c r="O553" t="b">
        <v>1</v>
      </c>
      <c r="X553">
        <v>26</v>
      </c>
      <c r="AA553">
        <f>Table1[[#This Row],[qPer board]]*Table1[[#This Row],[boards]]</f>
        <v>112</v>
      </c>
      <c r="AB553">
        <v>4</v>
      </c>
      <c r="AC553">
        <v>28</v>
      </c>
    </row>
    <row r="554" spans="1:29" hidden="1" x14ac:dyDescent="0.3">
      <c r="A554" t="s">
        <v>2027</v>
      </c>
      <c r="B554" s="1" t="s">
        <v>225</v>
      </c>
      <c r="C554" s="1"/>
      <c r="D554" t="s">
        <v>279</v>
      </c>
      <c r="E554" t="s">
        <v>1755</v>
      </c>
      <c r="F554" t="b">
        <v>0</v>
      </c>
      <c r="I554">
        <v>1</v>
      </c>
      <c r="J554">
        <v>64</v>
      </c>
      <c r="K554">
        <v>56</v>
      </c>
      <c r="L554">
        <v>52</v>
      </c>
      <c r="M554" t="s">
        <v>52</v>
      </c>
      <c r="N554" t="s">
        <v>24</v>
      </c>
      <c r="O554" t="b">
        <v>1</v>
      </c>
      <c r="V554" t="b">
        <v>1</v>
      </c>
      <c r="X554">
        <v>34</v>
      </c>
      <c r="AA554">
        <f>Table1[[#This Row],[qPer board]]*Table1[[#This Row],[boards]]</f>
        <v>17</v>
      </c>
      <c r="AB554">
        <v>1</v>
      </c>
      <c r="AC554">
        <v>17</v>
      </c>
    </row>
    <row r="555" spans="1:29" hidden="1" x14ac:dyDescent="0.3">
      <c r="A555" t="s">
        <v>2028</v>
      </c>
      <c r="B555" s="1" t="s">
        <v>224</v>
      </c>
      <c r="C555" s="1"/>
      <c r="D555" t="s">
        <v>279</v>
      </c>
      <c r="E555" t="s">
        <v>1755</v>
      </c>
      <c r="F555" t="b">
        <v>0</v>
      </c>
      <c r="I555">
        <v>1</v>
      </c>
      <c r="J555">
        <v>65</v>
      </c>
      <c r="K555">
        <v>55</v>
      </c>
      <c r="L555">
        <v>52</v>
      </c>
      <c r="M555" t="s">
        <v>50</v>
      </c>
      <c r="N555" t="s">
        <v>24</v>
      </c>
      <c r="O555" t="b">
        <v>1</v>
      </c>
      <c r="V555" t="b">
        <v>1</v>
      </c>
      <c r="X555">
        <v>34</v>
      </c>
      <c r="AA555">
        <f>Table1[[#This Row],[qPer board]]*Table1[[#This Row],[boards]]</f>
        <v>17</v>
      </c>
      <c r="AB555">
        <v>1</v>
      </c>
      <c r="AC555">
        <v>17</v>
      </c>
    </row>
    <row r="556" spans="1:29" hidden="1" x14ac:dyDescent="0.3">
      <c r="A556" t="s">
        <v>2029</v>
      </c>
      <c r="B556" s="1" t="s">
        <v>843</v>
      </c>
      <c r="C556" s="1"/>
      <c r="D556" t="s">
        <v>279</v>
      </c>
      <c r="E556" t="s">
        <v>1755</v>
      </c>
      <c r="F556" t="b">
        <v>0</v>
      </c>
      <c r="I556">
        <v>1</v>
      </c>
      <c r="J556">
        <v>65</v>
      </c>
      <c r="K556">
        <v>56</v>
      </c>
      <c r="L556">
        <v>52</v>
      </c>
      <c r="M556" t="s">
        <v>53</v>
      </c>
      <c r="N556" t="s">
        <v>24</v>
      </c>
      <c r="O556" t="b">
        <v>1</v>
      </c>
      <c r="V556" t="b">
        <v>1</v>
      </c>
      <c r="X556">
        <v>34</v>
      </c>
      <c r="AA556">
        <f>Table1[[#This Row],[qPer board]]*Table1[[#This Row],[boards]]</f>
        <v>17</v>
      </c>
      <c r="AB556">
        <v>1</v>
      </c>
      <c r="AC556">
        <v>17</v>
      </c>
    </row>
    <row r="557" spans="1:29" hidden="1" x14ac:dyDescent="0.3">
      <c r="A557" t="s">
        <v>2030</v>
      </c>
      <c r="B557" s="1" t="s">
        <v>218</v>
      </c>
      <c r="C557" s="1"/>
      <c r="D557" t="s">
        <v>279</v>
      </c>
      <c r="E557" t="s">
        <v>1755</v>
      </c>
      <c r="F557" t="b">
        <v>0</v>
      </c>
      <c r="I557">
        <v>1</v>
      </c>
      <c r="J557">
        <v>56</v>
      </c>
      <c r="K557">
        <v>52</v>
      </c>
      <c r="L557">
        <v>53</v>
      </c>
      <c r="M557" t="s">
        <v>49</v>
      </c>
      <c r="N557" t="s">
        <v>24</v>
      </c>
      <c r="O557" t="b">
        <v>1</v>
      </c>
      <c r="V557" t="b">
        <v>1</v>
      </c>
      <c r="X557">
        <v>34</v>
      </c>
      <c r="AA557">
        <f>Table1[[#This Row],[qPer board]]*Table1[[#This Row],[boards]]</f>
        <v>17</v>
      </c>
      <c r="AB557">
        <v>1</v>
      </c>
      <c r="AC557">
        <v>17</v>
      </c>
    </row>
    <row r="558" spans="1:29" hidden="1" x14ac:dyDescent="0.3">
      <c r="A558" t="s">
        <v>2043</v>
      </c>
      <c r="B558" s="1">
        <v>71196506</v>
      </c>
      <c r="C558" s="1"/>
      <c r="D558" t="s">
        <v>279</v>
      </c>
      <c r="E558" t="s">
        <v>1755</v>
      </c>
      <c r="F558" t="b">
        <v>0</v>
      </c>
      <c r="I558">
        <v>1</v>
      </c>
      <c r="J558">
        <v>45</v>
      </c>
      <c r="K558">
        <v>38</v>
      </c>
      <c r="L558">
        <v>48</v>
      </c>
      <c r="M558" t="s">
        <v>48</v>
      </c>
      <c r="N558" t="s">
        <v>24</v>
      </c>
      <c r="O558" t="b">
        <v>1</v>
      </c>
      <c r="V558" t="b">
        <v>1</v>
      </c>
      <c r="X558">
        <v>34</v>
      </c>
      <c r="AA558">
        <f>Table1[[#This Row],[qPer board]]*Table1[[#This Row],[boards]]</f>
        <v>17</v>
      </c>
      <c r="AB558">
        <v>1</v>
      </c>
      <c r="AC558">
        <v>17</v>
      </c>
    </row>
    <row r="559" spans="1:29" hidden="1" x14ac:dyDescent="0.3">
      <c r="A559" t="s">
        <v>2044</v>
      </c>
      <c r="B559" s="1" t="s">
        <v>1237</v>
      </c>
      <c r="C559" s="1"/>
      <c r="D559" t="s">
        <v>279</v>
      </c>
      <c r="E559" t="s">
        <v>1755</v>
      </c>
      <c r="F559" t="b">
        <v>1</v>
      </c>
      <c r="I559">
        <v>1</v>
      </c>
      <c r="X559">
        <v>34</v>
      </c>
      <c r="AA559">
        <f>Table1[[#This Row],[qPer board]]*Table1[[#This Row],[boards]]</f>
        <v>17</v>
      </c>
      <c r="AB559">
        <v>1</v>
      </c>
      <c r="AC559">
        <v>17</v>
      </c>
    </row>
    <row r="560" spans="1:29" hidden="1" x14ac:dyDescent="0.3">
      <c r="B560" s="1" t="s">
        <v>1237</v>
      </c>
      <c r="C560" s="1"/>
      <c r="G560" t="s">
        <v>2044</v>
      </c>
      <c r="H560" t="s">
        <v>2045</v>
      </c>
      <c r="I560">
        <v>1</v>
      </c>
      <c r="J560">
        <v>80</v>
      </c>
      <c r="K560">
        <v>50</v>
      </c>
      <c r="L560">
        <v>67</v>
      </c>
      <c r="M560" t="s">
        <v>48</v>
      </c>
      <c r="N560" t="s">
        <v>24</v>
      </c>
      <c r="O560" t="b">
        <v>1</v>
      </c>
      <c r="X560">
        <v>34</v>
      </c>
      <c r="AA560">
        <f>Table1[[#This Row],[qPer board]]*Table1[[#This Row],[boards]]</f>
        <v>17</v>
      </c>
      <c r="AB560">
        <v>1</v>
      </c>
      <c r="AC560">
        <v>17</v>
      </c>
    </row>
    <row r="561" spans="1:29" hidden="1" x14ac:dyDescent="0.3">
      <c r="B561" s="1" t="s">
        <v>1237</v>
      </c>
      <c r="C561" s="1"/>
      <c r="G561" t="s">
        <v>2044</v>
      </c>
      <c r="H561" t="s">
        <v>2046</v>
      </c>
      <c r="I561">
        <v>1</v>
      </c>
      <c r="J561">
        <v>80</v>
      </c>
      <c r="K561">
        <v>71</v>
      </c>
      <c r="L561">
        <v>52</v>
      </c>
      <c r="M561" t="s">
        <v>49</v>
      </c>
      <c r="N561" t="s">
        <v>24</v>
      </c>
      <c r="O561" t="b">
        <v>1</v>
      </c>
      <c r="X561">
        <v>34</v>
      </c>
      <c r="AA561">
        <f>Table1[[#This Row],[qPer board]]*Table1[[#This Row],[boards]]</f>
        <v>17</v>
      </c>
      <c r="AB561">
        <v>1</v>
      </c>
      <c r="AC561">
        <v>17</v>
      </c>
    </row>
    <row r="562" spans="1:29" hidden="1" x14ac:dyDescent="0.3">
      <c r="A562" t="s">
        <v>2047</v>
      </c>
      <c r="B562" s="1">
        <v>7119172930</v>
      </c>
      <c r="C562" s="1"/>
      <c r="D562" t="s">
        <v>279</v>
      </c>
      <c r="E562" t="s">
        <v>1755</v>
      </c>
      <c r="F562" t="b">
        <v>0</v>
      </c>
      <c r="I562">
        <v>1</v>
      </c>
      <c r="J562">
        <v>41</v>
      </c>
      <c r="K562">
        <v>36</v>
      </c>
      <c r="L562">
        <v>45</v>
      </c>
      <c r="M562" t="s">
        <v>49</v>
      </c>
      <c r="N562" t="s">
        <v>24</v>
      </c>
      <c r="O562" t="b">
        <v>1</v>
      </c>
      <c r="X562">
        <v>34</v>
      </c>
      <c r="AA562">
        <f>Table1[[#This Row],[qPer board]]*Table1[[#This Row],[boards]]</f>
        <v>17</v>
      </c>
      <c r="AB562">
        <v>1</v>
      </c>
      <c r="AC562">
        <v>17</v>
      </c>
    </row>
    <row r="563" spans="1:29" hidden="1" x14ac:dyDescent="0.3">
      <c r="A563" t="s">
        <v>2049</v>
      </c>
      <c r="B563" s="1" t="s">
        <v>214</v>
      </c>
      <c r="C563" s="1"/>
      <c r="D563" t="s">
        <v>279</v>
      </c>
      <c r="E563" t="s">
        <v>1755</v>
      </c>
      <c r="F563" t="b">
        <v>0</v>
      </c>
      <c r="I563">
        <v>1</v>
      </c>
      <c r="J563">
        <v>48</v>
      </c>
      <c r="K563">
        <v>48</v>
      </c>
      <c r="L563">
        <v>51</v>
      </c>
      <c r="M563" t="s">
        <v>49</v>
      </c>
      <c r="N563" t="s">
        <v>24</v>
      </c>
      <c r="O563" t="b">
        <v>1</v>
      </c>
      <c r="V563" t="b">
        <v>1</v>
      </c>
      <c r="X563">
        <v>34</v>
      </c>
      <c r="AA563">
        <f>Table1[[#This Row],[qPer board]]*Table1[[#This Row],[boards]]</f>
        <v>17</v>
      </c>
      <c r="AB563">
        <v>1</v>
      </c>
      <c r="AC563">
        <v>17</v>
      </c>
    </row>
    <row r="564" spans="1:29" hidden="1" x14ac:dyDescent="0.3">
      <c r="A564" t="s">
        <v>2050</v>
      </c>
      <c r="B564" s="1" t="s">
        <v>579</v>
      </c>
      <c r="C564" s="1"/>
      <c r="D564" t="s">
        <v>279</v>
      </c>
      <c r="E564" t="s">
        <v>1755</v>
      </c>
      <c r="F564" t="b">
        <v>1</v>
      </c>
      <c r="I564">
        <v>1</v>
      </c>
      <c r="V564" t="b">
        <v>1</v>
      </c>
      <c r="X564">
        <v>34</v>
      </c>
      <c r="AA564">
        <f>Table1[[#This Row],[qPer board]]*Table1[[#This Row],[boards]]</f>
        <v>17</v>
      </c>
      <c r="AB564">
        <v>1</v>
      </c>
      <c r="AC564">
        <v>17</v>
      </c>
    </row>
    <row r="565" spans="1:29" hidden="1" x14ac:dyDescent="0.3">
      <c r="B565" s="1" t="s">
        <v>579</v>
      </c>
      <c r="C565" s="1"/>
      <c r="G565" t="s">
        <v>2050</v>
      </c>
      <c r="H565" t="s">
        <v>2051</v>
      </c>
      <c r="I565">
        <v>1</v>
      </c>
      <c r="J565">
        <v>82</v>
      </c>
      <c r="K565">
        <v>52</v>
      </c>
      <c r="L565">
        <v>58</v>
      </c>
      <c r="M565" t="s">
        <v>50</v>
      </c>
      <c r="N565" t="s">
        <v>24</v>
      </c>
      <c r="O565" t="b">
        <v>1</v>
      </c>
      <c r="X565">
        <v>34</v>
      </c>
      <c r="AA565">
        <f>Table1[[#This Row],[qPer board]]*Table1[[#This Row],[boards]]</f>
        <v>17</v>
      </c>
      <c r="AB565">
        <v>1</v>
      </c>
      <c r="AC565">
        <v>17</v>
      </c>
    </row>
    <row r="566" spans="1:29" hidden="1" x14ac:dyDescent="0.3">
      <c r="B566" s="1" t="s">
        <v>579</v>
      </c>
      <c r="C566" s="1"/>
      <c r="G566" t="s">
        <v>2050</v>
      </c>
      <c r="H566" t="s">
        <v>2052</v>
      </c>
      <c r="I566">
        <v>1</v>
      </c>
      <c r="J566">
        <v>80</v>
      </c>
      <c r="K566">
        <v>72</v>
      </c>
      <c r="L566">
        <v>51</v>
      </c>
      <c r="M566" t="s">
        <v>49</v>
      </c>
      <c r="N566" t="s">
        <v>24</v>
      </c>
      <c r="O566" t="b">
        <v>1</v>
      </c>
      <c r="X566">
        <v>34</v>
      </c>
      <c r="AA566">
        <f>Table1[[#This Row],[qPer board]]*Table1[[#This Row],[boards]]</f>
        <v>17</v>
      </c>
      <c r="AB566">
        <v>1</v>
      </c>
      <c r="AC566">
        <v>17</v>
      </c>
    </row>
    <row r="567" spans="1:29" hidden="1" x14ac:dyDescent="0.3">
      <c r="A567" t="s">
        <v>2062</v>
      </c>
      <c r="B567" s="1">
        <v>7119163630</v>
      </c>
      <c r="C567" s="1"/>
      <c r="D567" t="s">
        <v>279</v>
      </c>
      <c r="E567" t="s">
        <v>1755</v>
      </c>
      <c r="F567" t="b">
        <v>0</v>
      </c>
      <c r="I567">
        <v>1</v>
      </c>
      <c r="J567">
        <v>42</v>
      </c>
      <c r="K567">
        <v>35</v>
      </c>
      <c r="L567">
        <v>42</v>
      </c>
      <c r="M567" t="s">
        <v>49</v>
      </c>
      <c r="N567" t="s">
        <v>24</v>
      </c>
      <c r="O567" t="b">
        <v>1</v>
      </c>
      <c r="X567">
        <v>34</v>
      </c>
      <c r="AA567">
        <f>Table1[[#This Row],[qPer board]]*Table1[[#This Row],[boards]]</f>
        <v>68</v>
      </c>
      <c r="AB567">
        <v>4</v>
      </c>
      <c r="AC567">
        <v>17</v>
      </c>
    </row>
    <row r="568" spans="1:29" hidden="1" x14ac:dyDescent="0.3">
      <c r="A568" t="s">
        <v>2063</v>
      </c>
      <c r="B568" s="1">
        <v>7119668820</v>
      </c>
      <c r="C568" s="1"/>
      <c r="D568" t="s">
        <v>279</v>
      </c>
      <c r="E568" t="s">
        <v>1755</v>
      </c>
      <c r="F568" t="b">
        <v>0</v>
      </c>
      <c r="I568">
        <v>1</v>
      </c>
      <c r="J568">
        <v>54</v>
      </c>
      <c r="K568">
        <v>42</v>
      </c>
      <c r="L568">
        <v>51</v>
      </c>
      <c r="M568" t="s">
        <v>53</v>
      </c>
      <c r="N568" t="s">
        <v>24</v>
      </c>
      <c r="O568" t="b">
        <v>1</v>
      </c>
      <c r="X568">
        <v>34</v>
      </c>
      <c r="AA568">
        <f>Table1[[#This Row],[qPer board]]*Table1[[#This Row],[boards]]</f>
        <v>17</v>
      </c>
      <c r="AB568">
        <v>1</v>
      </c>
      <c r="AC568">
        <v>17</v>
      </c>
    </row>
    <row r="569" spans="1:29" hidden="1" x14ac:dyDescent="0.3">
      <c r="A569" t="s">
        <v>2066</v>
      </c>
      <c r="B569" s="1" t="s">
        <v>217</v>
      </c>
      <c r="C569" s="1"/>
      <c r="D569" t="s">
        <v>279</v>
      </c>
      <c r="E569" t="s">
        <v>1755</v>
      </c>
      <c r="F569" t="b">
        <v>0</v>
      </c>
      <c r="I569">
        <v>1</v>
      </c>
      <c r="J569">
        <v>67</v>
      </c>
      <c r="K569">
        <v>50</v>
      </c>
      <c r="L569">
        <v>52</v>
      </c>
      <c r="M569" t="s">
        <v>54</v>
      </c>
      <c r="N569" t="s">
        <v>24</v>
      </c>
      <c r="O569" t="b">
        <v>1</v>
      </c>
      <c r="V569" t="b">
        <v>1</v>
      </c>
      <c r="X569">
        <v>34</v>
      </c>
      <c r="AA569">
        <f>Table1[[#This Row],[qPer board]]*Table1[[#This Row],[boards]]</f>
        <v>51</v>
      </c>
      <c r="AB569">
        <v>3</v>
      </c>
      <c r="AC569">
        <v>17</v>
      </c>
    </row>
    <row r="570" spans="1:29" hidden="1" x14ac:dyDescent="0.3">
      <c r="A570" t="s">
        <v>2080</v>
      </c>
      <c r="B570" s="1">
        <v>7009630402</v>
      </c>
      <c r="C570" s="1"/>
      <c r="D570" t="s">
        <v>279</v>
      </c>
      <c r="E570" t="s">
        <v>2081</v>
      </c>
      <c r="F570" t="b">
        <v>0</v>
      </c>
      <c r="I570">
        <v>1</v>
      </c>
      <c r="J570">
        <v>55</v>
      </c>
      <c r="K570">
        <v>41</v>
      </c>
      <c r="L570">
        <v>45</v>
      </c>
      <c r="M570" t="s">
        <v>48</v>
      </c>
      <c r="N570" t="s">
        <v>24</v>
      </c>
      <c r="O570" t="b">
        <v>1</v>
      </c>
      <c r="X570">
        <v>52</v>
      </c>
      <c r="AA570">
        <f>Table1[[#This Row],[qPer board]]*Table1[[#This Row],[boards]]</f>
        <v>36</v>
      </c>
      <c r="AB570">
        <v>1</v>
      </c>
      <c r="AC570">
        <v>36</v>
      </c>
    </row>
    <row r="571" spans="1:29" hidden="1" x14ac:dyDescent="0.3">
      <c r="A571" t="s">
        <v>2079</v>
      </c>
      <c r="B571" s="1">
        <v>7009639402</v>
      </c>
      <c r="C571" s="1"/>
      <c r="D571" t="s">
        <v>279</v>
      </c>
      <c r="E571" t="s">
        <v>2081</v>
      </c>
      <c r="F571" t="b">
        <v>0</v>
      </c>
      <c r="I571">
        <v>1</v>
      </c>
      <c r="J571">
        <v>46</v>
      </c>
      <c r="K571">
        <v>36</v>
      </c>
      <c r="L571">
        <v>42</v>
      </c>
      <c r="M571" t="s">
        <v>48</v>
      </c>
      <c r="N571" t="s">
        <v>24</v>
      </c>
      <c r="O571" t="b">
        <v>1</v>
      </c>
      <c r="X571">
        <v>52</v>
      </c>
      <c r="AA571">
        <f>Table1[[#This Row],[qPer board]]*Table1[[#This Row],[boards]]</f>
        <v>36</v>
      </c>
      <c r="AB571">
        <v>1</v>
      </c>
      <c r="AC571">
        <v>36</v>
      </c>
    </row>
    <row r="572" spans="1:29" hidden="1" x14ac:dyDescent="0.3">
      <c r="A572" t="s">
        <v>2082</v>
      </c>
      <c r="B572" s="1">
        <v>7003803502</v>
      </c>
      <c r="C572" s="1"/>
      <c r="D572" t="s">
        <v>279</v>
      </c>
      <c r="E572" t="s">
        <v>2081</v>
      </c>
      <c r="F572" t="b">
        <v>0</v>
      </c>
      <c r="I572">
        <v>1</v>
      </c>
      <c r="J572">
        <v>44</v>
      </c>
      <c r="K572">
        <v>46</v>
      </c>
      <c r="L572">
        <v>46</v>
      </c>
      <c r="M572" t="s">
        <v>48</v>
      </c>
      <c r="N572" t="s">
        <v>24</v>
      </c>
      <c r="O572" t="b">
        <v>1</v>
      </c>
      <c r="X572">
        <v>52</v>
      </c>
      <c r="AA572">
        <f>Table1[[#This Row],[qPer board]]*Table1[[#This Row],[boards]]</f>
        <v>18</v>
      </c>
      <c r="AB572">
        <v>1</v>
      </c>
      <c r="AC572">
        <v>18</v>
      </c>
    </row>
    <row r="573" spans="1:29" hidden="1" x14ac:dyDescent="0.3">
      <c r="A573" t="s">
        <v>2083</v>
      </c>
      <c r="B573" s="1">
        <v>7003292202</v>
      </c>
      <c r="C573" s="1"/>
      <c r="D573" t="s">
        <v>279</v>
      </c>
      <c r="E573" t="s">
        <v>2081</v>
      </c>
      <c r="F573" t="b">
        <v>0</v>
      </c>
      <c r="I573">
        <v>1</v>
      </c>
      <c r="J573">
        <v>60</v>
      </c>
      <c r="K573">
        <v>39</v>
      </c>
      <c r="L573">
        <v>45</v>
      </c>
      <c r="M573" t="s">
        <v>48</v>
      </c>
      <c r="N573" t="s">
        <v>24</v>
      </c>
      <c r="O573" t="b">
        <v>1</v>
      </c>
      <c r="X573">
        <v>52</v>
      </c>
      <c r="AA573">
        <f>Table1[[#This Row],[qPer board]]*Table1[[#This Row],[boards]]</f>
        <v>18</v>
      </c>
      <c r="AB573">
        <v>1</v>
      </c>
      <c r="AC573">
        <v>18</v>
      </c>
    </row>
    <row r="574" spans="1:29" hidden="1" x14ac:dyDescent="0.3">
      <c r="A574" t="s">
        <v>2084</v>
      </c>
      <c r="B574" s="1">
        <v>7003803702</v>
      </c>
      <c r="C574" s="1"/>
      <c r="D574" t="s">
        <v>279</v>
      </c>
      <c r="E574" t="s">
        <v>2081</v>
      </c>
      <c r="F574" t="b">
        <v>0</v>
      </c>
      <c r="I574">
        <v>1</v>
      </c>
      <c r="J574">
        <v>45</v>
      </c>
      <c r="K574">
        <v>42</v>
      </c>
      <c r="L574">
        <v>45</v>
      </c>
      <c r="M574" t="s">
        <v>48</v>
      </c>
      <c r="N574" t="s">
        <v>24</v>
      </c>
      <c r="O574" t="b">
        <v>1</v>
      </c>
      <c r="X574">
        <v>52</v>
      </c>
      <c r="AA574">
        <f>Table1[[#This Row],[qPer board]]*Table1[[#This Row],[boards]]</f>
        <v>18</v>
      </c>
      <c r="AB574">
        <v>1</v>
      </c>
      <c r="AC574">
        <v>18</v>
      </c>
    </row>
    <row r="575" spans="1:29" hidden="1" x14ac:dyDescent="0.3">
      <c r="A575" s="83" t="s">
        <v>2110</v>
      </c>
      <c r="B575" s="84" t="s">
        <v>2076</v>
      </c>
      <c r="C575" s="84"/>
      <c r="D575" s="83" t="s">
        <v>279</v>
      </c>
      <c r="E575" s="83" t="s">
        <v>2112</v>
      </c>
      <c r="F575" s="83" t="b">
        <v>0</v>
      </c>
      <c r="G575" s="83"/>
      <c r="H575" s="83"/>
      <c r="I575" s="83">
        <v>1</v>
      </c>
      <c r="J575" s="83"/>
      <c r="K575" s="83"/>
      <c r="L575" s="83"/>
      <c r="M575" s="83"/>
      <c r="N575" s="83"/>
      <c r="O575" s="83"/>
      <c r="P575" s="83"/>
      <c r="Q575" s="83"/>
      <c r="R575" s="83"/>
      <c r="S575" s="83"/>
      <c r="T575" s="83"/>
      <c r="U575" s="83"/>
      <c r="V575" s="83" t="b">
        <v>1</v>
      </c>
      <c r="W575" s="83"/>
      <c r="X575" s="83">
        <v>51</v>
      </c>
      <c r="Y575" s="83"/>
      <c r="Z575" s="83"/>
      <c r="AA575" s="85">
        <f>Table1[[#This Row],[qPer board]]*Table1[[#This Row],[boards]]</f>
        <v>17</v>
      </c>
      <c r="AB575" s="85">
        <v>1</v>
      </c>
      <c r="AC575" s="83">
        <v>17</v>
      </c>
    </row>
    <row r="576" spans="1:29" hidden="1" x14ac:dyDescent="0.3">
      <c r="A576" s="83" t="s">
        <v>2111</v>
      </c>
      <c r="B576" s="84">
        <v>7289921730</v>
      </c>
      <c r="C576" s="84"/>
      <c r="D576" s="83" t="s">
        <v>279</v>
      </c>
      <c r="E576" s="83" t="s">
        <v>2112</v>
      </c>
      <c r="F576" s="83" t="b">
        <v>0</v>
      </c>
      <c r="G576" s="83"/>
      <c r="H576" s="83"/>
      <c r="I576" s="83">
        <v>1</v>
      </c>
      <c r="J576" s="83">
        <v>68</v>
      </c>
      <c r="K576" s="83">
        <v>48</v>
      </c>
      <c r="L576" s="83">
        <v>58</v>
      </c>
      <c r="M576" t="s">
        <v>49</v>
      </c>
      <c r="N576" s="83" t="s">
        <v>24</v>
      </c>
      <c r="O576" t="b">
        <v>1</v>
      </c>
      <c r="P576" s="83"/>
      <c r="Q576" s="83"/>
      <c r="R576" s="83"/>
      <c r="S576" s="83"/>
      <c r="T576" s="83"/>
      <c r="U576" s="83"/>
      <c r="V576" s="83"/>
      <c r="W576" s="83"/>
      <c r="X576" s="83">
        <v>51</v>
      </c>
      <c r="Y576" s="83"/>
      <c r="Z576" s="83"/>
      <c r="AA576" s="85">
        <f>Table1[[#This Row],[qPer board]]*Table1[[#This Row],[boards]]</f>
        <v>34</v>
      </c>
      <c r="AB576" s="85">
        <v>2</v>
      </c>
      <c r="AC576" s="83">
        <v>17</v>
      </c>
    </row>
    <row r="577" spans="1:29" hidden="1" x14ac:dyDescent="0.3">
      <c r="A577" s="87" t="s">
        <v>2113</v>
      </c>
      <c r="B577" s="84">
        <v>72895381</v>
      </c>
      <c r="C577" s="84"/>
      <c r="D577" s="83" t="s">
        <v>279</v>
      </c>
      <c r="E577" s="83" t="s">
        <v>2112</v>
      </c>
      <c r="F577" s="83" t="b">
        <v>0</v>
      </c>
      <c r="G577" s="83"/>
      <c r="H577" s="83"/>
      <c r="I577" s="83">
        <v>1</v>
      </c>
      <c r="J577" s="83">
        <v>62</v>
      </c>
      <c r="K577" s="83">
        <v>49</v>
      </c>
      <c r="L577" s="83">
        <v>51</v>
      </c>
      <c r="M577" s="83" t="s">
        <v>48</v>
      </c>
      <c r="N577" s="83" t="s">
        <v>24</v>
      </c>
      <c r="O577" s="83" t="b">
        <v>1</v>
      </c>
      <c r="P577" s="83"/>
      <c r="Q577" s="83"/>
      <c r="R577" s="83"/>
      <c r="S577" s="83"/>
      <c r="T577" s="83"/>
      <c r="U577" s="83"/>
      <c r="V577" s="83"/>
      <c r="W577" s="83"/>
      <c r="X577" s="83">
        <v>51</v>
      </c>
      <c r="Y577" s="83"/>
      <c r="Z577" s="83"/>
      <c r="AA577" s="85">
        <f>Table1[[#This Row],[qPer board]]*Table1[[#This Row],[boards]]</f>
        <v>17</v>
      </c>
      <c r="AB577" s="85">
        <v>1</v>
      </c>
      <c r="AC577" s="83">
        <v>17</v>
      </c>
    </row>
    <row r="578" spans="1:29" hidden="1" x14ac:dyDescent="0.3">
      <c r="A578" s="83" t="s">
        <v>2077</v>
      </c>
      <c r="B578" s="84" t="s">
        <v>251</v>
      </c>
      <c r="C578" s="84"/>
      <c r="D578" s="83" t="s">
        <v>279</v>
      </c>
      <c r="E578" s="83" t="s">
        <v>1755</v>
      </c>
      <c r="F578" s="83" t="b">
        <v>0</v>
      </c>
      <c r="G578" s="83"/>
      <c r="H578" s="83"/>
      <c r="I578" s="83">
        <v>1</v>
      </c>
      <c r="J578" s="83">
        <v>45</v>
      </c>
      <c r="K578" s="83">
        <v>40</v>
      </c>
      <c r="L578" s="83">
        <v>50</v>
      </c>
      <c r="M578" s="83" t="s">
        <v>54</v>
      </c>
      <c r="N578" s="83" t="s">
        <v>24</v>
      </c>
      <c r="O578" s="83" t="b">
        <v>1</v>
      </c>
      <c r="P578" s="83"/>
      <c r="Q578" s="83"/>
      <c r="R578" s="83"/>
      <c r="S578" s="83"/>
      <c r="T578" s="83"/>
      <c r="U578" s="83"/>
      <c r="V578" s="83"/>
      <c r="W578" s="83"/>
      <c r="X578" s="83">
        <v>34</v>
      </c>
      <c r="Y578" s="83"/>
      <c r="Z578" s="83"/>
      <c r="AA578" s="85">
        <f>Table1[[#This Row],[qPer board]]*Table1[[#This Row],[boards]]</f>
        <v>68</v>
      </c>
      <c r="AB578" s="85">
        <v>4</v>
      </c>
      <c r="AC578" s="83">
        <v>17</v>
      </c>
    </row>
    <row r="579" spans="1:29" hidden="1" x14ac:dyDescent="0.3">
      <c r="A579" s="83" t="s">
        <v>2122</v>
      </c>
      <c r="B579" s="84" t="s">
        <v>1238</v>
      </c>
      <c r="C579" s="84"/>
      <c r="D579" s="83" t="s">
        <v>279</v>
      </c>
      <c r="E579" s="83" t="s">
        <v>1755</v>
      </c>
      <c r="F579" s="83" t="b">
        <v>1</v>
      </c>
      <c r="G579" s="83"/>
      <c r="H579" s="83"/>
      <c r="I579" s="83">
        <v>1</v>
      </c>
      <c r="J579" s="83"/>
      <c r="K579" s="83"/>
      <c r="L579" s="83"/>
      <c r="M579" s="83"/>
      <c r="N579" s="83"/>
      <c r="O579" s="83"/>
      <c r="P579" s="83"/>
      <c r="Q579" s="83"/>
      <c r="R579" s="83"/>
      <c r="S579" s="83"/>
      <c r="T579" s="83"/>
      <c r="U579" s="83"/>
      <c r="V579" s="83"/>
      <c r="W579" s="83"/>
      <c r="X579" s="83">
        <v>34</v>
      </c>
      <c r="Y579" s="83"/>
      <c r="Z579" s="83"/>
      <c r="AA579" s="85">
        <f>Table1[[#This Row],[qPer board]]*Table1[[#This Row],[boards]]</f>
        <v>17</v>
      </c>
      <c r="AB579" s="85">
        <v>1</v>
      </c>
      <c r="AC579" s="83">
        <v>17</v>
      </c>
    </row>
    <row r="580" spans="1:29" hidden="1" x14ac:dyDescent="0.3">
      <c r="A580" s="83"/>
      <c r="B580" s="84" t="s">
        <v>1238</v>
      </c>
      <c r="C580" s="84"/>
      <c r="D580" s="83"/>
      <c r="E580" s="83"/>
      <c r="F580" s="83"/>
      <c r="G580" s="83" t="s">
        <v>2122</v>
      </c>
      <c r="H580" s="83" t="s">
        <v>2123</v>
      </c>
      <c r="I580" s="83">
        <v>1</v>
      </c>
      <c r="J580" s="83">
        <v>80</v>
      </c>
      <c r="K580" s="83">
        <v>50</v>
      </c>
      <c r="L580" s="83">
        <v>67</v>
      </c>
      <c r="M580" t="s">
        <v>53</v>
      </c>
      <c r="N580" s="83" t="s">
        <v>24</v>
      </c>
      <c r="O580" s="83" t="b">
        <v>1</v>
      </c>
      <c r="P580" s="83"/>
      <c r="Q580" s="83"/>
      <c r="R580" s="83"/>
      <c r="S580" s="83"/>
      <c r="T580" s="83"/>
      <c r="U580" s="83"/>
      <c r="V580" s="83"/>
      <c r="W580" s="83"/>
      <c r="X580" s="83">
        <v>34</v>
      </c>
      <c r="Y580" s="83"/>
      <c r="Z580" s="83"/>
      <c r="AA580" s="85">
        <f>Table1[[#This Row],[qPer board]]*Table1[[#This Row],[boards]]</f>
        <v>17</v>
      </c>
      <c r="AB580" s="85">
        <v>1</v>
      </c>
      <c r="AC580" s="83">
        <v>17</v>
      </c>
    </row>
    <row r="581" spans="1:29" hidden="1" x14ac:dyDescent="0.3">
      <c r="A581" s="83"/>
      <c r="B581" s="84" t="s">
        <v>1238</v>
      </c>
      <c r="C581" s="84"/>
      <c r="D581" s="83"/>
      <c r="E581" s="83"/>
      <c r="F581" s="83"/>
      <c r="G581" s="83" t="s">
        <v>2122</v>
      </c>
      <c r="H581" s="83" t="s">
        <v>2124</v>
      </c>
      <c r="I581" s="83">
        <v>1</v>
      </c>
      <c r="J581" s="83">
        <v>80</v>
      </c>
      <c r="K581" s="83">
        <v>71</v>
      </c>
      <c r="L581" s="83">
        <v>52</v>
      </c>
      <c r="M581" t="s">
        <v>49</v>
      </c>
      <c r="N581" s="83" t="s">
        <v>24</v>
      </c>
      <c r="O581" s="83" t="b">
        <v>1</v>
      </c>
      <c r="P581" s="83"/>
      <c r="Q581" s="83"/>
      <c r="R581" s="83"/>
      <c r="S581" s="83"/>
      <c r="T581" s="83"/>
      <c r="U581" s="83"/>
      <c r="V581" s="83"/>
      <c r="W581" s="83"/>
      <c r="X581" s="83">
        <v>34</v>
      </c>
      <c r="Y581" s="83"/>
      <c r="Z581" s="83"/>
      <c r="AA581" s="85">
        <f>Table1[[#This Row],[qPer board]]*Table1[[#This Row],[boards]]</f>
        <v>17</v>
      </c>
      <c r="AB581" s="85">
        <v>1</v>
      </c>
      <c r="AC581" s="83">
        <v>17</v>
      </c>
    </row>
    <row r="582" spans="1:29" hidden="1" x14ac:dyDescent="0.3">
      <c r="A582" s="83" t="s">
        <v>2125</v>
      </c>
      <c r="B582" s="84" t="s">
        <v>558</v>
      </c>
      <c r="C582" s="84"/>
      <c r="D582" s="83" t="s">
        <v>279</v>
      </c>
      <c r="E582" s="83" t="s">
        <v>1755</v>
      </c>
      <c r="F582" s="83" t="b">
        <v>1</v>
      </c>
      <c r="G582" s="83"/>
      <c r="H582" s="83"/>
      <c r="I582" s="83">
        <v>1</v>
      </c>
      <c r="J582" s="83"/>
      <c r="K582" s="83"/>
      <c r="L582" s="83"/>
      <c r="N582" s="83"/>
      <c r="O582" s="83"/>
      <c r="P582" s="83"/>
      <c r="Q582" s="83"/>
      <c r="R582" s="83"/>
      <c r="S582" s="83"/>
      <c r="T582" s="83"/>
      <c r="U582" s="83"/>
      <c r="V582" s="83"/>
      <c r="W582" s="83"/>
      <c r="X582" s="83">
        <v>34</v>
      </c>
      <c r="Y582" s="83"/>
      <c r="Z582" s="83"/>
      <c r="AA582" s="85">
        <f>Table1[[#This Row],[qPer board]]*Table1[[#This Row],[boards]]</f>
        <v>17</v>
      </c>
      <c r="AB582" s="85">
        <v>1</v>
      </c>
      <c r="AC582" s="83">
        <v>17</v>
      </c>
    </row>
    <row r="583" spans="1:29" hidden="1" x14ac:dyDescent="0.3">
      <c r="A583" s="83"/>
      <c r="B583" s="84" t="s">
        <v>558</v>
      </c>
      <c r="C583" s="84"/>
      <c r="D583" s="83"/>
      <c r="E583" s="83"/>
      <c r="F583" s="83"/>
      <c r="G583" s="83" t="s">
        <v>2125</v>
      </c>
      <c r="H583" s="83" t="s">
        <v>2126</v>
      </c>
      <c r="I583" s="83">
        <v>1</v>
      </c>
      <c r="J583" s="83">
        <v>41</v>
      </c>
      <c r="K583" s="83">
        <v>46</v>
      </c>
      <c r="L583" s="83">
        <v>93</v>
      </c>
      <c r="M583" t="s">
        <v>48</v>
      </c>
      <c r="N583" s="83" t="s">
        <v>24</v>
      </c>
      <c r="O583" s="83" t="b">
        <v>1</v>
      </c>
      <c r="P583" s="83"/>
      <c r="Q583" s="83"/>
      <c r="R583" s="83"/>
      <c r="S583" s="83"/>
      <c r="T583" s="83"/>
      <c r="U583" s="83"/>
      <c r="V583" s="83"/>
      <c r="W583" s="83"/>
      <c r="X583" s="83">
        <v>34</v>
      </c>
      <c r="Y583" s="83"/>
      <c r="Z583" s="83"/>
      <c r="AA583" s="85">
        <f>Table1[[#This Row],[qPer board]]*Table1[[#This Row],[boards]]</f>
        <v>17</v>
      </c>
      <c r="AB583" s="85">
        <v>1</v>
      </c>
      <c r="AC583" s="83">
        <v>17</v>
      </c>
    </row>
    <row r="584" spans="1:29" hidden="1" x14ac:dyDescent="0.3">
      <c r="A584" s="83"/>
      <c r="B584" s="84" t="s">
        <v>558</v>
      </c>
      <c r="C584" s="84"/>
      <c r="D584" s="83"/>
      <c r="E584" s="83"/>
      <c r="F584" s="83"/>
      <c r="G584" s="83" t="s">
        <v>2125</v>
      </c>
      <c r="H584" s="83" t="s">
        <v>2127</v>
      </c>
      <c r="I584" s="83">
        <v>1</v>
      </c>
      <c r="J584" s="83">
        <v>96</v>
      </c>
      <c r="K584" s="83">
        <v>70</v>
      </c>
      <c r="L584" s="83">
        <v>55</v>
      </c>
      <c r="M584" t="s">
        <v>49</v>
      </c>
      <c r="N584" s="83" t="s">
        <v>24</v>
      </c>
      <c r="O584" s="83" t="b">
        <v>1</v>
      </c>
      <c r="P584" s="83"/>
      <c r="Q584" s="83"/>
      <c r="R584" s="83"/>
      <c r="S584" s="83"/>
      <c r="T584" s="83"/>
      <c r="U584" s="83"/>
      <c r="V584" s="83"/>
      <c r="W584" s="83"/>
      <c r="X584" s="83">
        <v>34</v>
      </c>
      <c r="Y584" s="83"/>
      <c r="Z584" s="83"/>
      <c r="AA584" s="85">
        <f>Table1[[#This Row],[qPer board]]*Table1[[#This Row],[boards]]</f>
        <v>17</v>
      </c>
      <c r="AB584" s="85">
        <v>1</v>
      </c>
      <c r="AC584" s="83">
        <v>17</v>
      </c>
    </row>
    <row r="585" spans="1:29" hidden="1" x14ac:dyDescent="0.3">
      <c r="A585" s="83" t="s">
        <v>2128</v>
      </c>
      <c r="B585" s="84" t="s">
        <v>212</v>
      </c>
      <c r="C585" s="84"/>
      <c r="D585" s="83" t="s">
        <v>279</v>
      </c>
      <c r="E585" s="83" t="s">
        <v>1755</v>
      </c>
      <c r="F585" s="83" t="b">
        <v>0</v>
      </c>
      <c r="G585" s="83"/>
      <c r="H585" s="83"/>
      <c r="I585" s="83">
        <v>1</v>
      </c>
      <c r="J585" s="83">
        <v>71</v>
      </c>
      <c r="K585" s="83">
        <v>60</v>
      </c>
      <c r="L585" s="83">
        <v>62</v>
      </c>
      <c r="M585" t="s">
        <v>49</v>
      </c>
      <c r="N585" s="83" t="s">
        <v>24</v>
      </c>
      <c r="O585" s="83" t="b">
        <v>1</v>
      </c>
      <c r="P585" s="83"/>
      <c r="Q585" s="83"/>
      <c r="R585" s="83"/>
      <c r="S585" s="83"/>
      <c r="T585" s="83"/>
      <c r="U585" s="83"/>
      <c r="V585" s="83"/>
      <c r="W585" s="83"/>
      <c r="X585" s="83">
        <v>34</v>
      </c>
      <c r="Y585" s="83"/>
      <c r="Z585" s="83"/>
      <c r="AA585" s="85">
        <f>Table1[[#This Row],[qPer board]]*Table1[[#This Row],[boards]]</f>
        <v>17</v>
      </c>
      <c r="AB585" s="85">
        <v>1</v>
      </c>
      <c r="AC585" s="83">
        <v>17</v>
      </c>
    </row>
    <row r="586" spans="1:29" hidden="1" x14ac:dyDescent="0.3">
      <c r="A586" s="83" t="s">
        <v>2199</v>
      </c>
      <c r="B586" s="84" t="s">
        <v>1225</v>
      </c>
      <c r="C586" s="84"/>
      <c r="D586" s="83" t="s">
        <v>279</v>
      </c>
      <c r="E586" s="83" t="s">
        <v>2198</v>
      </c>
      <c r="F586" s="83" t="b">
        <v>1</v>
      </c>
      <c r="G586" s="83"/>
      <c r="H586" s="83"/>
      <c r="I586" s="83">
        <v>1</v>
      </c>
      <c r="J586" s="83"/>
      <c r="K586" s="83"/>
      <c r="L586" s="83"/>
      <c r="N586" s="83"/>
      <c r="O586" s="83"/>
      <c r="P586" s="83"/>
      <c r="Q586" s="83"/>
      <c r="R586" s="83"/>
      <c r="S586" s="83"/>
      <c r="T586" s="83"/>
      <c r="U586" s="83"/>
      <c r="V586" s="83"/>
      <c r="W586" s="83"/>
      <c r="X586" s="83">
        <v>44</v>
      </c>
      <c r="Y586" s="83"/>
      <c r="Z586" s="83"/>
      <c r="AA586" s="85">
        <f>Table1[[#This Row],[qPer board]]*Table1[[#This Row],[boards]]</f>
        <v>28</v>
      </c>
      <c r="AB586" s="85">
        <v>1</v>
      </c>
      <c r="AC586" s="83">
        <v>28</v>
      </c>
    </row>
    <row r="587" spans="1:29" hidden="1" x14ac:dyDescent="0.3">
      <c r="A587" s="83"/>
      <c r="B587" s="84" t="s">
        <v>1225</v>
      </c>
      <c r="C587" s="84"/>
      <c r="D587" s="83"/>
      <c r="E587" s="83"/>
      <c r="F587" s="83"/>
      <c r="G587" s="83" t="s">
        <v>2199</v>
      </c>
      <c r="H587" s="83" t="s">
        <v>2200</v>
      </c>
      <c r="I587" s="83">
        <v>1</v>
      </c>
      <c r="J587" s="83">
        <v>55</v>
      </c>
      <c r="K587" s="83">
        <v>45</v>
      </c>
      <c r="L587" s="83">
        <v>58</v>
      </c>
      <c r="M587" t="s">
        <v>48</v>
      </c>
      <c r="N587" s="83" t="s">
        <v>24</v>
      </c>
      <c r="O587" s="83" t="b">
        <v>1</v>
      </c>
      <c r="P587" s="83"/>
      <c r="Q587" s="83"/>
      <c r="R587" s="83"/>
      <c r="S587" s="83"/>
      <c r="T587" s="83"/>
      <c r="U587" s="83"/>
      <c r="V587" s="83"/>
      <c r="W587" s="83"/>
      <c r="X587" s="83">
        <v>44</v>
      </c>
      <c r="Y587" s="83"/>
      <c r="Z587" s="83"/>
      <c r="AA587" s="85">
        <f>Table1[[#This Row],[qPer board]]*Table1[[#This Row],[boards]]</f>
        <v>28</v>
      </c>
      <c r="AB587" s="85">
        <v>1</v>
      </c>
      <c r="AC587" s="83">
        <v>28</v>
      </c>
    </row>
    <row r="588" spans="1:29" hidden="1" x14ac:dyDescent="0.3">
      <c r="A588" s="83"/>
      <c r="B588" s="84" t="s">
        <v>1225</v>
      </c>
      <c r="C588" s="84"/>
      <c r="D588" s="83"/>
      <c r="E588" s="83"/>
      <c r="F588" s="83"/>
      <c r="G588" s="83" t="s">
        <v>2199</v>
      </c>
      <c r="H588" s="83" t="s">
        <v>2201</v>
      </c>
      <c r="I588" s="83">
        <v>1</v>
      </c>
      <c r="J588" s="83">
        <v>61</v>
      </c>
      <c r="K588" s="83">
        <v>53</v>
      </c>
      <c r="L588" s="83">
        <v>54</v>
      </c>
      <c r="M588" t="s">
        <v>49</v>
      </c>
      <c r="N588" s="83" t="s">
        <v>24</v>
      </c>
      <c r="O588" s="83" t="b">
        <v>1</v>
      </c>
      <c r="P588" s="83"/>
      <c r="Q588" s="83"/>
      <c r="R588" s="83"/>
      <c r="S588" s="83"/>
      <c r="T588" s="83"/>
      <c r="U588" s="83"/>
      <c r="V588" s="83"/>
      <c r="W588" s="83"/>
      <c r="X588" s="83">
        <v>44</v>
      </c>
      <c r="Y588" s="83"/>
      <c r="Z588" s="83"/>
      <c r="AA588" s="85">
        <f>Table1[[#This Row],[qPer board]]*Table1[[#This Row],[boards]]</f>
        <v>28</v>
      </c>
      <c r="AB588" s="85">
        <v>1</v>
      </c>
      <c r="AC588" s="83">
        <v>28</v>
      </c>
    </row>
    <row r="589" spans="1:29" hidden="1" x14ac:dyDescent="0.3">
      <c r="A589" s="83"/>
      <c r="B589" s="84"/>
      <c r="C589" s="84"/>
      <c r="D589" s="83"/>
      <c r="E589" s="83"/>
      <c r="F589" s="83"/>
      <c r="G589" s="83"/>
      <c r="H589" s="83"/>
      <c r="I589" s="83"/>
      <c r="J589" s="83"/>
      <c r="K589" s="83"/>
      <c r="L589" s="83"/>
      <c r="N589" s="83"/>
      <c r="O589" s="83"/>
      <c r="P589" s="83"/>
      <c r="Q589" s="83"/>
      <c r="R589" s="83"/>
      <c r="S589" s="83"/>
      <c r="T589" s="83"/>
      <c r="U589" s="83"/>
      <c r="V589" s="83"/>
      <c r="W589" s="83"/>
      <c r="X589" s="83"/>
      <c r="Y589" s="83"/>
      <c r="Z589" s="83"/>
      <c r="AA589" s="85" t="e">
        <f>Table1[[#This Row],[qPer board]]*Table1[[#This Row],[boards]]</f>
        <v>#REF!</v>
      </c>
      <c r="AB589" s="85" t="e">
        <f>VLOOKUP(Table1[[#This Row],[MA_Number]],#REF!, 2,FALSE)</f>
        <v>#REF!</v>
      </c>
      <c r="AC589" s="83"/>
    </row>
    <row r="590" spans="1:29" hidden="1" x14ac:dyDescent="0.3">
      <c r="A590" s="83"/>
      <c r="B590" s="84"/>
      <c r="C590" s="84"/>
      <c r="D590" s="83"/>
      <c r="E590" s="83"/>
      <c r="F590" s="83"/>
      <c r="G590" s="83"/>
      <c r="H590" s="83"/>
      <c r="I590" s="83"/>
      <c r="J590" s="83"/>
      <c r="K590" s="83"/>
      <c r="L590" s="83"/>
      <c r="N590" s="83"/>
      <c r="O590" s="83"/>
      <c r="P590" s="83"/>
      <c r="Q590" s="83"/>
      <c r="R590" s="83"/>
      <c r="S590" s="83"/>
      <c r="T590" s="83"/>
      <c r="U590" s="83"/>
      <c r="V590" s="83"/>
      <c r="W590" s="83"/>
      <c r="X590" s="83"/>
      <c r="Y590" s="83"/>
      <c r="Z590" s="83"/>
      <c r="AA590" s="85" t="e">
        <f>Table1[[#This Row],[qPer board]]*Table1[[#This Row],[boards]]</f>
        <v>#REF!</v>
      </c>
      <c r="AB590" s="85" t="e">
        <f>VLOOKUP(Table1[[#This Row],[MA_Number]],#REF!, 2,FALSE)</f>
        <v>#REF!</v>
      </c>
      <c r="AC590" s="83"/>
    </row>
    <row r="591" spans="1:29" x14ac:dyDescent="0.3">
      <c r="A591" s="83" t="s">
        <v>2253</v>
      </c>
      <c r="B591" s="84">
        <v>7278246930</v>
      </c>
      <c r="C591" s="84"/>
      <c r="D591" s="83" t="s">
        <v>279</v>
      </c>
      <c r="E591" s="83"/>
      <c r="F591" s="83" t="b">
        <v>0</v>
      </c>
      <c r="G591" s="83"/>
      <c r="H591" s="83"/>
      <c r="I591" s="83">
        <v>1</v>
      </c>
      <c r="J591" s="83">
        <v>62</v>
      </c>
      <c r="K591" s="83">
        <v>51</v>
      </c>
      <c r="L591" s="83">
        <v>61</v>
      </c>
      <c r="M591" s="83" t="s">
        <v>49</v>
      </c>
      <c r="N591" s="83" t="s">
        <v>24</v>
      </c>
      <c r="O591" s="83" t="b">
        <v>1</v>
      </c>
      <c r="P591" s="83"/>
      <c r="Q591" s="83"/>
      <c r="R591" s="83"/>
      <c r="S591" s="83"/>
      <c r="T591" s="83"/>
      <c r="U591" s="83"/>
      <c r="V591" s="83"/>
      <c r="W591" s="83"/>
      <c r="X591" s="83">
        <v>66</v>
      </c>
      <c r="Y591" s="83" t="s">
        <v>2254</v>
      </c>
      <c r="Z591" s="83" t="s">
        <v>1297</v>
      </c>
      <c r="AA591" s="85">
        <f>Table1[[#This Row],[qPer board]]*Table1[[#This Row],[boards]]</f>
        <v>56</v>
      </c>
      <c r="AB591" s="85">
        <v>2</v>
      </c>
      <c r="AC591" s="83">
        <v>28</v>
      </c>
    </row>
  </sheetData>
  <phoneticPr fontId="1" type="noConversion"/>
  <conditionalFormatting sqref="A1:A1048576">
    <cfRule type="duplicateValues" dxfId="43" priority="27"/>
  </conditionalFormatting>
  <conditionalFormatting sqref="G238">
    <cfRule type="duplicateValues" dxfId="42" priority="13"/>
  </conditionalFormatting>
  <conditionalFormatting sqref="G239">
    <cfRule type="duplicateValues" dxfId="41" priority="12"/>
  </conditionalFormatting>
  <conditionalFormatting sqref="G261">
    <cfRule type="duplicateValues" dxfId="40" priority="6"/>
    <cfRule type="duplicateValues" dxfId="39" priority="7"/>
  </conditionalFormatting>
  <conditionalFormatting sqref="G262">
    <cfRule type="duplicateValues" dxfId="38" priority="4"/>
    <cfRule type="duplicateValues" dxfId="37" priority="5"/>
  </conditionalFormatting>
  <conditionalFormatting sqref="H238">
    <cfRule type="duplicateValues" dxfId="36" priority="11"/>
  </conditionalFormatting>
  <conditionalFormatting sqref="H239">
    <cfRule type="duplicateValues" dxfId="35" priority="10"/>
  </conditionalFormatting>
  <conditionalFormatting sqref="H261:H262">
    <cfRule type="duplicateValues" dxfId="34" priority="2"/>
    <cfRule type="duplicateValues" dxfId="33" priority="3"/>
  </conditionalFormatting>
  <conditionalFormatting sqref="A2:A591">
    <cfRule type="duplicateValues" dxfId="32" priority="96"/>
  </conditionalFormatting>
  <pageMargins left="0.7" right="0.7" top="0.75" bottom="0.75" header="0.3" footer="0.3"/>
  <pageSetup paperSize="9" scale="15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D01DC4A4-B6AE-4D11-A27D-80577B7169A8}">
          <x14:formula1>
            <xm:f>color_list!$A$2:$A$9</xm:f>
          </x14:formula1>
          <xm:sqref>M537:M552</xm:sqref>
        </x14:dataValidation>
        <x14:dataValidation type="list" allowBlank="1" showInputMessage="1" showErrorMessage="1" xr:uid="{6E271931-38A0-4724-BE89-D7EDCCC43DD2}">
          <x14:formula1>
            <xm:f>color_list!$A$2:$A$8</xm:f>
          </x14:formula1>
          <xm:sqref>M2:M536 M576 M553:M574 M580:M590</xm:sqref>
        </x14:dataValidation>
        <x14:dataValidation type="list" allowBlank="1" showInputMessage="1" showErrorMessage="1" xr:uid="{8C436A18-1758-4819-88A6-BF90D3C38D77}">
          <x14:formula1>
            <xm:f>type_list!$A$2:$A$5</xm:f>
          </x14:formula1>
          <xm:sqref>D2:D591</xm:sqref>
        </x14:dataValidation>
        <x14:dataValidation type="list" allowBlank="1" showInputMessage="1" showErrorMessage="1" xr:uid="{86A210A7-6CBE-42AA-A2DB-70227FD39B07}">
          <x14:formula1>
            <xm:f>material_list!$A$2:$A$6</xm:f>
          </x14:formula1>
          <xm:sqref>N2:N591</xm:sqref>
        </x14:dataValidation>
        <x14:dataValidation type="list" allowBlank="1" showInputMessage="1" showErrorMessage="1" xr:uid="{1631784A-4F5A-469D-AD7C-27E0E3B90894}">
          <x14:formula1>
            <xm:f>price_offer_list!$A$2:$A$24</xm:f>
          </x14:formula1>
          <xm:sqref>Z2:Z591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AC1113-C239-4533-B37D-86DD2C656270}">
  <dimension ref="A1:D8"/>
  <sheetViews>
    <sheetView workbookViewId="0">
      <selection activeCell="E12" sqref="E12"/>
    </sheetView>
  </sheetViews>
  <sheetFormatPr defaultRowHeight="14.4" x14ac:dyDescent="0.3"/>
  <cols>
    <col min="1" max="1" width="12.21875" bestFit="1" customWidth="1"/>
    <col min="2" max="2" width="31.5546875" bestFit="1" customWidth="1"/>
  </cols>
  <sheetData>
    <row r="1" spans="1:4" x14ac:dyDescent="0.3">
      <c r="A1" s="49" t="s">
        <v>2032</v>
      </c>
      <c r="B1" s="49" t="s">
        <v>422</v>
      </c>
      <c r="C1" s="49" t="s">
        <v>2031</v>
      </c>
    </row>
    <row r="2" spans="1:4" x14ac:dyDescent="0.3">
      <c r="A2" s="49" t="s">
        <v>1768</v>
      </c>
      <c r="B2" s="71" t="s">
        <v>521</v>
      </c>
      <c r="C2" s="49">
        <v>90</v>
      </c>
      <c r="D2" t="s">
        <v>2042</v>
      </c>
    </row>
    <row r="3" spans="1:4" x14ac:dyDescent="0.3">
      <c r="A3" s="49" t="s">
        <v>2027</v>
      </c>
      <c r="B3" s="71" t="s">
        <v>225</v>
      </c>
      <c r="C3" s="49">
        <v>45</v>
      </c>
    </row>
    <row r="4" spans="1:4" x14ac:dyDescent="0.3">
      <c r="A4" s="49" t="s">
        <v>2028</v>
      </c>
      <c r="B4" s="71" t="s">
        <v>224</v>
      </c>
      <c r="C4" s="49">
        <v>45</v>
      </c>
    </row>
    <row r="5" spans="1:4" x14ac:dyDescent="0.3">
      <c r="A5" s="49" t="s">
        <v>2029</v>
      </c>
      <c r="B5" s="71" t="s">
        <v>843</v>
      </c>
      <c r="C5" s="49">
        <v>45</v>
      </c>
    </row>
    <row r="6" spans="1:4" x14ac:dyDescent="0.3">
      <c r="A6" s="49" t="s">
        <v>2030</v>
      </c>
      <c r="B6" s="71" t="s">
        <v>218</v>
      </c>
      <c r="C6" s="49">
        <v>45</v>
      </c>
    </row>
    <row r="7" spans="1:4" x14ac:dyDescent="0.3">
      <c r="A7" s="60" t="s">
        <v>2049</v>
      </c>
      <c r="B7" s="76" t="s">
        <v>214</v>
      </c>
      <c r="C7" s="54">
        <v>45</v>
      </c>
    </row>
    <row r="8" spans="1:4" x14ac:dyDescent="0.3">
      <c r="A8" s="60" t="s">
        <v>2066</v>
      </c>
      <c r="B8" s="76" t="s">
        <v>217</v>
      </c>
      <c r="C8" s="54">
        <v>84</v>
      </c>
    </row>
  </sheetData>
  <conditionalFormatting sqref="A2:A6">
    <cfRule type="duplicateValues" dxfId="31" priority="5"/>
    <cfRule type="duplicateValues" dxfId="30" priority="6"/>
  </conditionalFormatting>
  <conditionalFormatting sqref="A7">
    <cfRule type="duplicateValues" dxfId="29" priority="3"/>
    <cfRule type="duplicateValues" dxfId="28" priority="4"/>
  </conditionalFormatting>
  <conditionalFormatting sqref="A8">
    <cfRule type="duplicateValues" dxfId="27" priority="1"/>
    <cfRule type="duplicateValues" dxfId="26" priority="2"/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D9A51-7D02-4069-B9D5-5AC92DE0E874}">
  <sheetPr codeName="Sheet2" filterMode="1"/>
  <dimension ref="A1:M151"/>
  <sheetViews>
    <sheetView topLeftCell="A15" workbookViewId="0">
      <selection activeCell="A104" sqref="A104"/>
    </sheetView>
  </sheetViews>
  <sheetFormatPr defaultRowHeight="14.4" x14ac:dyDescent="0.3"/>
  <cols>
    <col min="1" max="1" width="47.33203125" bestFit="1" customWidth="1"/>
    <col min="4" max="4" width="10" bestFit="1" customWidth="1"/>
    <col min="6" max="6" width="28.21875" bestFit="1" customWidth="1"/>
    <col min="9" max="9" width="18.33203125" bestFit="1" customWidth="1"/>
    <col min="10" max="10" width="9.88671875" bestFit="1" customWidth="1"/>
    <col min="11" max="11" width="18.109375" bestFit="1" customWidth="1"/>
    <col min="12" max="12" width="12.21875" bestFit="1" customWidth="1"/>
  </cols>
  <sheetData>
    <row r="1" spans="1:10" hidden="1" x14ac:dyDescent="0.3">
      <c r="A1" s="49" t="s">
        <v>1202</v>
      </c>
      <c r="B1" s="49" t="s">
        <v>310</v>
      </c>
      <c r="C1" s="49" t="s">
        <v>23</v>
      </c>
      <c r="D1" t="s">
        <v>1207</v>
      </c>
      <c r="E1" s="49" t="s">
        <v>23</v>
      </c>
    </row>
    <row r="2" spans="1:10" hidden="1" x14ac:dyDescent="0.3">
      <c r="A2" s="49">
        <v>323</v>
      </c>
      <c r="B2" s="49" t="s">
        <v>949</v>
      </c>
      <c r="C2" s="49">
        <v>3</v>
      </c>
      <c r="D2" t="e">
        <f t="shared" ref="D2:D14" si="0">VLOOKUP(A2, $E$2:$E$15, 1, FALSE)</f>
        <v>#N/A</v>
      </c>
      <c r="E2" s="49">
        <v>3</v>
      </c>
    </row>
    <row r="3" spans="1:10" hidden="1" x14ac:dyDescent="0.3">
      <c r="A3" s="49">
        <v>33323</v>
      </c>
      <c r="B3" s="49" t="s">
        <v>1203</v>
      </c>
      <c r="C3" s="49">
        <v>4</v>
      </c>
      <c r="D3" t="e">
        <f t="shared" si="0"/>
        <v>#N/A</v>
      </c>
      <c r="E3" s="49"/>
    </row>
    <row r="4" spans="1:10" hidden="1" x14ac:dyDescent="0.3">
      <c r="A4" s="49">
        <v>444</v>
      </c>
      <c r="B4" s="49" t="s">
        <v>1204</v>
      </c>
      <c r="C4" s="49">
        <v>5</v>
      </c>
      <c r="D4" t="e">
        <f t="shared" si="0"/>
        <v>#N/A</v>
      </c>
      <c r="E4" s="49">
        <v>5</v>
      </c>
    </row>
    <row r="5" spans="1:10" hidden="1" x14ac:dyDescent="0.3">
      <c r="A5" s="54">
        <v>5</v>
      </c>
      <c r="B5" s="54" t="s">
        <v>1206</v>
      </c>
      <c r="C5" s="54">
        <v>3</v>
      </c>
      <c r="D5">
        <f t="shared" si="0"/>
        <v>5</v>
      </c>
      <c r="E5" s="49">
        <v>4</v>
      </c>
    </row>
    <row r="6" spans="1:10" hidden="1" x14ac:dyDescent="0.3">
      <c r="D6" t="e">
        <f t="shared" si="0"/>
        <v>#N/A</v>
      </c>
      <c r="E6" s="49">
        <v>3</v>
      </c>
    </row>
    <row r="7" spans="1:10" hidden="1" x14ac:dyDescent="0.3">
      <c r="A7" s="49">
        <v>324444</v>
      </c>
      <c r="B7" s="49" t="s">
        <v>1205</v>
      </c>
      <c r="C7" s="49">
        <v>66</v>
      </c>
      <c r="D7" t="e">
        <f t="shared" si="0"/>
        <v>#N/A</v>
      </c>
      <c r="E7" s="49"/>
    </row>
    <row r="8" spans="1:10" hidden="1" x14ac:dyDescent="0.3">
      <c r="D8" t="e">
        <f t="shared" si="0"/>
        <v>#N/A</v>
      </c>
      <c r="E8" s="54">
        <v>3</v>
      </c>
    </row>
    <row r="9" spans="1:10" hidden="1" x14ac:dyDescent="0.3">
      <c r="D9" t="e">
        <f t="shared" si="0"/>
        <v>#N/A</v>
      </c>
    </row>
    <row r="10" spans="1:10" hidden="1" x14ac:dyDescent="0.3">
      <c r="D10" t="e">
        <f t="shared" si="0"/>
        <v>#N/A</v>
      </c>
    </row>
    <row r="11" spans="1:10" hidden="1" x14ac:dyDescent="0.3">
      <c r="D11" t="e">
        <f t="shared" si="0"/>
        <v>#N/A</v>
      </c>
      <c r="E11" s="49"/>
    </row>
    <row r="12" spans="1:10" hidden="1" x14ac:dyDescent="0.3">
      <c r="D12" t="e">
        <f t="shared" si="0"/>
        <v>#N/A</v>
      </c>
    </row>
    <row r="13" spans="1:10" hidden="1" x14ac:dyDescent="0.3">
      <c r="D13" t="e">
        <f t="shared" si="0"/>
        <v>#N/A</v>
      </c>
    </row>
    <row r="14" spans="1:10" hidden="1" x14ac:dyDescent="0.3">
      <c r="D14" t="e">
        <f t="shared" si="0"/>
        <v>#N/A</v>
      </c>
    </row>
    <row r="15" spans="1:10" x14ac:dyDescent="0.3">
      <c r="A15" t="s">
        <v>310</v>
      </c>
      <c r="D15" t="s">
        <v>274</v>
      </c>
      <c r="E15" t="s">
        <v>275</v>
      </c>
      <c r="F15" t="s">
        <v>1336</v>
      </c>
      <c r="G15" t="s">
        <v>23</v>
      </c>
      <c r="I15" t="s">
        <v>1295</v>
      </c>
      <c r="J15" t="s">
        <v>1314</v>
      </c>
    </row>
    <row r="16" spans="1:10" hidden="1" x14ac:dyDescent="0.3">
      <c r="A16">
        <v>7003756102</v>
      </c>
      <c r="B16" t="s">
        <v>1241</v>
      </c>
      <c r="C16" t="s">
        <v>985</v>
      </c>
      <c r="D16" t="s">
        <v>11</v>
      </c>
      <c r="G16">
        <v>1</v>
      </c>
      <c r="H16">
        <f>G16*28</f>
        <v>28</v>
      </c>
      <c r="I16" s="57">
        <v>19</v>
      </c>
    </row>
    <row r="17" spans="1:10" hidden="1" x14ac:dyDescent="0.3">
      <c r="A17">
        <v>7035964930</v>
      </c>
      <c r="B17" t="s">
        <v>1241</v>
      </c>
      <c r="C17" t="s">
        <v>985</v>
      </c>
      <c r="D17" t="s">
        <v>11</v>
      </c>
      <c r="G17">
        <v>1</v>
      </c>
      <c r="H17">
        <f>G17*28</f>
        <v>28</v>
      </c>
      <c r="I17" s="57">
        <v>23</v>
      </c>
    </row>
    <row r="18" spans="1:10" hidden="1" x14ac:dyDescent="0.3">
      <c r="A18">
        <v>7035990430</v>
      </c>
      <c r="B18" t="s">
        <v>1241</v>
      </c>
      <c r="C18" t="s">
        <v>1244</v>
      </c>
      <c r="D18" t="s">
        <v>11</v>
      </c>
      <c r="G18">
        <v>2</v>
      </c>
      <c r="H18">
        <f>G18*28</f>
        <v>56</v>
      </c>
      <c r="I18" s="57">
        <v>19</v>
      </c>
    </row>
    <row r="19" spans="1:10" hidden="1" x14ac:dyDescent="0.3">
      <c r="A19">
        <v>7035990930</v>
      </c>
      <c r="B19" t="s">
        <v>1241</v>
      </c>
      <c r="C19" t="s">
        <v>1244</v>
      </c>
      <c r="D19" t="s">
        <v>11</v>
      </c>
      <c r="G19">
        <v>1</v>
      </c>
      <c r="H19">
        <f t="shared" ref="H19:H78" si="1">G19*28</f>
        <v>28</v>
      </c>
      <c r="I19" s="57">
        <v>19</v>
      </c>
    </row>
    <row r="20" spans="1:10" hidden="1" x14ac:dyDescent="0.3">
      <c r="A20" t="s">
        <v>1215</v>
      </c>
      <c r="B20" t="s">
        <v>1241</v>
      </c>
      <c r="C20" t="s">
        <v>1246</v>
      </c>
      <c r="D20" t="s">
        <v>1243</v>
      </c>
      <c r="G20">
        <v>2</v>
      </c>
      <c r="H20">
        <f t="shared" si="1"/>
        <v>56</v>
      </c>
      <c r="I20" s="57">
        <v>20</v>
      </c>
    </row>
    <row r="21" spans="1:10" hidden="1" x14ac:dyDescent="0.3">
      <c r="A21" t="s">
        <v>859</v>
      </c>
      <c r="B21" t="s">
        <v>1241</v>
      </c>
      <c r="C21" t="s">
        <v>1246</v>
      </c>
      <c r="D21" t="s">
        <v>1243</v>
      </c>
      <c r="G21">
        <v>1</v>
      </c>
      <c r="H21">
        <f t="shared" si="1"/>
        <v>28</v>
      </c>
      <c r="I21" s="57">
        <v>20</v>
      </c>
    </row>
    <row r="22" spans="1:10" hidden="1" x14ac:dyDescent="0.3">
      <c r="A22">
        <v>7047186030</v>
      </c>
      <c r="B22" t="s">
        <v>1241</v>
      </c>
      <c r="C22" t="s">
        <v>1243</v>
      </c>
      <c r="D22" t="s">
        <v>1243</v>
      </c>
      <c r="G22">
        <v>30</v>
      </c>
      <c r="H22">
        <f t="shared" si="1"/>
        <v>840</v>
      </c>
      <c r="I22" s="57">
        <v>19</v>
      </c>
      <c r="J22">
        <v>116</v>
      </c>
    </row>
    <row r="23" spans="1:10" hidden="1" x14ac:dyDescent="0.3">
      <c r="A23" t="s">
        <v>864</v>
      </c>
      <c r="B23" t="s">
        <v>1241</v>
      </c>
      <c r="C23" t="s">
        <v>1246</v>
      </c>
      <c r="D23" t="s">
        <v>1243</v>
      </c>
      <c r="G23">
        <v>1</v>
      </c>
      <c r="H23">
        <f t="shared" si="1"/>
        <v>28</v>
      </c>
      <c r="I23" s="57">
        <v>20</v>
      </c>
    </row>
    <row r="24" spans="1:10" hidden="1" x14ac:dyDescent="0.3">
      <c r="A24" t="s">
        <v>1216</v>
      </c>
      <c r="B24" t="s">
        <v>1241</v>
      </c>
      <c r="C24" t="s">
        <v>1246</v>
      </c>
      <c r="D24" t="s">
        <v>1243</v>
      </c>
      <c r="G24">
        <v>3</v>
      </c>
      <c r="H24">
        <f t="shared" si="1"/>
        <v>84</v>
      </c>
      <c r="I24" s="57">
        <v>20</v>
      </c>
    </row>
    <row r="25" spans="1:10" hidden="1" x14ac:dyDescent="0.3">
      <c r="A25" t="s">
        <v>1217</v>
      </c>
      <c r="B25" t="s">
        <v>1241</v>
      </c>
      <c r="C25" t="s">
        <v>1246</v>
      </c>
      <c r="D25" t="s">
        <v>1243</v>
      </c>
      <c r="G25">
        <v>1</v>
      </c>
      <c r="H25">
        <f t="shared" si="1"/>
        <v>28</v>
      </c>
      <c r="I25" s="57">
        <v>20</v>
      </c>
    </row>
    <row r="26" spans="1:10" hidden="1" x14ac:dyDescent="0.3">
      <c r="A26" t="s">
        <v>1218</v>
      </c>
      <c r="B26" t="s">
        <v>1241</v>
      </c>
      <c r="C26" t="s">
        <v>1246</v>
      </c>
      <c r="D26" t="s">
        <v>1243</v>
      </c>
      <c r="G26">
        <v>1</v>
      </c>
      <c r="H26">
        <f t="shared" si="1"/>
        <v>28</v>
      </c>
      <c r="I26" s="57">
        <v>20</v>
      </c>
    </row>
    <row r="27" spans="1:10" hidden="1" x14ac:dyDescent="0.3">
      <c r="A27">
        <v>7075181330</v>
      </c>
      <c r="B27" t="s">
        <v>1241</v>
      </c>
      <c r="C27" t="s">
        <v>985</v>
      </c>
      <c r="D27" t="s">
        <v>11</v>
      </c>
      <c r="G27">
        <v>1</v>
      </c>
      <c r="H27">
        <f t="shared" si="1"/>
        <v>28</v>
      </c>
      <c r="I27" s="57">
        <v>22</v>
      </c>
    </row>
    <row r="28" spans="1:10" hidden="1" x14ac:dyDescent="0.3">
      <c r="A28">
        <v>7075231930</v>
      </c>
      <c r="B28" t="s">
        <v>1241</v>
      </c>
      <c r="C28" t="s">
        <v>1244</v>
      </c>
      <c r="D28" t="s">
        <v>11</v>
      </c>
      <c r="G28">
        <v>1</v>
      </c>
      <c r="H28">
        <f t="shared" si="1"/>
        <v>28</v>
      </c>
      <c r="I28" s="57">
        <v>19</v>
      </c>
      <c r="J28">
        <v>2</v>
      </c>
    </row>
    <row r="29" spans="1:10" hidden="1" x14ac:dyDescent="0.3">
      <c r="A29">
        <v>7075244730</v>
      </c>
      <c r="B29" t="s">
        <v>1241</v>
      </c>
      <c r="C29" t="s">
        <v>985</v>
      </c>
      <c r="D29" t="s">
        <v>11</v>
      </c>
      <c r="G29">
        <v>1</v>
      </c>
      <c r="H29">
        <f t="shared" si="1"/>
        <v>28</v>
      </c>
      <c r="I29" s="57">
        <v>24</v>
      </c>
    </row>
    <row r="30" spans="1:10" hidden="1" x14ac:dyDescent="0.3">
      <c r="A30" t="s">
        <v>798</v>
      </c>
      <c r="B30" t="s">
        <v>1241</v>
      </c>
      <c r="C30" t="s">
        <v>985</v>
      </c>
      <c r="D30" t="s">
        <v>11</v>
      </c>
      <c r="G30">
        <v>2</v>
      </c>
      <c r="H30">
        <f t="shared" si="1"/>
        <v>56</v>
      </c>
      <c r="I30" s="57">
        <v>23</v>
      </c>
    </row>
    <row r="31" spans="1:10" hidden="1" x14ac:dyDescent="0.3">
      <c r="A31">
        <v>71186354</v>
      </c>
      <c r="B31" t="s">
        <v>1241</v>
      </c>
      <c r="C31" t="s">
        <v>985</v>
      </c>
      <c r="D31" t="s">
        <v>11</v>
      </c>
      <c r="E31">
        <v>1</v>
      </c>
      <c r="F31" t="s">
        <v>1335</v>
      </c>
      <c r="G31">
        <v>2</v>
      </c>
      <c r="H31">
        <f t="shared" si="1"/>
        <v>56</v>
      </c>
      <c r="I31" s="57">
        <v>19</v>
      </c>
      <c r="J31">
        <v>3</v>
      </c>
    </row>
    <row r="32" spans="1:10" hidden="1" x14ac:dyDescent="0.3">
      <c r="A32" t="s">
        <v>212</v>
      </c>
      <c r="B32" t="s">
        <v>1241</v>
      </c>
      <c r="C32" t="s">
        <v>985</v>
      </c>
      <c r="D32" t="s">
        <v>11</v>
      </c>
      <c r="G32">
        <v>1</v>
      </c>
      <c r="H32">
        <f t="shared" si="1"/>
        <v>28</v>
      </c>
      <c r="I32" s="57">
        <v>43</v>
      </c>
    </row>
    <row r="33" spans="1:11" hidden="1" x14ac:dyDescent="0.3">
      <c r="A33" t="s">
        <v>515</v>
      </c>
      <c r="B33" t="s">
        <v>1241</v>
      </c>
      <c r="C33" t="s">
        <v>985</v>
      </c>
      <c r="D33" t="s">
        <v>11</v>
      </c>
      <c r="E33">
        <v>1</v>
      </c>
      <c r="G33">
        <v>2</v>
      </c>
      <c r="H33">
        <f t="shared" si="1"/>
        <v>56</v>
      </c>
      <c r="I33" s="57">
        <v>23</v>
      </c>
    </row>
    <row r="34" spans="1:11" hidden="1" x14ac:dyDescent="0.3">
      <c r="A34">
        <v>7118670020</v>
      </c>
      <c r="B34" t="s">
        <v>1241</v>
      </c>
      <c r="C34" t="s">
        <v>985</v>
      </c>
      <c r="D34" t="s">
        <v>11</v>
      </c>
      <c r="E34">
        <v>1</v>
      </c>
      <c r="F34" t="s">
        <v>1337</v>
      </c>
      <c r="G34">
        <v>2</v>
      </c>
      <c r="H34">
        <f t="shared" si="1"/>
        <v>56</v>
      </c>
      <c r="I34" s="57">
        <v>19</v>
      </c>
    </row>
    <row r="35" spans="1:11" hidden="1" x14ac:dyDescent="0.3">
      <c r="A35" t="s">
        <v>1219</v>
      </c>
      <c r="B35" t="s">
        <v>1241</v>
      </c>
      <c r="C35" t="s">
        <v>985</v>
      </c>
      <c r="D35" t="s">
        <v>11</v>
      </c>
      <c r="G35">
        <v>1</v>
      </c>
      <c r="H35">
        <f t="shared" si="1"/>
        <v>28</v>
      </c>
      <c r="I35" s="57">
        <v>23</v>
      </c>
    </row>
    <row r="36" spans="1:11" hidden="1" x14ac:dyDescent="0.3">
      <c r="A36" t="s">
        <v>214</v>
      </c>
      <c r="B36" t="s">
        <v>1241</v>
      </c>
      <c r="C36" t="s">
        <v>985</v>
      </c>
      <c r="D36" t="s">
        <v>11</v>
      </c>
      <c r="G36">
        <v>1</v>
      </c>
      <c r="H36">
        <f t="shared" si="1"/>
        <v>28</v>
      </c>
      <c r="I36" s="57">
        <v>27</v>
      </c>
      <c r="K36" t="s">
        <v>2048</v>
      </c>
    </row>
    <row r="37" spans="1:11" hidden="1" x14ac:dyDescent="0.3">
      <c r="A37">
        <v>7119131530</v>
      </c>
      <c r="B37" t="s">
        <v>1241</v>
      </c>
      <c r="C37" t="s">
        <v>985</v>
      </c>
      <c r="D37" t="s">
        <v>11</v>
      </c>
      <c r="E37">
        <v>1</v>
      </c>
      <c r="G37">
        <v>3</v>
      </c>
      <c r="H37">
        <f t="shared" si="1"/>
        <v>84</v>
      </c>
      <c r="I37" s="57">
        <v>19</v>
      </c>
    </row>
    <row r="38" spans="1:11" hidden="1" x14ac:dyDescent="0.3">
      <c r="A38" t="s">
        <v>521</v>
      </c>
      <c r="B38" t="s">
        <v>1241</v>
      </c>
      <c r="C38" t="s">
        <v>985</v>
      </c>
      <c r="D38" t="s">
        <v>11</v>
      </c>
      <c r="G38">
        <v>2</v>
      </c>
      <c r="H38">
        <f t="shared" si="1"/>
        <v>56</v>
      </c>
      <c r="I38" s="57">
        <v>23</v>
      </c>
    </row>
    <row r="39" spans="1:11" hidden="1" x14ac:dyDescent="0.3">
      <c r="A39">
        <v>7119146730</v>
      </c>
      <c r="B39" t="s">
        <v>1241</v>
      </c>
      <c r="C39" t="s">
        <v>985</v>
      </c>
      <c r="D39" t="s">
        <v>11</v>
      </c>
      <c r="E39">
        <v>1</v>
      </c>
      <c r="G39">
        <v>1</v>
      </c>
      <c r="H39">
        <f t="shared" si="1"/>
        <v>28</v>
      </c>
      <c r="I39" s="57">
        <v>22</v>
      </c>
    </row>
    <row r="40" spans="1:11" hidden="1" x14ac:dyDescent="0.3">
      <c r="A40">
        <v>7119163630</v>
      </c>
      <c r="B40" t="s">
        <v>1241</v>
      </c>
      <c r="C40" t="s">
        <v>985</v>
      </c>
      <c r="D40" t="s">
        <v>11</v>
      </c>
      <c r="E40">
        <v>1</v>
      </c>
      <c r="G40">
        <v>4</v>
      </c>
      <c r="H40">
        <f t="shared" si="1"/>
        <v>112</v>
      </c>
      <c r="I40" s="57">
        <v>28</v>
      </c>
      <c r="K40" t="s">
        <v>1713</v>
      </c>
    </row>
    <row r="41" spans="1:11" hidden="1" x14ac:dyDescent="0.3">
      <c r="A41">
        <v>7119172930</v>
      </c>
      <c r="B41" t="s">
        <v>1241</v>
      </c>
      <c r="C41" t="s">
        <v>985</v>
      </c>
      <c r="D41" t="s">
        <v>11</v>
      </c>
      <c r="E41">
        <v>1</v>
      </c>
      <c r="G41">
        <v>1</v>
      </c>
      <c r="H41">
        <f t="shared" si="1"/>
        <v>28</v>
      </c>
      <c r="I41" s="57">
        <v>27</v>
      </c>
      <c r="K41" t="s">
        <v>1712</v>
      </c>
    </row>
    <row r="42" spans="1:11" hidden="1" x14ac:dyDescent="0.3">
      <c r="A42">
        <v>71191993</v>
      </c>
      <c r="B42" t="s">
        <v>1241</v>
      </c>
      <c r="C42" t="s">
        <v>985</v>
      </c>
      <c r="D42" t="s">
        <v>11</v>
      </c>
      <c r="E42">
        <v>1</v>
      </c>
      <c r="G42">
        <v>1</v>
      </c>
      <c r="H42">
        <f t="shared" si="1"/>
        <v>28</v>
      </c>
      <c r="I42" s="57">
        <v>19</v>
      </c>
    </row>
    <row r="43" spans="1:11" hidden="1" x14ac:dyDescent="0.3">
      <c r="A43">
        <v>7119639830</v>
      </c>
      <c r="B43" t="s">
        <v>1241</v>
      </c>
      <c r="C43" t="s">
        <v>985</v>
      </c>
      <c r="D43" t="s">
        <v>11</v>
      </c>
      <c r="E43">
        <v>1</v>
      </c>
      <c r="G43">
        <v>1</v>
      </c>
      <c r="H43">
        <f t="shared" si="1"/>
        <v>28</v>
      </c>
      <c r="I43" s="57">
        <v>22</v>
      </c>
    </row>
    <row r="44" spans="1:11" hidden="1" x14ac:dyDescent="0.3">
      <c r="A44">
        <v>71196401</v>
      </c>
      <c r="B44" t="s">
        <v>1241</v>
      </c>
      <c r="C44" t="s">
        <v>985</v>
      </c>
      <c r="D44" t="s">
        <v>11</v>
      </c>
      <c r="E44">
        <v>1</v>
      </c>
      <c r="G44">
        <v>1</v>
      </c>
      <c r="H44">
        <f t="shared" si="1"/>
        <v>28</v>
      </c>
      <c r="I44" s="57">
        <v>19</v>
      </c>
    </row>
    <row r="45" spans="1:11" hidden="1" x14ac:dyDescent="0.3">
      <c r="A45">
        <v>7119641970</v>
      </c>
      <c r="B45" t="s">
        <v>1241</v>
      </c>
      <c r="C45" t="s">
        <v>985</v>
      </c>
      <c r="D45" t="s">
        <v>11</v>
      </c>
      <c r="E45">
        <v>1</v>
      </c>
      <c r="G45">
        <v>1</v>
      </c>
      <c r="H45">
        <f t="shared" si="1"/>
        <v>28</v>
      </c>
      <c r="I45" s="57">
        <v>23</v>
      </c>
    </row>
    <row r="46" spans="1:11" hidden="1" x14ac:dyDescent="0.3">
      <c r="A46" t="s">
        <v>218</v>
      </c>
      <c r="B46" t="s">
        <v>1241</v>
      </c>
      <c r="C46" t="s">
        <v>985</v>
      </c>
      <c r="D46" t="s">
        <v>11</v>
      </c>
      <c r="G46">
        <v>1</v>
      </c>
      <c r="H46">
        <f t="shared" si="1"/>
        <v>28</v>
      </c>
      <c r="I46" s="57">
        <v>26</v>
      </c>
    </row>
    <row r="47" spans="1:11" hidden="1" x14ac:dyDescent="0.3">
      <c r="A47">
        <v>71196506</v>
      </c>
      <c r="B47" t="s">
        <v>1241</v>
      </c>
      <c r="C47" t="s">
        <v>985</v>
      </c>
      <c r="D47" t="s">
        <v>11</v>
      </c>
      <c r="E47">
        <v>1</v>
      </c>
      <c r="G47">
        <v>1</v>
      </c>
      <c r="H47">
        <f t="shared" si="1"/>
        <v>28</v>
      </c>
      <c r="I47" s="57">
        <v>27</v>
      </c>
      <c r="K47" t="s">
        <v>1714</v>
      </c>
    </row>
    <row r="48" spans="1:11" hidden="1" x14ac:dyDescent="0.3">
      <c r="A48">
        <v>7119668820</v>
      </c>
      <c r="B48" t="s">
        <v>1241</v>
      </c>
      <c r="C48" t="s">
        <v>985</v>
      </c>
      <c r="D48" t="s">
        <v>11</v>
      </c>
      <c r="E48">
        <v>1</v>
      </c>
      <c r="G48">
        <v>1</v>
      </c>
      <c r="H48">
        <f t="shared" si="1"/>
        <v>28</v>
      </c>
      <c r="I48" s="57">
        <v>28</v>
      </c>
      <c r="K48" t="s">
        <v>2061</v>
      </c>
    </row>
    <row r="49" spans="1:11" hidden="1" x14ac:dyDescent="0.3">
      <c r="A49" t="s">
        <v>217</v>
      </c>
      <c r="B49" t="s">
        <v>1241</v>
      </c>
      <c r="C49" t="s">
        <v>985</v>
      </c>
      <c r="D49" t="s">
        <v>11</v>
      </c>
      <c r="G49">
        <v>3</v>
      </c>
      <c r="H49">
        <f t="shared" si="1"/>
        <v>84</v>
      </c>
      <c r="I49" s="57">
        <v>28</v>
      </c>
    </row>
    <row r="50" spans="1:11" hidden="1" x14ac:dyDescent="0.3">
      <c r="A50">
        <v>71196714</v>
      </c>
      <c r="B50" t="s">
        <v>1241</v>
      </c>
      <c r="C50" t="s">
        <v>985</v>
      </c>
      <c r="D50" t="s">
        <v>11</v>
      </c>
      <c r="E50">
        <v>1</v>
      </c>
      <c r="G50">
        <v>1</v>
      </c>
      <c r="H50">
        <f t="shared" si="1"/>
        <v>28</v>
      </c>
      <c r="I50" s="57">
        <v>22</v>
      </c>
    </row>
    <row r="51" spans="1:11" hidden="1" x14ac:dyDescent="0.3">
      <c r="A51" t="s">
        <v>1007</v>
      </c>
      <c r="B51" t="s">
        <v>1241</v>
      </c>
      <c r="C51" t="s">
        <v>1246</v>
      </c>
      <c r="D51" t="s">
        <v>1243</v>
      </c>
      <c r="G51">
        <v>1</v>
      </c>
      <c r="H51">
        <f t="shared" si="1"/>
        <v>28</v>
      </c>
      <c r="I51" s="57">
        <v>20</v>
      </c>
    </row>
    <row r="52" spans="1:11" hidden="1" x14ac:dyDescent="0.3">
      <c r="A52">
        <v>7147882430</v>
      </c>
      <c r="B52" t="s">
        <v>1241</v>
      </c>
      <c r="C52" t="s">
        <v>1243</v>
      </c>
      <c r="D52" t="s">
        <v>1243</v>
      </c>
      <c r="G52">
        <v>6</v>
      </c>
      <c r="H52">
        <f t="shared" si="1"/>
        <v>168</v>
      </c>
      <c r="I52" s="57">
        <v>19</v>
      </c>
      <c r="J52">
        <v>19</v>
      </c>
    </row>
    <row r="53" spans="1:11" x14ac:dyDescent="0.3">
      <c r="A53" t="s">
        <v>1220</v>
      </c>
      <c r="B53" t="s">
        <v>1241</v>
      </c>
      <c r="C53" t="s">
        <v>1245</v>
      </c>
      <c r="D53" t="s">
        <v>11</v>
      </c>
      <c r="G53">
        <v>1</v>
      </c>
      <c r="H53">
        <f t="shared" si="1"/>
        <v>28</v>
      </c>
    </row>
    <row r="54" spans="1:11" x14ac:dyDescent="0.3">
      <c r="A54" t="s">
        <v>1221</v>
      </c>
      <c r="B54" t="s">
        <v>1241</v>
      </c>
      <c r="C54" t="s">
        <v>1245</v>
      </c>
      <c r="D54" t="s">
        <v>11</v>
      </c>
      <c r="G54">
        <v>1</v>
      </c>
      <c r="H54">
        <f t="shared" si="1"/>
        <v>28</v>
      </c>
    </row>
    <row r="55" spans="1:11" hidden="1" x14ac:dyDescent="0.3">
      <c r="A55">
        <v>71781227</v>
      </c>
      <c r="B55" t="s">
        <v>1241</v>
      </c>
      <c r="C55" t="s">
        <v>985</v>
      </c>
      <c r="D55" t="s">
        <v>11</v>
      </c>
      <c r="E55">
        <v>1</v>
      </c>
      <c r="G55">
        <v>1</v>
      </c>
      <c r="H55">
        <f t="shared" si="1"/>
        <v>28</v>
      </c>
      <c r="I55" s="57">
        <v>22</v>
      </c>
    </row>
    <row r="56" spans="1:11" hidden="1" x14ac:dyDescent="0.3">
      <c r="A56">
        <v>71782472</v>
      </c>
      <c r="B56" t="s">
        <v>1241</v>
      </c>
      <c r="C56" t="s">
        <v>985</v>
      </c>
      <c r="D56" t="s">
        <v>11</v>
      </c>
      <c r="E56">
        <v>1</v>
      </c>
      <c r="G56">
        <v>1</v>
      </c>
      <c r="H56">
        <f t="shared" si="1"/>
        <v>28</v>
      </c>
      <c r="I56" s="57">
        <v>22</v>
      </c>
    </row>
    <row r="57" spans="1:11" x14ac:dyDescent="0.3">
      <c r="A57">
        <v>7178270480</v>
      </c>
      <c r="B57" t="s">
        <v>1241</v>
      </c>
      <c r="C57" t="s">
        <v>985</v>
      </c>
      <c r="D57" t="s">
        <v>11</v>
      </c>
      <c r="G57">
        <v>1</v>
      </c>
      <c r="H57">
        <f t="shared" si="1"/>
        <v>28</v>
      </c>
      <c r="K57" t="s">
        <v>2064</v>
      </c>
    </row>
    <row r="58" spans="1:11" hidden="1" x14ac:dyDescent="0.3">
      <c r="A58" t="s">
        <v>219</v>
      </c>
      <c r="B58" t="s">
        <v>1241</v>
      </c>
      <c r="C58" t="s">
        <v>985</v>
      </c>
      <c r="D58" t="s">
        <v>11</v>
      </c>
      <c r="G58">
        <v>2</v>
      </c>
      <c r="H58">
        <f t="shared" si="1"/>
        <v>56</v>
      </c>
      <c r="I58" s="57">
        <v>24</v>
      </c>
      <c r="K58" t="s">
        <v>1970</v>
      </c>
    </row>
    <row r="59" spans="1:11" hidden="1" x14ac:dyDescent="0.3">
      <c r="A59">
        <v>7183753630</v>
      </c>
      <c r="B59" t="s">
        <v>1241</v>
      </c>
      <c r="C59" t="s">
        <v>985</v>
      </c>
      <c r="D59" t="s">
        <v>11</v>
      </c>
      <c r="E59">
        <v>1</v>
      </c>
      <c r="G59">
        <v>1</v>
      </c>
      <c r="H59">
        <f t="shared" si="1"/>
        <v>28</v>
      </c>
      <c r="I59" s="57">
        <v>22</v>
      </c>
    </row>
    <row r="60" spans="1:11" hidden="1" x14ac:dyDescent="0.3">
      <c r="A60" t="s">
        <v>547</v>
      </c>
      <c r="B60" t="s">
        <v>1241</v>
      </c>
      <c r="C60" t="s">
        <v>985</v>
      </c>
      <c r="D60" t="s">
        <v>11</v>
      </c>
      <c r="G60">
        <v>1</v>
      </c>
      <c r="H60">
        <f t="shared" si="1"/>
        <v>28</v>
      </c>
      <c r="I60" s="57">
        <v>25</v>
      </c>
      <c r="K60" t="s">
        <v>2002</v>
      </c>
    </row>
    <row r="61" spans="1:11" x14ac:dyDescent="0.3">
      <c r="A61" t="s">
        <v>1222</v>
      </c>
      <c r="B61" t="s">
        <v>1241</v>
      </c>
      <c r="C61" t="s">
        <v>1245</v>
      </c>
      <c r="D61" t="s">
        <v>11</v>
      </c>
      <c r="G61">
        <v>1</v>
      </c>
      <c r="H61">
        <f t="shared" si="1"/>
        <v>28</v>
      </c>
    </row>
    <row r="62" spans="1:11" hidden="1" x14ac:dyDescent="0.3">
      <c r="A62" t="s">
        <v>221</v>
      </c>
      <c r="B62" t="s">
        <v>1241</v>
      </c>
      <c r="C62" t="s">
        <v>985</v>
      </c>
      <c r="D62" t="s">
        <v>11</v>
      </c>
      <c r="E62">
        <v>1</v>
      </c>
      <c r="G62">
        <v>1</v>
      </c>
      <c r="H62">
        <f t="shared" si="1"/>
        <v>28</v>
      </c>
      <c r="I62" s="57">
        <v>19</v>
      </c>
      <c r="J62">
        <v>1</v>
      </c>
    </row>
    <row r="63" spans="1:11" x14ac:dyDescent="0.3">
      <c r="A63" t="s">
        <v>1223</v>
      </c>
      <c r="B63" t="s">
        <v>1241</v>
      </c>
      <c r="C63" t="s">
        <v>985</v>
      </c>
      <c r="D63" t="s">
        <v>11</v>
      </c>
      <c r="G63">
        <v>1</v>
      </c>
      <c r="H63">
        <f t="shared" si="1"/>
        <v>28</v>
      </c>
    </row>
    <row r="64" spans="1:11" hidden="1" x14ac:dyDescent="0.3">
      <c r="A64">
        <v>7189663170</v>
      </c>
      <c r="B64" t="s">
        <v>1241</v>
      </c>
      <c r="C64" t="s">
        <v>985</v>
      </c>
      <c r="D64" t="s">
        <v>11</v>
      </c>
      <c r="G64">
        <v>2</v>
      </c>
      <c r="H64">
        <f t="shared" si="1"/>
        <v>56</v>
      </c>
      <c r="I64" s="57">
        <v>22</v>
      </c>
    </row>
    <row r="65" spans="1:11" hidden="1" x14ac:dyDescent="0.3">
      <c r="A65" t="s">
        <v>843</v>
      </c>
      <c r="B65" t="s">
        <v>1241</v>
      </c>
      <c r="C65" t="s">
        <v>985</v>
      </c>
      <c r="D65" t="s">
        <v>11</v>
      </c>
      <c r="G65">
        <v>1</v>
      </c>
      <c r="H65">
        <f t="shared" si="1"/>
        <v>28</v>
      </c>
      <c r="I65" s="57">
        <v>26</v>
      </c>
    </row>
    <row r="66" spans="1:11" hidden="1" x14ac:dyDescent="0.3">
      <c r="A66" t="s">
        <v>224</v>
      </c>
      <c r="B66" t="s">
        <v>1241</v>
      </c>
      <c r="C66" t="s">
        <v>985</v>
      </c>
      <c r="D66" t="s">
        <v>11</v>
      </c>
      <c r="G66">
        <v>1</v>
      </c>
      <c r="H66">
        <f t="shared" si="1"/>
        <v>28</v>
      </c>
      <c r="I66" s="57">
        <v>26</v>
      </c>
    </row>
    <row r="67" spans="1:11" hidden="1" x14ac:dyDescent="0.3">
      <c r="A67">
        <v>71897277</v>
      </c>
      <c r="B67" t="s">
        <v>1241</v>
      </c>
      <c r="C67" t="s">
        <v>985</v>
      </c>
      <c r="D67" t="s">
        <v>11</v>
      </c>
      <c r="E67">
        <v>1</v>
      </c>
      <c r="G67">
        <v>1</v>
      </c>
      <c r="H67">
        <f t="shared" si="1"/>
        <v>28</v>
      </c>
      <c r="I67" s="57">
        <v>19</v>
      </c>
    </row>
    <row r="68" spans="1:11" hidden="1" x14ac:dyDescent="0.3">
      <c r="A68" t="s">
        <v>225</v>
      </c>
      <c r="B68" t="s">
        <v>1241</v>
      </c>
      <c r="C68" t="s">
        <v>985</v>
      </c>
      <c r="D68" t="s">
        <v>11</v>
      </c>
      <c r="G68">
        <v>1</v>
      </c>
      <c r="H68">
        <f t="shared" si="1"/>
        <v>28</v>
      </c>
      <c r="I68" s="57">
        <v>26</v>
      </c>
    </row>
    <row r="69" spans="1:11" hidden="1" x14ac:dyDescent="0.3">
      <c r="A69" t="s">
        <v>1224</v>
      </c>
      <c r="B69" t="s">
        <v>1241</v>
      </c>
      <c r="C69" t="s">
        <v>985</v>
      </c>
      <c r="D69" t="s">
        <v>11</v>
      </c>
      <c r="G69">
        <v>1</v>
      </c>
      <c r="H69">
        <f t="shared" si="1"/>
        <v>28</v>
      </c>
      <c r="I69" s="57">
        <v>27</v>
      </c>
      <c r="K69" t="s">
        <v>2002</v>
      </c>
    </row>
    <row r="70" spans="1:11" hidden="1" x14ac:dyDescent="0.3">
      <c r="A70">
        <v>71899503</v>
      </c>
      <c r="B70" t="s">
        <v>1241</v>
      </c>
      <c r="C70" t="s">
        <v>985</v>
      </c>
      <c r="D70" t="s">
        <v>11</v>
      </c>
      <c r="E70">
        <v>1</v>
      </c>
      <c r="G70">
        <v>2</v>
      </c>
      <c r="H70">
        <f t="shared" si="1"/>
        <v>56</v>
      </c>
      <c r="I70" s="57">
        <v>19</v>
      </c>
    </row>
    <row r="71" spans="1:11" hidden="1" x14ac:dyDescent="0.3">
      <c r="A71">
        <v>7189982830</v>
      </c>
      <c r="B71" t="s">
        <v>1241</v>
      </c>
      <c r="C71" t="s">
        <v>985</v>
      </c>
      <c r="D71" t="s">
        <v>11</v>
      </c>
      <c r="E71">
        <v>1</v>
      </c>
      <c r="G71">
        <v>1</v>
      </c>
      <c r="H71">
        <f t="shared" si="1"/>
        <v>28</v>
      </c>
      <c r="I71" s="57">
        <v>22</v>
      </c>
    </row>
    <row r="72" spans="1:11" hidden="1" x14ac:dyDescent="0.3">
      <c r="A72">
        <v>71979512</v>
      </c>
      <c r="B72" t="s">
        <v>1241</v>
      </c>
      <c r="C72" t="s">
        <v>985</v>
      </c>
      <c r="D72" t="s">
        <v>11</v>
      </c>
      <c r="G72">
        <v>1</v>
      </c>
      <c r="H72">
        <f t="shared" si="1"/>
        <v>28</v>
      </c>
      <c r="I72" s="57">
        <v>25</v>
      </c>
    </row>
    <row r="73" spans="1:11" hidden="1" x14ac:dyDescent="0.3">
      <c r="A73" t="s">
        <v>1225</v>
      </c>
      <c r="B73" t="s">
        <v>1241</v>
      </c>
      <c r="C73" t="s">
        <v>985</v>
      </c>
      <c r="D73" t="s">
        <v>11</v>
      </c>
      <c r="G73">
        <v>1</v>
      </c>
      <c r="H73">
        <f t="shared" si="1"/>
        <v>28</v>
      </c>
      <c r="I73" s="57">
        <v>44</v>
      </c>
      <c r="K73" t="s">
        <v>1901</v>
      </c>
    </row>
    <row r="74" spans="1:11" hidden="1" x14ac:dyDescent="0.3">
      <c r="A74">
        <v>7198599230</v>
      </c>
      <c r="B74" t="s">
        <v>1241</v>
      </c>
      <c r="C74" t="s">
        <v>985</v>
      </c>
      <c r="D74" t="s">
        <v>11</v>
      </c>
      <c r="G74">
        <v>1</v>
      </c>
      <c r="H74">
        <f t="shared" si="1"/>
        <v>28</v>
      </c>
      <c r="I74" s="57">
        <v>22</v>
      </c>
    </row>
    <row r="75" spans="1:11" hidden="1" x14ac:dyDescent="0.3">
      <c r="A75">
        <v>71986562</v>
      </c>
      <c r="B75" t="s">
        <v>1241</v>
      </c>
      <c r="C75" t="s">
        <v>985</v>
      </c>
      <c r="D75" t="s">
        <v>11</v>
      </c>
      <c r="G75">
        <v>1</v>
      </c>
      <c r="H75">
        <f t="shared" si="1"/>
        <v>28</v>
      </c>
      <c r="I75" s="57">
        <v>22</v>
      </c>
    </row>
    <row r="76" spans="1:11" x14ac:dyDescent="0.3">
      <c r="A76" t="s">
        <v>227</v>
      </c>
      <c r="B76" t="s">
        <v>1241</v>
      </c>
      <c r="C76" t="s">
        <v>985</v>
      </c>
      <c r="D76" t="s">
        <v>11</v>
      </c>
      <c r="G76">
        <v>2</v>
      </c>
      <c r="H76">
        <f t="shared" si="1"/>
        <v>56</v>
      </c>
      <c r="K76" t="s">
        <v>1901</v>
      </c>
    </row>
    <row r="77" spans="1:11" hidden="1" x14ac:dyDescent="0.3">
      <c r="A77" t="s">
        <v>558</v>
      </c>
      <c r="B77" t="s">
        <v>1241</v>
      </c>
      <c r="C77" t="s">
        <v>985</v>
      </c>
      <c r="D77" t="s">
        <v>11</v>
      </c>
      <c r="G77">
        <v>1</v>
      </c>
      <c r="H77">
        <f t="shared" si="1"/>
        <v>28</v>
      </c>
      <c r="I77" s="57">
        <v>43</v>
      </c>
      <c r="K77" t="s">
        <v>2002</v>
      </c>
    </row>
    <row r="78" spans="1:11" hidden="1" x14ac:dyDescent="0.3">
      <c r="A78" t="s">
        <v>1226</v>
      </c>
      <c r="B78" t="s">
        <v>1241</v>
      </c>
      <c r="C78" t="s">
        <v>985</v>
      </c>
      <c r="D78" t="s">
        <v>11</v>
      </c>
      <c r="G78">
        <v>2</v>
      </c>
      <c r="H78">
        <f t="shared" si="1"/>
        <v>56</v>
      </c>
      <c r="I78" s="57">
        <v>24</v>
      </c>
      <c r="K78" t="s">
        <v>1974</v>
      </c>
    </row>
    <row r="79" spans="1:11" hidden="1" x14ac:dyDescent="0.3">
      <c r="A79" t="s">
        <v>1227</v>
      </c>
      <c r="B79" t="s">
        <v>1241</v>
      </c>
      <c r="C79" t="s">
        <v>985</v>
      </c>
      <c r="D79" t="s">
        <v>11</v>
      </c>
      <c r="G79">
        <v>2</v>
      </c>
      <c r="H79">
        <f t="shared" ref="H79:H138" si="2">G79*28</f>
        <v>56</v>
      </c>
      <c r="I79" s="57">
        <v>24</v>
      </c>
    </row>
    <row r="80" spans="1:11" hidden="1" x14ac:dyDescent="0.3">
      <c r="A80">
        <v>7198796290</v>
      </c>
      <c r="B80" t="s">
        <v>1241</v>
      </c>
      <c r="C80" t="s">
        <v>985</v>
      </c>
      <c r="D80" t="s">
        <v>11</v>
      </c>
      <c r="E80">
        <v>1</v>
      </c>
      <c r="G80">
        <v>2</v>
      </c>
      <c r="H80">
        <f t="shared" si="2"/>
        <v>56</v>
      </c>
      <c r="I80" s="57">
        <v>19</v>
      </c>
    </row>
    <row r="81" spans="1:11" hidden="1" x14ac:dyDescent="0.3">
      <c r="A81">
        <v>71988082</v>
      </c>
      <c r="B81" t="s">
        <v>1241</v>
      </c>
      <c r="C81" t="s">
        <v>985</v>
      </c>
      <c r="D81" t="s">
        <v>11</v>
      </c>
      <c r="E81">
        <v>1</v>
      </c>
      <c r="G81">
        <v>1</v>
      </c>
      <c r="H81">
        <f t="shared" si="2"/>
        <v>28</v>
      </c>
      <c r="I81" s="57">
        <v>19</v>
      </c>
      <c r="J81">
        <v>1</v>
      </c>
    </row>
    <row r="82" spans="1:11" x14ac:dyDescent="0.3">
      <c r="A82" t="s">
        <v>648</v>
      </c>
      <c r="B82" t="s">
        <v>1241</v>
      </c>
      <c r="C82" t="s">
        <v>985</v>
      </c>
      <c r="D82" t="s">
        <v>11</v>
      </c>
      <c r="G82">
        <v>1</v>
      </c>
      <c r="H82">
        <f t="shared" si="2"/>
        <v>28</v>
      </c>
    </row>
    <row r="83" spans="1:11" hidden="1" x14ac:dyDescent="0.3">
      <c r="A83">
        <v>7198916130</v>
      </c>
      <c r="B83" t="s">
        <v>1241</v>
      </c>
      <c r="C83" t="s">
        <v>985</v>
      </c>
      <c r="D83" t="s">
        <v>11</v>
      </c>
      <c r="E83">
        <v>1</v>
      </c>
      <c r="G83">
        <v>1</v>
      </c>
      <c r="H83">
        <f t="shared" si="2"/>
        <v>28</v>
      </c>
      <c r="I83" s="57">
        <v>22</v>
      </c>
    </row>
    <row r="84" spans="1:11" hidden="1" x14ac:dyDescent="0.3">
      <c r="A84">
        <v>71989162</v>
      </c>
      <c r="B84" t="s">
        <v>1241</v>
      </c>
      <c r="C84" t="s">
        <v>985</v>
      </c>
      <c r="D84" t="s">
        <v>11</v>
      </c>
      <c r="E84">
        <v>1</v>
      </c>
      <c r="G84">
        <v>3</v>
      </c>
      <c r="H84">
        <f t="shared" si="2"/>
        <v>84</v>
      </c>
      <c r="I84" s="57">
        <v>19</v>
      </c>
      <c r="J84">
        <v>65</v>
      </c>
    </row>
    <row r="85" spans="1:11" hidden="1" x14ac:dyDescent="0.3">
      <c r="A85">
        <v>7198948560</v>
      </c>
      <c r="B85" t="s">
        <v>1241</v>
      </c>
      <c r="C85" t="s">
        <v>985</v>
      </c>
      <c r="D85" t="s">
        <v>11</v>
      </c>
      <c r="E85">
        <v>1</v>
      </c>
      <c r="G85">
        <v>1</v>
      </c>
      <c r="H85">
        <f t="shared" si="2"/>
        <v>28</v>
      </c>
      <c r="I85" s="57">
        <v>19</v>
      </c>
    </row>
    <row r="86" spans="1:11" hidden="1" x14ac:dyDescent="0.3">
      <c r="A86">
        <v>7223686530</v>
      </c>
      <c r="B86" t="s">
        <v>1241</v>
      </c>
      <c r="C86" t="s">
        <v>985</v>
      </c>
      <c r="D86" t="s">
        <v>11</v>
      </c>
      <c r="E86">
        <v>1</v>
      </c>
      <c r="G86">
        <v>1</v>
      </c>
      <c r="H86">
        <f t="shared" si="2"/>
        <v>28</v>
      </c>
      <c r="I86" s="57">
        <v>25</v>
      </c>
      <c r="K86" t="s">
        <v>962</v>
      </c>
    </row>
    <row r="87" spans="1:11" hidden="1" x14ac:dyDescent="0.3">
      <c r="A87">
        <v>7235053630</v>
      </c>
      <c r="B87" t="s">
        <v>1241</v>
      </c>
      <c r="C87" t="s">
        <v>1244</v>
      </c>
      <c r="D87" t="s">
        <v>11</v>
      </c>
      <c r="G87">
        <v>1</v>
      </c>
      <c r="H87">
        <f t="shared" si="2"/>
        <v>28</v>
      </c>
      <c r="I87" s="57">
        <v>19</v>
      </c>
    </row>
    <row r="88" spans="1:11" hidden="1" x14ac:dyDescent="0.3">
      <c r="A88" t="s">
        <v>1228</v>
      </c>
      <c r="B88" t="s">
        <v>1241</v>
      </c>
      <c r="C88" t="s">
        <v>1246</v>
      </c>
      <c r="D88" t="s">
        <v>1243</v>
      </c>
      <c r="G88">
        <v>1</v>
      </c>
      <c r="H88">
        <f t="shared" si="2"/>
        <v>28</v>
      </c>
      <c r="I88" s="57">
        <v>20</v>
      </c>
    </row>
    <row r="89" spans="1:11" hidden="1" x14ac:dyDescent="0.3">
      <c r="A89" t="s">
        <v>1229</v>
      </c>
      <c r="B89" t="s">
        <v>1241</v>
      </c>
      <c r="C89" t="s">
        <v>1246</v>
      </c>
      <c r="D89" t="s">
        <v>1243</v>
      </c>
      <c r="G89">
        <v>1</v>
      </c>
      <c r="H89">
        <f t="shared" si="2"/>
        <v>28</v>
      </c>
      <c r="I89" s="57">
        <v>20</v>
      </c>
    </row>
    <row r="90" spans="1:11" hidden="1" x14ac:dyDescent="0.3">
      <c r="A90" t="s">
        <v>1230</v>
      </c>
      <c r="B90" t="s">
        <v>1241</v>
      </c>
      <c r="C90" t="s">
        <v>1246</v>
      </c>
      <c r="D90" t="s">
        <v>1243</v>
      </c>
      <c r="G90">
        <v>1</v>
      </c>
      <c r="H90">
        <f t="shared" si="2"/>
        <v>28</v>
      </c>
      <c r="I90" s="57">
        <v>20</v>
      </c>
    </row>
    <row r="91" spans="1:11" hidden="1" x14ac:dyDescent="0.3">
      <c r="A91">
        <v>7247781730</v>
      </c>
      <c r="B91" t="s">
        <v>1241</v>
      </c>
      <c r="C91" t="s">
        <v>1243</v>
      </c>
      <c r="D91" t="s">
        <v>1243</v>
      </c>
      <c r="G91">
        <v>2</v>
      </c>
      <c r="H91">
        <f t="shared" si="2"/>
        <v>56</v>
      </c>
      <c r="I91" s="57">
        <v>19</v>
      </c>
      <c r="J91">
        <v>5</v>
      </c>
    </row>
    <row r="92" spans="1:11" hidden="1" x14ac:dyDescent="0.3">
      <c r="A92" t="s">
        <v>1231</v>
      </c>
      <c r="B92" t="s">
        <v>1241</v>
      </c>
      <c r="C92" t="s">
        <v>1246</v>
      </c>
      <c r="D92" t="s">
        <v>1243</v>
      </c>
      <c r="G92">
        <v>1</v>
      </c>
      <c r="H92">
        <f t="shared" si="2"/>
        <v>28</v>
      </c>
      <c r="I92" s="57">
        <v>20</v>
      </c>
    </row>
    <row r="93" spans="1:11" hidden="1" x14ac:dyDescent="0.3">
      <c r="A93">
        <v>7252726530</v>
      </c>
      <c r="B93" t="s">
        <v>1241</v>
      </c>
      <c r="C93" t="s">
        <v>1243</v>
      </c>
      <c r="D93" t="s">
        <v>1243</v>
      </c>
      <c r="G93">
        <v>2</v>
      </c>
      <c r="H93">
        <f t="shared" si="2"/>
        <v>56</v>
      </c>
      <c r="I93" s="57">
        <v>19</v>
      </c>
      <c r="J93">
        <v>3</v>
      </c>
    </row>
    <row r="94" spans="1:11" hidden="1" x14ac:dyDescent="0.3">
      <c r="A94">
        <v>7252779130</v>
      </c>
      <c r="B94" t="s">
        <v>1241</v>
      </c>
      <c r="C94" t="s">
        <v>1243</v>
      </c>
      <c r="D94" t="s">
        <v>1243</v>
      </c>
      <c r="G94">
        <v>2</v>
      </c>
      <c r="H94">
        <f t="shared" si="2"/>
        <v>56</v>
      </c>
      <c r="I94" s="57">
        <v>19</v>
      </c>
      <c r="J94">
        <v>12</v>
      </c>
    </row>
    <row r="95" spans="1:11" hidden="1" x14ac:dyDescent="0.3">
      <c r="A95" t="s">
        <v>1232</v>
      </c>
      <c r="B95" t="s">
        <v>1241</v>
      </c>
      <c r="C95" t="s">
        <v>1246</v>
      </c>
      <c r="D95" t="s">
        <v>1243</v>
      </c>
      <c r="G95">
        <v>1</v>
      </c>
      <c r="H95">
        <f t="shared" si="2"/>
        <v>28</v>
      </c>
      <c r="I95" s="57">
        <v>20</v>
      </c>
    </row>
    <row r="96" spans="1:11" hidden="1" x14ac:dyDescent="0.3">
      <c r="A96" t="s">
        <v>1233</v>
      </c>
      <c r="B96" t="s">
        <v>1241</v>
      </c>
      <c r="C96" t="s">
        <v>1246</v>
      </c>
      <c r="D96" t="s">
        <v>1243</v>
      </c>
      <c r="G96">
        <v>1</v>
      </c>
      <c r="H96">
        <f t="shared" si="2"/>
        <v>28</v>
      </c>
      <c r="I96" s="57">
        <v>20</v>
      </c>
    </row>
    <row r="97" spans="1:11" hidden="1" x14ac:dyDescent="0.3">
      <c r="A97">
        <v>7252785330</v>
      </c>
      <c r="B97" t="s">
        <v>1241</v>
      </c>
      <c r="C97" t="s">
        <v>1243</v>
      </c>
      <c r="D97" t="s">
        <v>1243</v>
      </c>
      <c r="F97" s="56" t="s">
        <v>1364</v>
      </c>
      <c r="G97">
        <v>15</v>
      </c>
      <c r="H97">
        <f t="shared" si="2"/>
        <v>420</v>
      </c>
      <c r="I97" s="57">
        <v>19</v>
      </c>
      <c r="J97">
        <v>40</v>
      </c>
    </row>
    <row r="98" spans="1:11" ht="13.8" hidden="1" customHeight="1" x14ac:dyDescent="0.3">
      <c r="A98" t="s">
        <v>1234</v>
      </c>
      <c r="B98" t="s">
        <v>1241</v>
      </c>
      <c r="C98" t="s">
        <v>1246</v>
      </c>
      <c r="D98" t="s">
        <v>1243</v>
      </c>
      <c r="G98">
        <v>3</v>
      </c>
      <c r="H98">
        <f t="shared" si="2"/>
        <v>84</v>
      </c>
      <c r="I98" s="57">
        <v>20</v>
      </c>
    </row>
    <row r="99" spans="1:11" hidden="1" x14ac:dyDescent="0.3">
      <c r="A99" t="s">
        <v>1235</v>
      </c>
      <c r="B99" t="s">
        <v>1241</v>
      </c>
      <c r="C99" t="s">
        <v>1246</v>
      </c>
      <c r="D99" t="s">
        <v>1243</v>
      </c>
      <c r="G99">
        <v>1</v>
      </c>
      <c r="H99">
        <f t="shared" si="2"/>
        <v>28</v>
      </c>
      <c r="I99" s="57">
        <v>20</v>
      </c>
    </row>
    <row r="100" spans="1:11" hidden="1" x14ac:dyDescent="0.3">
      <c r="A100" t="s">
        <v>1236</v>
      </c>
      <c r="B100" t="s">
        <v>1241</v>
      </c>
      <c r="C100" t="s">
        <v>1246</v>
      </c>
      <c r="D100" t="s">
        <v>1243</v>
      </c>
      <c r="G100">
        <v>1</v>
      </c>
      <c r="H100">
        <f t="shared" si="2"/>
        <v>28</v>
      </c>
      <c r="I100" s="57">
        <v>20</v>
      </c>
    </row>
    <row r="101" spans="1:11" hidden="1" x14ac:dyDescent="0.3">
      <c r="A101">
        <v>7252815130</v>
      </c>
      <c r="B101" t="s">
        <v>1241</v>
      </c>
      <c r="C101" t="s">
        <v>1243</v>
      </c>
      <c r="D101" t="s">
        <v>1243</v>
      </c>
      <c r="G101">
        <v>12</v>
      </c>
      <c r="H101">
        <f t="shared" si="2"/>
        <v>336</v>
      </c>
      <c r="I101" s="57">
        <v>19</v>
      </c>
    </row>
    <row r="102" spans="1:11" hidden="1" x14ac:dyDescent="0.3">
      <c r="A102">
        <v>7271007030</v>
      </c>
      <c r="B102" t="s">
        <v>1241</v>
      </c>
      <c r="C102" t="s">
        <v>985</v>
      </c>
      <c r="D102" t="s">
        <v>11</v>
      </c>
      <c r="G102">
        <v>1</v>
      </c>
      <c r="H102">
        <f t="shared" si="2"/>
        <v>28</v>
      </c>
      <c r="I102" s="57">
        <v>19</v>
      </c>
    </row>
    <row r="103" spans="1:11" hidden="1" x14ac:dyDescent="0.3">
      <c r="A103">
        <v>7271007230</v>
      </c>
      <c r="B103" t="s">
        <v>1241</v>
      </c>
      <c r="C103" t="s">
        <v>985</v>
      </c>
      <c r="D103" t="s">
        <v>11</v>
      </c>
      <c r="G103">
        <v>1</v>
      </c>
      <c r="H103">
        <f t="shared" si="2"/>
        <v>28</v>
      </c>
      <c r="I103" s="57">
        <v>22</v>
      </c>
    </row>
    <row r="104" spans="1:11" x14ac:dyDescent="0.3">
      <c r="A104">
        <v>7278246930</v>
      </c>
      <c r="B104" t="s">
        <v>1241</v>
      </c>
      <c r="C104" t="s">
        <v>985</v>
      </c>
      <c r="D104" t="s">
        <v>11</v>
      </c>
      <c r="E104">
        <v>1</v>
      </c>
      <c r="G104">
        <v>2</v>
      </c>
      <c r="H104">
        <f t="shared" si="2"/>
        <v>56</v>
      </c>
      <c r="K104" t="s">
        <v>962</v>
      </c>
    </row>
    <row r="105" spans="1:11" hidden="1" x14ac:dyDescent="0.3">
      <c r="A105">
        <v>7287547130</v>
      </c>
      <c r="B105" t="s">
        <v>1241</v>
      </c>
      <c r="C105" t="s">
        <v>985</v>
      </c>
      <c r="D105" t="s">
        <v>11</v>
      </c>
      <c r="G105">
        <v>1</v>
      </c>
      <c r="H105">
        <f t="shared" si="2"/>
        <v>28</v>
      </c>
      <c r="I105" s="57">
        <v>22</v>
      </c>
    </row>
    <row r="106" spans="1:11" hidden="1" x14ac:dyDescent="0.3">
      <c r="A106">
        <v>7289405830</v>
      </c>
      <c r="B106" t="s">
        <v>1241</v>
      </c>
      <c r="C106" t="s">
        <v>985</v>
      </c>
      <c r="D106" t="s">
        <v>11</v>
      </c>
      <c r="G106">
        <v>1</v>
      </c>
      <c r="H106">
        <f t="shared" si="2"/>
        <v>28</v>
      </c>
      <c r="I106" s="57">
        <v>22</v>
      </c>
      <c r="J106">
        <v>18</v>
      </c>
    </row>
    <row r="107" spans="1:11" hidden="1" x14ac:dyDescent="0.3">
      <c r="A107">
        <v>72897304</v>
      </c>
      <c r="B107" t="s">
        <v>1241</v>
      </c>
      <c r="C107" t="s">
        <v>985</v>
      </c>
      <c r="D107" t="s">
        <v>11</v>
      </c>
      <c r="G107">
        <v>2</v>
      </c>
      <c r="H107">
        <f t="shared" si="2"/>
        <v>56</v>
      </c>
      <c r="I107" s="57">
        <v>19</v>
      </c>
    </row>
    <row r="108" spans="1:11" hidden="1" x14ac:dyDescent="0.3">
      <c r="A108" t="s">
        <v>1237</v>
      </c>
      <c r="B108" t="s">
        <v>1241</v>
      </c>
      <c r="C108" t="s">
        <v>985</v>
      </c>
      <c r="D108" t="s">
        <v>11</v>
      </c>
      <c r="G108">
        <v>1</v>
      </c>
      <c r="H108">
        <f t="shared" si="2"/>
        <v>28</v>
      </c>
      <c r="I108" s="57">
        <v>27</v>
      </c>
      <c r="K108" t="s">
        <v>2002</v>
      </c>
    </row>
    <row r="109" spans="1:11" hidden="1" x14ac:dyDescent="0.3">
      <c r="A109" t="s">
        <v>1238</v>
      </c>
      <c r="B109" t="s">
        <v>1241</v>
      </c>
      <c r="C109" t="s">
        <v>985</v>
      </c>
      <c r="D109" t="s">
        <v>11</v>
      </c>
      <c r="G109">
        <v>1</v>
      </c>
      <c r="H109">
        <f t="shared" si="2"/>
        <v>28</v>
      </c>
      <c r="I109" s="57">
        <v>43</v>
      </c>
      <c r="K109" t="s">
        <v>2002</v>
      </c>
    </row>
    <row r="110" spans="1:11" hidden="1" x14ac:dyDescent="0.3">
      <c r="A110" t="s">
        <v>844</v>
      </c>
      <c r="B110" t="s">
        <v>1241</v>
      </c>
      <c r="C110" t="s">
        <v>985</v>
      </c>
      <c r="D110" t="s">
        <v>11</v>
      </c>
      <c r="G110">
        <v>1</v>
      </c>
      <c r="H110">
        <f t="shared" si="2"/>
        <v>28</v>
      </c>
      <c r="I110" s="57">
        <v>27</v>
      </c>
    </row>
    <row r="111" spans="1:11" hidden="1" x14ac:dyDescent="0.3">
      <c r="A111">
        <v>7289896430</v>
      </c>
      <c r="B111" t="s">
        <v>1241</v>
      </c>
      <c r="C111" t="s">
        <v>985</v>
      </c>
      <c r="D111" t="s">
        <v>11</v>
      </c>
      <c r="E111">
        <v>1</v>
      </c>
      <c r="G111">
        <v>1</v>
      </c>
      <c r="H111">
        <f t="shared" si="2"/>
        <v>28</v>
      </c>
      <c r="I111" s="57">
        <v>22</v>
      </c>
    </row>
    <row r="112" spans="1:11" hidden="1" x14ac:dyDescent="0.3">
      <c r="A112">
        <v>7289982670</v>
      </c>
      <c r="B112" t="s">
        <v>1241</v>
      </c>
      <c r="C112" t="s">
        <v>985</v>
      </c>
      <c r="D112" t="s">
        <v>11</v>
      </c>
      <c r="G112">
        <v>1</v>
      </c>
      <c r="H112">
        <f t="shared" si="2"/>
        <v>28</v>
      </c>
      <c r="I112" s="57">
        <v>22</v>
      </c>
    </row>
    <row r="113" spans="1:12" hidden="1" x14ac:dyDescent="0.3">
      <c r="A113">
        <v>7297944190</v>
      </c>
      <c r="B113" t="s">
        <v>1241</v>
      </c>
      <c r="C113" t="s">
        <v>985</v>
      </c>
      <c r="D113" t="s">
        <v>11</v>
      </c>
      <c r="E113">
        <v>1</v>
      </c>
      <c r="G113">
        <v>2</v>
      </c>
      <c r="H113">
        <f t="shared" si="2"/>
        <v>56</v>
      </c>
      <c r="I113" s="57">
        <v>19</v>
      </c>
    </row>
    <row r="114" spans="1:12" hidden="1" x14ac:dyDescent="0.3">
      <c r="A114">
        <v>7298948930</v>
      </c>
      <c r="B114" t="s">
        <v>1241</v>
      </c>
      <c r="C114" t="s">
        <v>985</v>
      </c>
      <c r="D114" t="s">
        <v>11</v>
      </c>
      <c r="E114">
        <v>1</v>
      </c>
      <c r="G114">
        <v>1</v>
      </c>
      <c r="H114">
        <f t="shared" si="2"/>
        <v>28</v>
      </c>
      <c r="I114" s="57">
        <v>44</v>
      </c>
      <c r="K114" t="s">
        <v>1711</v>
      </c>
    </row>
    <row r="115" spans="1:12" hidden="1" x14ac:dyDescent="0.3">
      <c r="A115">
        <v>7298949030</v>
      </c>
      <c r="B115" t="s">
        <v>1241</v>
      </c>
      <c r="C115" t="s">
        <v>985</v>
      </c>
      <c r="D115" t="s">
        <v>11</v>
      </c>
      <c r="E115">
        <v>1</v>
      </c>
      <c r="G115">
        <v>1</v>
      </c>
      <c r="H115">
        <f t="shared" si="2"/>
        <v>28</v>
      </c>
      <c r="I115" s="57">
        <v>44</v>
      </c>
      <c r="K115" t="s">
        <v>1711</v>
      </c>
    </row>
    <row r="116" spans="1:12" hidden="1" x14ac:dyDescent="0.3">
      <c r="A116" t="s">
        <v>234</v>
      </c>
      <c r="B116" t="s">
        <v>1241</v>
      </c>
      <c r="C116" t="s">
        <v>985</v>
      </c>
      <c r="D116" t="s">
        <v>11</v>
      </c>
      <c r="G116">
        <v>4</v>
      </c>
      <c r="H116">
        <f t="shared" si="2"/>
        <v>112</v>
      </c>
      <c r="I116" s="57">
        <v>24</v>
      </c>
      <c r="J116">
        <v>30</v>
      </c>
    </row>
    <row r="117" spans="1:12" hidden="1" x14ac:dyDescent="0.3">
      <c r="A117" t="s">
        <v>825</v>
      </c>
      <c r="B117" t="s">
        <v>1241</v>
      </c>
      <c r="C117" t="s">
        <v>985</v>
      </c>
      <c r="D117" t="s">
        <v>11</v>
      </c>
      <c r="G117">
        <v>2</v>
      </c>
      <c r="H117">
        <f t="shared" si="2"/>
        <v>56</v>
      </c>
      <c r="I117" s="57">
        <v>24</v>
      </c>
    </row>
    <row r="118" spans="1:12" hidden="1" x14ac:dyDescent="0.3">
      <c r="A118" t="s">
        <v>1239</v>
      </c>
      <c r="B118" t="s">
        <v>1241</v>
      </c>
      <c r="C118" t="s">
        <v>985</v>
      </c>
      <c r="D118" t="s">
        <v>11</v>
      </c>
      <c r="G118">
        <v>10</v>
      </c>
      <c r="H118">
        <f t="shared" si="2"/>
        <v>280</v>
      </c>
      <c r="I118" s="57">
        <v>19</v>
      </c>
      <c r="J118">
        <v>25</v>
      </c>
    </row>
    <row r="119" spans="1:12" hidden="1" x14ac:dyDescent="0.3">
      <c r="A119" t="s">
        <v>1210</v>
      </c>
      <c r="B119" t="s">
        <v>1241</v>
      </c>
      <c r="C119" t="s">
        <v>985</v>
      </c>
      <c r="D119" t="s">
        <v>11</v>
      </c>
      <c r="G119">
        <v>1</v>
      </c>
      <c r="H119">
        <f t="shared" si="2"/>
        <v>28</v>
      </c>
      <c r="I119" s="57">
        <v>44</v>
      </c>
      <c r="K119" s="57" t="s">
        <v>1247</v>
      </c>
      <c r="L119" t="s">
        <v>2231</v>
      </c>
    </row>
    <row r="120" spans="1:12" hidden="1" x14ac:dyDescent="0.3">
      <c r="A120" t="s">
        <v>238</v>
      </c>
      <c r="B120" t="s">
        <v>1241</v>
      </c>
      <c r="C120" t="s">
        <v>985</v>
      </c>
      <c r="D120" t="s">
        <v>11</v>
      </c>
      <c r="G120">
        <v>1</v>
      </c>
      <c r="H120">
        <f t="shared" si="2"/>
        <v>28</v>
      </c>
      <c r="I120" s="57">
        <v>22</v>
      </c>
      <c r="J120">
        <v>2</v>
      </c>
    </row>
    <row r="121" spans="1:12" hidden="1" x14ac:dyDescent="0.3">
      <c r="A121" t="s">
        <v>592</v>
      </c>
      <c r="B121" t="s">
        <v>1241</v>
      </c>
      <c r="C121" t="s">
        <v>985</v>
      </c>
      <c r="D121" t="s">
        <v>11</v>
      </c>
      <c r="E121">
        <v>1</v>
      </c>
      <c r="G121">
        <v>2</v>
      </c>
      <c r="H121">
        <f t="shared" si="2"/>
        <v>56</v>
      </c>
      <c r="I121" s="57">
        <v>19</v>
      </c>
      <c r="J121">
        <v>16</v>
      </c>
    </row>
    <row r="122" spans="1:12" hidden="1" x14ac:dyDescent="0.3">
      <c r="A122" t="s">
        <v>292</v>
      </c>
      <c r="B122" t="s">
        <v>1241</v>
      </c>
      <c r="C122" t="s">
        <v>985</v>
      </c>
      <c r="D122" t="s">
        <v>11</v>
      </c>
      <c r="G122">
        <v>1</v>
      </c>
      <c r="H122">
        <f t="shared" si="2"/>
        <v>28</v>
      </c>
      <c r="I122" s="57">
        <v>22</v>
      </c>
      <c r="J122">
        <v>9</v>
      </c>
    </row>
    <row r="123" spans="1:12" hidden="1" x14ac:dyDescent="0.3">
      <c r="A123" t="s">
        <v>596</v>
      </c>
      <c r="B123" t="s">
        <v>1241</v>
      </c>
      <c r="C123" t="s">
        <v>985</v>
      </c>
      <c r="D123" t="s">
        <v>11</v>
      </c>
      <c r="E123">
        <v>1</v>
      </c>
      <c r="G123">
        <v>1</v>
      </c>
      <c r="H123">
        <f t="shared" si="2"/>
        <v>28</v>
      </c>
      <c r="I123" s="57">
        <v>22</v>
      </c>
    </row>
    <row r="124" spans="1:12" hidden="1" x14ac:dyDescent="0.3">
      <c r="A124" t="s">
        <v>599</v>
      </c>
      <c r="B124" t="s">
        <v>1241</v>
      </c>
      <c r="C124" t="s">
        <v>985</v>
      </c>
      <c r="D124" t="s">
        <v>11</v>
      </c>
      <c r="E124">
        <v>1</v>
      </c>
      <c r="G124">
        <v>1</v>
      </c>
      <c r="H124">
        <f t="shared" si="2"/>
        <v>28</v>
      </c>
      <c r="I124" s="57">
        <v>19</v>
      </c>
    </row>
    <row r="125" spans="1:12" hidden="1" x14ac:dyDescent="0.3">
      <c r="A125" t="s">
        <v>239</v>
      </c>
      <c r="B125" t="s">
        <v>1241</v>
      </c>
      <c r="C125" t="s">
        <v>985</v>
      </c>
      <c r="D125" t="s">
        <v>11</v>
      </c>
      <c r="G125">
        <v>1</v>
      </c>
      <c r="H125">
        <f t="shared" si="2"/>
        <v>28</v>
      </c>
      <c r="I125" s="57">
        <v>22</v>
      </c>
      <c r="J125">
        <v>14</v>
      </c>
    </row>
    <row r="126" spans="1:12" hidden="1" x14ac:dyDescent="0.3">
      <c r="A126" t="s">
        <v>240</v>
      </c>
      <c r="B126" t="s">
        <v>1241</v>
      </c>
      <c r="C126" t="s">
        <v>985</v>
      </c>
      <c r="D126" t="s">
        <v>11</v>
      </c>
      <c r="E126">
        <v>1</v>
      </c>
      <c r="G126">
        <v>1</v>
      </c>
      <c r="H126">
        <f t="shared" si="2"/>
        <v>28</v>
      </c>
      <c r="I126" s="57">
        <v>19</v>
      </c>
    </row>
    <row r="127" spans="1:12" hidden="1" x14ac:dyDescent="0.3">
      <c r="A127" t="s">
        <v>603</v>
      </c>
      <c r="B127" t="s">
        <v>1241</v>
      </c>
      <c r="C127" t="s">
        <v>985</v>
      </c>
      <c r="D127" t="s">
        <v>11</v>
      </c>
      <c r="G127">
        <v>1</v>
      </c>
      <c r="H127">
        <f t="shared" si="2"/>
        <v>28</v>
      </c>
      <c r="I127" s="57">
        <v>19</v>
      </c>
      <c r="J127">
        <v>6</v>
      </c>
    </row>
    <row r="128" spans="1:12" hidden="1" x14ac:dyDescent="0.3">
      <c r="A128" t="s">
        <v>847</v>
      </c>
      <c r="B128" t="s">
        <v>1241</v>
      </c>
      <c r="C128" t="s">
        <v>985</v>
      </c>
      <c r="D128" t="s">
        <v>11</v>
      </c>
      <c r="G128">
        <v>1</v>
      </c>
      <c r="H128">
        <f t="shared" si="2"/>
        <v>28</v>
      </c>
      <c r="I128" s="57">
        <v>22</v>
      </c>
    </row>
    <row r="129" spans="1:11" hidden="1" x14ac:dyDescent="0.3">
      <c r="A129" t="s">
        <v>845</v>
      </c>
      <c r="B129" t="s">
        <v>1241</v>
      </c>
      <c r="C129" t="s">
        <v>985</v>
      </c>
      <c r="D129" t="s">
        <v>11</v>
      </c>
      <c r="G129">
        <v>2</v>
      </c>
      <c r="H129">
        <f t="shared" si="2"/>
        <v>56</v>
      </c>
      <c r="I129" s="57">
        <v>19</v>
      </c>
    </row>
    <row r="130" spans="1:11" hidden="1" x14ac:dyDescent="0.3">
      <c r="A130" t="s">
        <v>846</v>
      </c>
      <c r="B130" t="s">
        <v>1241</v>
      </c>
      <c r="C130" t="s">
        <v>985</v>
      </c>
      <c r="D130" t="s">
        <v>11</v>
      </c>
      <c r="G130">
        <v>1</v>
      </c>
      <c r="H130">
        <f t="shared" si="2"/>
        <v>28</v>
      </c>
      <c r="I130" s="57">
        <v>19</v>
      </c>
    </row>
    <row r="131" spans="1:11" hidden="1" x14ac:dyDescent="0.3">
      <c r="A131" t="s">
        <v>241</v>
      </c>
      <c r="B131" t="s">
        <v>1241</v>
      </c>
      <c r="C131" t="s">
        <v>985</v>
      </c>
      <c r="D131" t="s">
        <v>11</v>
      </c>
      <c r="G131">
        <v>2</v>
      </c>
      <c r="H131">
        <f t="shared" si="2"/>
        <v>56</v>
      </c>
      <c r="I131" s="57">
        <v>19</v>
      </c>
      <c r="J131">
        <v>2</v>
      </c>
    </row>
    <row r="132" spans="1:11" hidden="1" x14ac:dyDescent="0.3">
      <c r="A132" t="s">
        <v>242</v>
      </c>
      <c r="B132" t="s">
        <v>1241</v>
      </c>
      <c r="C132" t="s">
        <v>985</v>
      </c>
      <c r="D132" t="s">
        <v>11</v>
      </c>
      <c r="G132">
        <v>1</v>
      </c>
      <c r="H132">
        <f t="shared" si="2"/>
        <v>28</v>
      </c>
      <c r="I132" s="57">
        <v>19</v>
      </c>
    </row>
    <row r="133" spans="1:11" hidden="1" x14ac:dyDescent="0.3">
      <c r="A133" t="s">
        <v>244</v>
      </c>
      <c r="B133" t="s">
        <v>1241</v>
      </c>
      <c r="C133" t="s">
        <v>985</v>
      </c>
      <c r="D133" t="s">
        <v>11</v>
      </c>
      <c r="G133">
        <v>2</v>
      </c>
      <c r="H133">
        <f t="shared" si="2"/>
        <v>56</v>
      </c>
      <c r="I133" s="57">
        <v>19</v>
      </c>
    </row>
    <row r="134" spans="1:11" hidden="1" x14ac:dyDescent="0.3">
      <c r="A134" t="s">
        <v>245</v>
      </c>
      <c r="B134" t="s">
        <v>1241</v>
      </c>
      <c r="C134" t="s">
        <v>985</v>
      </c>
      <c r="D134" t="s">
        <v>11</v>
      </c>
      <c r="G134">
        <v>1</v>
      </c>
      <c r="H134">
        <f t="shared" si="2"/>
        <v>28</v>
      </c>
      <c r="I134" s="57">
        <v>23</v>
      </c>
      <c r="K134" t="s">
        <v>1766</v>
      </c>
    </row>
    <row r="135" spans="1:11" hidden="1" x14ac:dyDescent="0.3">
      <c r="A135" t="s">
        <v>246</v>
      </c>
      <c r="B135" t="s">
        <v>1241</v>
      </c>
      <c r="C135" t="s">
        <v>985</v>
      </c>
      <c r="D135" t="s">
        <v>11</v>
      </c>
      <c r="G135">
        <v>1</v>
      </c>
      <c r="H135">
        <f t="shared" si="2"/>
        <v>28</v>
      </c>
      <c r="I135" s="57">
        <v>19</v>
      </c>
    </row>
    <row r="136" spans="1:11" hidden="1" x14ac:dyDescent="0.3">
      <c r="A136" t="s">
        <v>247</v>
      </c>
      <c r="B136" t="s">
        <v>1241</v>
      </c>
      <c r="C136" t="s">
        <v>985</v>
      </c>
      <c r="D136" t="s">
        <v>11</v>
      </c>
      <c r="G136">
        <v>1</v>
      </c>
      <c r="H136">
        <f t="shared" si="2"/>
        <v>28</v>
      </c>
      <c r="I136" s="57">
        <v>22</v>
      </c>
      <c r="J136">
        <v>1</v>
      </c>
    </row>
    <row r="137" spans="1:11" hidden="1" x14ac:dyDescent="0.3">
      <c r="A137" t="s">
        <v>248</v>
      </c>
      <c r="B137" t="s">
        <v>1241</v>
      </c>
      <c r="C137" t="s">
        <v>985</v>
      </c>
      <c r="D137" t="s">
        <v>11</v>
      </c>
      <c r="E137">
        <v>1</v>
      </c>
      <c r="G137">
        <v>2</v>
      </c>
      <c r="H137">
        <f t="shared" si="2"/>
        <v>56</v>
      </c>
      <c r="I137" s="57">
        <v>24</v>
      </c>
      <c r="J137">
        <v>8</v>
      </c>
    </row>
    <row r="138" spans="1:11" hidden="1" x14ac:dyDescent="0.3">
      <c r="A138" t="s">
        <v>249</v>
      </c>
      <c r="B138" t="s">
        <v>1241</v>
      </c>
      <c r="C138" t="s">
        <v>985</v>
      </c>
      <c r="D138" t="s">
        <v>11</v>
      </c>
      <c r="E138">
        <v>1</v>
      </c>
      <c r="G138">
        <v>2</v>
      </c>
      <c r="H138">
        <f t="shared" si="2"/>
        <v>56</v>
      </c>
      <c r="I138" s="57">
        <v>24</v>
      </c>
      <c r="J138">
        <v>12</v>
      </c>
    </row>
    <row r="139" spans="1:11" hidden="1" x14ac:dyDescent="0.3">
      <c r="A139" t="s">
        <v>251</v>
      </c>
      <c r="B139" t="s">
        <v>1241</v>
      </c>
      <c r="C139" t="s">
        <v>985</v>
      </c>
      <c r="D139" t="s">
        <v>11</v>
      </c>
      <c r="G139">
        <v>4</v>
      </c>
      <c r="H139">
        <f t="shared" ref="H139:H150" si="3">G139*28</f>
        <v>112</v>
      </c>
      <c r="I139" s="57">
        <v>29</v>
      </c>
      <c r="K139" t="s">
        <v>1711</v>
      </c>
    </row>
    <row r="140" spans="1:11" hidden="1" x14ac:dyDescent="0.3">
      <c r="A140" t="s">
        <v>657</v>
      </c>
      <c r="B140" t="s">
        <v>1241</v>
      </c>
      <c r="C140" t="s">
        <v>985</v>
      </c>
      <c r="D140" t="s">
        <v>11</v>
      </c>
      <c r="G140">
        <v>1</v>
      </c>
      <c r="H140">
        <f t="shared" si="3"/>
        <v>28</v>
      </c>
      <c r="I140" s="57">
        <v>19</v>
      </c>
    </row>
    <row r="141" spans="1:11" hidden="1" x14ac:dyDescent="0.3">
      <c r="A141" t="s">
        <v>252</v>
      </c>
      <c r="B141" t="s">
        <v>1241</v>
      </c>
      <c r="C141" t="s">
        <v>985</v>
      </c>
      <c r="D141" t="s">
        <v>11</v>
      </c>
      <c r="G141">
        <v>1</v>
      </c>
      <c r="H141">
        <f t="shared" si="3"/>
        <v>28</v>
      </c>
      <c r="I141" s="57">
        <v>22</v>
      </c>
    </row>
    <row r="142" spans="1:11" hidden="1" x14ac:dyDescent="0.3">
      <c r="A142" t="s">
        <v>627</v>
      </c>
      <c r="B142" t="s">
        <v>1241</v>
      </c>
      <c r="C142" t="s">
        <v>985</v>
      </c>
      <c r="D142" t="s">
        <v>11</v>
      </c>
      <c r="G142">
        <v>1</v>
      </c>
      <c r="H142">
        <f t="shared" si="3"/>
        <v>28</v>
      </c>
      <c r="I142" s="57">
        <v>19</v>
      </c>
    </row>
    <row r="143" spans="1:11" hidden="1" x14ac:dyDescent="0.3">
      <c r="A143" t="s">
        <v>261</v>
      </c>
      <c r="B143" t="s">
        <v>1241</v>
      </c>
      <c r="C143" t="s">
        <v>985</v>
      </c>
      <c r="D143" t="s">
        <v>11</v>
      </c>
      <c r="G143">
        <v>1</v>
      </c>
      <c r="H143">
        <f t="shared" si="3"/>
        <v>28</v>
      </c>
      <c r="I143" s="57">
        <v>22</v>
      </c>
    </row>
    <row r="144" spans="1:11" hidden="1" x14ac:dyDescent="0.3">
      <c r="A144" t="s">
        <v>267</v>
      </c>
      <c r="B144" t="s">
        <v>1241</v>
      </c>
      <c r="C144" t="s">
        <v>985</v>
      </c>
      <c r="D144" t="s">
        <v>11</v>
      </c>
      <c r="E144">
        <v>1</v>
      </c>
      <c r="G144">
        <v>1</v>
      </c>
      <c r="H144">
        <f t="shared" si="3"/>
        <v>28</v>
      </c>
      <c r="I144" s="57">
        <v>22</v>
      </c>
      <c r="J144">
        <v>2</v>
      </c>
    </row>
    <row r="145" spans="1:13" hidden="1" x14ac:dyDescent="0.3">
      <c r="A145" t="s">
        <v>659</v>
      </c>
      <c r="B145" t="s">
        <v>1241</v>
      </c>
      <c r="C145" t="s">
        <v>985</v>
      </c>
      <c r="D145" t="s">
        <v>11</v>
      </c>
      <c r="E145">
        <v>1</v>
      </c>
      <c r="G145">
        <v>4</v>
      </c>
      <c r="H145">
        <f t="shared" si="3"/>
        <v>112</v>
      </c>
      <c r="I145" s="57">
        <v>26</v>
      </c>
    </row>
    <row r="146" spans="1:13" hidden="1" x14ac:dyDescent="0.3">
      <c r="A146" t="s">
        <v>1240</v>
      </c>
      <c r="B146" t="s">
        <v>1241</v>
      </c>
      <c r="C146" t="s">
        <v>985</v>
      </c>
      <c r="D146" t="s">
        <v>11</v>
      </c>
      <c r="G146">
        <v>1</v>
      </c>
      <c r="H146">
        <f t="shared" si="3"/>
        <v>28</v>
      </c>
      <c r="I146" s="57">
        <v>25</v>
      </c>
    </row>
    <row r="147" spans="1:13" hidden="1" x14ac:dyDescent="0.3">
      <c r="A147" t="s">
        <v>936</v>
      </c>
      <c r="B147" t="s">
        <v>1241</v>
      </c>
      <c r="C147" t="s">
        <v>985</v>
      </c>
      <c r="D147" t="s">
        <v>11</v>
      </c>
      <c r="G147">
        <v>1</v>
      </c>
      <c r="H147">
        <f t="shared" si="3"/>
        <v>28</v>
      </c>
      <c r="I147" s="57">
        <v>26</v>
      </c>
    </row>
    <row r="148" spans="1:13" x14ac:dyDescent="0.3">
      <c r="A148">
        <v>7198808890</v>
      </c>
      <c r="B148" t="s">
        <v>1241</v>
      </c>
      <c r="C148" t="s">
        <v>985</v>
      </c>
      <c r="D148" t="s">
        <v>11</v>
      </c>
      <c r="G148">
        <v>0</v>
      </c>
      <c r="H148">
        <f t="shared" si="3"/>
        <v>0</v>
      </c>
      <c r="I148" t="s">
        <v>1248</v>
      </c>
      <c r="K148" t="s">
        <v>2065</v>
      </c>
      <c r="L148" t="s">
        <v>2232</v>
      </c>
    </row>
    <row r="149" spans="1:13" x14ac:dyDescent="0.3">
      <c r="A149">
        <v>71989158</v>
      </c>
      <c r="B149" t="s">
        <v>1241</v>
      </c>
      <c r="C149" t="s">
        <v>985</v>
      </c>
      <c r="D149" t="s">
        <v>11</v>
      </c>
      <c r="G149">
        <v>0</v>
      </c>
      <c r="H149">
        <f t="shared" si="3"/>
        <v>0</v>
      </c>
      <c r="I149" t="s">
        <v>1248</v>
      </c>
      <c r="K149" t="s">
        <v>2065</v>
      </c>
      <c r="L149" t="s">
        <v>2232</v>
      </c>
    </row>
    <row r="150" spans="1:13" hidden="1" x14ac:dyDescent="0.3">
      <c r="A150">
        <v>7235952330</v>
      </c>
      <c r="B150" t="s">
        <v>1241</v>
      </c>
      <c r="C150" t="s">
        <v>985</v>
      </c>
      <c r="D150" t="s">
        <v>11</v>
      </c>
      <c r="G150">
        <v>1</v>
      </c>
      <c r="H150">
        <f t="shared" si="3"/>
        <v>28</v>
      </c>
      <c r="I150" s="57">
        <v>23</v>
      </c>
      <c r="K150" t="s">
        <v>1767</v>
      </c>
      <c r="L150" t="s">
        <v>1784</v>
      </c>
      <c r="M150" t="s">
        <v>1785</v>
      </c>
    </row>
    <row r="151" spans="1:13" s="56" customFormat="1" x14ac:dyDescent="0.3"/>
  </sheetData>
  <autoFilter ref="A15:M150" xr:uid="{45BD9A51-7D02-4069-B9D5-5AC92DE0E874}">
    <filterColumn colId="8">
      <filters blank="1">
        <filter val="add, new layout"/>
      </filters>
    </filterColumn>
  </autoFilter>
  <phoneticPr fontId="1" type="noConversion"/>
  <conditionalFormatting sqref="A1:A1048576">
    <cfRule type="duplicateValues" dxfId="25" priority="2"/>
  </conditionalFormatting>
  <conditionalFormatting sqref="J137:J138 I137:I150 I120:I135 K119 I16:I118">
    <cfRule type="cellIs" priority="1" operator="greaterThan">
      <formula>18</formula>
    </cfRule>
  </conditionalFormatting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CE490F-8FF8-4C12-8554-075F6C5B9BD9}">
  <sheetPr filterMode="1">
    <tabColor rgb="FFFF0000"/>
  </sheetPr>
  <dimension ref="A1:F22"/>
  <sheetViews>
    <sheetView zoomScale="85" zoomScaleNormal="85" workbookViewId="0">
      <selection activeCell="G31" sqref="G31"/>
    </sheetView>
  </sheetViews>
  <sheetFormatPr defaultRowHeight="14.4" x14ac:dyDescent="0.3"/>
  <cols>
    <col min="1" max="1" width="36.33203125" bestFit="1" customWidth="1"/>
    <col min="2" max="2" width="5.6640625" bestFit="1" customWidth="1"/>
    <col min="3" max="3" width="9.44140625" bestFit="1" customWidth="1"/>
    <col min="4" max="4" width="3.5546875" bestFit="1" customWidth="1"/>
  </cols>
  <sheetData>
    <row r="1" spans="1:6" x14ac:dyDescent="0.3">
      <c r="A1" s="55" t="s">
        <v>310</v>
      </c>
      <c r="B1" s="55" t="s">
        <v>275</v>
      </c>
      <c r="C1" s="55" t="s">
        <v>1336</v>
      </c>
      <c r="D1" s="55" t="s">
        <v>23</v>
      </c>
      <c r="E1" s="55" t="s">
        <v>2039</v>
      </c>
    </row>
    <row r="2" spans="1:6" s="57" customFormat="1" hidden="1" x14ac:dyDescent="0.3">
      <c r="A2" s="77" t="s">
        <v>214</v>
      </c>
      <c r="B2" s="78"/>
      <c r="C2" s="78"/>
      <c r="D2" s="78">
        <v>1</v>
      </c>
      <c r="E2" s="78">
        <v>28</v>
      </c>
    </row>
    <row r="3" spans="1:6" s="57" customFormat="1" hidden="1" x14ac:dyDescent="0.3">
      <c r="A3" s="77">
        <v>7119163630</v>
      </c>
      <c r="B3" s="78">
        <v>1</v>
      </c>
      <c r="C3" s="78"/>
      <c r="D3" s="78">
        <v>4</v>
      </c>
      <c r="E3" s="78">
        <v>112</v>
      </c>
    </row>
    <row r="4" spans="1:6" s="57" customFormat="1" hidden="1" x14ac:dyDescent="0.3">
      <c r="A4" s="77">
        <v>7119172930</v>
      </c>
      <c r="B4" s="78">
        <v>1</v>
      </c>
      <c r="C4" s="78"/>
      <c r="D4" s="78">
        <v>1</v>
      </c>
      <c r="E4" s="78">
        <v>28</v>
      </c>
    </row>
    <row r="5" spans="1:6" s="57" customFormat="1" hidden="1" x14ac:dyDescent="0.3">
      <c r="A5" s="77">
        <v>71196506</v>
      </c>
      <c r="B5" s="78">
        <v>1</v>
      </c>
      <c r="C5" s="78"/>
      <c r="D5" s="78">
        <v>1</v>
      </c>
      <c r="E5" s="78">
        <v>28</v>
      </c>
    </row>
    <row r="6" spans="1:6" s="57" customFormat="1" hidden="1" x14ac:dyDescent="0.3">
      <c r="A6" s="77">
        <v>7119668820</v>
      </c>
      <c r="B6" s="78">
        <v>1</v>
      </c>
      <c r="C6" s="78"/>
      <c r="D6" s="78">
        <v>1</v>
      </c>
      <c r="E6" s="78">
        <v>28</v>
      </c>
    </row>
    <row r="7" spans="1:6" s="57" customFormat="1" hidden="1" x14ac:dyDescent="0.3">
      <c r="A7" s="77" t="s">
        <v>217</v>
      </c>
      <c r="B7" s="78"/>
      <c r="C7" s="78"/>
      <c r="D7" s="78">
        <v>3</v>
      </c>
      <c r="E7" s="78">
        <v>84</v>
      </c>
    </row>
    <row r="8" spans="1:6" x14ac:dyDescent="0.3">
      <c r="A8" s="50" t="s">
        <v>1220</v>
      </c>
      <c r="B8" s="49"/>
      <c r="C8" s="49"/>
      <c r="D8" s="49">
        <v>1</v>
      </c>
      <c r="E8" s="49">
        <v>28</v>
      </c>
    </row>
    <row r="9" spans="1:6" x14ac:dyDescent="0.3">
      <c r="A9" s="50" t="s">
        <v>1221</v>
      </c>
      <c r="B9" s="49"/>
      <c r="C9" s="49"/>
      <c r="D9" s="49">
        <v>1</v>
      </c>
      <c r="E9" s="49">
        <v>28</v>
      </c>
    </row>
    <row r="10" spans="1:6" x14ac:dyDescent="0.3">
      <c r="A10" s="50">
        <v>7178270480</v>
      </c>
      <c r="B10" s="49"/>
      <c r="C10" s="49"/>
      <c r="D10" s="49">
        <v>1</v>
      </c>
      <c r="E10" s="49">
        <v>28</v>
      </c>
    </row>
    <row r="11" spans="1:6" x14ac:dyDescent="0.3">
      <c r="A11" s="50" t="s">
        <v>1222</v>
      </c>
      <c r="B11" s="49"/>
      <c r="C11" s="49"/>
      <c r="D11" s="49">
        <v>1</v>
      </c>
      <c r="E11" s="49">
        <v>28</v>
      </c>
    </row>
    <row r="12" spans="1:6" x14ac:dyDescent="0.3">
      <c r="A12" s="50" t="s">
        <v>1223</v>
      </c>
      <c r="B12" s="49"/>
      <c r="C12" s="49"/>
      <c r="D12" s="49">
        <v>1</v>
      </c>
      <c r="E12" s="49">
        <v>28</v>
      </c>
    </row>
    <row r="13" spans="1:6" s="57" customFormat="1" hidden="1" x14ac:dyDescent="0.3">
      <c r="A13" s="77" t="s">
        <v>1224</v>
      </c>
      <c r="B13" s="78"/>
      <c r="C13" s="78"/>
      <c r="D13" s="78">
        <v>1</v>
      </c>
      <c r="E13" s="78">
        <v>28</v>
      </c>
    </row>
    <row r="14" spans="1:6" x14ac:dyDescent="0.3">
      <c r="A14" s="50" t="s">
        <v>227</v>
      </c>
      <c r="B14" s="49"/>
      <c r="C14" s="49"/>
      <c r="D14" s="49">
        <v>2</v>
      </c>
      <c r="E14" s="49">
        <v>56</v>
      </c>
    </row>
    <row r="15" spans="1:6" x14ac:dyDescent="0.3">
      <c r="A15" s="50" t="s">
        <v>648</v>
      </c>
      <c r="B15" s="49"/>
      <c r="C15" s="49"/>
      <c r="D15" s="49">
        <v>1</v>
      </c>
      <c r="E15" s="49">
        <v>28</v>
      </c>
    </row>
    <row r="16" spans="1:6" x14ac:dyDescent="0.3">
      <c r="A16" s="50">
        <v>7278246930</v>
      </c>
      <c r="B16" s="49">
        <v>1</v>
      </c>
      <c r="C16" s="49"/>
      <c r="D16" s="49">
        <v>2</v>
      </c>
      <c r="E16" s="49">
        <v>56</v>
      </c>
      <c r="F16" t="s">
        <v>2197</v>
      </c>
    </row>
    <row r="17" spans="1:5" s="57" customFormat="1" hidden="1" x14ac:dyDescent="0.3">
      <c r="A17" s="77" t="s">
        <v>1237</v>
      </c>
      <c r="B17" s="78"/>
      <c r="C17" s="78"/>
      <c r="D17" s="78">
        <v>1</v>
      </c>
      <c r="E17" s="78">
        <v>28</v>
      </c>
    </row>
    <row r="18" spans="1:5" s="57" customFormat="1" hidden="1" x14ac:dyDescent="0.3">
      <c r="A18" s="77" t="s">
        <v>844</v>
      </c>
      <c r="B18" s="78"/>
      <c r="C18" s="78"/>
      <c r="D18" s="78">
        <v>1</v>
      </c>
      <c r="E18" s="78">
        <v>28</v>
      </c>
    </row>
    <row r="21" spans="1:5" x14ac:dyDescent="0.3">
      <c r="A21" s="75" t="s">
        <v>2040</v>
      </c>
      <c r="B21" s="75">
        <v>8</v>
      </c>
      <c r="C21" s="74"/>
      <c r="D21" s="74"/>
      <c r="E21" s="74"/>
    </row>
    <row r="22" spans="1:5" x14ac:dyDescent="0.3">
      <c r="A22" s="75" t="s">
        <v>2041</v>
      </c>
      <c r="B22" s="75">
        <v>280</v>
      </c>
      <c r="C22" s="74"/>
      <c r="D22" s="74"/>
      <c r="E22" s="74"/>
    </row>
  </sheetData>
  <autoFilter ref="A1:E18" xr:uid="{5ACE490F-8FF8-4C12-8554-075F6C5B9BD9}">
    <filterColumn colId="0">
      <colorFilter dxfId="95"/>
    </filterColumn>
  </autoFilter>
  <conditionalFormatting sqref="A1:A18">
    <cfRule type="duplicateValues" dxfId="24" priority="104"/>
  </conditionalFormatting>
  <pageMargins left="0.7" right="0.7" top="0.75" bottom="0.75" header="0.3" footer="0.3"/>
  <pageSetup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5297E-9A24-47EF-950F-5E6822EE732A}">
  <sheetPr codeName="Sheet16"/>
  <dimension ref="A1:E57"/>
  <sheetViews>
    <sheetView workbookViewId="0">
      <selection activeCell="H44" sqref="H44"/>
    </sheetView>
  </sheetViews>
  <sheetFormatPr defaultRowHeight="14.4" x14ac:dyDescent="0.3"/>
  <cols>
    <col min="1" max="1" width="10.21875" customWidth="1"/>
    <col min="2" max="2" width="22.5546875" bestFit="1" customWidth="1"/>
    <col min="3" max="3" width="10.109375" customWidth="1"/>
    <col min="4" max="4" width="13.33203125" bestFit="1" customWidth="1"/>
  </cols>
  <sheetData>
    <row r="1" spans="1:5" x14ac:dyDescent="0.3">
      <c r="A1" t="s">
        <v>22</v>
      </c>
      <c r="B1" t="s">
        <v>853</v>
      </c>
      <c r="C1" t="s">
        <v>31</v>
      </c>
      <c r="D1" t="s">
        <v>873</v>
      </c>
      <c r="E1" t="s">
        <v>1763</v>
      </c>
    </row>
    <row r="2" spans="1:5" x14ac:dyDescent="0.3">
      <c r="A2">
        <v>1</v>
      </c>
      <c r="B2" t="s">
        <v>952</v>
      </c>
      <c r="C2" t="b">
        <v>1</v>
      </c>
    </row>
    <row r="3" spans="1:5" x14ac:dyDescent="0.3">
      <c r="A3">
        <v>2</v>
      </c>
      <c r="B3" t="s">
        <v>952</v>
      </c>
      <c r="C3" t="b">
        <v>1</v>
      </c>
    </row>
    <row r="4" spans="1:5" x14ac:dyDescent="0.3">
      <c r="A4">
        <v>3</v>
      </c>
      <c r="B4" t="s">
        <v>952</v>
      </c>
      <c r="C4" t="b">
        <v>1</v>
      </c>
    </row>
    <row r="5" spans="1:5" x14ac:dyDescent="0.3">
      <c r="A5">
        <v>4</v>
      </c>
      <c r="B5" t="s">
        <v>952</v>
      </c>
      <c r="C5" t="b">
        <v>1</v>
      </c>
    </row>
    <row r="6" spans="1:5" x14ac:dyDescent="0.3">
      <c r="A6">
        <v>5</v>
      </c>
      <c r="B6" t="s">
        <v>952</v>
      </c>
      <c r="C6" t="b">
        <v>1</v>
      </c>
    </row>
    <row r="7" spans="1:5" x14ac:dyDescent="0.3">
      <c r="A7">
        <v>6</v>
      </c>
      <c r="B7" t="s">
        <v>952</v>
      </c>
      <c r="C7" t="b">
        <v>1</v>
      </c>
    </row>
    <row r="8" spans="1:5" x14ac:dyDescent="0.3">
      <c r="A8">
        <v>7</v>
      </c>
      <c r="B8" t="s">
        <v>869</v>
      </c>
      <c r="C8" t="b">
        <v>1</v>
      </c>
    </row>
    <row r="9" spans="1:5" x14ac:dyDescent="0.3">
      <c r="A9">
        <v>8</v>
      </c>
      <c r="B9" t="s">
        <v>855</v>
      </c>
      <c r="C9" t="b">
        <v>1</v>
      </c>
      <c r="D9" t="s">
        <v>879</v>
      </c>
    </row>
    <row r="10" spans="1:5" x14ac:dyDescent="0.3">
      <c r="A10">
        <v>9</v>
      </c>
      <c r="B10" t="s">
        <v>855</v>
      </c>
      <c r="C10" t="b">
        <v>1</v>
      </c>
      <c r="D10" t="s">
        <v>879</v>
      </c>
    </row>
    <row r="11" spans="1:5" x14ac:dyDescent="0.3">
      <c r="A11">
        <v>10</v>
      </c>
      <c r="B11" t="s">
        <v>854</v>
      </c>
      <c r="C11" t="b">
        <v>1</v>
      </c>
      <c r="D11" t="s">
        <v>880</v>
      </c>
    </row>
    <row r="12" spans="1:5" x14ac:dyDescent="0.3">
      <c r="A12">
        <v>11</v>
      </c>
      <c r="B12" t="s">
        <v>854</v>
      </c>
      <c r="C12" t="b">
        <v>1</v>
      </c>
      <c r="D12" t="s">
        <v>880</v>
      </c>
    </row>
    <row r="13" spans="1:5" x14ac:dyDescent="0.3">
      <c r="A13">
        <v>12</v>
      </c>
      <c r="B13" t="s">
        <v>854</v>
      </c>
      <c r="C13" t="b">
        <v>1</v>
      </c>
      <c r="D13" t="s">
        <v>880</v>
      </c>
    </row>
    <row r="14" spans="1:5" x14ac:dyDescent="0.3">
      <c r="A14">
        <v>13</v>
      </c>
      <c r="B14" t="s">
        <v>855</v>
      </c>
      <c r="C14" t="b">
        <v>1</v>
      </c>
    </row>
    <row r="15" spans="1:5" x14ac:dyDescent="0.3">
      <c r="A15">
        <v>14</v>
      </c>
      <c r="B15" t="s">
        <v>854</v>
      </c>
      <c r="C15" t="b">
        <v>1</v>
      </c>
      <c r="D15" t="s">
        <v>880</v>
      </c>
    </row>
    <row r="16" spans="1:5" x14ac:dyDescent="0.3">
      <c r="A16">
        <v>66</v>
      </c>
      <c r="B16" t="s">
        <v>949</v>
      </c>
    </row>
    <row r="17" spans="1:4" x14ac:dyDescent="0.3">
      <c r="A17">
        <v>15</v>
      </c>
      <c r="B17" t="s">
        <v>952</v>
      </c>
      <c r="C17" t="b">
        <v>1</v>
      </c>
      <c r="D17" t="s">
        <v>953</v>
      </c>
    </row>
    <row r="18" spans="1:4" x14ac:dyDescent="0.3">
      <c r="A18">
        <v>16</v>
      </c>
      <c r="B18" t="s">
        <v>952</v>
      </c>
      <c r="C18" t="b">
        <v>1</v>
      </c>
      <c r="D18" t="s">
        <v>953</v>
      </c>
    </row>
    <row r="19" spans="1:4" x14ac:dyDescent="0.3">
      <c r="A19">
        <v>17</v>
      </c>
      <c r="B19" t="s">
        <v>958</v>
      </c>
      <c r="C19" t="b">
        <v>1</v>
      </c>
      <c r="D19" t="s">
        <v>953</v>
      </c>
    </row>
    <row r="20" spans="1:4" x14ac:dyDescent="0.3">
      <c r="A20">
        <v>99</v>
      </c>
      <c r="B20" t="s">
        <v>949</v>
      </c>
      <c r="C20" t="b">
        <v>1</v>
      </c>
      <c r="D20" t="s">
        <v>1195</v>
      </c>
    </row>
    <row r="21" spans="1:4" x14ac:dyDescent="0.3">
      <c r="A21">
        <v>18</v>
      </c>
      <c r="B21" t="s">
        <v>1251</v>
      </c>
      <c r="C21" t="b">
        <v>1</v>
      </c>
      <c r="D21" t="s">
        <v>1296</v>
      </c>
    </row>
    <row r="22" spans="1:4" x14ac:dyDescent="0.3">
      <c r="A22">
        <v>19</v>
      </c>
      <c r="B22" t="s">
        <v>1252</v>
      </c>
      <c r="C22" t="b">
        <v>1</v>
      </c>
      <c r="D22" t="s">
        <v>1297</v>
      </c>
    </row>
    <row r="23" spans="1:4" x14ac:dyDescent="0.3">
      <c r="A23">
        <v>20</v>
      </c>
      <c r="B23" t="s">
        <v>1252</v>
      </c>
      <c r="C23" t="b">
        <v>1</v>
      </c>
      <c r="D23" t="s">
        <v>1297</v>
      </c>
    </row>
    <row r="24" spans="1:4" x14ac:dyDescent="0.3">
      <c r="A24">
        <v>21</v>
      </c>
      <c r="B24" t="s">
        <v>1693</v>
      </c>
      <c r="C24" t="b">
        <v>1</v>
      </c>
      <c r="D24" t="s">
        <v>1694</v>
      </c>
    </row>
    <row r="25" spans="1:4" x14ac:dyDescent="0.3">
      <c r="A25">
        <v>22</v>
      </c>
      <c r="B25" t="s">
        <v>1252</v>
      </c>
      <c r="C25" t="b">
        <v>1</v>
      </c>
      <c r="D25" t="s">
        <v>1297</v>
      </c>
    </row>
    <row r="26" spans="1:4" x14ac:dyDescent="0.3">
      <c r="A26">
        <v>23</v>
      </c>
      <c r="B26" t="s">
        <v>1252</v>
      </c>
      <c r="C26" t="b">
        <v>1</v>
      </c>
      <c r="D26" t="s">
        <v>1297</v>
      </c>
    </row>
    <row r="27" spans="1:4" x14ac:dyDescent="0.3">
      <c r="A27">
        <v>24</v>
      </c>
      <c r="B27" t="s">
        <v>1252</v>
      </c>
      <c r="C27" t="b">
        <v>1</v>
      </c>
      <c r="D27" t="s">
        <v>1297</v>
      </c>
    </row>
    <row r="28" spans="1:4" x14ac:dyDescent="0.3">
      <c r="A28">
        <v>25</v>
      </c>
      <c r="B28" t="s">
        <v>1252</v>
      </c>
      <c r="C28" t="b">
        <v>1</v>
      </c>
      <c r="D28" t="s">
        <v>1297</v>
      </c>
    </row>
    <row r="29" spans="1:4" x14ac:dyDescent="0.3">
      <c r="A29">
        <v>26</v>
      </c>
      <c r="B29" t="s">
        <v>1252</v>
      </c>
      <c r="C29" t="b">
        <v>1</v>
      </c>
      <c r="D29" t="s">
        <v>1297</v>
      </c>
    </row>
    <row r="30" spans="1:4" x14ac:dyDescent="0.3">
      <c r="A30">
        <v>27</v>
      </c>
      <c r="B30" t="s">
        <v>1252</v>
      </c>
      <c r="C30" t="b">
        <v>1</v>
      </c>
      <c r="D30" t="s">
        <v>1297</v>
      </c>
    </row>
    <row r="31" spans="1:4" x14ac:dyDescent="0.3">
      <c r="A31">
        <v>28</v>
      </c>
      <c r="B31" t="s">
        <v>1252</v>
      </c>
      <c r="C31" t="b">
        <v>1</v>
      </c>
      <c r="D31" t="s">
        <v>1297</v>
      </c>
    </row>
    <row r="32" spans="1:4" x14ac:dyDescent="0.3">
      <c r="A32">
        <v>29</v>
      </c>
      <c r="B32" t="s">
        <v>1252</v>
      </c>
      <c r="C32" t="b">
        <v>1</v>
      </c>
      <c r="D32" t="s">
        <v>1297</v>
      </c>
    </row>
    <row r="33" spans="1:4" x14ac:dyDescent="0.3">
      <c r="A33">
        <v>30</v>
      </c>
      <c r="B33" t="s">
        <v>2119</v>
      </c>
      <c r="C33" t="b">
        <v>1</v>
      </c>
      <c r="D33" t="s">
        <v>1762</v>
      </c>
    </row>
    <row r="34" spans="1:4" x14ac:dyDescent="0.3">
      <c r="A34">
        <v>31</v>
      </c>
      <c r="B34" t="s">
        <v>2119</v>
      </c>
      <c r="C34" t="b">
        <v>1</v>
      </c>
      <c r="D34" t="s">
        <v>1762</v>
      </c>
    </row>
    <row r="35" spans="1:4" x14ac:dyDescent="0.3">
      <c r="A35">
        <v>32</v>
      </c>
      <c r="B35" t="s">
        <v>2119</v>
      </c>
      <c r="C35" t="b">
        <v>1</v>
      </c>
      <c r="D35" t="s">
        <v>1762</v>
      </c>
    </row>
    <row r="36" spans="1:4" x14ac:dyDescent="0.3">
      <c r="A36">
        <v>33</v>
      </c>
      <c r="B36" t="s">
        <v>2119</v>
      </c>
      <c r="C36" t="b">
        <v>1</v>
      </c>
      <c r="D36" t="s">
        <v>1762</v>
      </c>
    </row>
    <row r="37" spans="1:4" x14ac:dyDescent="0.3">
      <c r="A37">
        <v>34</v>
      </c>
      <c r="B37" t="s">
        <v>2119</v>
      </c>
    </row>
    <row r="38" spans="1:4" x14ac:dyDescent="0.3">
      <c r="A38">
        <v>35</v>
      </c>
      <c r="B38" t="s">
        <v>2119</v>
      </c>
    </row>
    <row r="39" spans="1:4" x14ac:dyDescent="0.3">
      <c r="A39">
        <v>36</v>
      </c>
      <c r="B39" t="s">
        <v>2119</v>
      </c>
    </row>
    <row r="40" spans="1:4" x14ac:dyDescent="0.3">
      <c r="A40">
        <v>37</v>
      </c>
      <c r="B40" t="s">
        <v>2119</v>
      </c>
    </row>
    <row r="41" spans="1:4" x14ac:dyDescent="0.3">
      <c r="A41">
        <v>38</v>
      </c>
      <c r="B41" t="s">
        <v>2119</v>
      </c>
    </row>
    <row r="42" spans="1:4" x14ac:dyDescent="0.3">
      <c r="A42">
        <v>39</v>
      </c>
      <c r="B42" t="s">
        <v>2119</v>
      </c>
    </row>
    <row r="43" spans="1:4" x14ac:dyDescent="0.3">
      <c r="A43">
        <v>40</v>
      </c>
      <c r="B43" t="s">
        <v>2119</v>
      </c>
    </row>
    <row r="44" spans="1:4" x14ac:dyDescent="0.3">
      <c r="A44">
        <v>41</v>
      </c>
      <c r="B44" t="s">
        <v>1693</v>
      </c>
      <c r="C44" t="b">
        <v>1</v>
      </c>
      <c r="D44" t="s">
        <v>1694</v>
      </c>
    </row>
    <row r="45" spans="1:4" x14ac:dyDescent="0.3">
      <c r="A45">
        <v>42</v>
      </c>
      <c r="B45" t="s">
        <v>1693</v>
      </c>
      <c r="C45" t="b">
        <v>1</v>
      </c>
      <c r="D45" t="s">
        <v>1694</v>
      </c>
    </row>
    <row r="46" spans="1:4" x14ac:dyDescent="0.3">
      <c r="A46">
        <v>43</v>
      </c>
      <c r="B46" t="s">
        <v>1252</v>
      </c>
      <c r="C46" t="b">
        <v>1</v>
      </c>
      <c r="D46" t="s">
        <v>1297</v>
      </c>
    </row>
    <row r="47" spans="1:4" x14ac:dyDescent="0.3">
      <c r="A47">
        <v>44</v>
      </c>
      <c r="B47" t="s">
        <v>1252</v>
      </c>
      <c r="C47" t="b">
        <v>1</v>
      </c>
      <c r="D47" t="s">
        <v>1297</v>
      </c>
    </row>
    <row r="48" spans="1:4" x14ac:dyDescent="0.3">
      <c r="A48">
        <v>45</v>
      </c>
      <c r="B48" t="s">
        <v>1252</v>
      </c>
      <c r="D48" t="s">
        <v>1297</v>
      </c>
    </row>
    <row r="49" spans="1:4" x14ac:dyDescent="0.3">
      <c r="A49">
        <v>46</v>
      </c>
      <c r="B49" t="s">
        <v>1252</v>
      </c>
      <c r="D49" t="s">
        <v>1297</v>
      </c>
    </row>
    <row r="50" spans="1:4" x14ac:dyDescent="0.3">
      <c r="A50">
        <v>47</v>
      </c>
      <c r="B50" t="s">
        <v>1252</v>
      </c>
      <c r="D50" t="s">
        <v>1297</v>
      </c>
    </row>
    <row r="51" spans="1:4" x14ac:dyDescent="0.3">
      <c r="A51">
        <v>48</v>
      </c>
      <c r="B51" t="s">
        <v>1252</v>
      </c>
      <c r="D51" t="s">
        <v>1297</v>
      </c>
    </row>
    <row r="52" spans="1:4" x14ac:dyDescent="0.3">
      <c r="A52">
        <v>49</v>
      </c>
      <c r="B52" t="s">
        <v>1252</v>
      </c>
      <c r="D52" t="s">
        <v>1297</v>
      </c>
    </row>
    <row r="53" spans="1:4" x14ac:dyDescent="0.3">
      <c r="A53">
        <v>50</v>
      </c>
      <c r="B53" t="s">
        <v>2075</v>
      </c>
      <c r="C53" t="b">
        <v>1</v>
      </c>
      <c r="D53" t="s">
        <v>2255</v>
      </c>
    </row>
    <row r="54" spans="1:4" x14ac:dyDescent="0.3">
      <c r="A54">
        <v>51</v>
      </c>
      <c r="B54" t="s">
        <v>2075</v>
      </c>
      <c r="C54" t="b">
        <v>1</v>
      </c>
      <c r="D54" t="s">
        <v>2255</v>
      </c>
    </row>
    <row r="55" spans="1:4" x14ac:dyDescent="0.3">
      <c r="A55">
        <v>52</v>
      </c>
      <c r="B55" t="s">
        <v>2075</v>
      </c>
      <c r="C55" t="b">
        <v>1</v>
      </c>
      <c r="D55" t="s">
        <v>2255</v>
      </c>
    </row>
    <row r="56" spans="1:4" x14ac:dyDescent="0.3">
      <c r="A56">
        <v>53</v>
      </c>
      <c r="B56" t="s">
        <v>2075</v>
      </c>
      <c r="C56" t="b">
        <v>1</v>
      </c>
      <c r="D56" t="s">
        <v>2255</v>
      </c>
    </row>
    <row r="57" spans="1:4" x14ac:dyDescent="0.3">
      <c r="A57">
        <v>54</v>
      </c>
      <c r="B57" t="s">
        <v>2075</v>
      </c>
      <c r="C57" t="b">
        <v>1</v>
      </c>
      <c r="D57" t="s">
        <v>2255</v>
      </c>
    </row>
  </sheetData>
  <phoneticPr fontId="1" type="noConversion"/>
  <conditionalFormatting sqref="C2:C57">
    <cfRule type="cellIs" dxfId="23" priority="1" operator="equal">
      <formula>FALSE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20689-9B9F-49D3-83C6-B3689F0A3F76}">
  <dimension ref="A1:E130"/>
  <sheetViews>
    <sheetView workbookViewId="0">
      <selection activeCell="C97" sqref="C97:C98"/>
    </sheetView>
  </sheetViews>
  <sheetFormatPr defaultRowHeight="14.4" x14ac:dyDescent="0.3"/>
  <cols>
    <col min="1" max="1" width="49.44140625" bestFit="1" customWidth="1"/>
    <col min="4" max="4" width="16.77734375" bestFit="1" customWidth="1"/>
  </cols>
  <sheetData>
    <row r="1" spans="1:4" x14ac:dyDescent="0.3">
      <c r="A1" t="s">
        <v>2175</v>
      </c>
      <c r="B1" t="s">
        <v>2176</v>
      </c>
      <c r="C1" s="88" t="s">
        <v>22</v>
      </c>
      <c r="D1" t="s">
        <v>873</v>
      </c>
    </row>
    <row r="2" spans="1:4" x14ac:dyDescent="0.3">
      <c r="A2">
        <v>7003756102</v>
      </c>
      <c r="B2" s="70">
        <v>1</v>
      </c>
      <c r="C2">
        <v>30</v>
      </c>
    </row>
    <row r="3" spans="1:4" x14ac:dyDescent="0.3">
      <c r="A3">
        <v>7035964930</v>
      </c>
      <c r="B3" s="70">
        <v>1</v>
      </c>
      <c r="C3">
        <v>30</v>
      </c>
    </row>
    <row r="4" spans="1:4" x14ac:dyDescent="0.3">
      <c r="A4">
        <v>7035990430</v>
      </c>
      <c r="B4" s="70">
        <v>2</v>
      </c>
      <c r="C4">
        <v>30</v>
      </c>
      <c r="D4" t="s">
        <v>2177</v>
      </c>
    </row>
    <row r="5" spans="1:4" x14ac:dyDescent="0.3">
      <c r="A5">
        <v>7035990930</v>
      </c>
      <c r="B5" s="70">
        <v>1</v>
      </c>
      <c r="C5">
        <v>30</v>
      </c>
      <c r="D5" t="s">
        <v>2178</v>
      </c>
    </row>
    <row r="6" spans="1:4" x14ac:dyDescent="0.3">
      <c r="A6" s="89" t="s">
        <v>1215</v>
      </c>
      <c r="B6" s="70">
        <v>2</v>
      </c>
      <c r="C6">
        <v>31</v>
      </c>
    </row>
    <row r="7" spans="1:4" x14ac:dyDescent="0.3">
      <c r="A7" s="89" t="s">
        <v>859</v>
      </c>
      <c r="B7" s="70">
        <v>1</v>
      </c>
      <c r="C7">
        <v>31</v>
      </c>
    </row>
    <row r="8" spans="1:4" x14ac:dyDescent="0.3">
      <c r="A8" s="90">
        <v>7047186030</v>
      </c>
      <c r="B8" s="70">
        <v>30</v>
      </c>
      <c r="C8">
        <v>32</v>
      </c>
    </row>
    <row r="9" spans="1:4" x14ac:dyDescent="0.3">
      <c r="A9" s="89" t="s">
        <v>1216</v>
      </c>
      <c r="B9" s="70">
        <v>6</v>
      </c>
      <c r="C9">
        <v>31</v>
      </c>
    </row>
    <row r="10" spans="1:4" x14ac:dyDescent="0.3">
      <c r="A10">
        <v>7075181330</v>
      </c>
      <c r="B10" s="70">
        <v>1</v>
      </c>
      <c r="C10">
        <v>30</v>
      </c>
    </row>
    <row r="11" spans="1:4" x14ac:dyDescent="0.3">
      <c r="A11">
        <v>7075231930</v>
      </c>
      <c r="B11" s="70">
        <v>1</v>
      </c>
      <c r="C11">
        <v>30</v>
      </c>
      <c r="D11" t="s">
        <v>2179</v>
      </c>
    </row>
    <row r="12" spans="1:4" x14ac:dyDescent="0.3">
      <c r="A12">
        <v>7075244730</v>
      </c>
      <c r="B12" s="70">
        <v>1</v>
      </c>
      <c r="C12">
        <v>34</v>
      </c>
    </row>
    <row r="13" spans="1:4" x14ac:dyDescent="0.3">
      <c r="A13" t="s">
        <v>798</v>
      </c>
      <c r="B13" s="70">
        <v>2</v>
      </c>
      <c r="C13">
        <v>30</v>
      </c>
    </row>
    <row r="14" spans="1:4" x14ac:dyDescent="0.3">
      <c r="A14">
        <v>71186354</v>
      </c>
      <c r="B14" s="70">
        <v>2</v>
      </c>
      <c r="C14">
        <v>30</v>
      </c>
    </row>
    <row r="15" spans="1:4" x14ac:dyDescent="0.3">
      <c r="A15" t="s">
        <v>212</v>
      </c>
      <c r="B15" s="70">
        <v>1</v>
      </c>
      <c r="C15">
        <v>34</v>
      </c>
    </row>
    <row r="16" spans="1:4" x14ac:dyDescent="0.3">
      <c r="A16" t="s">
        <v>515</v>
      </c>
      <c r="B16" s="70">
        <v>2</v>
      </c>
      <c r="C16">
        <v>30</v>
      </c>
    </row>
    <row r="17" spans="1:3" x14ac:dyDescent="0.3">
      <c r="A17">
        <v>7118670020</v>
      </c>
      <c r="B17" s="70">
        <v>2</v>
      </c>
      <c r="C17">
        <v>30</v>
      </c>
    </row>
    <row r="18" spans="1:3" x14ac:dyDescent="0.3">
      <c r="A18" t="s">
        <v>1219</v>
      </c>
      <c r="B18" s="70">
        <v>1</v>
      </c>
      <c r="C18">
        <v>30</v>
      </c>
    </row>
    <row r="19" spans="1:3" x14ac:dyDescent="0.3">
      <c r="A19" t="s">
        <v>214</v>
      </c>
      <c r="B19" s="70">
        <v>1</v>
      </c>
      <c r="C19">
        <v>34</v>
      </c>
    </row>
    <row r="20" spans="1:3" x14ac:dyDescent="0.3">
      <c r="A20">
        <v>7119131530</v>
      </c>
      <c r="B20" s="70">
        <v>3</v>
      </c>
      <c r="C20">
        <v>30</v>
      </c>
    </row>
    <row r="21" spans="1:3" x14ac:dyDescent="0.3">
      <c r="A21" t="s">
        <v>521</v>
      </c>
      <c r="B21" s="70">
        <v>2</v>
      </c>
      <c r="C21">
        <v>30</v>
      </c>
    </row>
    <row r="22" spans="1:3" x14ac:dyDescent="0.3">
      <c r="A22">
        <v>7119146730</v>
      </c>
      <c r="B22" s="70">
        <v>1</v>
      </c>
      <c r="C22">
        <v>30</v>
      </c>
    </row>
    <row r="23" spans="1:3" x14ac:dyDescent="0.3">
      <c r="A23">
        <v>7119163630</v>
      </c>
      <c r="B23" s="70">
        <v>4</v>
      </c>
      <c r="C23">
        <v>34</v>
      </c>
    </row>
    <row r="24" spans="1:3" x14ac:dyDescent="0.3">
      <c r="A24">
        <v>7119172930</v>
      </c>
      <c r="B24" s="70">
        <v>1</v>
      </c>
      <c r="C24">
        <v>34</v>
      </c>
    </row>
    <row r="25" spans="1:3" x14ac:dyDescent="0.3">
      <c r="A25">
        <v>71191993</v>
      </c>
      <c r="B25" s="70">
        <v>1</v>
      </c>
      <c r="C25">
        <v>30</v>
      </c>
    </row>
    <row r="26" spans="1:3" x14ac:dyDescent="0.3">
      <c r="A26">
        <v>7119639830</v>
      </c>
      <c r="B26" s="70">
        <v>1</v>
      </c>
      <c r="C26">
        <v>30</v>
      </c>
    </row>
    <row r="27" spans="1:3" x14ac:dyDescent="0.3">
      <c r="A27">
        <v>71196401</v>
      </c>
      <c r="B27" s="70">
        <v>1</v>
      </c>
      <c r="C27">
        <v>30</v>
      </c>
    </row>
    <row r="28" spans="1:3" x14ac:dyDescent="0.3">
      <c r="A28">
        <v>7119641970</v>
      </c>
      <c r="B28" s="70">
        <v>1</v>
      </c>
      <c r="C28">
        <v>30</v>
      </c>
    </row>
    <row r="29" spans="1:3" x14ac:dyDescent="0.3">
      <c r="A29" t="s">
        <v>218</v>
      </c>
      <c r="B29" s="70">
        <v>1</v>
      </c>
      <c r="C29">
        <v>34</v>
      </c>
    </row>
    <row r="30" spans="1:3" x14ac:dyDescent="0.3">
      <c r="A30">
        <v>71196506</v>
      </c>
      <c r="B30" s="70">
        <v>1</v>
      </c>
      <c r="C30">
        <v>34</v>
      </c>
    </row>
    <row r="31" spans="1:3" x14ac:dyDescent="0.3">
      <c r="A31">
        <v>7119668820</v>
      </c>
      <c r="B31" s="70">
        <v>1</v>
      </c>
      <c r="C31">
        <v>34</v>
      </c>
    </row>
    <row r="32" spans="1:3" x14ac:dyDescent="0.3">
      <c r="A32" t="s">
        <v>217</v>
      </c>
      <c r="B32" s="70">
        <v>3</v>
      </c>
      <c r="C32">
        <v>34</v>
      </c>
    </row>
    <row r="33" spans="1:4" x14ac:dyDescent="0.3">
      <c r="A33">
        <v>71196714</v>
      </c>
      <c r="B33" s="70">
        <v>1</v>
      </c>
      <c r="C33">
        <v>30</v>
      </c>
    </row>
    <row r="34" spans="1:4" x14ac:dyDescent="0.3">
      <c r="A34" s="89" t="s">
        <v>1007</v>
      </c>
      <c r="B34" s="70">
        <v>1</v>
      </c>
      <c r="C34">
        <v>31</v>
      </c>
    </row>
    <row r="35" spans="1:4" x14ac:dyDescent="0.3">
      <c r="A35" s="90">
        <v>7147882430</v>
      </c>
      <c r="B35" s="70">
        <v>5</v>
      </c>
      <c r="C35">
        <v>32</v>
      </c>
    </row>
    <row r="36" spans="1:4" x14ac:dyDescent="0.3">
      <c r="A36">
        <v>7177097330</v>
      </c>
      <c r="B36" s="70">
        <v>2</v>
      </c>
      <c r="D36" t="s">
        <v>2180</v>
      </c>
    </row>
    <row r="37" spans="1:4" x14ac:dyDescent="0.3">
      <c r="A37">
        <v>71781227</v>
      </c>
      <c r="B37" s="70">
        <v>1</v>
      </c>
      <c r="C37">
        <v>30</v>
      </c>
    </row>
    <row r="38" spans="1:4" x14ac:dyDescent="0.3">
      <c r="A38">
        <v>71782472</v>
      </c>
      <c r="B38" s="70">
        <v>1</v>
      </c>
      <c r="C38">
        <v>30</v>
      </c>
    </row>
    <row r="39" spans="1:4" x14ac:dyDescent="0.3">
      <c r="A39">
        <v>7178270480</v>
      </c>
      <c r="B39" s="70">
        <v>1</v>
      </c>
      <c r="D39" t="s">
        <v>1245</v>
      </c>
    </row>
    <row r="40" spans="1:4" x14ac:dyDescent="0.3">
      <c r="A40" t="s">
        <v>219</v>
      </c>
      <c r="B40" s="70">
        <v>2</v>
      </c>
      <c r="C40">
        <v>34</v>
      </c>
    </row>
    <row r="41" spans="1:4" x14ac:dyDescent="0.3">
      <c r="A41">
        <v>7183753630</v>
      </c>
      <c r="B41" s="70">
        <v>1</v>
      </c>
      <c r="C41">
        <v>30</v>
      </c>
    </row>
    <row r="42" spans="1:4" x14ac:dyDescent="0.3">
      <c r="A42" t="s">
        <v>1222</v>
      </c>
      <c r="B42" s="70">
        <v>1</v>
      </c>
      <c r="D42" t="s">
        <v>2181</v>
      </c>
    </row>
    <row r="43" spans="1:4" x14ac:dyDescent="0.3">
      <c r="A43" t="s">
        <v>256</v>
      </c>
      <c r="B43" s="70">
        <v>1</v>
      </c>
      <c r="D43" t="s">
        <v>2181</v>
      </c>
    </row>
    <row r="44" spans="1:4" x14ac:dyDescent="0.3">
      <c r="A44" t="s">
        <v>221</v>
      </c>
      <c r="B44" s="70">
        <v>1</v>
      </c>
      <c r="C44">
        <v>30</v>
      </c>
    </row>
    <row r="45" spans="1:4" x14ac:dyDescent="0.3">
      <c r="A45" t="s">
        <v>1223</v>
      </c>
      <c r="B45" s="70">
        <v>1</v>
      </c>
    </row>
    <row r="46" spans="1:4" x14ac:dyDescent="0.3">
      <c r="A46">
        <v>7189663170</v>
      </c>
      <c r="B46" s="70">
        <v>2</v>
      </c>
      <c r="C46">
        <v>30</v>
      </c>
    </row>
    <row r="47" spans="1:4" x14ac:dyDescent="0.3">
      <c r="A47" t="s">
        <v>843</v>
      </c>
      <c r="B47" s="70">
        <v>1</v>
      </c>
      <c r="C47">
        <v>34</v>
      </c>
    </row>
    <row r="48" spans="1:4" x14ac:dyDescent="0.3">
      <c r="A48" t="s">
        <v>224</v>
      </c>
      <c r="B48" s="70">
        <v>1</v>
      </c>
      <c r="C48">
        <v>34</v>
      </c>
    </row>
    <row r="49" spans="1:5" x14ac:dyDescent="0.3">
      <c r="A49">
        <v>71897277</v>
      </c>
      <c r="B49" s="70">
        <v>1</v>
      </c>
      <c r="C49">
        <v>30</v>
      </c>
    </row>
    <row r="50" spans="1:5" x14ac:dyDescent="0.3">
      <c r="A50" t="s">
        <v>225</v>
      </c>
      <c r="B50" s="70">
        <v>1</v>
      </c>
      <c r="C50">
        <v>34</v>
      </c>
    </row>
    <row r="51" spans="1:5" x14ac:dyDescent="0.3">
      <c r="A51" t="s">
        <v>1224</v>
      </c>
      <c r="B51" s="70">
        <v>1</v>
      </c>
      <c r="C51">
        <v>34</v>
      </c>
    </row>
    <row r="52" spans="1:5" x14ac:dyDescent="0.3">
      <c r="A52">
        <v>71899503</v>
      </c>
      <c r="B52" s="70">
        <v>2</v>
      </c>
      <c r="C52">
        <v>30</v>
      </c>
    </row>
    <row r="53" spans="1:5" x14ac:dyDescent="0.3">
      <c r="A53">
        <v>7189982830</v>
      </c>
      <c r="B53" s="70">
        <v>1</v>
      </c>
      <c r="C53">
        <v>30</v>
      </c>
    </row>
    <row r="54" spans="1:5" x14ac:dyDescent="0.3">
      <c r="A54">
        <v>71979512</v>
      </c>
      <c r="B54" s="70">
        <v>1</v>
      </c>
      <c r="C54">
        <v>34</v>
      </c>
    </row>
    <row r="55" spans="1:5" x14ac:dyDescent="0.3">
      <c r="A55" t="s">
        <v>1225</v>
      </c>
      <c r="B55" s="70">
        <v>1</v>
      </c>
      <c r="E55" t="s">
        <v>2197</v>
      </c>
    </row>
    <row r="56" spans="1:5" x14ac:dyDescent="0.3">
      <c r="A56">
        <v>71986562</v>
      </c>
      <c r="B56" s="70">
        <v>1</v>
      </c>
      <c r="C56">
        <v>30</v>
      </c>
    </row>
    <row r="57" spans="1:5" x14ac:dyDescent="0.3">
      <c r="A57" t="s">
        <v>227</v>
      </c>
      <c r="B57" s="70">
        <v>2</v>
      </c>
    </row>
    <row r="58" spans="1:5" x14ac:dyDescent="0.3">
      <c r="A58" t="s">
        <v>558</v>
      </c>
      <c r="B58" s="70">
        <v>1</v>
      </c>
      <c r="C58">
        <v>34</v>
      </c>
    </row>
    <row r="59" spans="1:5" x14ac:dyDescent="0.3">
      <c r="A59" t="s">
        <v>1226</v>
      </c>
      <c r="B59" s="70">
        <v>2</v>
      </c>
      <c r="C59">
        <v>34</v>
      </c>
    </row>
    <row r="60" spans="1:5" x14ac:dyDescent="0.3">
      <c r="A60" t="s">
        <v>1227</v>
      </c>
      <c r="B60" s="70">
        <v>2</v>
      </c>
      <c r="C60">
        <v>34</v>
      </c>
    </row>
    <row r="61" spans="1:5" x14ac:dyDescent="0.3">
      <c r="A61">
        <v>7198796290</v>
      </c>
      <c r="B61" s="70">
        <v>2</v>
      </c>
      <c r="C61">
        <v>30</v>
      </c>
    </row>
    <row r="62" spans="1:5" x14ac:dyDescent="0.3">
      <c r="A62">
        <v>71988082</v>
      </c>
      <c r="B62" s="70">
        <v>1</v>
      </c>
      <c r="C62">
        <v>30</v>
      </c>
    </row>
    <row r="63" spans="1:5" x14ac:dyDescent="0.3">
      <c r="A63">
        <v>7198916130</v>
      </c>
      <c r="B63" s="70">
        <v>1</v>
      </c>
      <c r="C63">
        <v>30</v>
      </c>
    </row>
    <row r="64" spans="1:5" x14ac:dyDescent="0.3">
      <c r="A64">
        <v>71989162</v>
      </c>
      <c r="B64" s="70">
        <v>3</v>
      </c>
      <c r="C64">
        <v>30</v>
      </c>
    </row>
    <row r="65" spans="1:4" x14ac:dyDescent="0.3">
      <c r="A65" t="s">
        <v>813</v>
      </c>
      <c r="B65" s="70">
        <v>1</v>
      </c>
      <c r="C65">
        <v>34</v>
      </c>
    </row>
    <row r="66" spans="1:4" x14ac:dyDescent="0.3">
      <c r="A66">
        <v>7198948560</v>
      </c>
      <c r="B66" s="70">
        <v>1</v>
      </c>
      <c r="C66">
        <v>30</v>
      </c>
    </row>
    <row r="67" spans="1:4" x14ac:dyDescent="0.3">
      <c r="A67">
        <v>7223686530</v>
      </c>
      <c r="B67" s="70">
        <v>1</v>
      </c>
      <c r="C67">
        <v>34</v>
      </c>
    </row>
    <row r="68" spans="1:4" x14ac:dyDescent="0.3">
      <c r="A68">
        <v>7235053630</v>
      </c>
      <c r="B68" s="70">
        <v>1</v>
      </c>
      <c r="C68">
        <v>30</v>
      </c>
      <c r="D68" t="s">
        <v>2182</v>
      </c>
    </row>
    <row r="69" spans="1:4" x14ac:dyDescent="0.3">
      <c r="A69">
        <v>7235053630</v>
      </c>
      <c r="B69" s="70">
        <v>1</v>
      </c>
      <c r="C69">
        <v>33</v>
      </c>
      <c r="D69" t="s">
        <v>2183</v>
      </c>
    </row>
    <row r="70" spans="1:4" x14ac:dyDescent="0.3">
      <c r="A70">
        <v>7235952330</v>
      </c>
      <c r="B70" s="70">
        <v>1</v>
      </c>
      <c r="C70">
        <v>30</v>
      </c>
    </row>
    <row r="71" spans="1:4" x14ac:dyDescent="0.3">
      <c r="A71" s="89" t="s">
        <v>1228</v>
      </c>
      <c r="B71" s="70">
        <v>1</v>
      </c>
      <c r="C71">
        <v>31</v>
      </c>
    </row>
    <row r="72" spans="1:4" x14ac:dyDescent="0.3">
      <c r="A72" s="89" t="s">
        <v>1229</v>
      </c>
      <c r="B72" s="70">
        <v>1</v>
      </c>
      <c r="C72">
        <v>31</v>
      </c>
    </row>
    <row r="73" spans="1:4" x14ac:dyDescent="0.3">
      <c r="A73" s="89" t="s">
        <v>1230</v>
      </c>
      <c r="B73" s="70">
        <v>1</v>
      </c>
      <c r="C73">
        <v>31</v>
      </c>
    </row>
    <row r="74" spans="1:4" x14ac:dyDescent="0.3">
      <c r="A74" s="90">
        <v>7247781730</v>
      </c>
      <c r="B74" s="70">
        <v>2</v>
      </c>
      <c r="C74">
        <v>32</v>
      </c>
    </row>
    <row r="75" spans="1:4" x14ac:dyDescent="0.3">
      <c r="A75" s="89" t="s">
        <v>1231</v>
      </c>
      <c r="B75" s="70">
        <v>1</v>
      </c>
      <c r="C75">
        <v>31</v>
      </c>
    </row>
    <row r="76" spans="1:4" x14ac:dyDescent="0.3">
      <c r="A76" s="90">
        <v>7252726530</v>
      </c>
      <c r="B76" s="70">
        <v>2</v>
      </c>
      <c r="C76">
        <v>32</v>
      </c>
    </row>
    <row r="77" spans="1:4" x14ac:dyDescent="0.3">
      <c r="A77" s="90">
        <v>7252779130</v>
      </c>
      <c r="B77" s="70">
        <v>2</v>
      </c>
      <c r="C77">
        <v>32</v>
      </c>
    </row>
    <row r="78" spans="1:4" x14ac:dyDescent="0.3">
      <c r="A78" s="89" t="s">
        <v>1232</v>
      </c>
      <c r="B78" s="70">
        <v>2</v>
      </c>
      <c r="C78">
        <v>31</v>
      </c>
    </row>
    <row r="79" spans="1:4" x14ac:dyDescent="0.3">
      <c r="A79" s="90">
        <v>7252785330</v>
      </c>
      <c r="B79" s="70">
        <v>13</v>
      </c>
      <c r="C79">
        <v>32</v>
      </c>
    </row>
    <row r="80" spans="1:4" x14ac:dyDescent="0.3">
      <c r="A80" s="89" t="s">
        <v>1234</v>
      </c>
      <c r="B80" s="70">
        <v>3</v>
      </c>
      <c r="C80">
        <v>31</v>
      </c>
    </row>
    <row r="81" spans="1:4" x14ac:dyDescent="0.3">
      <c r="A81" s="89" t="s">
        <v>1236</v>
      </c>
      <c r="B81" s="70">
        <v>1</v>
      </c>
      <c r="C81">
        <v>31</v>
      </c>
    </row>
    <row r="82" spans="1:4" x14ac:dyDescent="0.3">
      <c r="A82" s="90">
        <v>7252815130</v>
      </c>
      <c r="B82" s="70">
        <v>12</v>
      </c>
      <c r="C82">
        <v>32</v>
      </c>
    </row>
    <row r="83" spans="1:4" x14ac:dyDescent="0.3">
      <c r="A83">
        <v>7271007030</v>
      </c>
      <c r="B83" s="70">
        <v>1</v>
      </c>
      <c r="C83">
        <v>30</v>
      </c>
    </row>
    <row r="84" spans="1:4" x14ac:dyDescent="0.3">
      <c r="A84">
        <v>7271007230</v>
      </c>
      <c r="B84" s="70">
        <v>1</v>
      </c>
      <c r="C84">
        <v>30</v>
      </c>
    </row>
    <row r="85" spans="1:4" x14ac:dyDescent="0.3">
      <c r="A85">
        <v>7278246930</v>
      </c>
      <c r="B85" s="70">
        <v>2</v>
      </c>
    </row>
    <row r="86" spans="1:4" x14ac:dyDescent="0.3">
      <c r="A86">
        <v>7287547130</v>
      </c>
      <c r="B86" s="70">
        <v>1</v>
      </c>
      <c r="C86">
        <v>30</v>
      </c>
    </row>
    <row r="87" spans="1:4" x14ac:dyDescent="0.3">
      <c r="A87">
        <v>7289063430</v>
      </c>
      <c r="B87" s="70">
        <v>1</v>
      </c>
      <c r="C87">
        <v>34</v>
      </c>
    </row>
    <row r="88" spans="1:4" x14ac:dyDescent="0.3">
      <c r="A88">
        <v>7289405830</v>
      </c>
      <c r="B88" s="70">
        <v>1</v>
      </c>
      <c r="C88">
        <v>30</v>
      </c>
    </row>
    <row r="89" spans="1:4" x14ac:dyDescent="0.3">
      <c r="A89">
        <v>72897304</v>
      </c>
      <c r="B89" s="70">
        <v>2</v>
      </c>
      <c r="C89">
        <v>30</v>
      </c>
    </row>
    <row r="90" spans="1:4" x14ac:dyDescent="0.3">
      <c r="A90" t="s">
        <v>259</v>
      </c>
      <c r="B90" s="70">
        <v>1</v>
      </c>
      <c r="D90" t="s">
        <v>1245</v>
      </c>
    </row>
    <row r="91" spans="1:4" x14ac:dyDescent="0.3">
      <c r="A91" t="s">
        <v>1237</v>
      </c>
      <c r="B91" s="70">
        <v>1</v>
      </c>
      <c r="C91">
        <v>34</v>
      </c>
    </row>
    <row r="92" spans="1:4" x14ac:dyDescent="0.3">
      <c r="A92" t="s">
        <v>1238</v>
      </c>
      <c r="B92" s="70">
        <v>1</v>
      </c>
      <c r="C92">
        <v>34</v>
      </c>
    </row>
    <row r="93" spans="1:4" x14ac:dyDescent="0.3">
      <c r="A93" t="s">
        <v>844</v>
      </c>
      <c r="B93" s="70">
        <v>1</v>
      </c>
      <c r="C93">
        <v>34</v>
      </c>
    </row>
    <row r="94" spans="1:4" x14ac:dyDescent="0.3">
      <c r="A94">
        <v>7289896430</v>
      </c>
      <c r="B94" s="70">
        <v>1</v>
      </c>
      <c r="C94">
        <v>30</v>
      </c>
    </row>
    <row r="95" spans="1:4" x14ac:dyDescent="0.3">
      <c r="A95">
        <v>7289982670</v>
      </c>
      <c r="B95" s="70">
        <v>1</v>
      </c>
      <c r="C95">
        <v>30</v>
      </c>
    </row>
    <row r="96" spans="1:4" x14ac:dyDescent="0.3">
      <c r="A96">
        <v>7297944190</v>
      </c>
      <c r="B96" s="70">
        <v>2</v>
      </c>
      <c r="C96">
        <v>30</v>
      </c>
    </row>
    <row r="97" spans="1:4" x14ac:dyDescent="0.3">
      <c r="A97">
        <v>7298948930</v>
      </c>
      <c r="B97" s="70">
        <v>1</v>
      </c>
    </row>
    <row r="98" spans="1:4" x14ac:dyDescent="0.3">
      <c r="A98">
        <v>7298949030</v>
      </c>
      <c r="B98" s="70">
        <v>1</v>
      </c>
    </row>
    <row r="99" spans="1:4" x14ac:dyDescent="0.3">
      <c r="A99" t="s">
        <v>2132</v>
      </c>
      <c r="B99" s="70">
        <v>4</v>
      </c>
      <c r="C99">
        <v>34</v>
      </c>
      <c r="D99" t="s">
        <v>2184</v>
      </c>
    </row>
    <row r="100" spans="1:4" x14ac:dyDescent="0.3">
      <c r="A100" t="s">
        <v>825</v>
      </c>
      <c r="B100" s="70">
        <v>2</v>
      </c>
      <c r="C100">
        <v>34</v>
      </c>
      <c r="D100" t="s">
        <v>2185</v>
      </c>
    </row>
    <row r="101" spans="1:4" x14ac:dyDescent="0.3">
      <c r="A101" t="s">
        <v>2133</v>
      </c>
      <c r="B101" s="70">
        <v>1</v>
      </c>
      <c r="C101">
        <v>34</v>
      </c>
      <c r="D101" t="s">
        <v>2186</v>
      </c>
    </row>
    <row r="102" spans="1:4" x14ac:dyDescent="0.3">
      <c r="A102" t="s">
        <v>1239</v>
      </c>
      <c r="B102" s="70">
        <v>9</v>
      </c>
      <c r="C102">
        <v>34</v>
      </c>
      <c r="D102" t="s">
        <v>2187</v>
      </c>
    </row>
    <row r="103" spans="1:4" x14ac:dyDescent="0.3">
      <c r="A103" t="s">
        <v>1210</v>
      </c>
      <c r="B103" s="70">
        <v>4</v>
      </c>
      <c r="C103">
        <v>34</v>
      </c>
    </row>
    <row r="104" spans="1:4" x14ac:dyDescent="0.3">
      <c r="A104" t="s">
        <v>238</v>
      </c>
      <c r="B104" s="70">
        <v>2</v>
      </c>
      <c r="C104">
        <v>30</v>
      </c>
    </row>
    <row r="105" spans="1:4" x14ac:dyDescent="0.3">
      <c r="A105" t="s">
        <v>592</v>
      </c>
      <c r="B105" s="70">
        <v>2</v>
      </c>
      <c r="C105">
        <v>30</v>
      </c>
    </row>
    <row r="106" spans="1:4" x14ac:dyDescent="0.3">
      <c r="A106" t="s">
        <v>2134</v>
      </c>
      <c r="B106" s="70">
        <v>1</v>
      </c>
      <c r="C106">
        <v>34</v>
      </c>
    </row>
    <row r="107" spans="1:4" x14ac:dyDescent="0.3">
      <c r="A107" t="s">
        <v>596</v>
      </c>
      <c r="B107" s="70">
        <v>1</v>
      </c>
      <c r="C107">
        <v>30</v>
      </c>
    </row>
    <row r="108" spans="1:4" x14ac:dyDescent="0.3">
      <c r="A108" t="s">
        <v>260</v>
      </c>
      <c r="B108" s="70">
        <v>1</v>
      </c>
      <c r="C108">
        <v>34</v>
      </c>
    </row>
    <row r="109" spans="1:4" x14ac:dyDescent="0.3">
      <c r="A109" t="s">
        <v>599</v>
      </c>
      <c r="B109" s="70">
        <v>1</v>
      </c>
      <c r="C109">
        <v>30</v>
      </c>
    </row>
    <row r="110" spans="1:4" x14ac:dyDescent="0.3">
      <c r="A110" t="s">
        <v>240</v>
      </c>
      <c r="B110" s="70">
        <v>2</v>
      </c>
      <c r="C110">
        <v>30</v>
      </c>
    </row>
    <row r="111" spans="1:4" x14ac:dyDescent="0.3">
      <c r="A111" t="s">
        <v>603</v>
      </c>
      <c r="B111" s="70">
        <v>1</v>
      </c>
      <c r="C111">
        <v>30</v>
      </c>
    </row>
    <row r="112" spans="1:4" x14ac:dyDescent="0.3">
      <c r="A112" t="s">
        <v>609</v>
      </c>
      <c r="B112" s="70">
        <v>1</v>
      </c>
      <c r="C112">
        <v>30</v>
      </c>
    </row>
    <row r="113" spans="1:4" x14ac:dyDescent="0.3">
      <c r="A113" t="s">
        <v>845</v>
      </c>
      <c r="B113" s="70">
        <v>2</v>
      </c>
      <c r="C113">
        <v>30</v>
      </c>
    </row>
    <row r="114" spans="1:4" x14ac:dyDescent="0.3">
      <c r="A114" t="s">
        <v>846</v>
      </c>
      <c r="B114" s="70">
        <v>1</v>
      </c>
      <c r="C114">
        <v>30</v>
      </c>
    </row>
    <row r="115" spans="1:4" x14ac:dyDescent="0.3">
      <c r="A115" t="s">
        <v>241</v>
      </c>
      <c r="B115" s="70">
        <v>2</v>
      </c>
      <c r="C115">
        <v>30</v>
      </c>
    </row>
    <row r="116" spans="1:4" x14ac:dyDescent="0.3">
      <c r="A116" t="s">
        <v>242</v>
      </c>
      <c r="B116" s="70">
        <v>1</v>
      </c>
      <c r="C116">
        <v>30</v>
      </c>
    </row>
    <row r="117" spans="1:4" x14ac:dyDescent="0.3">
      <c r="A117" t="s">
        <v>244</v>
      </c>
      <c r="B117" s="70">
        <v>2</v>
      </c>
      <c r="C117">
        <v>30</v>
      </c>
    </row>
    <row r="118" spans="1:4" x14ac:dyDescent="0.3">
      <c r="A118" t="s">
        <v>245</v>
      </c>
      <c r="B118" s="70">
        <v>1</v>
      </c>
      <c r="C118">
        <v>30</v>
      </c>
    </row>
    <row r="119" spans="1:4" x14ac:dyDescent="0.3">
      <c r="A119" t="s">
        <v>246</v>
      </c>
      <c r="B119" s="70">
        <v>1</v>
      </c>
      <c r="C119">
        <v>30</v>
      </c>
    </row>
    <row r="120" spans="1:4" x14ac:dyDescent="0.3">
      <c r="A120" t="s">
        <v>247</v>
      </c>
      <c r="B120" s="70">
        <v>1</v>
      </c>
      <c r="C120">
        <v>30</v>
      </c>
    </row>
    <row r="121" spans="1:4" x14ac:dyDescent="0.3">
      <c r="A121" t="s">
        <v>248</v>
      </c>
      <c r="B121" s="70">
        <v>2</v>
      </c>
      <c r="C121">
        <v>34</v>
      </c>
      <c r="D121">
        <v>233.208</v>
      </c>
    </row>
    <row r="122" spans="1:4" x14ac:dyDescent="0.3">
      <c r="A122" t="s">
        <v>249</v>
      </c>
      <c r="B122" s="70">
        <v>6</v>
      </c>
      <c r="C122">
        <v>34</v>
      </c>
      <c r="D122" t="s">
        <v>2188</v>
      </c>
    </row>
    <row r="123" spans="1:4" x14ac:dyDescent="0.3">
      <c r="A123" t="s">
        <v>251</v>
      </c>
      <c r="B123" s="70">
        <v>4</v>
      </c>
      <c r="C123">
        <v>34</v>
      </c>
      <c r="D123" t="s">
        <v>2189</v>
      </c>
    </row>
    <row r="124" spans="1:4" x14ac:dyDescent="0.3">
      <c r="A124" t="s">
        <v>657</v>
      </c>
      <c r="B124" s="70">
        <v>1</v>
      </c>
      <c r="C124">
        <v>30</v>
      </c>
    </row>
    <row r="125" spans="1:4" x14ac:dyDescent="0.3">
      <c r="A125" t="s">
        <v>252</v>
      </c>
      <c r="B125" s="70">
        <v>1</v>
      </c>
      <c r="C125">
        <v>30</v>
      </c>
    </row>
    <row r="126" spans="1:4" x14ac:dyDescent="0.3">
      <c r="A126" t="s">
        <v>627</v>
      </c>
      <c r="B126" s="70">
        <v>1</v>
      </c>
      <c r="C126">
        <v>30</v>
      </c>
    </row>
    <row r="127" spans="1:4" x14ac:dyDescent="0.3">
      <c r="A127" t="s">
        <v>261</v>
      </c>
      <c r="B127" s="70">
        <v>1</v>
      </c>
      <c r="C127">
        <v>30</v>
      </c>
    </row>
    <row r="128" spans="1:4" x14ac:dyDescent="0.3">
      <c r="A128" t="s">
        <v>267</v>
      </c>
      <c r="B128" s="70">
        <v>1</v>
      </c>
      <c r="C128">
        <v>30</v>
      </c>
    </row>
    <row r="129" spans="1:3" x14ac:dyDescent="0.3">
      <c r="A129" t="s">
        <v>1240</v>
      </c>
      <c r="B129" s="70">
        <v>1</v>
      </c>
      <c r="C129">
        <v>34</v>
      </c>
    </row>
    <row r="130" spans="1:3" x14ac:dyDescent="0.3">
      <c r="A130" t="s">
        <v>936</v>
      </c>
      <c r="B130" s="70">
        <v>1</v>
      </c>
      <c r="C130">
        <v>34</v>
      </c>
    </row>
  </sheetData>
  <autoFilter ref="A1:D130" xr:uid="{DD1C628E-3165-4D6A-B093-F3DFD68007E2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E3F36B-6D0F-42B0-8CB5-82F98DBCBDAB}">
  <sheetPr>
    <pageSetUpPr fitToPage="1"/>
  </sheetPr>
  <dimension ref="A1:E28"/>
  <sheetViews>
    <sheetView workbookViewId="0">
      <selection activeCell="A22" sqref="A22:XFD22"/>
    </sheetView>
  </sheetViews>
  <sheetFormatPr defaultRowHeight="14.4" x14ac:dyDescent="0.3"/>
  <cols>
    <col min="1" max="1" width="20.33203125" bestFit="1" customWidth="1"/>
    <col min="2" max="2" width="9.21875" bestFit="1" customWidth="1"/>
    <col min="3" max="3" width="15.5546875" customWidth="1"/>
    <col min="4" max="4" width="23.77734375" customWidth="1"/>
    <col min="5" max="5" width="26" customWidth="1"/>
  </cols>
  <sheetData>
    <row r="1" spans="1:5" ht="25.8" x14ac:dyDescent="0.5">
      <c r="A1" s="79" t="s">
        <v>2194</v>
      </c>
      <c r="B1" s="79"/>
      <c r="C1" s="79"/>
      <c r="D1" s="79"/>
      <c r="E1" s="79"/>
    </row>
    <row r="2" spans="1:5" ht="18" x14ac:dyDescent="0.35">
      <c r="A2" s="58" t="s">
        <v>310</v>
      </c>
      <c r="B2" s="58" t="s">
        <v>1315</v>
      </c>
      <c r="C2" s="58" t="s">
        <v>2191</v>
      </c>
      <c r="D2" s="58" t="s">
        <v>1329</v>
      </c>
      <c r="E2" s="58" t="s">
        <v>1339</v>
      </c>
    </row>
    <row r="3" spans="1:5" ht="18" hidden="1" x14ac:dyDescent="0.35">
      <c r="A3" s="51" t="s">
        <v>1215</v>
      </c>
      <c r="B3" s="51">
        <v>2</v>
      </c>
      <c r="C3" s="58">
        <f>B3*17</f>
        <v>34</v>
      </c>
      <c r="D3" s="51" t="s">
        <v>1333</v>
      </c>
      <c r="E3" s="51"/>
    </row>
    <row r="4" spans="1:5" ht="18" hidden="1" x14ac:dyDescent="0.35">
      <c r="A4" s="51" t="s">
        <v>859</v>
      </c>
      <c r="B4" s="51">
        <v>1</v>
      </c>
      <c r="C4" s="58">
        <f t="shared" ref="C4:C28" si="0">B4*17</f>
        <v>17</v>
      </c>
      <c r="D4" s="51" t="s">
        <v>1331</v>
      </c>
      <c r="E4" s="51"/>
    </row>
    <row r="5" spans="1:5" ht="18" hidden="1" x14ac:dyDescent="0.35">
      <c r="A5" s="51" t="s">
        <v>1316</v>
      </c>
      <c r="B5" s="51">
        <v>15</v>
      </c>
      <c r="C5" s="58">
        <f t="shared" si="0"/>
        <v>255</v>
      </c>
      <c r="D5" s="51" t="s">
        <v>1333</v>
      </c>
      <c r="E5" s="51"/>
    </row>
    <row r="6" spans="1:5" ht="18" hidden="1" x14ac:dyDescent="0.35">
      <c r="A6" s="51" t="s">
        <v>864</v>
      </c>
      <c r="B6" s="51">
        <v>1</v>
      </c>
      <c r="C6" s="58">
        <f t="shared" si="0"/>
        <v>17</v>
      </c>
      <c r="D6" s="51" t="s">
        <v>1333</v>
      </c>
      <c r="E6" s="51"/>
    </row>
    <row r="7" spans="1:5" ht="18" hidden="1" x14ac:dyDescent="0.35">
      <c r="A7" s="51" t="s">
        <v>1317</v>
      </c>
      <c r="B7" s="51">
        <v>14</v>
      </c>
      <c r="C7" s="58">
        <f t="shared" si="0"/>
        <v>238</v>
      </c>
      <c r="D7" s="51" t="s">
        <v>1331</v>
      </c>
      <c r="E7" s="51"/>
    </row>
    <row r="8" spans="1:5" ht="18" hidden="1" x14ac:dyDescent="0.35">
      <c r="A8" s="51" t="s">
        <v>1216</v>
      </c>
      <c r="B8" s="51">
        <v>6</v>
      </c>
      <c r="C8" s="58">
        <f t="shared" si="0"/>
        <v>102</v>
      </c>
      <c r="D8" s="51" t="s">
        <v>1331</v>
      </c>
      <c r="E8" s="51"/>
    </row>
    <row r="9" spans="1:5" ht="18" hidden="1" x14ac:dyDescent="0.35">
      <c r="A9" s="51" t="s">
        <v>1217</v>
      </c>
      <c r="B9" s="51">
        <v>1</v>
      </c>
      <c r="C9" s="58">
        <f t="shared" si="0"/>
        <v>17</v>
      </c>
      <c r="D9" s="51" t="s">
        <v>1332</v>
      </c>
      <c r="E9" s="51"/>
    </row>
    <row r="10" spans="1:5" ht="18" hidden="1" x14ac:dyDescent="0.35">
      <c r="A10" s="51" t="s">
        <v>1318</v>
      </c>
      <c r="B10" s="51">
        <v>2</v>
      </c>
      <c r="C10" s="58">
        <f t="shared" si="0"/>
        <v>34</v>
      </c>
      <c r="D10" s="51" t="s">
        <v>1333</v>
      </c>
      <c r="E10" s="51"/>
    </row>
    <row r="11" spans="1:5" ht="18" hidden="1" x14ac:dyDescent="0.35">
      <c r="A11" s="51" t="s">
        <v>1007</v>
      </c>
      <c r="B11" s="51">
        <v>1</v>
      </c>
      <c r="C11" s="58">
        <f t="shared" si="0"/>
        <v>17</v>
      </c>
      <c r="D11" s="51" t="s">
        <v>1333</v>
      </c>
      <c r="E11" s="51"/>
    </row>
    <row r="12" spans="1:5" ht="18" hidden="1" x14ac:dyDescent="0.35">
      <c r="A12" s="51" t="s">
        <v>1228</v>
      </c>
      <c r="B12" s="51">
        <v>1</v>
      </c>
      <c r="C12" s="58">
        <f t="shared" si="0"/>
        <v>17</v>
      </c>
      <c r="D12" s="51" t="s">
        <v>1331</v>
      </c>
      <c r="E12" s="51"/>
    </row>
    <row r="13" spans="1:5" ht="18" hidden="1" x14ac:dyDescent="0.35">
      <c r="A13" s="51" t="s">
        <v>1229</v>
      </c>
      <c r="B13" s="51">
        <v>1</v>
      </c>
      <c r="C13" s="58">
        <f t="shared" si="0"/>
        <v>17</v>
      </c>
      <c r="D13" s="51" t="s">
        <v>1332</v>
      </c>
      <c r="E13" s="51"/>
    </row>
    <row r="14" spans="1:5" ht="18" hidden="1" x14ac:dyDescent="0.35">
      <c r="A14" s="51" t="s">
        <v>1230</v>
      </c>
      <c r="B14" s="51">
        <v>1</v>
      </c>
      <c r="C14" s="58">
        <f t="shared" si="0"/>
        <v>17</v>
      </c>
      <c r="D14" s="51" t="s">
        <v>1331</v>
      </c>
      <c r="E14" s="51"/>
    </row>
    <row r="15" spans="1:5" ht="18" hidden="1" x14ac:dyDescent="0.35">
      <c r="A15" s="51" t="s">
        <v>1320</v>
      </c>
      <c r="B15" s="51">
        <v>2</v>
      </c>
      <c r="C15" s="58">
        <f t="shared" si="0"/>
        <v>34</v>
      </c>
      <c r="D15" s="51" t="s">
        <v>1332</v>
      </c>
      <c r="E15" s="51"/>
    </row>
    <row r="16" spans="1:5" ht="18" hidden="1" x14ac:dyDescent="0.35">
      <c r="A16" s="51" t="s">
        <v>1231</v>
      </c>
      <c r="B16" s="51">
        <v>1</v>
      </c>
      <c r="C16" s="58">
        <f t="shared" si="0"/>
        <v>17</v>
      </c>
      <c r="D16" s="51" t="s">
        <v>1332</v>
      </c>
      <c r="E16" s="51"/>
    </row>
    <row r="17" spans="1:5" ht="18" hidden="1" x14ac:dyDescent="0.35">
      <c r="A17" s="51" t="s">
        <v>1321</v>
      </c>
      <c r="B17" s="51">
        <v>2</v>
      </c>
      <c r="C17" s="58">
        <f t="shared" si="0"/>
        <v>34</v>
      </c>
      <c r="D17" s="51" t="s">
        <v>1333</v>
      </c>
      <c r="E17" s="51"/>
    </row>
    <row r="18" spans="1:5" ht="18" hidden="1" x14ac:dyDescent="0.35">
      <c r="A18" s="51" t="s">
        <v>1322</v>
      </c>
      <c r="B18" s="51">
        <v>1</v>
      </c>
      <c r="C18" s="58">
        <f t="shared" si="0"/>
        <v>17</v>
      </c>
      <c r="D18" s="51" t="s">
        <v>1333</v>
      </c>
      <c r="E18" s="51"/>
    </row>
    <row r="19" spans="1:5" ht="18" hidden="1" x14ac:dyDescent="0.35">
      <c r="A19" s="51" t="s">
        <v>1232</v>
      </c>
      <c r="B19" s="51">
        <v>2</v>
      </c>
      <c r="C19" s="58">
        <f t="shared" si="0"/>
        <v>34</v>
      </c>
      <c r="D19" s="51" t="s">
        <v>1333</v>
      </c>
      <c r="E19" s="51"/>
    </row>
    <row r="20" spans="1:5" ht="18" hidden="1" x14ac:dyDescent="0.35">
      <c r="A20" s="51" t="s">
        <v>1323</v>
      </c>
      <c r="B20" s="51">
        <v>1</v>
      </c>
      <c r="C20" s="58">
        <f t="shared" si="0"/>
        <v>17</v>
      </c>
      <c r="D20" s="51" t="s">
        <v>1331</v>
      </c>
      <c r="E20" s="51"/>
    </row>
    <row r="21" spans="1:5" ht="18" hidden="1" x14ac:dyDescent="0.35">
      <c r="A21" s="51" t="s">
        <v>1233</v>
      </c>
      <c r="B21" s="51">
        <v>1</v>
      </c>
      <c r="C21" s="58">
        <f t="shared" si="0"/>
        <v>17</v>
      </c>
      <c r="D21" s="51" t="s">
        <v>1331</v>
      </c>
      <c r="E21" s="51"/>
    </row>
    <row r="22" spans="1:5" ht="18" x14ac:dyDescent="0.35">
      <c r="A22" s="51" t="s">
        <v>1324</v>
      </c>
      <c r="B22" s="51">
        <v>8</v>
      </c>
      <c r="C22" s="58">
        <f t="shared" si="0"/>
        <v>136</v>
      </c>
      <c r="D22" s="51" t="s">
        <v>1333</v>
      </c>
      <c r="E22" s="51"/>
    </row>
    <row r="23" spans="1:5" ht="18" x14ac:dyDescent="0.35">
      <c r="A23" s="51" t="s">
        <v>1234</v>
      </c>
      <c r="B23" s="51">
        <v>3</v>
      </c>
      <c r="C23" s="58">
        <f t="shared" si="0"/>
        <v>51</v>
      </c>
      <c r="D23" s="51" t="s">
        <v>1333</v>
      </c>
      <c r="E23" s="51"/>
    </row>
    <row r="24" spans="1:5" ht="18" x14ac:dyDescent="0.35">
      <c r="A24" s="51" t="s">
        <v>1325</v>
      </c>
      <c r="B24" s="58">
        <v>3</v>
      </c>
      <c r="C24" s="58">
        <f t="shared" si="0"/>
        <v>51</v>
      </c>
      <c r="D24" s="51" t="s">
        <v>1331</v>
      </c>
      <c r="E24" s="51"/>
    </row>
    <row r="25" spans="1:5" ht="18" x14ac:dyDescent="0.35">
      <c r="A25" s="51" t="s">
        <v>1326</v>
      </c>
      <c r="B25" s="51">
        <v>2</v>
      </c>
      <c r="C25" s="58">
        <f t="shared" si="0"/>
        <v>34</v>
      </c>
      <c r="D25" s="51" t="s">
        <v>1332</v>
      </c>
      <c r="E25" s="51"/>
    </row>
    <row r="26" spans="1:5" ht="18" hidden="1" x14ac:dyDescent="0.35">
      <c r="A26" s="51" t="s">
        <v>1236</v>
      </c>
      <c r="B26" s="51">
        <v>1</v>
      </c>
      <c r="C26" s="58">
        <f t="shared" si="0"/>
        <v>17</v>
      </c>
      <c r="D26" s="51" t="s">
        <v>1331</v>
      </c>
      <c r="E26" s="51"/>
    </row>
    <row r="27" spans="1:5" ht="18" hidden="1" x14ac:dyDescent="0.35">
      <c r="A27" s="51" t="s">
        <v>1327</v>
      </c>
      <c r="B27" s="51">
        <v>4</v>
      </c>
      <c r="C27" s="58">
        <f t="shared" si="0"/>
        <v>68</v>
      </c>
      <c r="D27" s="51" t="s">
        <v>1331</v>
      </c>
      <c r="E27" s="51"/>
    </row>
    <row r="28" spans="1:5" ht="18" hidden="1" x14ac:dyDescent="0.35">
      <c r="A28" s="51" t="s">
        <v>1328</v>
      </c>
      <c r="B28" s="51">
        <v>8</v>
      </c>
      <c r="C28" s="58">
        <f t="shared" si="0"/>
        <v>136</v>
      </c>
      <c r="D28" s="51" t="s">
        <v>1332</v>
      </c>
      <c r="E28" s="51"/>
    </row>
  </sheetData>
  <mergeCells count="1">
    <mergeCell ref="A1:E1"/>
  </mergeCells>
  <pageMargins left="0.7" right="0.7" top="0.75" bottom="0.75" header="0.3" footer="0.3"/>
  <pageSetup paperSize="9" scale="92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A6459D-2BA3-4DCE-8DD8-A89C7C049A96}">
  <sheetPr codeName="Sheet10">
    <pageSetUpPr fitToPage="1"/>
  </sheetPr>
  <dimension ref="A1:E31"/>
  <sheetViews>
    <sheetView workbookViewId="0">
      <selection activeCell="E34" sqref="E34"/>
    </sheetView>
  </sheetViews>
  <sheetFormatPr defaultRowHeight="14.4" x14ac:dyDescent="0.3"/>
  <cols>
    <col min="1" max="1" width="20.33203125" bestFit="1" customWidth="1"/>
    <col min="3" max="3" width="10.5546875" bestFit="1" customWidth="1"/>
    <col min="4" max="4" width="23.77734375" customWidth="1"/>
    <col min="5" max="5" width="26" customWidth="1"/>
  </cols>
  <sheetData>
    <row r="1" spans="1:5" ht="25.8" x14ac:dyDescent="0.5">
      <c r="A1" s="79" t="s">
        <v>1334</v>
      </c>
      <c r="B1" s="79"/>
      <c r="C1" s="79"/>
      <c r="D1" s="79"/>
      <c r="E1" s="79"/>
    </row>
    <row r="2" spans="1:5" ht="18" x14ac:dyDescent="0.35">
      <c r="A2" s="58" t="s">
        <v>310</v>
      </c>
      <c r="B2" s="58" t="s">
        <v>1315</v>
      </c>
      <c r="C2" s="58" t="s">
        <v>1330</v>
      </c>
      <c r="D2" s="58" t="s">
        <v>1329</v>
      </c>
      <c r="E2" s="58" t="s">
        <v>1339</v>
      </c>
    </row>
    <row r="3" spans="1:5" ht="18" hidden="1" x14ac:dyDescent="0.35">
      <c r="A3" s="51" t="s">
        <v>1215</v>
      </c>
      <c r="B3" s="51">
        <v>2</v>
      </c>
      <c r="C3" s="58">
        <f>B3*28</f>
        <v>56</v>
      </c>
      <c r="D3" s="51" t="s">
        <v>1333</v>
      </c>
      <c r="E3" s="51"/>
    </row>
    <row r="4" spans="1:5" ht="18" hidden="1" x14ac:dyDescent="0.35">
      <c r="A4" s="51" t="s">
        <v>859</v>
      </c>
      <c r="B4" s="51">
        <v>1</v>
      </c>
      <c r="C4" s="58">
        <f>B4*28</f>
        <v>28</v>
      </c>
      <c r="D4" s="51" t="s">
        <v>1331</v>
      </c>
      <c r="E4" s="51"/>
    </row>
    <row r="5" spans="1:5" ht="18" x14ac:dyDescent="0.35">
      <c r="A5" s="51" t="s">
        <v>1316</v>
      </c>
      <c r="B5" s="51">
        <v>14</v>
      </c>
      <c r="C5" s="58">
        <f>B5*28</f>
        <v>392</v>
      </c>
      <c r="D5" s="51" t="s">
        <v>1333</v>
      </c>
      <c r="E5" s="51"/>
    </row>
    <row r="6" spans="1:5" ht="18" x14ac:dyDescent="0.35">
      <c r="A6" s="51" t="s">
        <v>864</v>
      </c>
      <c r="B6" s="51">
        <v>1</v>
      </c>
      <c r="C6" s="58">
        <f>B6*28</f>
        <v>28</v>
      </c>
      <c r="D6" s="51" t="s">
        <v>1333</v>
      </c>
      <c r="E6" s="51"/>
    </row>
    <row r="7" spans="1:5" ht="18" x14ac:dyDescent="0.35">
      <c r="A7" s="51" t="s">
        <v>1317</v>
      </c>
      <c r="B7" s="51">
        <v>15</v>
      </c>
      <c r="C7" s="58">
        <v>448</v>
      </c>
      <c r="D7" s="51" t="s">
        <v>1331</v>
      </c>
      <c r="E7" s="51"/>
    </row>
    <row r="8" spans="1:5" ht="18" x14ac:dyDescent="0.35">
      <c r="A8" s="51" t="s">
        <v>1216</v>
      </c>
      <c r="B8" s="51">
        <v>3</v>
      </c>
      <c r="C8" s="58">
        <f t="shared" ref="C8:C31" si="0">B8*28</f>
        <v>84</v>
      </c>
      <c r="D8" s="51" t="s">
        <v>1331</v>
      </c>
      <c r="E8" s="51"/>
    </row>
    <row r="9" spans="1:5" ht="18" x14ac:dyDescent="0.35">
      <c r="A9" s="51" t="s">
        <v>1217</v>
      </c>
      <c r="B9" s="51">
        <v>1</v>
      </c>
      <c r="C9" s="58">
        <f t="shared" si="0"/>
        <v>28</v>
      </c>
      <c r="D9" s="51" t="s">
        <v>1332</v>
      </c>
      <c r="E9" s="51"/>
    </row>
    <row r="10" spans="1:5" ht="18" hidden="1" x14ac:dyDescent="0.35">
      <c r="A10" s="51" t="s">
        <v>1218</v>
      </c>
      <c r="B10" s="51">
        <v>1</v>
      </c>
      <c r="C10" s="58">
        <f t="shared" si="0"/>
        <v>28</v>
      </c>
      <c r="D10" s="51" t="s">
        <v>1331</v>
      </c>
      <c r="E10" s="51"/>
    </row>
    <row r="11" spans="1:5" ht="18" hidden="1" x14ac:dyDescent="0.35">
      <c r="A11" s="51" t="s">
        <v>1318</v>
      </c>
      <c r="B11" s="51">
        <v>1</v>
      </c>
      <c r="C11" s="58">
        <f t="shared" si="0"/>
        <v>28</v>
      </c>
      <c r="D11" s="51" t="s">
        <v>1333</v>
      </c>
      <c r="E11" s="51"/>
    </row>
    <row r="12" spans="1:5" ht="18" hidden="1" x14ac:dyDescent="0.35">
      <c r="A12" s="51" t="s">
        <v>1007</v>
      </c>
      <c r="B12" s="51">
        <v>1</v>
      </c>
      <c r="C12" s="58">
        <f t="shared" si="0"/>
        <v>28</v>
      </c>
      <c r="D12" s="51" t="s">
        <v>1333</v>
      </c>
      <c r="E12" s="51"/>
    </row>
    <row r="13" spans="1:5" ht="18" hidden="1" x14ac:dyDescent="0.35">
      <c r="A13" s="51" t="s">
        <v>1319</v>
      </c>
      <c r="B13" s="51">
        <v>5</v>
      </c>
      <c r="C13" s="58">
        <f t="shared" si="0"/>
        <v>140</v>
      </c>
      <c r="D13" s="51" t="s">
        <v>1331</v>
      </c>
      <c r="E13" s="51"/>
    </row>
    <row r="14" spans="1:5" ht="18" hidden="1" x14ac:dyDescent="0.35">
      <c r="A14" s="51" t="s">
        <v>1228</v>
      </c>
      <c r="B14" s="51">
        <v>1</v>
      </c>
      <c r="C14" s="58">
        <f t="shared" si="0"/>
        <v>28</v>
      </c>
      <c r="D14" s="51" t="s">
        <v>1331</v>
      </c>
      <c r="E14" s="51"/>
    </row>
    <row r="15" spans="1:5" ht="18" hidden="1" x14ac:dyDescent="0.35">
      <c r="A15" s="51" t="s">
        <v>1229</v>
      </c>
      <c r="B15" s="51">
        <v>1</v>
      </c>
      <c r="C15" s="58">
        <f t="shared" si="0"/>
        <v>28</v>
      </c>
      <c r="D15" s="51" t="s">
        <v>1332</v>
      </c>
      <c r="E15" s="51"/>
    </row>
    <row r="16" spans="1:5" ht="18" hidden="1" x14ac:dyDescent="0.35">
      <c r="A16" s="51" t="s">
        <v>1230</v>
      </c>
      <c r="B16" s="51">
        <v>1</v>
      </c>
      <c r="C16" s="58">
        <f t="shared" si="0"/>
        <v>28</v>
      </c>
      <c r="D16" s="51" t="s">
        <v>1331</v>
      </c>
      <c r="E16" s="51"/>
    </row>
    <row r="17" spans="1:5" ht="18" hidden="1" x14ac:dyDescent="0.35">
      <c r="A17" s="51" t="s">
        <v>1320</v>
      </c>
      <c r="B17" s="51">
        <v>2</v>
      </c>
      <c r="C17" s="58">
        <f t="shared" si="0"/>
        <v>56</v>
      </c>
      <c r="D17" s="51" t="s">
        <v>1332</v>
      </c>
      <c r="E17" s="51"/>
    </row>
    <row r="18" spans="1:5" ht="18" hidden="1" x14ac:dyDescent="0.35">
      <c r="A18" s="51" t="s">
        <v>1231</v>
      </c>
      <c r="B18" s="51">
        <v>1</v>
      </c>
      <c r="C18" s="58">
        <f t="shared" si="0"/>
        <v>28</v>
      </c>
      <c r="D18" s="51" t="s">
        <v>1332</v>
      </c>
      <c r="E18" s="51"/>
    </row>
    <row r="19" spans="1:5" ht="18" hidden="1" x14ac:dyDescent="0.35">
      <c r="A19" s="51" t="s">
        <v>1321</v>
      </c>
      <c r="B19" s="51">
        <v>2</v>
      </c>
      <c r="C19" s="58">
        <f t="shared" si="0"/>
        <v>56</v>
      </c>
      <c r="D19" s="51" t="s">
        <v>1333</v>
      </c>
      <c r="E19" s="51"/>
    </row>
    <row r="20" spans="1:5" ht="18" hidden="1" x14ac:dyDescent="0.35">
      <c r="A20" s="51" t="s">
        <v>1322</v>
      </c>
      <c r="B20" s="51">
        <v>1</v>
      </c>
      <c r="C20" s="58">
        <f t="shared" si="0"/>
        <v>28</v>
      </c>
      <c r="D20" s="51" t="s">
        <v>1333</v>
      </c>
      <c r="E20" s="51"/>
    </row>
    <row r="21" spans="1:5" ht="18" hidden="1" x14ac:dyDescent="0.35">
      <c r="A21" s="51" t="s">
        <v>1232</v>
      </c>
      <c r="B21" s="51">
        <v>1</v>
      </c>
      <c r="C21" s="58">
        <f t="shared" si="0"/>
        <v>28</v>
      </c>
      <c r="D21" s="51" t="s">
        <v>1333</v>
      </c>
      <c r="E21" s="51"/>
    </row>
    <row r="22" spans="1:5" ht="18" hidden="1" x14ac:dyDescent="0.35">
      <c r="A22" s="51" t="s">
        <v>1323</v>
      </c>
      <c r="B22" s="51">
        <v>1</v>
      </c>
      <c r="C22" s="58">
        <f t="shared" si="0"/>
        <v>28</v>
      </c>
      <c r="D22" s="51" t="s">
        <v>1331</v>
      </c>
      <c r="E22" s="51"/>
    </row>
    <row r="23" spans="1:5" ht="18" hidden="1" x14ac:dyDescent="0.35">
      <c r="A23" s="51" t="s">
        <v>1233</v>
      </c>
      <c r="B23" s="51">
        <v>1</v>
      </c>
      <c r="C23" s="58">
        <f t="shared" si="0"/>
        <v>28</v>
      </c>
      <c r="D23" s="51" t="s">
        <v>1331</v>
      </c>
      <c r="E23" s="51"/>
    </row>
    <row r="24" spans="1:5" ht="18" hidden="1" x14ac:dyDescent="0.35">
      <c r="A24" s="51" t="s">
        <v>1324</v>
      </c>
      <c r="B24" s="51">
        <v>8</v>
      </c>
      <c r="C24" s="58">
        <f t="shared" si="0"/>
        <v>224</v>
      </c>
      <c r="D24" s="51" t="s">
        <v>1333</v>
      </c>
      <c r="E24" s="51"/>
    </row>
    <row r="25" spans="1:5" ht="18" hidden="1" x14ac:dyDescent="0.35">
      <c r="A25" s="51" t="s">
        <v>1234</v>
      </c>
      <c r="B25" s="51">
        <v>3</v>
      </c>
      <c r="C25" s="58">
        <f t="shared" si="0"/>
        <v>84</v>
      </c>
      <c r="D25" s="51" t="s">
        <v>1333</v>
      </c>
      <c r="E25" s="51"/>
    </row>
    <row r="26" spans="1:5" ht="18" hidden="1" x14ac:dyDescent="0.35">
      <c r="A26" s="51" t="s">
        <v>1325</v>
      </c>
      <c r="B26" s="73">
        <v>5</v>
      </c>
      <c r="C26" s="58">
        <f t="shared" si="0"/>
        <v>140</v>
      </c>
      <c r="D26" s="51" t="s">
        <v>1331</v>
      </c>
      <c r="E26" s="51"/>
    </row>
    <row r="27" spans="1:5" ht="18" hidden="1" x14ac:dyDescent="0.35">
      <c r="A27" s="51" t="s">
        <v>1235</v>
      </c>
      <c r="B27" s="51">
        <v>1</v>
      </c>
      <c r="C27" s="58">
        <f t="shared" si="0"/>
        <v>28</v>
      </c>
      <c r="D27" s="51" t="s">
        <v>1331</v>
      </c>
      <c r="E27" s="51"/>
    </row>
    <row r="28" spans="1:5" ht="18" hidden="1" x14ac:dyDescent="0.35">
      <c r="A28" s="51" t="s">
        <v>1326</v>
      </c>
      <c r="B28" s="51">
        <v>2</v>
      </c>
      <c r="C28" s="58">
        <f t="shared" si="0"/>
        <v>56</v>
      </c>
      <c r="D28" s="51" t="s">
        <v>1332</v>
      </c>
      <c r="E28" s="51"/>
    </row>
    <row r="29" spans="1:5" ht="18" hidden="1" x14ac:dyDescent="0.35">
      <c r="A29" s="51" t="s">
        <v>1236</v>
      </c>
      <c r="B29" s="51">
        <v>1</v>
      </c>
      <c r="C29" s="58">
        <f t="shared" si="0"/>
        <v>28</v>
      </c>
      <c r="D29" s="51" t="s">
        <v>1331</v>
      </c>
      <c r="E29" s="51"/>
    </row>
    <row r="30" spans="1:5" ht="18" hidden="1" x14ac:dyDescent="0.35">
      <c r="A30" s="51" t="s">
        <v>1327</v>
      </c>
      <c r="B30" s="51">
        <v>4</v>
      </c>
      <c r="C30" s="58">
        <f t="shared" si="0"/>
        <v>112</v>
      </c>
      <c r="D30" s="51" t="s">
        <v>1331</v>
      </c>
      <c r="E30" s="51"/>
    </row>
    <row r="31" spans="1:5" ht="18" hidden="1" x14ac:dyDescent="0.35">
      <c r="A31" s="51" t="s">
        <v>1328</v>
      </c>
      <c r="B31" s="51">
        <v>8</v>
      </c>
      <c r="C31" s="58">
        <f t="shared" si="0"/>
        <v>224</v>
      </c>
      <c r="D31" s="51" t="s">
        <v>1332</v>
      </c>
      <c r="E31" s="51"/>
    </row>
  </sheetData>
  <mergeCells count="1">
    <mergeCell ref="A1:E1"/>
  </mergeCells>
  <pageMargins left="0.7" right="0.7" top="0.75" bottom="0.75" header="0.3" footer="0.3"/>
  <pageSetup paperSize="9" scale="97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21EED3-3824-4435-89E8-568476FFBD6B}">
  <sheetPr>
    <pageSetUpPr fitToPage="1"/>
  </sheetPr>
  <dimension ref="A1:H123"/>
  <sheetViews>
    <sheetView workbookViewId="0">
      <selection activeCell="J38" sqref="J38"/>
    </sheetView>
  </sheetViews>
  <sheetFormatPr defaultRowHeight="14.4" x14ac:dyDescent="0.3"/>
  <cols>
    <col min="1" max="1" width="23.44140625" customWidth="1"/>
    <col min="2" max="2" width="15.88671875" bestFit="1" customWidth="1"/>
    <col min="3" max="3" width="51.77734375" customWidth="1"/>
    <col min="4" max="4" width="12" customWidth="1"/>
    <col min="5" max="5" width="15" customWidth="1"/>
    <col min="6" max="6" width="8.44140625" bestFit="1" customWidth="1"/>
    <col min="7" max="7" width="9.5546875" bestFit="1" customWidth="1"/>
  </cols>
  <sheetData>
    <row r="1" spans="1:8" ht="25.8" x14ac:dyDescent="0.5">
      <c r="A1" s="79" t="s">
        <v>2190</v>
      </c>
      <c r="B1" s="79"/>
      <c r="C1" s="79"/>
      <c r="D1" s="79"/>
      <c r="E1" s="79"/>
      <c r="F1" s="79"/>
      <c r="G1" s="79"/>
    </row>
    <row r="2" spans="1:8" ht="18" x14ac:dyDescent="0.35">
      <c r="A2" s="58" t="s">
        <v>1365</v>
      </c>
      <c r="B2" s="58" t="s">
        <v>978</v>
      </c>
      <c r="C2" s="58" t="s">
        <v>310</v>
      </c>
      <c r="D2" s="58" t="s">
        <v>1315</v>
      </c>
      <c r="E2" s="58" t="s">
        <v>2191</v>
      </c>
      <c r="F2" s="58" t="s">
        <v>1338</v>
      </c>
      <c r="G2" s="58" t="s">
        <v>1339</v>
      </c>
    </row>
    <row r="3" spans="1:8" ht="18" x14ac:dyDescent="0.35">
      <c r="A3" s="51" t="s">
        <v>1924</v>
      </c>
      <c r="B3" s="51" t="s">
        <v>123</v>
      </c>
      <c r="C3" s="61" t="s">
        <v>1274</v>
      </c>
      <c r="D3" s="51">
        <v>1</v>
      </c>
      <c r="E3" s="58">
        <f>Table212314[[#This Row],[qtyx1]]*17</f>
        <v>17</v>
      </c>
      <c r="F3" s="51"/>
      <c r="G3" s="51">
        <v>1</v>
      </c>
      <c r="H3" s="51"/>
    </row>
    <row r="4" spans="1:8" ht="18" hidden="1" x14ac:dyDescent="0.35">
      <c r="A4" s="51" t="s">
        <v>2138</v>
      </c>
      <c r="B4" s="51" t="s">
        <v>1971</v>
      </c>
      <c r="C4" s="61" t="s">
        <v>1226</v>
      </c>
      <c r="D4" s="51">
        <v>2</v>
      </c>
      <c r="E4" s="58">
        <f>Table212314[[#This Row],[qtyx1]]*17</f>
        <v>34</v>
      </c>
      <c r="F4" s="51"/>
      <c r="G4" s="51"/>
    </row>
    <row r="5" spans="1:8" ht="18" hidden="1" x14ac:dyDescent="0.35">
      <c r="A5" s="51" t="s">
        <v>2139</v>
      </c>
      <c r="B5" s="51" t="s">
        <v>2029</v>
      </c>
      <c r="C5" s="61" t="s">
        <v>843</v>
      </c>
      <c r="D5" s="51">
        <v>1</v>
      </c>
      <c r="E5" s="58">
        <f>Table212314[[#This Row],[qtyx1]]*17</f>
        <v>17</v>
      </c>
      <c r="F5" s="51"/>
      <c r="G5" s="51"/>
    </row>
    <row r="6" spans="1:8" ht="18" hidden="1" x14ac:dyDescent="0.35">
      <c r="A6" s="51" t="s">
        <v>2140</v>
      </c>
      <c r="B6" s="51" t="s">
        <v>2030</v>
      </c>
      <c r="C6" s="61" t="s">
        <v>218</v>
      </c>
      <c r="D6" s="51">
        <v>1</v>
      </c>
      <c r="E6" s="58">
        <f>Table212314[[#This Row],[qtyx1]]*17</f>
        <v>17</v>
      </c>
      <c r="F6" s="51"/>
      <c r="G6" s="51"/>
    </row>
    <row r="7" spans="1:8" ht="18" hidden="1" x14ac:dyDescent="0.35">
      <c r="A7" s="51" t="s">
        <v>2141</v>
      </c>
      <c r="B7" s="51" t="s">
        <v>2066</v>
      </c>
      <c r="C7" s="61" t="s">
        <v>217</v>
      </c>
      <c r="D7" s="51">
        <v>3</v>
      </c>
      <c r="E7" s="58">
        <f>Table212314[[#This Row],[qtyx1]]*17</f>
        <v>51</v>
      </c>
      <c r="F7" s="51"/>
      <c r="G7" s="51"/>
    </row>
    <row r="8" spans="1:8" ht="18" x14ac:dyDescent="0.35">
      <c r="A8" s="51" t="s">
        <v>2142</v>
      </c>
      <c r="B8" s="51" t="s">
        <v>1904</v>
      </c>
      <c r="C8" s="61" t="s">
        <v>248</v>
      </c>
      <c r="D8" s="51">
        <v>2</v>
      </c>
      <c r="E8" s="58">
        <f>Table212314[[#This Row],[qtyx1]]*17</f>
        <v>34</v>
      </c>
      <c r="F8" s="51"/>
      <c r="G8" s="51">
        <v>1</v>
      </c>
    </row>
    <row r="9" spans="1:8" ht="18" hidden="1" x14ac:dyDescent="0.35">
      <c r="A9" s="51" t="s">
        <v>1951</v>
      </c>
      <c r="B9" s="51" t="s">
        <v>950</v>
      </c>
      <c r="C9" s="61" t="s">
        <v>1778</v>
      </c>
      <c r="D9" s="51">
        <v>1</v>
      </c>
      <c r="E9" s="58">
        <f>Table212314[[#This Row],[qtyx1]]*17</f>
        <v>17</v>
      </c>
      <c r="F9" s="51"/>
      <c r="G9" s="51"/>
    </row>
    <row r="10" spans="1:8" ht="18" x14ac:dyDescent="0.35">
      <c r="A10" s="51" t="s">
        <v>2143</v>
      </c>
      <c r="B10" s="51" t="s">
        <v>1870</v>
      </c>
      <c r="C10" s="61" t="s">
        <v>1210</v>
      </c>
      <c r="D10" s="51">
        <v>4</v>
      </c>
      <c r="E10" s="58">
        <f>Table212314[[#This Row],[qtyx1]]*17</f>
        <v>68</v>
      </c>
      <c r="F10" s="51" t="s">
        <v>2192</v>
      </c>
      <c r="G10" s="51">
        <v>1</v>
      </c>
    </row>
    <row r="11" spans="1:8" ht="18" hidden="1" x14ac:dyDescent="0.35">
      <c r="A11" s="51" t="s">
        <v>1935</v>
      </c>
      <c r="B11" s="51" t="s">
        <v>145</v>
      </c>
      <c r="C11" s="61" t="s">
        <v>846</v>
      </c>
      <c r="D11" s="51">
        <v>1</v>
      </c>
      <c r="E11" s="58">
        <f>Table212314[[#This Row],[qtyx1]]*17</f>
        <v>17</v>
      </c>
      <c r="F11" s="51"/>
      <c r="G11" s="51"/>
    </row>
    <row r="12" spans="1:8" ht="18" x14ac:dyDescent="0.35">
      <c r="A12" s="51" t="s">
        <v>1929</v>
      </c>
      <c r="B12" s="51" t="s">
        <v>138</v>
      </c>
      <c r="C12" s="61" t="s">
        <v>592</v>
      </c>
      <c r="D12" s="51">
        <v>2</v>
      </c>
      <c r="E12" s="58">
        <f>Table212314[[#This Row],[qtyx1]]*17</f>
        <v>34</v>
      </c>
      <c r="F12" s="51"/>
      <c r="G12" s="51">
        <v>1</v>
      </c>
    </row>
    <row r="13" spans="1:8" ht="18" x14ac:dyDescent="0.35">
      <c r="A13" s="51" t="s">
        <v>1911</v>
      </c>
      <c r="B13" s="51" t="s">
        <v>87</v>
      </c>
      <c r="C13" s="61" t="s">
        <v>852</v>
      </c>
      <c r="D13" s="51">
        <v>1</v>
      </c>
      <c r="E13" s="58">
        <f>Table212314[[#This Row],[qtyx1]]*17</f>
        <v>17</v>
      </c>
      <c r="F13" s="51"/>
      <c r="G13" s="51">
        <v>1</v>
      </c>
    </row>
    <row r="14" spans="1:8" ht="18" hidden="1" x14ac:dyDescent="0.35">
      <c r="A14" s="51" t="s">
        <v>1934</v>
      </c>
      <c r="B14" s="51" t="s">
        <v>144</v>
      </c>
      <c r="C14" s="61" t="s">
        <v>242</v>
      </c>
      <c r="D14" s="51">
        <v>1</v>
      </c>
      <c r="E14" s="58">
        <f>Table212314[[#This Row],[qtyx1]]*17</f>
        <v>17</v>
      </c>
      <c r="F14" s="51"/>
      <c r="G14" s="51"/>
    </row>
    <row r="15" spans="1:8" ht="18" hidden="1" x14ac:dyDescent="0.35">
      <c r="A15" s="51" t="s">
        <v>1976</v>
      </c>
      <c r="B15" s="51" t="s">
        <v>177</v>
      </c>
      <c r="C15" s="61" t="s">
        <v>373</v>
      </c>
      <c r="D15" s="51">
        <v>5</v>
      </c>
      <c r="E15" s="58">
        <f>Table212314[[#This Row],[qtyx1]]*17</f>
        <v>85</v>
      </c>
      <c r="F15" s="51"/>
      <c r="G15" s="51"/>
    </row>
    <row r="16" spans="1:8" ht="18" hidden="1" x14ac:dyDescent="0.35">
      <c r="A16" s="51" t="s">
        <v>1980</v>
      </c>
      <c r="B16" s="51" t="s">
        <v>1340</v>
      </c>
      <c r="C16" s="61" t="s">
        <v>397</v>
      </c>
      <c r="D16" s="51">
        <v>13</v>
      </c>
      <c r="E16" s="58">
        <f>Table212314[[#This Row],[qtyx1]]*17</f>
        <v>221</v>
      </c>
      <c r="F16" s="51"/>
      <c r="G16" s="51"/>
    </row>
    <row r="17" spans="1:7" ht="18" hidden="1" x14ac:dyDescent="0.35">
      <c r="A17" s="51" t="s">
        <v>1990</v>
      </c>
      <c r="B17" s="51" t="s">
        <v>1004</v>
      </c>
      <c r="C17" s="61" t="s">
        <v>389</v>
      </c>
      <c r="D17" s="51">
        <v>1</v>
      </c>
      <c r="E17" s="58">
        <f>Table212314[[#This Row],[qtyx1]]*17</f>
        <v>17</v>
      </c>
      <c r="F17" s="51"/>
      <c r="G17" s="51"/>
    </row>
    <row r="18" spans="1:7" ht="18" hidden="1" x14ac:dyDescent="0.35">
      <c r="A18" s="51" t="s">
        <v>1979</v>
      </c>
      <c r="B18" s="51" t="s">
        <v>1358</v>
      </c>
      <c r="C18" s="61" t="s">
        <v>395</v>
      </c>
      <c r="D18" s="51">
        <v>2</v>
      </c>
      <c r="E18" s="58">
        <f>Table212314[[#This Row],[qtyx1]]*17</f>
        <v>34</v>
      </c>
      <c r="F18" s="51"/>
      <c r="G18" s="51"/>
    </row>
    <row r="19" spans="1:7" ht="18" hidden="1" x14ac:dyDescent="0.35">
      <c r="A19" s="51" t="s">
        <v>1965</v>
      </c>
      <c r="B19" s="51" t="s">
        <v>1760</v>
      </c>
      <c r="C19" s="61" t="s">
        <v>1219</v>
      </c>
      <c r="D19" s="51">
        <v>1</v>
      </c>
      <c r="E19" s="58">
        <f>Table212314[[#This Row],[qtyx1]]*17</f>
        <v>17</v>
      </c>
      <c r="F19" s="51"/>
      <c r="G19" s="51"/>
    </row>
    <row r="20" spans="1:7" ht="18" hidden="1" x14ac:dyDescent="0.35">
      <c r="A20" s="51" t="s">
        <v>2144</v>
      </c>
      <c r="B20" s="51" t="s">
        <v>167</v>
      </c>
      <c r="C20" s="61" t="s">
        <v>594</v>
      </c>
      <c r="D20" s="51">
        <v>1</v>
      </c>
      <c r="E20" s="58">
        <f>Table212314[[#This Row],[qtyx1]]*17</f>
        <v>17</v>
      </c>
      <c r="F20" s="51"/>
      <c r="G20" s="51"/>
    </row>
    <row r="21" spans="1:7" ht="18" x14ac:dyDescent="0.35">
      <c r="A21" s="51" t="s">
        <v>1909</v>
      </c>
      <c r="B21" s="51" t="s">
        <v>84</v>
      </c>
      <c r="C21" s="61" t="s">
        <v>1260</v>
      </c>
      <c r="D21" s="51">
        <v>3</v>
      </c>
      <c r="E21" s="58">
        <f>Table212314[[#This Row],[qtyx1]]*17</f>
        <v>51</v>
      </c>
      <c r="F21" s="51"/>
      <c r="G21" s="51">
        <v>1</v>
      </c>
    </row>
    <row r="22" spans="1:7" ht="18" hidden="1" x14ac:dyDescent="0.35">
      <c r="A22" s="51" t="s">
        <v>2145</v>
      </c>
      <c r="B22" s="51" t="s">
        <v>746</v>
      </c>
      <c r="C22" s="61" t="s">
        <v>1224</v>
      </c>
      <c r="D22" s="51">
        <v>1</v>
      </c>
      <c r="E22" s="58">
        <f>Table212314[[#This Row],[qtyx1]]*17</f>
        <v>17</v>
      </c>
      <c r="F22" s="51"/>
      <c r="G22" s="51"/>
    </row>
    <row r="23" spans="1:7" ht="18" hidden="1" x14ac:dyDescent="0.35">
      <c r="A23" s="51" t="s">
        <v>2146</v>
      </c>
      <c r="B23" s="51" t="s">
        <v>136</v>
      </c>
      <c r="C23" s="61" t="s">
        <v>236</v>
      </c>
      <c r="D23" s="51">
        <v>1</v>
      </c>
      <c r="E23" s="58">
        <f>Table212314[[#This Row],[qtyx1]]*17</f>
        <v>17</v>
      </c>
      <c r="F23" s="51"/>
      <c r="G23" s="51"/>
    </row>
    <row r="24" spans="1:7" ht="18" hidden="1" x14ac:dyDescent="0.35">
      <c r="A24" s="51" t="s">
        <v>1966</v>
      </c>
      <c r="B24" s="51" t="s">
        <v>1768</v>
      </c>
      <c r="C24" s="61" t="s">
        <v>521</v>
      </c>
      <c r="D24" s="51">
        <v>2</v>
      </c>
      <c r="E24" s="58">
        <f>Table212314[[#This Row],[qtyx1]]*17</f>
        <v>34</v>
      </c>
      <c r="F24" s="51"/>
      <c r="G24" s="51"/>
    </row>
    <row r="25" spans="1:7" ht="18" hidden="1" x14ac:dyDescent="0.35">
      <c r="A25" s="51" t="s">
        <v>2147</v>
      </c>
      <c r="B25" s="51" t="s">
        <v>812</v>
      </c>
      <c r="C25" s="61" t="s">
        <v>813</v>
      </c>
      <c r="D25" s="51">
        <v>1</v>
      </c>
      <c r="E25" s="58">
        <f>Table212314[[#This Row],[qtyx1]]*17</f>
        <v>17</v>
      </c>
      <c r="F25" s="51"/>
      <c r="G25" s="51"/>
    </row>
    <row r="26" spans="1:7" ht="18" x14ac:dyDescent="0.35">
      <c r="A26" s="51" t="s">
        <v>2148</v>
      </c>
      <c r="B26" s="51" t="s">
        <v>1903</v>
      </c>
      <c r="C26" s="61" t="s">
        <v>249</v>
      </c>
      <c r="D26" s="51">
        <v>6</v>
      </c>
      <c r="E26" s="58">
        <f>Table212314[[#This Row],[qtyx1]]*17</f>
        <v>102</v>
      </c>
      <c r="F26" s="51"/>
      <c r="G26" s="51">
        <v>1</v>
      </c>
    </row>
    <row r="27" spans="1:7" ht="18" x14ac:dyDescent="0.35">
      <c r="A27" s="51" t="s">
        <v>1946</v>
      </c>
      <c r="B27" s="51" t="s">
        <v>203</v>
      </c>
      <c r="C27" s="61" t="s">
        <v>1742</v>
      </c>
      <c r="D27" s="51">
        <v>1</v>
      </c>
      <c r="E27" s="58">
        <f>Table212314[[#This Row],[qtyx1]]*17</f>
        <v>17</v>
      </c>
      <c r="F27" s="51"/>
      <c r="G27" s="51">
        <v>1</v>
      </c>
    </row>
    <row r="28" spans="1:7" ht="18" hidden="1" x14ac:dyDescent="0.35">
      <c r="A28" s="51" t="s">
        <v>1992</v>
      </c>
      <c r="B28" s="51" t="s">
        <v>954</v>
      </c>
      <c r="C28" s="61" t="s">
        <v>397</v>
      </c>
      <c r="D28" s="51">
        <v>3</v>
      </c>
      <c r="E28" s="58">
        <f>Table212314[[#This Row],[qtyx1]]*17</f>
        <v>51</v>
      </c>
      <c r="F28" s="51"/>
      <c r="G28" s="51"/>
    </row>
    <row r="29" spans="1:7" ht="18" hidden="1" x14ac:dyDescent="0.35">
      <c r="A29" s="51" t="s">
        <v>1950</v>
      </c>
      <c r="B29" s="51" t="s">
        <v>774</v>
      </c>
      <c r="C29" s="61" t="s">
        <v>1716</v>
      </c>
      <c r="D29" s="51">
        <v>1</v>
      </c>
      <c r="E29" s="58">
        <f>Table212314[[#This Row],[qtyx1]]*17</f>
        <v>17</v>
      </c>
      <c r="F29" s="51"/>
      <c r="G29" s="51"/>
    </row>
    <row r="30" spans="1:7" ht="18" hidden="1" x14ac:dyDescent="0.35">
      <c r="A30" s="51" t="s">
        <v>1989</v>
      </c>
      <c r="B30" s="51" t="s">
        <v>946</v>
      </c>
      <c r="C30" s="61" t="s">
        <v>384</v>
      </c>
      <c r="D30" s="51">
        <v>1</v>
      </c>
      <c r="E30" s="58">
        <f>Table212314[[#This Row],[qtyx1]]*17</f>
        <v>17</v>
      </c>
      <c r="F30" s="51"/>
      <c r="G30" s="51"/>
    </row>
    <row r="31" spans="1:7" ht="18" x14ac:dyDescent="0.35">
      <c r="A31" s="51" t="s">
        <v>1957</v>
      </c>
      <c r="B31" s="51" t="s">
        <v>987</v>
      </c>
      <c r="C31" s="61" t="s">
        <v>1718</v>
      </c>
      <c r="D31" s="51">
        <v>1</v>
      </c>
      <c r="E31" s="58">
        <f>Table212314[[#This Row],[qtyx1]]*17</f>
        <v>17</v>
      </c>
      <c r="F31" s="51"/>
      <c r="G31" s="51">
        <v>1</v>
      </c>
    </row>
    <row r="32" spans="1:7" ht="18" hidden="1" x14ac:dyDescent="0.35">
      <c r="A32" s="51" t="s">
        <v>1933</v>
      </c>
      <c r="B32" s="51" t="s">
        <v>143</v>
      </c>
      <c r="C32" s="61" t="s">
        <v>241</v>
      </c>
      <c r="D32" s="51">
        <v>2</v>
      </c>
      <c r="E32" s="58">
        <f>Table212314[[#This Row],[qtyx1]]*17</f>
        <v>34</v>
      </c>
      <c r="F32" s="51"/>
      <c r="G32" s="51"/>
    </row>
    <row r="33" spans="1:7" ht="18" hidden="1" x14ac:dyDescent="0.35">
      <c r="A33" s="51" t="s">
        <v>1962</v>
      </c>
      <c r="B33" s="51" t="s">
        <v>1759</v>
      </c>
      <c r="C33" s="61" t="s">
        <v>1776</v>
      </c>
      <c r="D33" s="51">
        <v>1</v>
      </c>
      <c r="E33" s="58">
        <f>Table212314[[#This Row],[qtyx1]]*17</f>
        <v>17</v>
      </c>
      <c r="F33" s="51"/>
      <c r="G33" s="51"/>
    </row>
    <row r="34" spans="1:7" ht="18" hidden="1" x14ac:dyDescent="0.35">
      <c r="A34" s="51" t="s">
        <v>2149</v>
      </c>
      <c r="B34" s="51" t="s">
        <v>168</v>
      </c>
      <c r="C34" s="61" t="s">
        <v>260</v>
      </c>
      <c r="D34" s="51">
        <v>1</v>
      </c>
      <c r="E34" s="58">
        <f>Table212314[[#This Row],[qtyx1]]*17</f>
        <v>17</v>
      </c>
      <c r="F34" s="51"/>
      <c r="G34" s="51"/>
    </row>
    <row r="35" spans="1:7" ht="18" x14ac:dyDescent="0.35">
      <c r="A35" s="51" t="s">
        <v>1917</v>
      </c>
      <c r="B35" s="51" t="s">
        <v>107</v>
      </c>
      <c r="C35" s="61" t="s">
        <v>1266</v>
      </c>
      <c r="D35" s="51">
        <v>2</v>
      </c>
      <c r="E35" s="58">
        <f>Table212314[[#This Row],[qtyx1]]*17</f>
        <v>34</v>
      </c>
      <c r="F35" s="51"/>
      <c r="G35" s="51">
        <v>1</v>
      </c>
    </row>
    <row r="36" spans="1:7" ht="18" hidden="1" x14ac:dyDescent="0.35">
      <c r="A36" s="51" t="s">
        <v>1947</v>
      </c>
      <c r="B36" s="51" t="s">
        <v>289</v>
      </c>
      <c r="C36" s="61" t="s">
        <v>599</v>
      </c>
      <c r="D36" s="51">
        <v>1</v>
      </c>
      <c r="E36" s="58">
        <f>Table212314[[#This Row],[qtyx1]]*17</f>
        <v>17</v>
      </c>
      <c r="F36" s="51"/>
      <c r="G36" s="51"/>
    </row>
    <row r="37" spans="1:7" ht="18" hidden="1" x14ac:dyDescent="0.35">
      <c r="A37" s="51" t="s">
        <v>2150</v>
      </c>
      <c r="B37" s="51" t="s">
        <v>2077</v>
      </c>
      <c r="C37" s="61" t="s">
        <v>251</v>
      </c>
      <c r="D37" s="51">
        <v>4</v>
      </c>
      <c r="E37" s="58">
        <f>Table212314[[#This Row],[qtyx1]]*17</f>
        <v>68</v>
      </c>
      <c r="F37" s="51"/>
      <c r="G37" s="51"/>
    </row>
    <row r="38" spans="1:7" ht="18" x14ac:dyDescent="0.35">
      <c r="A38" s="51" t="s">
        <v>1942</v>
      </c>
      <c r="B38" s="51" t="s">
        <v>161</v>
      </c>
      <c r="C38" s="61" t="s">
        <v>596</v>
      </c>
      <c r="D38" s="51">
        <v>1</v>
      </c>
      <c r="E38" s="58">
        <f>Table212314[[#This Row],[qtyx1]]*17</f>
        <v>17</v>
      </c>
      <c r="F38" s="51"/>
      <c r="G38" s="51">
        <v>1</v>
      </c>
    </row>
    <row r="39" spans="1:7" ht="18" hidden="1" x14ac:dyDescent="0.35">
      <c r="A39" s="51" t="s">
        <v>2151</v>
      </c>
      <c r="B39" s="51" t="s">
        <v>2122</v>
      </c>
      <c r="C39" s="61" t="s">
        <v>1238</v>
      </c>
      <c r="D39" s="51">
        <v>1</v>
      </c>
      <c r="E39" s="58">
        <f>Table212314[[#This Row],[qtyx1]]*17</f>
        <v>17</v>
      </c>
      <c r="F39" s="51"/>
      <c r="G39" s="51"/>
    </row>
    <row r="40" spans="1:7" ht="18" hidden="1" x14ac:dyDescent="0.35">
      <c r="A40" s="51" t="s">
        <v>2152</v>
      </c>
      <c r="B40" s="51" t="s">
        <v>137</v>
      </c>
      <c r="C40" s="61" t="s">
        <v>1239</v>
      </c>
      <c r="D40" s="51">
        <v>9</v>
      </c>
      <c r="E40" s="58">
        <f>Table212314[[#This Row],[qtyx1]]*17</f>
        <v>153</v>
      </c>
      <c r="F40" s="51"/>
      <c r="G40" s="51"/>
    </row>
    <row r="41" spans="1:7" ht="18" x14ac:dyDescent="0.35">
      <c r="A41" s="51" t="s">
        <v>2153</v>
      </c>
      <c r="B41" s="51" t="s">
        <v>2062</v>
      </c>
      <c r="C41" s="61" t="s">
        <v>2071</v>
      </c>
      <c r="D41" s="51">
        <v>4</v>
      </c>
      <c r="E41" s="58">
        <f>Table212314[[#This Row],[qtyx1]]*17</f>
        <v>68</v>
      </c>
      <c r="F41" s="51"/>
      <c r="G41" s="51">
        <v>1</v>
      </c>
    </row>
    <row r="42" spans="1:7" ht="18" x14ac:dyDescent="0.35">
      <c r="A42" s="51" t="s">
        <v>1922</v>
      </c>
      <c r="B42" s="51" t="s">
        <v>121</v>
      </c>
      <c r="C42" s="61">
        <v>7198916130</v>
      </c>
      <c r="D42" s="51">
        <v>1</v>
      </c>
      <c r="E42" s="58">
        <f>Table212314[[#This Row],[qtyx1]]*17</f>
        <v>17</v>
      </c>
      <c r="F42" s="51"/>
      <c r="G42" s="51">
        <v>1</v>
      </c>
    </row>
    <row r="43" spans="1:7" ht="18" hidden="1" x14ac:dyDescent="0.35">
      <c r="A43" s="51" t="s">
        <v>1955</v>
      </c>
      <c r="B43" s="51" t="s">
        <v>856</v>
      </c>
      <c r="C43" s="97" t="s">
        <v>603</v>
      </c>
      <c r="D43" s="91">
        <v>1</v>
      </c>
      <c r="E43" s="92">
        <f>Table212314[[#This Row],[qtyx1]]*17</f>
        <v>17</v>
      </c>
      <c r="F43" s="91"/>
      <c r="G43" s="91"/>
    </row>
    <row r="44" spans="1:7" ht="18" x14ac:dyDescent="0.35">
      <c r="A44" s="51" t="s">
        <v>1912</v>
      </c>
      <c r="B44" s="51" t="s">
        <v>90</v>
      </c>
      <c r="C44" s="97" t="s">
        <v>318</v>
      </c>
      <c r="D44" s="91">
        <v>1</v>
      </c>
      <c r="E44" s="92">
        <f>Table212314[[#This Row],[qtyx1]]*17</f>
        <v>17</v>
      </c>
      <c r="F44" s="91"/>
      <c r="G44" s="91">
        <v>1</v>
      </c>
    </row>
    <row r="45" spans="1:7" ht="18" hidden="1" x14ac:dyDescent="0.35">
      <c r="A45" s="51" t="s">
        <v>2154</v>
      </c>
      <c r="B45" s="51" t="s">
        <v>2006</v>
      </c>
      <c r="C45" s="97" t="s">
        <v>936</v>
      </c>
      <c r="D45" s="91">
        <v>1</v>
      </c>
      <c r="E45" s="92">
        <f>Table212314[[#This Row],[qtyx1]]*17</f>
        <v>17</v>
      </c>
      <c r="F45" s="91"/>
      <c r="G45" s="91"/>
    </row>
    <row r="46" spans="1:7" ht="18" x14ac:dyDescent="0.35">
      <c r="A46" s="51" t="s">
        <v>2155</v>
      </c>
      <c r="B46" s="51" t="s">
        <v>2063</v>
      </c>
      <c r="C46" s="97" t="s">
        <v>2073</v>
      </c>
      <c r="D46" s="91">
        <v>1</v>
      </c>
      <c r="E46" s="92">
        <f>Table212314[[#This Row],[qtyx1]]*17</f>
        <v>17</v>
      </c>
      <c r="F46" s="91"/>
      <c r="G46" s="91">
        <v>1</v>
      </c>
    </row>
    <row r="47" spans="1:7" ht="18" hidden="1" x14ac:dyDescent="0.35">
      <c r="A47" s="51" t="s">
        <v>2156</v>
      </c>
      <c r="B47" s="51" t="s">
        <v>2028</v>
      </c>
      <c r="C47" s="97" t="s">
        <v>224</v>
      </c>
      <c r="D47" s="91">
        <v>1</v>
      </c>
      <c r="E47" s="92">
        <f>Table212314[[#This Row],[qtyx1]]*17</f>
        <v>17</v>
      </c>
      <c r="F47" s="91"/>
      <c r="G47" s="91"/>
    </row>
    <row r="48" spans="1:7" ht="18" hidden="1" x14ac:dyDescent="0.35">
      <c r="A48" s="51" t="s">
        <v>2157</v>
      </c>
      <c r="B48" s="51" t="s">
        <v>2049</v>
      </c>
      <c r="C48" s="97" t="s">
        <v>214</v>
      </c>
      <c r="D48" s="91">
        <v>1</v>
      </c>
      <c r="E48" s="92">
        <f>Table212314[[#This Row],[qtyx1]]*17</f>
        <v>17</v>
      </c>
      <c r="F48" s="91"/>
      <c r="G48" s="91"/>
    </row>
    <row r="49" spans="1:7" ht="18" hidden="1" x14ac:dyDescent="0.35">
      <c r="A49" s="51" t="s">
        <v>1956</v>
      </c>
      <c r="B49" s="51" t="s">
        <v>857</v>
      </c>
      <c r="C49" s="97" t="s">
        <v>1293</v>
      </c>
      <c r="D49" s="91">
        <v>1</v>
      </c>
      <c r="E49" s="92">
        <f>Table212314[[#This Row],[qtyx1]]*17</f>
        <v>17</v>
      </c>
      <c r="F49" s="91"/>
      <c r="G49" s="91"/>
    </row>
    <row r="50" spans="1:7" ht="18" hidden="1" x14ac:dyDescent="0.35">
      <c r="A50" s="51" t="s">
        <v>1944</v>
      </c>
      <c r="B50" s="51" t="s">
        <v>170</v>
      </c>
      <c r="C50" s="97" t="s">
        <v>261</v>
      </c>
      <c r="D50" s="91">
        <v>1</v>
      </c>
      <c r="E50" s="92">
        <f>Table212314[[#This Row],[qtyx1]]*17</f>
        <v>17</v>
      </c>
      <c r="F50" s="91"/>
      <c r="G50" s="91"/>
    </row>
    <row r="51" spans="1:7" ht="18" hidden="1" x14ac:dyDescent="0.35">
      <c r="A51" s="51" t="s">
        <v>1985</v>
      </c>
      <c r="B51" s="51" t="s">
        <v>982</v>
      </c>
      <c r="C51" s="97" t="s">
        <v>1348</v>
      </c>
      <c r="D51" s="91">
        <v>2</v>
      </c>
      <c r="E51" s="92">
        <f>Table212314[[#This Row],[qtyx1]]*17</f>
        <v>34</v>
      </c>
      <c r="F51" s="91"/>
      <c r="G51" s="91"/>
    </row>
    <row r="52" spans="1:7" ht="18" hidden="1" x14ac:dyDescent="0.35">
      <c r="A52" s="51" t="s">
        <v>1943</v>
      </c>
      <c r="B52" s="51" t="s">
        <v>169</v>
      </c>
      <c r="C52" s="97" t="s">
        <v>627</v>
      </c>
      <c r="D52" s="91">
        <v>1</v>
      </c>
      <c r="E52" s="92">
        <f>Table212314[[#This Row],[qtyx1]]*17</f>
        <v>17</v>
      </c>
      <c r="F52" s="91"/>
      <c r="G52" s="91"/>
    </row>
    <row r="53" spans="1:7" ht="18" x14ac:dyDescent="0.35">
      <c r="A53" s="51" t="s">
        <v>2158</v>
      </c>
      <c r="B53" s="51" t="s">
        <v>2043</v>
      </c>
      <c r="C53" s="97" t="s">
        <v>2059</v>
      </c>
      <c r="D53" s="91">
        <v>1</v>
      </c>
      <c r="E53" s="92">
        <f>Table212314[[#This Row],[qtyx1]]*17</f>
        <v>17</v>
      </c>
      <c r="F53" s="91"/>
      <c r="G53" s="91">
        <v>1</v>
      </c>
    </row>
    <row r="54" spans="1:7" ht="18" hidden="1" x14ac:dyDescent="0.35">
      <c r="A54" s="51" t="s">
        <v>1987</v>
      </c>
      <c r="B54" s="51" t="s">
        <v>937</v>
      </c>
      <c r="C54" s="97" t="s">
        <v>379</v>
      </c>
      <c r="D54" s="91">
        <v>1</v>
      </c>
      <c r="E54" s="92">
        <f>Table212314[[#This Row],[qtyx1]]*17</f>
        <v>17</v>
      </c>
      <c r="F54" s="91"/>
      <c r="G54" s="91"/>
    </row>
    <row r="55" spans="1:7" ht="18" hidden="1" x14ac:dyDescent="0.35">
      <c r="A55" s="51" t="s">
        <v>2159</v>
      </c>
      <c r="B55" s="51" t="s">
        <v>210</v>
      </c>
      <c r="C55" s="97" t="s">
        <v>825</v>
      </c>
      <c r="D55" s="91">
        <v>2</v>
      </c>
      <c r="E55" s="92">
        <f>Table212314[[#This Row],[qtyx1]]*17</f>
        <v>34</v>
      </c>
      <c r="F55" s="91"/>
      <c r="G55" s="91"/>
    </row>
    <row r="56" spans="1:7" ht="18" x14ac:dyDescent="0.35">
      <c r="A56" s="51" t="s">
        <v>1908</v>
      </c>
      <c r="B56" s="51" t="s">
        <v>81</v>
      </c>
      <c r="C56" s="97">
        <v>7118670020</v>
      </c>
      <c r="D56" s="91">
        <v>2</v>
      </c>
      <c r="E56" s="92">
        <f>Table212314[[#This Row],[qtyx1]]*17</f>
        <v>34</v>
      </c>
      <c r="F56" s="91" t="s">
        <v>1337</v>
      </c>
      <c r="G56" s="91">
        <v>1</v>
      </c>
    </row>
    <row r="57" spans="1:7" ht="18" hidden="1" x14ac:dyDescent="0.35">
      <c r="A57" s="51" t="s">
        <v>1952</v>
      </c>
      <c r="B57" s="51" t="s">
        <v>832</v>
      </c>
      <c r="C57" s="97" t="s">
        <v>834</v>
      </c>
      <c r="D57" s="91">
        <v>2</v>
      </c>
      <c r="E57" s="92">
        <f>Table212314[[#This Row],[qtyx1]]*17</f>
        <v>34</v>
      </c>
      <c r="F57" s="91"/>
      <c r="G57" s="91"/>
    </row>
    <row r="58" spans="1:7" ht="18" hidden="1" x14ac:dyDescent="0.35">
      <c r="A58" s="51" t="s">
        <v>1940</v>
      </c>
      <c r="B58" s="51" t="s">
        <v>155</v>
      </c>
      <c r="C58" s="97" t="s">
        <v>252</v>
      </c>
      <c r="D58" s="91">
        <v>1</v>
      </c>
      <c r="E58" s="92">
        <f>Table212314[[#This Row],[qtyx1]]*17</f>
        <v>17</v>
      </c>
      <c r="F58" s="91"/>
      <c r="G58" s="91"/>
    </row>
    <row r="59" spans="1:7" ht="18" x14ac:dyDescent="0.35">
      <c r="A59" s="51" t="s">
        <v>1913</v>
      </c>
      <c r="B59" s="51" t="s">
        <v>91</v>
      </c>
      <c r="C59" s="97" t="s">
        <v>1263</v>
      </c>
      <c r="D59" s="91">
        <v>1</v>
      </c>
      <c r="E59" s="92">
        <f>Table212314[[#This Row],[qtyx1]]*17</f>
        <v>17</v>
      </c>
      <c r="F59" s="91"/>
      <c r="G59" s="91">
        <v>1</v>
      </c>
    </row>
    <row r="60" spans="1:7" ht="18" hidden="1" x14ac:dyDescent="0.35">
      <c r="A60" s="51" t="s">
        <v>1988</v>
      </c>
      <c r="B60" s="51" t="s">
        <v>940</v>
      </c>
      <c r="C60" s="97" t="s">
        <v>381</v>
      </c>
      <c r="D60" s="91">
        <v>1</v>
      </c>
      <c r="E60" s="92">
        <f>Table212314[[#This Row],[qtyx1]]*17</f>
        <v>17</v>
      </c>
      <c r="F60" s="91"/>
      <c r="G60" s="91"/>
    </row>
    <row r="61" spans="1:7" ht="18" hidden="1" x14ac:dyDescent="0.35">
      <c r="A61" s="51" t="s">
        <v>2160</v>
      </c>
      <c r="B61" s="51" t="s">
        <v>2027</v>
      </c>
      <c r="C61" s="97" t="s">
        <v>225</v>
      </c>
      <c r="D61" s="91">
        <v>1</v>
      </c>
      <c r="E61" s="92">
        <f>Table212314[[#This Row],[qtyx1]]*17</f>
        <v>17</v>
      </c>
      <c r="F61" s="91"/>
      <c r="G61" s="91"/>
    </row>
    <row r="62" spans="1:7" ht="18" hidden="1" x14ac:dyDescent="0.35">
      <c r="A62" s="51" t="s">
        <v>1941</v>
      </c>
      <c r="B62" s="51" t="s">
        <v>156</v>
      </c>
      <c r="C62" s="97" t="s">
        <v>657</v>
      </c>
      <c r="D62" s="91">
        <v>1</v>
      </c>
      <c r="E62" s="92">
        <f>Table212314[[#This Row],[qtyx1]]*17</f>
        <v>17</v>
      </c>
      <c r="F62" s="91"/>
      <c r="G62" s="91"/>
    </row>
    <row r="63" spans="1:7" ht="18" hidden="1" x14ac:dyDescent="0.35">
      <c r="A63" s="51" t="s">
        <v>1939</v>
      </c>
      <c r="B63" s="51" t="s">
        <v>150</v>
      </c>
      <c r="C63" s="97" t="s">
        <v>247</v>
      </c>
      <c r="D63" s="91">
        <v>1</v>
      </c>
      <c r="E63" s="92">
        <f>Table212314[[#This Row],[qtyx1]]*17</f>
        <v>17</v>
      </c>
      <c r="F63" s="91"/>
      <c r="G63" s="91"/>
    </row>
    <row r="64" spans="1:7" ht="18" hidden="1" x14ac:dyDescent="0.35">
      <c r="A64" s="51" t="s">
        <v>1991</v>
      </c>
      <c r="B64" s="51" t="s">
        <v>943</v>
      </c>
      <c r="C64" s="97" t="s">
        <v>395</v>
      </c>
      <c r="D64" s="91">
        <v>2</v>
      </c>
      <c r="E64" s="92">
        <f>Table212314[[#This Row],[qtyx1]]*17</f>
        <v>34</v>
      </c>
      <c r="F64" s="91"/>
      <c r="G64" s="91"/>
    </row>
    <row r="65" spans="1:7" ht="18" x14ac:dyDescent="0.35">
      <c r="A65" s="51" t="s">
        <v>2161</v>
      </c>
      <c r="B65" s="51" t="s">
        <v>2001</v>
      </c>
      <c r="C65" s="97" t="s">
        <v>2016</v>
      </c>
      <c r="D65" s="91">
        <v>1</v>
      </c>
      <c r="E65" s="92">
        <f>Table212314[[#This Row],[qtyx1]]*17</f>
        <v>17</v>
      </c>
      <c r="F65" s="91"/>
      <c r="G65" s="91">
        <v>1</v>
      </c>
    </row>
    <row r="66" spans="1:7" ht="18" hidden="1" x14ac:dyDescent="0.35">
      <c r="A66" s="51" t="s">
        <v>2162</v>
      </c>
      <c r="B66" s="51" t="s">
        <v>2125</v>
      </c>
      <c r="C66" s="97" t="s">
        <v>558</v>
      </c>
      <c r="D66" s="91">
        <v>1</v>
      </c>
      <c r="E66" s="92">
        <f>Table212314[[#This Row],[qtyx1]]*17</f>
        <v>17</v>
      </c>
      <c r="F66" s="91"/>
      <c r="G66" s="91"/>
    </row>
    <row r="67" spans="1:7" ht="18" x14ac:dyDescent="0.35">
      <c r="A67" s="51" t="s">
        <v>1963</v>
      </c>
      <c r="B67" s="51" t="s">
        <v>986</v>
      </c>
      <c r="C67" s="97" t="s">
        <v>1736</v>
      </c>
      <c r="D67" s="91">
        <v>1</v>
      </c>
      <c r="E67" s="92">
        <f>Table212314[[#This Row],[qtyx1]]*17</f>
        <v>17</v>
      </c>
      <c r="F67" s="91"/>
      <c r="G67" s="91">
        <v>1</v>
      </c>
    </row>
    <row r="68" spans="1:7" ht="18" hidden="1" x14ac:dyDescent="0.35">
      <c r="A68" s="51" t="s">
        <v>1975</v>
      </c>
      <c r="B68" s="51" t="s">
        <v>1341</v>
      </c>
      <c r="C68" s="97" t="s">
        <v>366</v>
      </c>
      <c r="D68" s="91">
        <v>30</v>
      </c>
      <c r="E68" s="92">
        <f>Table212314[[#This Row],[qtyx1]]*17</f>
        <v>510</v>
      </c>
      <c r="F68" s="91"/>
      <c r="G68" s="91"/>
    </row>
    <row r="69" spans="1:7" ht="18" hidden="1" x14ac:dyDescent="0.35">
      <c r="A69" s="51" t="s">
        <v>1964</v>
      </c>
      <c r="B69" s="51" t="s">
        <v>1756</v>
      </c>
      <c r="C69" s="97" t="s">
        <v>798</v>
      </c>
      <c r="D69" s="91">
        <v>2</v>
      </c>
      <c r="E69" s="92">
        <f>Table212314[[#This Row],[qtyx1]]*17</f>
        <v>34</v>
      </c>
      <c r="F69" s="91"/>
      <c r="G69" s="91"/>
    </row>
    <row r="70" spans="1:7" ht="18" hidden="1" x14ac:dyDescent="0.35">
      <c r="A70" s="51" t="s">
        <v>1978</v>
      </c>
      <c r="B70" s="51" t="s">
        <v>190</v>
      </c>
      <c r="C70" s="97" t="s">
        <v>391</v>
      </c>
      <c r="D70" s="91">
        <v>2</v>
      </c>
      <c r="E70" s="92">
        <f>Table212314[[#This Row],[qtyx1]]*17</f>
        <v>34</v>
      </c>
      <c r="F70" s="91"/>
      <c r="G70" s="91"/>
    </row>
    <row r="71" spans="1:7" ht="18" x14ac:dyDescent="0.35">
      <c r="A71" s="51" t="s">
        <v>1907</v>
      </c>
      <c r="B71" s="51" t="s">
        <v>80</v>
      </c>
      <c r="C71" s="97" t="s">
        <v>515</v>
      </c>
      <c r="D71" s="91">
        <v>2</v>
      </c>
      <c r="E71" s="92">
        <f>Table212314[[#This Row],[qtyx1]]*17</f>
        <v>34</v>
      </c>
      <c r="F71" s="91"/>
      <c r="G71" s="91">
        <v>1</v>
      </c>
    </row>
    <row r="72" spans="1:7" ht="18" hidden="1" x14ac:dyDescent="0.35">
      <c r="A72" s="51" t="s">
        <v>2163</v>
      </c>
      <c r="B72" s="51" t="s">
        <v>2023</v>
      </c>
      <c r="C72" s="97" t="s">
        <v>936</v>
      </c>
      <c r="D72" s="91">
        <v>1</v>
      </c>
      <c r="E72" s="92">
        <f>Table212314[[#This Row],[qtyx1]]*17</f>
        <v>17</v>
      </c>
      <c r="F72" s="91"/>
      <c r="G72" s="91"/>
    </row>
    <row r="73" spans="1:7" ht="18" hidden="1" x14ac:dyDescent="0.35">
      <c r="A73" s="51" t="s">
        <v>1977</v>
      </c>
      <c r="B73" s="51" t="s">
        <v>187</v>
      </c>
      <c r="C73" s="97" t="s">
        <v>386</v>
      </c>
      <c r="D73" s="91">
        <v>2</v>
      </c>
      <c r="E73" s="92">
        <f>Table212314[[#This Row],[qtyx1]]*17</f>
        <v>34</v>
      </c>
      <c r="F73" s="91"/>
      <c r="G73" s="91"/>
    </row>
    <row r="74" spans="1:7" ht="18" hidden="1" x14ac:dyDescent="0.35">
      <c r="A74" s="51" t="s">
        <v>1961</v>
      </c>
      <c r="B74" s="51" t="s">
        <v>964</v>
      </c>
      <c r="C74" s="97" t="s">
        <v>1733</v>
      </c>
      <c r="D74" s="91">
        <v>1</v>
      </c>
      <c r="E74" s="92">
        <f>Table212314[[#This Row],[qtyx1]]*17</f>
        <v>17</v>
      </c>
      <c r="F74" s="91"/>
      <c r="G74" s="91"/>
    </row>
    <row r="75" spans="1:7" ht="18" x14ac:dyDescent="0.35">
      <c r="A75" s="51" t="s">
        <v>1919</v>
      </c>
      <c r="B75" s="51" t="s">
        <v>745</v>
      </c>
      <c r="C75" s="97" t="s">
        <v>335</v>
      </c>
      <c r="D75" s="91">
        <v>1</v>
      </c>
      <c r="E75" s="92">
        <f>Table212314[[#This Row],[qtyx1]]*17</f>
        <v>17</v>
      </c>
      <c r="F75" s="91"/>
      <c r="G75" s="91">
        <v>1</v>
      </c>
    </row>
    <row r="76" spans="1:7" ht="18" hidden="1" x14ac:dyDescent="0.35">
      <c r="A76" s="51" t="s">
        <v>1981</v>
      </c>
      <c r="B76" s="51" t="s">
        <v>191</v>
      </c>
      <c r="C76" s="97" t="s">
        <v>399</v>
      </c>
      <c r="D76" s="91">
        <v>12</v>
      </c>
      <c r="E76" s="92">
        <f>Table212314[[#This Row],[qtyx1]]*17</f>
        <v>204</v>
      </c>
      <c r="F76" s="91"/>
      <c r="G76" s="91"/>
    </row>
    <row r="77" spans="1:7" ht="18" x14ac:dyDescent="0.35">
      <c r="A77" s="51" t="s">
        <v>1928</v>
      </c>
      <c r="B77" s="51" t="s">
        <v>134</v>
      </c>
      <c r="C77" s="97" t="s">
        <v>1278</v>
      </c>
      <c r="D77" s="91">
        <v>2</v>
      </c>
      <c r="E77" s="92">
        <f>Table212314[[#This Row],[qtyx1]]*17</f>
        <v>34</v>
      </c>
      <c r="F77" s="91"/>
      <c r="G77" s="91">
        <v>1</v>
      </c>
    </row>
    <row r="78" spans="1:7" ht="18" x14ac:dyDescent="0.35">
      <c r="A78" s="51" t="s">
        <v>2164</v>
      </c>
      <c r="B78" s="51" t="s">
        <v>2128</v>
      </c>
      <c r="C78" s="97" t="s">
        <v>212</v>
      </c>
      <c r="D78" s="91">
        <v>1</v>
      </c>
      <c r="E78" s="92">
        <f>Table212314[[#This Row],[qtyx1]]*17</f>
        <v>17</v>
      </c>
      <c r="F78" s="91"/>
      <c r="G78" s="91">
        <v>1</v>
      </c>
    </row>
    <row r="79" spans="1:7" ht="18" x14ac:dyDescent="0.35">
      <c r="A79" s="51" t="s">
        <v>1945</v>
      </c>
      <c r="B79" s="51" t="s">
        <v>201</v>
      </c>
      <c r="C79" s="97" t="s">
        <v>1750</v>
      </c>
      <c r="D79" s="91">
        <v>1</v>
      </c>
      <c r="E79" s="92">
        <f>Table212314[[#This Row],[qtyx1]]*17</f>
        <v>17</v>
      </c>
      <c r="F79" s="91"/>
      <c r="G79" s="91">
        <v>1</v>
      </c>
    </row>
    <row r="80" spans="1:7" ht="18" hidden="1" x14ac:dyDescent="0.35">
      <c r="A80" s="51" t="s">
        <v>1931</v>
      </c>
      <c r="B80" s="51" t="s">
        <v>141</v>
      </c>
      <c r="C80" s="97" t="s">
        <v>240</v>
      </c>
      <c r="D80" s="91">
        <v>2</v>
      </c>
      <c r="E80" s="92">
        <f>Table212314[[#This Row],[qtyx1]]*17</f>
        <v>34</v>
      </c>
      <c r="F80" s="91"/>
      <c r="G80" s="91"/>
    </row>
    <row r="81" spans="1:7" ht="18" x14ac:dyDescent="0.35">
      <c r="A81" s="51" t="s">
        <v>1921</v>
      </c>
      <c r="B81" s="51" t="s">
        <v>118</v>
      </c>
      <c r="C81" s="97" t="s">
        <v>1270</v>
      </c>
      <c r="D81" s="91">
        <v>1</v>
      </c>
      <c r="E81" s="92">
        <f>Table212314[[#This Row],[qtyx1]]*17</f>
        <v>17</v>
      </c>
      <c r="F81" s="91"/>
      <c r="G81" s="91">
        <v>1</v>
      </c>
    </row>
    <row r="82" spans="1:7" ht="18" x14ac:dyDescent="0.35">
      <c r="A82" s="51" t="s">
        <v>2165</v>
      </c>
      <c r="B82" s="51" t="s">
        <v>2047</v>
      </c>
      <c r="C82" s="97" t="s">
        <v>2055</v>
      </c>
      <c r="D82" s="91">
        <v>1</v>
      </c>
      <c r="E82" s="92">
        <f>Table212314[[#This Row],[qtyx1]]*17</f>
        <v>17</v>
      </c>
      <c r="F82" s="91"/>
      <c r="G82" s="91">
        <v>1</v>
      </c>
    </row>
    <row r="83" spans="1:7" ht="18" x14ac:dyDescent="0.35">
      <c r="A83" s="51" t="s">
        <v>1958</v>
      </c>
      <c r="B83" s="51" t="s">
        <v>965</v>
      </c>
      <c r="C83" s="97" t="s">
        <v>870</v>
      </c>
      <c r="D83" s="91">
        <v>1</v>
      </c>
      <c r="E83" s="92">
        <f>Table212314[[#This Row],[qtyx1]]*17</f>
        <v>17</v>
      </c>
      <c r="F83" s="91"/>
      <c r="G83" s="91">
        <v>1</v>
      </c>
    </row>
    <row r="84" spans="1:7" ht="18" x14ac:dyDescent="0.35">
      <c r="A84" s="51" t="s">
        <v>1914</v>
      </c>
      <c r="B84" s="51" t="s">
        <v>97</v>
      </c>
      <c r="C84" s="97" t="s">
        <v>323</v>
      </c>
      <c r="D84" s="91">
        <v>1</v>
      </c>
      <c r="E84" s="92">
        <f>Table212314[[#This Row],[qtyx1]]*17</f>
        <v>17</v>
      </c>
      <c r="F84" s="91"/>
      <c r="G84" s="91">
        <v>1</v>
      </c>
    </row>
    <row r="85" spans="1:7" ht="18" hidden="1" x14ac:dyDescent="0.35">
      <c r="A85" s="51" t="s">
        <v>1982</v>
      </c>
      <c r="B85" s="51" t="s">
        <v>861</v>
      </c>
      <c r="C85" s="97" t="s">
        <v>364</v>
      </c>
      <c r="D85" s="91">
        <v>1</v>
      </c>
      <c r="E85" s="92">
        <f>Table212314[[#This Row],[qtyx1]]*17</f>
        <v>17</v>
      </c>
      <c r="F85" s="91"/>
      <c r="G85" s="91"/>
    </row>
    <row r="86" spans="1:7" ht="18" x14ac:dyDescent="0.35">
      <c r="A86" s="51" t="s">
        <v>1920</v>
      </c>
      <c r="B86" s="51" t="s">
        <v>117</v>
      </c>
      <c r="C86" s="97" t="s">
        <v>1268</v>
      </c>
      <c r="D86" s="91">
        <v>2</v>
      </c>
      <c r="E86" s="92">
        <f>Table212314[[#This Row],[qtyx1]]*17</f>
        <v>34</v>
      </c>
      <c r="F86" s="91"/>
      <c r="G86" s="91">
        <v>1</v>
      </c>
    </row>
    <row r="87" spans="1:7" ht="18" hidden="1" x14ac:dyDescent="0.35">
      <c r="A87" s="51" t="s">
        <v>1916</v>
      </c>
      <c r="B87" s="51" t="s">
        <v>106</v>
      </c>
      <c r="C87" s="97" t="s">
        <v>1744</v>
      </c>
      <c r="D87" s="91">
        <v>2</v>
      </c>
      <c r="E87" s="92">
        <f>Table212314[[#This Row],[qtyx1]]*17</f>
        <v>34</v>
      </c>
      <c r="F87" s="91"/>
      <c r="G87" s="91"/>
    </row>
    <row r="88" spans="1:7" ht="18" x14ac:dyDescent="0.35">
      <c r="A88" s="51" t="s">
        <v>1915</v>
      </c>
      <c r="B88" s="51" t="s">
        <v>103</v>
      </c>
      <c r="C88" s="97" t="s">
        <v>221</v>
      </c>
      <c r="D88" s="91">
        <v>1</v>
      </c>
      <c r="E88" s="92">
        <f>Table212314[[#This Row],[qtyx1]]*17</f>
        <v>17</v>
      </c>
      <c r="F88" s="91"/>
      <c r="G88" s="91">
        <v>1</v>
      </c>
    </row>
    <row r="89" spans="1:7" ht="18" x14ac:dyDescent="0.35">
      <c r="A89" s="51" t="s">
        <v>1923</v>
      </c>
      <c r="B89" s="51" t="s">
        <v>122</v>
      </c>
      <c r="C89" s="97" t="s">
        <v>1272</v>
      </c>
      <c r="D89" s="91">
        <v>3</v>
      </c>
      <c r="E89" s="92">
        <f>Table212314[[#This Row],[qtyx1]]*17</f>
        <v>51</v>
      </c>
      <c r="F89" s="91"/>
      <c r="G89" s="91">
        <v>1</v>
      </c>
    </row>
    <row r="90" spans="1:7" ht="18" hidden="1" x14ac:dyDescent="0.35">
      <c r="A90" s="51" t="s">
        <v>1953</v>
      </c>
      <c r="B90" s="51" t="s">
        <v>1363</v>
      </c>
      <c r="C90" s="97" t="s">
        <v>609</v>
      </c>
      <c r="D90" s="91">
        <v>1</v>
      </c>
      <c r="E90" s="92">
        <f>Table212314[[#This Row],[qtyx1]]*17</f>
        <v>17</v>
      </c>
      <c r="F90" s="91"/>
      <c r="G90" s="91"/>
    </row>
    <row r="91" spans="1:7" ht="18" x14ac:dyDescent="0.35">
      <c r="A91" s="51" t="s">
        <v>1967</v>
      </c>
      <c r="B91" s="51" t="s">
        <v>1772</v>
      </c>
      <c r="C91" s="97" t="s">
        <v>1774</v>
      </c>
      <c r="D91" s="91">
        <v>1</v>
      </c>
      <c r="E91" s="92">
        <f>Table212314[[#This Row],[qtyx1]]*17</f>
        <v>17</v>
      </c>
      <c r="F91" s="91"/>
      <c r="G91" s="91">
        <v>1</v>
      </c>
    </row>
    <row r="92" spans="1:7" ht="18" hidden="1" x14ac:dyDescent="0.35">
      <c r="A92" s="51" t="s">
        <v>2166</v>
      </c>
      <c r="B92" s="51" t="s">
        <v>135</v>
      </c>
      <c r="C92" s="97" t="s">
        <v>234</v>
      </c>
      <c r="D92" s="91">
        <v>4</v>
      </c>
      <c r="E92" s="92">
        <f>Table212314[[#This Row],[qtyx1]]*17</f>
        <v>68</v>
      </c>
      <c r="F92" s="91"/>
      <c r="G92" s="91"/>
    </row>
    <row r="93" spans="1:7" ht="18" hidden="1" x14ac:dyDescent="0.35">
      <c r="A93" s="51" t="s">
        <v>1937</v>
      </c>
      <c r="B93" s="51" t="s">
        <v>148</v>
      </c>
      <c r="C93" s="97" t="s">
        <v>245</v>
      </c>
      <c r="D93" s="91">
        <v>1</v>
      </c>
      <c r="E93" s="92">
        <f>Table212314[[#This Row],[qtyx1]]*17</f>
        <v>17</v>
      </c>
      <c r="F93" s="91"/>
      <c r="G93" s="91"/>
    </row>
    <row r="94" spans="1:7" ht="18" hidden="1" x14ac:dyDescent="0.35">
      <c r="A94" s="51" t="s">
        <v>2167</v>
      </c>
      <c r="B94" s="51" t="s">
        <v>2044</v>
      </c>
      <c r="C94" s="97" t="s">
        <v>1237</v>
      </c>
      <c r="D94" s="91">
        <v>1</v>
      </c>
      <c r="E94" s="92">
        <f>Table212314[[#This Row],[qtyx1]]*17</f>
        <v>17</v>
      </c>
      <c r="F94" s="91"/>
      <c r="G94" s="91"/>
    </row>
    <row r="95" spans="1:7" ht="18" hidden="1" x14ac:dyDescent="0.35">
      <c r="A95" s="51" t="s">
        <v>1954</v>
      </c>
      <c r="B95" s="51" t="s">
        <v>848</v>
      </c>
      <c r="C95" s="97" t="s">
        <v>1303</v>
      </c>
      <c r="D95" s="91">
        <v>1</v>
      </c>
      <c r="E95" s="92">
        <f>Table212314[[#This Row],[qtyx1]]*17</f>
        <v>17</v>
      </c>
      <c r="F95" s="91"/>
      <c r="G95" s="91"/>
    </row>
    <row r="96" spans="1:7" ht="18" hidden="1" x14ac:dyDescent="0.35">
      <c r="A96" s="51" t="s">
        <v>2168</v>
      </c>
      <c r="B96" s="51" t="s">
        <v>2007</v>
      </c>
      <c r="C96" s="97" t="s">
        <v>2013</v>
      </c>
      <c r="D96" s="91">
        <v>1</v>
      </c>
      <c r="E96" s="92">
        <f>Table212314[[#This Row],[qtyx1]]*17</f>
        <v>17</v>
      </c>
      <c r="F96" s="91"/>
      <c r="G96" s="91"/>
    </row>
    <row r="97" spans="1:7" ht="18" x14ac:dyDescent="0.35">
      <c r="A97" s="51" t="s">
        <v>2169</v>
      </c>
      <c r="B97" s="51" t="s">
        <v>165</v>
      </c>
      <c r="C97" s="97" t="s">
        <v>2170</v>
      </c>
      <c r="D97" s="91">
        <v>1</v>
      </c>
      <c r="E97" s="92">
        <f>Table212314[[#This Row],[qtyx1]]*17</f>
        <v>17</v>
      </c>
      <c r="F97" s="91"/>
      <c r="G97" s="91">
        <v>1</v>
      </c>
    </row>
    <row r="98" spans="1:7" ht="18" hidden="1" x14ac:dyDescent="0.35">
      <c r="A98" s="51" t="s">
        <v>1959</v>
      </c>
      <c r="B98" s="51" t="s">
        <v>970</v>
      </c>
      <c r="C98" s="97" t="s">
        <v>1727</v>
      </c>
      <c r="D98" s="91">
        <v>1</v>
      </c>
      <c r="E98" s="92">
        <f>Table212314[[#This Row],[qtyx1]]*17</f>
        <v>17</v>
      </c>
      <c r="F98" s="91"/>
      <c r="G98" s="91"/>
    </row>
    <row r="99" spans="1:7" ht="18" hidden="1" x14ac:dyDescent="0.35">
      <c r="A99" s="51" t="s">
        <v>1932</v>
      </c>
      <c r="B99" s="51" t="s">
        <v>142</v>
      </c>
      <c r="C99" s="97" t="s">
        <v>845</v>
      </c>
      <c r="D99" s="91">
        <v>2</v>
      </c>
      <c r="E99" s="92">
        <f>Table212314[[#This Row],[qtyx1]]*17</f>
        <v>34</v>
      </c>
      <c r="F99" s="91"/>
      <c r="G99" s="91"/>
    </row>
    <row r="100" spans="1:7" ht="18" hidden="1" x14ac:dyDescent="0.35">
      <c r="A100" s="51" t="s">
        <v>1905</v>
      </c>
      <c r="B100" s="51" t="s">
        <v>75</v>
      </c>
      <c r="C100" s="97" t="s">
        <v>835</v>
      </c>
      <c r="D100" s="91">
        <v>1</v>
      </c>
      <c r="E100" s="92">
        <f>Table212314[[#This Row],[qtyx1]]*17</f>
        <v>17</v>
      </c>
      <c r="F100" s="91"/>
      <c r="G100" s="91"/>
    </row>
    <row r="101" spans="1:7" ht="18" hidden="1" x14ac:dyDescent="0.35">
      <c r="A101" s="51" t="s">
        <v>1983</v>
      </c>
      <c r="B101" s="51" t="s">
        <v>865</v>
      </c>
      <c r="C101" s="97" t="s">
        <v>366</v>
      </c>
      <c r="D101" s="91">
        <v>6</v>
      </c>
      <c r="E101" s="92">
        <f>Table212314[[#This Row],[qtyx1]]*17</f>
        <v>102</v>
      </c>
      <c r="F101" s="91"/>
      <c r="G101" s="91"/>
    </row>
    <row r="102" spans="1:7" ht="18" hidden="1" x14ac:dyDescent="0.35">
      <c r="A102" s="51" t="s">
        <v>1938</v>
      </c>
      <c r="B102" s="51" t="s">
        <v>149</v>
      </c>
      <c r="C102" s="97" t="s">
        <v>246</v>
      </c>
      <c r="D102" s="91">
        <v>1</v>
      </c>
      <c r="E102" s="92">
        <f>Table212314[[#This Row],[qtyx1]]*17</f>
        <v>17</v>
      </c>
      <c r="F102" s="91"/>
      <c r="G102" s="91"/>
    </row>
    <row r="103" spans="1:7" ht="18" x14ac:dyDescent="0.35">
      <c r="A103" s="51" t="s">
        <v>1910</v>
      </c>
      <c r="B103" s="51" t="s">
        <v>86</v>
      </c>
      <c r="C103" s="97" t="s">
        <v>1748</v>
      </c>
      <c r="D103" s="91">
        <v>1</v>
      </c>
      <c r="E103" s="92">
        <f>Table212314[[#This Row],[qtyx1]]*17</f>
        <v>17</v>
      </c>
      <c r="F103" s="91"/>
      <c r="G103" s="91">
        <v>1</v>
      </c>
    </row>
    <row r="104" spans="1:7" ht="18" x14ac:dyDescent="0.35">
      <c r="A104" s="51" t="s">
        <v>1906</v>
      </c>
      <c r="B104" s="51" t="s">
        <v>78</v>
      </c>
      <c r="C104" s="97">
        <v>71186354</v>
      </c>
      <c r="D104" s="91">
        <v>2</v>
      </c>
      <c r="E104" s="92">
        <f>Table212314[[#This Row],[qtyx1]]*17</f>
        <v>34</v>
      </c>
      <c r="F104" s="91" t="s">
        <v>1335</v>
      </c>
      <c r="G104" s="91">
        <v>1</v>
      </c>
    </row>
    <row r="105" spans="1:7" ht="18" hidden="1" x14ac:dyDescent="0.35">
      <c r="A105" s="51" t="s">
        <v>1984</v>
      </c>
      <c r="B105" s="51" t="s">
        <v>979</v>
      </c>
      <c r="C105" s="97" t="s">
        <v>1355</v>
      </c>
      <c r="D105" s="91">
        <v>1</v>
      </c>
      <c r="E105" s="92">
        <f>Table212314[[#This Row],[qtyx1]]*17</f>
        <v>17</v>
      </c>
      <c r="F105" s="91"/>
      <c r="G105" s="91"/>
    </row>
    <row r="106" spans="1:7" ht="18" hidden="1" x14ac:dyDescent="0.35">
      <c r="A106" s="51" t="s">
        <v>2171</v>
      </c>
      <c r="B106" s="51" t="s">
        <v>1969</v>
      </c>
      <c r="C106" s="97" t="s">
        <v>219</v>
      </c>
      <c r="D106" s="91">
        <v>2</v>
      </c>
      <c r="E106" s="92">
        <f>Table212314[[#This Row],[qtyx1]]*17</f>
        <v>34</v>
      </c>
      <c r="F106" s="91"/>
      <c r="G106" s="91"/>
    </row>
    <row r="107" spans="1:7" ht="18" hidden="1" x14ac:dyDescent="0.35">
      <c r="A107" s="51" t="s">
        <v>1986</v>
      </c>
      <c r="B107" s="51" t="s">
        <v>875</v>
      </c>
      <c r="C107" s="97" t="s">
        <v>373</v>
      </c>
      <c r="D107" s="91">
        <v>1</v>
      </c>
      <c r="E107" s="92">
        <f>Table212314[[#This Row],[qtyx1]]*17</f>
        <v>17</v>
      </c>
      <c r="F107" s="91"/>
      <c r="G107" s="91"/>
    </row>
    <row r="108" spans="1:7" ht="18" hidden="1" x14ac:dyDescent="0.35">
      <c r="A108" s="51" t="s">
        <v>1960</v>
      </c>
      <c r="B108" s="51" t="s">
        <v>969</v>
      </c>
      <c r="C108" s="97" t="s">
        <v>1300</v>
      </c>
      <c r="D108" s="91">
        <v>1</v>
      </c>
      <c r="E108" s="92">
        <f>Table212314[[#This Row],[qtyx1]]*17</f>
        <v>17</v>
      </c>
      <c r="F108" s="91"/>
      <c r="G108" s="91"/>
    </row>
    <row r="109" spans="1:7" ht="18" hidden="1" x14ac:dyDescent="0.35">
      <c r="A109" s="51" t="s">
        <v>1927</v>
      </c>
      <c r="B109" s="51" t="s">
        <v>133</v>
      </c>
      <c r="C109" s="97" t="s">
        <v>1253</v>
      </c>
      <c r="D109" s="91">
        <v>2</v>
      </c>
      <c r="E109" s="92">
        <f>Table212314[[#This Row],[qtyx1]]*17</f>
        <v>34</v>
      </c>
      <c r="F109" s="91"/>
      <c r="G109" s="91"/>
    </row>
    <row r="110" spans="1:7" ht="18" hidden="1" x14ac:dyDescent="0.35">
      <c r="A110" s="51" t="s">
        <v>1936</v>
      </c>
      <c r="B110" s="51" t="s">
        <v>147</v>
      </c>
      <c r="C110" s="97" t="s">
        <v>244</v>
      </c>
      <c r="D110" s="91">
        <v>2</v>
      </c>
      <c r="E110" s="92">
        <f>Table212314[[#This Row],[qtyx1]]*17</f>
        <v>34</v>
      </c>
      <c r="F110" s="91"/>
      <c r="G110" s="91"/>
    </row>
    <row r="111" spans="1:7" ht="18" hidden="1" x14ac:dyDescent="0.35">
      <c r="A111" s="51" t="s">
        <v>2172</v>
      </c>
      <c r="B111" s="51" t="s">
        <v>2050</v>
      </c>
      <c r="C111" s="97" t="s">
        <v>579</v>
      </c>
      <c r="D111" s="91">
        <v>1</v>
      </c>
      <c r="E111" s="92">
        <f>Table212314[[#This Row],[qtyx1]]*17</f>
        <v>17</v>
      </c>
      <c r="F111" s="91"/>
      <c r="G111" s="91"/>
    </row>
    <row r="112" spans="1:7" ht="18" hidden="1" x14ac:dyDescent="0.35">
      <c r="A112" s="51" t="s">
        <v>2120</v>
      </c>
      <c r="B112" s="51" t="s">
        <v>850</v>
      </c>
      <c r="C112" s="97" t="s">
        <v>1303</v>
      </c>
      <c r="D112" s="91">
        <v>1</v>
      </c>
      <c r="E112" s="92">
        <f>Table212314[[#This Row],[qtyx1]]*17</f>
        <v>17</v>
      </c>
      <c r="F112" s="91"/>
      <c r="G112" s="91"/>
    </row>
    <row r="113" spans="1:7" ht="18" x14ac:dyDescent="0.35">
      <c r="A113" s="51" t="s">
        <v>1918</v>
      </c>
      <c r="B113" s="51" t="s">
        <v>108</v>
      </c>
      <c r="C113" s="97" t="s">
        <v>1746</v>
      </c>
      <c r="D113" s="91">
        <v>1</v>
      </c>
      <c r="E113" s="92">
        <f>Table212314[[#This Row],[qtyx1]]*17</f>
        <v>17</v>
      </c>
      <c r="F113" s="91"/>
      <c r="G113" s="91">
        <v>1</v>
      </c>
    </row>
    <row r="114" spans="1:7" ht="18" hidden="1" x14ac:dyDescent="0.35">
      <c r="A114" s="51" t="s">
        <v>1949</v>
      </c>
      <c r="B114" s="51" t="s">
        <v>126</v>
      </c>
      <c r="C114" s="97" t="s">
        <v>342</v>
      </c>
      <c r="D114" s="91">
        <v>1</v>
      </c>
      <c r="E114" s="92">
        <f>Table212314[[#This Row],[qtyx1]]*17</f>
        <v>17</v>
      </c>
      <c r="F114" s="91"/>
      <c r="G114" s="91"/>
    </row>
    <row r="115" spans="1:7" ht="18" x14ac:dyDescent="0.35">
      <c r="A115" s="51" t="s">
        <v>1926</v>
      </c>
      <c r="B115" s="51" t="s">
        <v>132</v>
      </c>
      <c r="C115" s="97" t="s">
        <v>1725</v>
      </c>
      <c r="D115" s="91">
        <v>1</v>
      </c>
      <c r="E115" s="92">
        <f>Table212314[[#This Row],[qtyx1]]*17</f>
        <v>17</v>
      </c>
      <c r="F115" s="91"/>
      <c r="G115" s="91">
        <v>1</v>
      </c>
    </row>
    <row r="116" spans="1:7" ht="18" hidden="1" x14ac:dyDescent="0.35">
      <c r="A116" s="51" t="s">
        <v>2173</v>
      </c>
      <c r="B116" s="51" t="s">
        <v>1757</v>
      </c>
      <c r="C116" s="97" t="s">
        <v>1815</v>
      </c>
      <c r="D116" s="91">
        <v>1</v>
      </c>
      <c r="E116" s="92">
        <f>Table212314[[#This Row],[qtyx1]]*17</f>
        <v>17</v>
      </c>
      <c r="F116" s="91"/>
      <c r="G116" s="91"/>
    </row>
    <row r="117" spans="1:7" ht="18" hidden="1" x14ac:dyDescent="0.35">
      <c r="A117" s="51" t="s">
        <v>1925</v>
      </c>
      <c r="B117" s="51" t="s">
        <v>125</v>
      </c>
      <c r="C117" s="97" t="s">
        <v>814</v>
      </c>
      <c r="D117" s="91">
        <v>1</v>
      </c>
      <c r="E117" s="92">
        <f>Table212314[[#This Row],[qtyx1]]*17</f>
        <v>17</v>
      </c>
      <c r="F117" s="91"/>
      <c r="G117" s="91"/>
    </row>
    <row r="118" spans="1:7" ht="18" x14ac:dyDescent="0.35">
      <c r="A118" s="51" t="s">
        <v>1948</v>
      </c>
      <c r="B118" s="51" t="s">
        <v>207</v>
      </c>
      <c r="C118" s="97" t="s">
        <v>267</v>
      </c>
      <c r="D118" s="91">
        <v>1</v>
      </c>
      <c r="E118" s="92">
        <f>Table212314[[#This Row],[qtyx1]]*17</f>
        <v>17</v>
      </c>
      <c r="F118" s="91"/>
      <c r="G118" s="91">
        <v>1</v>
      </c>
    </row>
    <row r="119" spans="1:7" ht="18" x14ac:dyDescent="0.35">
      <c r="A119" s="51" t="s">
        <v>1930</v>
      </c>
      <c r="B119" s="51" t="s">
        <v>139</v>
      </c>
      <c r="C119" s="97" t="s">
        <v>238</v>
      </c>
      <c r="D119" s="91">
        <v>2</v>
      </c>
      <c r="E119" s="92">
        <f>Table212314[[#This Row],[qtyx1]]*17</f>
        <v>34</v>
      </c>
      <c r="F119" s="91" t="s">
        <v>2193</v>
      </c>
      <c r="G119" s="91">
        <v>1</v>
      </c>
    </row>
    <row r="120" spans="1:7" ht="18" hidden="1" x14ac:dyDescent="0.35">
      <c r="A120" s="51" t="s">
        <v>2174</v>
      </c>
      <c r="B120" s="51" t="s">
        <v>1968</v>
      </c>
      <c r="C120" s="97" t="s">
        <v>1227</v>
      </c>
      <c r="D120" s="91">
        <v>2</v>
      </c>
      <c r="E120" s="92">
        <f>Table212314[[#This Row],[qtyx1]]*17</f>
        <v>34</v>
      </c>
      <c r="F120" s="91"/>
      <c r="G120" s="91"/>
    </row>
    <row r="121" spans="1:7" ht="18" x14ac:dyDescent="0.35">
      <c r="A121" s="51"/>
      <c r="B121" s="51"/>
      <c r="C121" s="97">
        <v>7278246930</v>
      </c>
      <c r="D121" s="91">
        <v>2</v>
      </c>
      <c r="E121" s="92">
        <f>Table212314[[#This Row],[qtyx1]]*17</f>
        <v>34</v>
      </c>
      <c r="F121" s="91"/>
      <c r="G121" s="91">
        <v>1</v>
      </c>
    </row>
    <row r="122" spans="1:7" ht="18" x14ac:dyDescent="0.35">
      <c r="A122" s="51"/>
      <c r="B122" s="51"/>
      <c r="C122" s="97">
        <v>7298948930</v>
      </c>
      <c r="D122" s="91">
        <v>1</v>
      </c>
      <c r="E122" s="92">
        <f>Table212314[[#This Row],[qtyx1]]*17</f>
        <v>17</v>
      </c>
      <c r="F122" s="91"/>
      <c r="G122" s="91">
        <v>1</v>
      </c>
    </row>
    <row r="123" spans="1:7" ht="18" x14ac:dyDescent="0.35">
      <c r="A123" s="51"/>
      <c r="B123" s="51"/>
      <c r="C123" s="97">
        <v>7298949030</v>
      </c>
      <c r="D123" s="91">
        <v>1</v>
      </c>
      <c r="E123" s="92">
        <f>Table212314[[#This Row],[qtyx1]]*17</f>
        <v>17</v>
      </c>
      <c r="F123" s="91"/>
      <c r="G123" s="91">
        <v>1</v>
      </c>
    </row>
  </sheetData>
  <mergeCells count="1">
    <mergeCell ref="A1:G1"/>
  </mergeCells>
  <phoneticPr fontId="1" type="noConversion"/>
  <pageMargins left="0.7" right="0.7" top="0.75" bottom="0.75" header="0.3" footer="0.3"/>
  <pageSetup paperSize="9" scale="60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A8F5FD-7259-407E-83AB-08F4F27B166E}">
  <sheetPr codeName="Sheet12">
    <pageSetUpPr fitToPage="1"/>
  </sheetPr>
  <dimension ref="A1:O122"/>
  <sheetViews>
    <sheetView workbookViewId="0">
      <selection activeCell="E46" sqref="E46"/>
    </sheetView>
  </sheetViews>
  <sheetFormatPr defaultRowHeight="14.4" x14ac:dyDescent="0.3"/>
  <cols>
    <col min="1" max="1" width="23.44140625" customWidth="1"/>
    <col min="2" max="2" width="15.88671875" bestFit="1" customWidth="1"/>
    <col min="3" max="3" width="36.44140625" customWidth="1"/>
    <col min="5" max="5" width="10.5546875" bestFit="1" customWidth="1"/>
    <col min="6" max="6" width="8.44140625" bestFit="1" customWidth="1"/>
    <col min="7" max="7" width="9.5546875" bestFit="1" customWidth="1"/>
    <col min="13" max="13" width="40.21875" bestFit="1" customWidth="1"/>
  </cols>
  <sheetData>
    <row r="1" spans="1:7" ht="25.8" x14ac:dyDescent="0.5">
      <c r="A1" s="80" t="s">
        <v>2196</v>
      </c>
      <c r="B1" s="80"/>
      <c r="C1" s="80"/>
      <c r="D1" s="80"/>
      <c r="E1" s="80"/>
      <c r="F1" s="80"/>
      <c r="G1" s="81"/>
    </row>
    <row r="2" spans="1:7" ht="18" x14ac:dyDescent="0.35">
      <c r="A2" s="58" t="s">
        <v>1365</v>
      </c>
      <c r="B2" s="58" t="s">
        <v>978</v>
      </c>
      <c r="C2" s="58" t="s">
        <v>310</v>
      </c>
      <c r="D2" s="58" t="s">
        <v>1315</v>
      </c>
      <c r="E2" s="58" t="s">
        <v>1330</v>
      </c>
      <c r="F2" s="58" t="s">
        <v>1338</v>
      </c>
      <c r="G2" s="58" t="s">
        <v>1339</v>
      </c>
    </row>
    <row r="3" spans="1:7" ht="18" hidden="1" x14ac:dyDescent="0.35">
      <c r="A3" s="51" t="str">
        <f>IFERROR(VLOOKUP(C3,$M$44:$O$200, 2,FALSE), "Извън производство")</f>
        <v>262558</v>
      </c>
      <c r="B3" s="51" t="str">
        <f>IFERROR(VLOOKUP(C3,$M$44:$O$96, 3,FALSE), "")</f>
        <v>10.21.35131A</v>
      </c>
      <c r="C3" s="61">
        <v>71186354</v>
      </c>
      <c r="D3" s="51">
        <v>1</v>
      </c>
      <c r="E3" s="58">
        <f>Table2123[[#This Row],[qtyx1]]*28</f>
        <v>28</v>
      </c>
      <c r="F3" s="51" t="s">
        <v>1335</v>
      </c>
      <c r="G3" s="51"/>
    </row>
    <row r="4" spans="1:7" ht="18" hidden="1" x14ac:dyDescent="0.35">
      <c r="A4" s="51" t="str">
        <f t="shared" ref="A4:A42" si="0">IFERROR(VLOOKUP(C4,$M$44:$O$200, 2,FALSE), "Извън производство")</f>
        <v>Извън производство</v>
      </c>
      <c r="B4" s="51" t="str">
        <f t="shared" ref="B4:B42" si="1">IFERROR(VLOOKUP(C4,$M$44:$O$96, 3,FALSE), "")</f>
        <v/>
      </c>
      <c r="C4" s="61" t="s">
        <v>515</v>
      </c>
      <c r="D4" s="51">
        <v>2</v>
      </c>
      <c r="E4" s="58">
        <f>Table2123[[#This Row],[qtyx1]]*28</f>
        <v>56</v>
      </c>
      <c r="F4" s="51"/>
      <c r="G4" s="51"/>
    </row>
    <row r="5" spans="1:7" ht="18" x14ac:dyDescent="0.35">
      <c r="A5" s="51" t="str">
        <f t="shared" si="0"/>
        <v>262559</v>
      </c>
      <c r="B5" s="51" t="str">
        <f t="shared" si="1"/>
        <v>10.21.77121A</v>
      </c>
      <c r="C5" s="61">
        <v>7118670020</v>
      </c>
      <c r="D5" s="51">
        <v>1</v>
      </c>
      <c r="E5" s="58">
        <f>Table2123[[#This Row],[qtyx1]]*28</f>
        <v>28</v>
      </c>
      <c r="F5" s="51" t="s">
        <v>1337</v>
      </c>
      <c r="G5" s="51"/>
    </row>
    <row r="6" spans="1:7" ht="18" hidden="1" x14ac:dyDescent="0.35">
      <c r="A6" s="51" t="str">
        <f t="shared" si="0"/>
        <v>262560</v>
      </c>
      <c r="B6" s="51" t="str">
        <f t="shared" si="1"/>
        <v>10.21.54168C</v>
      </c>
      <c r="C6" s="61">
        <v>7119131530</v>
      </c>
      <c r="D6" s="51">
        <v>3</v>
      </c>
      <c r="E6" s="58">
        <f>Table2123[[#This Row],[qtyx1]]*28</f>
        <v>84</v>
      </c>
      <c r="F6" s="51"/>
      <c r="G6" s="51"/>
    </row>
    <row r="7" spans="1:7" ht="18" hidden="1" x14ac:dyDescent="0.35">
      <c r="A7" s="51">
        <f t="shared" si="0"/>
        <v>262706</v>
      </c>
      <c r="B7" s="51" t="str">
        <f t="shared" si="1"/>
        <v/>
      </c>
      <c r="C7" s="61">
        <v>7119146730</v>
      </c>
      <c r="D7" s="51">
        <v>1</v>
      </c>
      <c r="E7" s="58">
        <f>Table2123[[#This Row],[qtyx1]]*28</f>
        <v>28</v>
      </c>
      <c r="F7" s="51"/>
      <c r="G7" s="51"/>
    </row>
    <row r="8" spans="1:7" ht="18" hidden="1" x14ac:dyDescent="0.35">
      <c r="A8" s="51" t="str">
        <f t="shared" si="0"/>
        <v>Извън производство</v>
      </c>
      <c r="B8" s="51" t="str">
        <f t="shared" si="1"/>
        <v/>
      </c>
      <c r="C8" s="61">
        <v>7119163630</v>
      </c>
      <c r="D8" s="51">
        <v>4</v>
      </c>
      <c r="E8" s="58">
        <f>Table2123[[#This Row],[qtyx1]]*28</f>
        <v>112</v>
      </c>
      <c r="F8" s="51"/>
      <c r="G8" s="51"/>
    </row>
    <row r="9" spans="1:7" ht="18" hidden="1" x14ac:dyDescent="0.35">
      <c r="A9" s="51" t="str">
        <f t="shared" si="0"/>
        <v>Извън производство</v>
      </c>
      <c r="B9" s="51" t="str">
        <f t="shared" si="1"/>
        <v/>
      </c>
      <c r="C9" s="61">
        <v>7119172930</v>
      </c>
      <c r="D9" s="51">
        <v>1</v>
      </c>
      <c r="E9" s="58">
        <f>Table2123[[#This Row],[qtyx1]]*28</f>
        <v>28</v>
      </c>
      <c r="F9" s="51"/>
      <c r="G9" s="51"/>
    </row>
    <row r="10" spans="1:7" ht="18" hidden="1" x14ac:dyDescent="0.35">
      <c r="A10" s="51" t="str">
        <f t="shared" si="0"/>
        <v>262561</v>
      </c>
      <c r="B10" s="51" t="str">
        <f t="shared" si="1"/>
        <v>10.21.35003A</v>
      </c>
      <c r="C10" s="61">
        <v>71191993</v>
      </c>
      <c r="D10" s="51">
        <v>1</v>
      </c>
      <c r="E10" s="58">
        <f>Table2123[[#This Row],[qtyx1]]*28</f>
        <v>28</v>
      </c>
      <c r="F10" s="51"/>
      <c r="G10" s="51"/>
    </row>
    <row r="11" spans="1:7" ht="18" hidden="1" x14ac:dyDescent="0.35">
      <c r="A11" s="51" t="str">
        <f t="shared" si="0"/>
        <v>262707</v>
      </c>
      <c r="B11" s="51" t="str">
        <f t="shared" si="1"/>
        <v/>
      </c>
      <c r="C11" s="61">
        <v>7119639830</v>
      </c>
      <c r="D11" s="51">
        <v>1</v>
      </c>
      <c r="E11" s="58">
        <f>Table2123[[#This Row],[qtyx1]]*28</f>
        <v>28</v>
      </c>
      <c r="F11" s="51"/>
      <c r="G11" s="51"/>
    </row>
    <row r="12" spans="1:7" ht="18" hidden="1" x14ac:dyDescent="0.35">
      <c r="A12" s="51" t="str">
        <f t="shared" si="0"/>
        <v>262562</v>
      </c>
      <c r="B12" s="51" t="str">
        <f t="shared" si="1"/>
        <v>10.21.36271A</v>
      </c>
      <c r="C12" s="61">
        <v>71196401</v>
      </c>
      <c r="D12" s="51">
        <v>1</v>
      </c>
      <c r="E12" s="58">
        <f>Table2123[[#This Row],[qtyx1]]*28</f>
        <v>28</v>
      </c>
      <c r="F12" s="51"/>
      <c r="G12" s="51"/>
    </row>
    <row r="13" spans="1:7" ht="18" hidden="1" x14ac:dyDescent="0.35">
      <c r="A13" s="51" t="str">
        <f t="shared" si="0"/>
        <v>Извън производство</v>
      </c>
      <c r="B13" s="51" t="str">
        <f t="shared" si="1"/>
        <v/>
      </c>
      <c r="C13" s="61">
        <v>7119641970</v>
      </c>
      <c r="D13" s="51">
        <v>1</v>
      </c>
      <c r="E13" s="58">
        <f>Table2123[[#This Row],[qtyx1]]*28</f>
        <v>28</v>
      </c>
      <c r="F13" s="51"/>
      <c r="G13" s="51"/>
    </row>
    <row r="14" spans="1:7" ht="18" hidden="1" x14ac:dyDescent="0.35">
      <c r="A14" s="51" t="str">
        <f t="shared" si="0"/>
        <v>Извън производство</v>
      </c>
      <c r="B14" s="51" t="str">
        <f t="shared" si="1"/>
        <v/>
      </c>
      <c r="C14" s="61">
        <v>71196506</v>
      </c>
      <c r="D14" s="51">
        <v>1</v>
      </c>
      <c r="E14" s="58">
        <f>Table2123[[#This Row],[qtyx1]]*28</f>
        <v>28</v>
      </c>
      <c r="F14" s="51"/>
      <c r="G14" s="51"/>
    </row>
    <row r="15" spans="1:7" ht="18" hidden="1" x14ac:dyDescent="0.35">
      <c r="A15" s="51" t="str">
        <f t="shared" si="0"/>
        <v>Извън производство</v>
      </c>
      <c r="B15" s="51" t="str">
        <f t="shared" si="1"/>
        <v/>
      </c>
      <c r="C15" s="61">
        <v>7119668820</v>
      </c>
      <c r="D15" s="51">
        <v>1</v>
      </c>
      <c r="E15" s="58">
        <f>Table2123[[#This Row],[qtyx1]]*28</f>
        <v>28</v>
      </c>
      <c r="F15" s="51"/>
      <c r="G15" s="51"/>
    </row>
    <row r="16" spans="1:7" ht="18" hidden="1" x14ac:dyDescent="0.35">
      <c r="A16" s="51" t="str">
        <f t="shared" si="0"/>
        <v>262708</v>
      </c>
      <c r="B16" s="51" t="str">
        <f t="shared" si="1"/>
        <v>10.21.80748A</v>
      </c>
      <c r="C16" s="61">
        <v>71196714</v>
      </c>
      <c r="D16" s="51">
        <v>1</v>
      </c>
      <c r="E16" s="58">
        <f>Table2123[[#This Row],[qtyx1]]*28</f>
        <v>28</v>
      </c>
      <c r="F16" s="51"/>
      <c r="G16" s="51"/>
    </row>
    <row r="17" spans="1:7" ht="18" hidden="1" x14ac:dyDescent="0.35">
      <c r="A17" s="51" t="str">
        <f t="shared" si="0"/>
        <v>262720</v>
      </c>
      <c r="B17" s="51" t="str">
        <f t="shared" si="1"/>
        <v/>
      </c>
      <c r="C17" s="61">
        <v>71781227</v>
      </c>
      <c r="D17" s="51">
        <v>1</v>
      </c>
      <c r="E17" s="58">
        <f>Table2123[[#This Row],[qtyx1]]*28</f>
        <v>28</v>
      </c>
      <c r="F17" s="51"/>
      <c r="G17" s="51"/>
    </row>
    <row r="18" spans="1:7" ht="18" hidden="1" x14ac:dyDescent="0.35">
      <c r="A18" s="51" t="str">
        <f t="shared" si="0"/>
        <v>262727</v>
      </c>
      <c r="B18" s="51" t="str">
        <f t="shared" si="1"/>
        <v>10.21.96574A</v>
      </c>
      <c r="C18" s="61">
        <v>71782472</v>
      </c>
      <c r="D18" s="51">
        <v>1</v>
      </c>
      <c r="E18" s="58">
        <f>Table2123[[#This Row],[qtyx1]]*28</f>
        <v>28</v>
      </c>
      <c r="F18" s="51"/>
      <c r="G18" s="51"/>
    </row>
    <row r="19" spans="1:7" ht="18" hidden="1" x14ac:dyDescent="0.35">
      <c r="A19" s="51" t="str">
        <f t="shared" si="0"/>
        <v>262721</v>
      </c>
      <c r="B19" s="51" t="str">
        <f t="shared" si="1"/>
        <v/>
      </c>
      <c r="C19" s="61">
        <v>7183753630</v>
      </c>
      <c r="D19" s="51">
        <v>1</v>
      </c>
      <c r="E19" s="58">
        <f>Table2123[[#This Row],[qtyx1]]*28</f>
        <v>28</v>
      </c>
      <c r="F19" s="51"/>
      <c r="G19" s="51"/>
    </row>
    <row r="20" spans="1:7" ht="18" hidden="1" x14ac:dyDescent="0.35">
      <c r="A20" s="51" t="str">
        <f t="shared" si="0"/>
        <v>262563</v>
      </c>
      <c r="B20" s="51" t="str">
        <f t="shared" si="1"/>
        <v>10.21.72978A</v>
      </c>
      <c r="C20" s="61" t="s">
        <v>221</v>
      </c>
      <c r="D20" s="51">
        <v>1</v>
      </c>
      <c r="E20" s="58">
        <f>Table2123[[#This Row],[qtyx1]]*28</f>
        <v>28</v>
      </c>
      <c r="F20" s="51"/>
      <c r="G20" s="51"/>
    </row>
    <row r="21" spans="1:7" ht="18" hidden="1" x14ac:dyDescent="0.35">
      <c r="A21" s="51" t="str">
        <f t="shared" si="0"/>
        <v>262596</v>
      </c>
      <c r="B21" s="51" t="str">
        <f t="shared" si="1"/>
        <v/>
      </c>
      <c r="C21" s="61">
        <v>71897277</v>
      </c>
      <c r="D21" s="51">
        <v>1</v>
      </c>
      <c r="E21" s="58">
        <f>Table2123[[#This Row],[qtyx1]]*28</f>
        <v>28</v>
      </c>
      <c r="F21" s="51"/>
      <c r="G21" s="51"/>
    </row>
    <row r="22" spans="1:7" ht="18" hidden="1" x14ac:dyDescent="0.35">
      <c r="A22" s="51" t="str">
        <f t="shared" si="0"/>
        <v>262564</v>
      </c>
      <c r="B22" s="51" t="str">
        <f t="shared" si="1"/>
        <v/>
      </c>
      <c r="C22" s="61">
        <v>71899503</v>
      </c>
      <c r="D22" s="51">
        <v>2</v>
      </c>
      <c r="E22" s="58">
        <f>Table2123[[#This Row],[qtyx1]]*28</f>
        <v>56</v>
      </c>
      <c r="F22" s="51"/>
      <c r="G22" s="51"/>
    </row>
    <row r="23" spans="1:7" ht="18" hidden="1" x14ac:dyDescent="0.35">
      <c r="A23" s="51" t="str">
        <f t="shared" si="0"/>
        <v>262710</v>
      </c>
      <c r="B23" s="51" t="str">
        <f t="shared" si="1"/>
        <v/>
      </c>
      <c r="C23" s="61">
        <v>7189982830</v>
      </c>
      <c r="D23" s="51">
        <v>1</v>
      </c>
      <c r="E23" s="58">
        <f>Table2123[[#This Row],[qtyx1]]*28</f>
        <v>28</v>
      </c>
      <c r="F23" s="51"/>
      <c r="G23" s="51"/>
    </row>
    <row r="24" spans="1:7" ht="18" hidden="1" x14ac:dyDescent="0.35">
      <c r="A24" s="51" t="str">
        <f t="shared" si="0"/>
        <v>262565</v>
      </c>
      <c r="B24" s="51" t="str">
        <f t="shared" si="1"/>
        <v>10.21.73031A</v>
      </c>
      <c r="C24" s="61">
        <v>7198796290</v>
      </c>
      <c r="D24" s="51">
        <v>2</v>
      </c>
      <c r="E24" s="58">
        <f>Table2123[[#This Row],[qtyx1]]*28</f>
        <v>56</v>
      </c>
      <c r="F24" s="51"/>
      <c r="G24" s="51"/>
    </row>
    <row r="25" spans="1:7" ht="18" hidden="1" x14ac:dyDescent="0.35">
      <c r="A25" s="51" t="str">
        <f t="shared" si="0"/>
        <v>262566</v>
      </c>
      <c r="B25" s="51" t="str">
        <f t="shared" si="1"/>
        <v>10.21.72982A</v>
      </c>
      <c r="C25" s="61">
        <v>71988082</v>
      </c>
      <c r="D25" s="51">
        <v>1</v>
      </c>
      <c r="E25" s="58">
        <f>Table2123[[#This Row],[qtyx1]]*28</f>
        <v>28</v>
      </c>
      <c r="F25" s="51"/>
      <c r="G25" s="51"/>
    </row>
    <row r="26" spans="1:7" ht="18" hidden="1" x14ac:dyDescent="0.35">
      <c r="A26" s="51" t="str">
        <f t="shared" si="0"/>
        <v>262712</v>
      </c>
      <c r="B26" s="51" t="str">
        <f t="shared" si="1"/>
        <v>10.21.77054A</v>
      </c>
      <c r="C26" s="61">
        <v>7198916130</v>
      </c>
      <c r="D26" s="51">
        <v>1</v>
      </c>
      <c r="E26" s="58">
        <f>Table2123[[#This Row],[qtyx1]]*28</f>
        <v>28</v>
      </c>
      <c r="F26" s="51"/>
      <c r="G26" s="51"/>
    </row>
    <row r="27" spans="1:7" ht="18" hidden="1" x14ac:dyDescent="0.35">
      <c r="A27" s="51" t="str">
        <f t="shared" si="0"/>
        <v>262567</v>
      </c>
      <c r="B27" s="51" t="str">
        <f t="shared" si="1"/>
        <v>10.21.77084A</v>
      </c>
      <c r="C27" s="61">
        <v>71989162</v>
      </c>
      <c r="D27" s="51">
        <v>3</v>
      </c>
      <c r="E27" s="58">
        <f>Table2123[[#This Row],[qtyx1]]*28</f>
        <v>84</v>
      </c>
      <c r="F27" s="51"/>
      <c r="G27" s="51"/>
    </row>
    <row r="28" spans="1:7" ht="18" hidden="1" x14ac:dyDescent="0.35">
      <c r="A28" s="51" t="str">
        <f t="shared" si="0"/>
        <v>262568</v>
      </c>
      <c r="B28" s="51" t="str">
        <f t="shared" si="1"/>
        <v/>
      </c>
      <c r="C28" s="61">
        <v>7198948560</v>
      </c>
      <c r="D28" s="51">
        <v>1</v>
      </c>
      <c r="E28" s="58">
        <f>Table2123[[#This Row],[qtyx1]]*28</f>
        <v>28</v>
      </c>
      <c r="F28" s="51"/>
      <c r="G28" s="51"/>
    </row>
    <row r="29" spans="1:7" ht="18" hidden="1" x14ac:dyDescent="0.35">
      <c r="A29" s="51" t="str">
        <f t="shared" si="0"/>
        <v>Извън производство</v>
      </c>
      <c r="B29" s="51" t="str">
        <f t="shared" si="1"/>
        <v/>
      </c>
      <c r="C29" s="61">
        <v>7223686530</v>
      </c>
      <c r="D29" s="51">
        <v>1</v>
      </c>
      <c r="E29" s="58">
        <f>Table2123[[#This Row],[qtyx1]]*28</f>
        <v>28</v>
      </c>
      <c r="F29" s="51"/>
      <c r="G29" s="51"/>
    </row>
    <row r="30" spans="1:7" ht="18" hidden="1" x14ac:dyDescent="0.35">
      <c r="A30" s="51" t="str">
        <f t="shared" si="0"/>
        <v>Извън производство</v>
      </c>
      <c r="B30" s="51" t="str">
        <f t="shared" si="1"/>
        <v/>
      </c>
      <c r="C30" s="61">
        <v>7278246930</v>
      </c>
      <c r="D30" s="51">
        <v>2</v>
      </c>
      <c r="E30" s="58">
        <f>Table2123[[#This Row],[qtyx1]]*28</f>
        <v>56</v>
      </c>
      <c r="F30" s="51"/>
      <c r="G30" s="51"/>
    </row>
    <row r="31" spans="1:7" ht="18" hidden="1" x14ac:dyDescent="0.35">
      <c r="A31" s="51" t="str">
        <f t="shared" si="0"/>
        <v>262713</v>
      </c>
      <c r="B31" s="51" t="str">
        <f t="shared" si="1"/>
        <v>10.21.47195A</v>
      </c>
      <c r="C31" s="61">
        <v>7289896430</v>
      </c>
      <c r="D31" s="51">
        <v>1</v>
      </c>
      <c r="E31" s="58">
        <f>Table2123[[#This Row],[qtyx1]]*28</f>
        <v>28</v>
      </c>
      <c r="F31" s="51"/>
      <c r="G31" s="51"/>
    </row>
    <row r="32" spans="1:7" ht="18" hidden="1" x14ac:dyDescent="0.35">
      <c r="A32" s="51" t="str">
        <f t="shared" si="0"/>
        <v>262571</v>
      </c>
      <c r="B32" s="51" t="str">
        <f t="shared" si="1"/>
        <v>10.21.76981A</v>
      </c>
      <c r="C32" s="61">
        <v>7297944190</v>
      </c>
      <c r="D32" s="51">
        <v>2</v>
      </c>
      <c r="E32" s="58">
        <f>Table2123[[#This Row],[qtyx1]]*28</f>
        <v>56</v>
      </c>
      <c r="F32" s="51"/>
      <c r="G32" s="51"/>
    </row>
    <row r="33" spans="1:15" ht="18" hidden="1" x14ac:dyDescent="0.35">
      <c r="A33" s="51" t="str">
        <f t="shared" si="0"/>
        <v>Извън производство</v>
      </c>
      <c r="B33" s="51" t="str">
        <f t="shared" si="1"/>
        <v/>
      </c>
      <c r="C33" s="61">
        <v>7298948930</v>
      </c>
      <c r="D33" s="51">
        <v>1</v>
      </c>
      <c r="E33" s="58">
        <f>Table2123[[#This Row],[qtyx1]]*28</f>
        <v>28</v>
      </c>
      <c r="F33" s="51"/>
      <c r="G33" s="51"/>
    </row>
    <row r="34" spans="1:15" ht="18" hidden="1" x14ac:dyDescent="0.35">
      <c r="A34" s="51" t="str">
        <f t="shared" si="0"/>
        <v>Извън производство</v>
      </c>
      <c r="B34" s="51" t="str">
        <f t="shared" si="1"/>
        <v/>
      </c>
      <c r="C34" s="61">
        <v>7298949030</v>
      </c>
      <c r="D34" s="51">
        <v>1</v>
      </c>
      <c r="E34" s="58">
        <f>Table2123[[#This Row],[qtyx1]]*28</f>
        <v>28</v>
      </c>
      <c r="F34" s="51"/>
      <c r="G34" s="51"/>
    </row>
    <row r="35" spans="1:15" ht="18" hidden="1" x14ac:dyDescent="0.35">
      <c r="A35" s="51" t="str">
        <f t="shared" si="0"/>
        <v>262573</v>
      </c>
      <c r="B35" s="51" t="str">
        <f t="shared" si="1"/>
        <v/>
      </c>
      <c r="C35" s="61" t="s">
        <v>592</v>
      </c>
      <c r="D35" s="51">
        <v>2</v>
      </c>
      <c r="E35" s="58">
        <f>Table2123[[#This Row],[qtyx1]]*28</f>
        <v>56</v>
      </c>
      <c r="F35" s="51"/>
      <c r="G35" s="51"/>
    </row>
    <row r="36" spans="1:15" ht="18" hidden="1" x14ac:dyDescent="0.35">
      <c r="A36" s="51" t="str">
        <f t="shared" si="0"/>
        <v>Извън производство</v>
      </c>
      <c r="B36" s="51" t="str">
        <f t="shared" si="1"/>
        <v/>
      </c>
      <c r="C36" s="61" t="s">
        <v>255</v>
      </c>
      <c r="D36" s="51">
        <v>1</v>
      </c>
      <c r="E36" s="58">
        <f>Table2123[[#This Row],[qtyx1]]*28</f>
        <v>28</v>
      </c>
      <c r="F36" s="51"/>
      <c r="G36" s="51"/>
    </row>
    <row r="37" spans="1:15" ht="18" hidden="1" x14ac:dyDescent="0.35">
      <c r="A37" s="51" t="str">
        <f t="shared" si="0"/>
        <v>262590</v>
      </c>
      <c r="B37" s="51" t="str">
        <f t="shared" si="1"/>
        <v>10.21.36176A</v>
      </c>
      <c r="C37" s="61" t="s">
        <v>599</v>
      </c>
      <c r="D37" s="51">
        <v>1</v>
      </c>
      <c r="E37" s="58">
        <f>Table2123[[#This Row],[qtyx1]]*28</f>
        <v>28</v>
      </c>
      <c r="F37" s="51"/>
      <c r="G37" s="51"/>
    </row>
    <row r="38" spans="1:15" ht="18" hidden="1" x14ac:dyDescent="0.35">
      <c r="A38" s="51" t="str">
        <f t="shared" si="0"/>
        <v>262574</v>
      </c>
      <c r="B38" s="51" t="str">
        <f t="shared" si="1"/>
        <v>10.21.27982A</v>
      </c>
      <c r="C38" s="61" t="s">
        <v>240</v>
      </c>
      <c r="D38" s="51">
        <v>1</v>
      </c>
      <c r="E38" s="58">
        <f>Table2123[[#This Row],[qtyx1]]*28</f>
        <v>28</v>
      </c>
      <c r="F38" s="51"/>
      <c r="G38" s="51"/>
    </row>
    <row r="39" spans="1:15" ht="18" hidden="1" x14ac:dyDescent="0.35">
      <c r="A39" s="51" t="str">
        <f t="shared" si="0"/>
        <v>Извън производство</v>
      </c>
      <c r="B39" s="51" t="str">
        <f t="shared" si="1"/>
        <v/>
      </c>
      <c r="C39" s="61" t="s">
        <v>248</v>
      </c>
      <c r="D39" s="51">
        <v>2</v>
      </c>
      <c r="E39" s="58">
        <f>Table2123[[#This Row],[qtyx1]]*28</f>
        <v>56</v>
      </c>
      <c r="F39" s="51"/>
      <c r="G39" s="51"/>
    </row>
    <row r="40" spans="1:15" ht="18" hidden="1" x14ac:dyDescent="0.35">
      <c r="A40" s="51" t="str">
        <f t="shared" si="0"/>
        <v>Извън производство</v>
      </c>
      <c r="B40" s="51" t="str">
        <f t="shared" si="1"/>
        <v/>
      </c>
      <c r="C40" s="61" t="s">
        <v>249</v>
      </c>
      <c r="D40" s="51">
        <v>2</v>
      </c>
      <c r="E40" s="58">
        <f>Table2123[[#This Row],[qtyx1]]*28</f>
        <v>56</v>
      </c>
      <c r="F40" s="51"/>
      <c r="G40" s="51"/>
    </row>
    <row r="41" spans="1:15" ht="18" hidden="1" x14ac:dyDescent="0.35">
      <c r="A41" s="51" t="str">
        <f t="shared" si="0"/>
        <v>262722</v>
      </c>
      <c r="B41" s="51" t="str">
        <f t="shared" si="1"/>
        <v/>
      </c>
      <c r="C41" s="61" t="s">
        <v>267</v>
      </c>
      <c r="D41" s="51">
        <v>1</v>
      </c>
      <c r="E41" s="58">
        <f>Table2123[[#This Row],[qtyx1]]*28</f>
        <v>28</v>
      </c>
      <c r="F41" s="51"/>
      <c r="G41" s="51"/>
    </row>
    <row r="42" spans="1:15" ht="36" hidden="1" x14ac:dyDescent="0.35">
      <c r="A42" s="51" t="str">
        <f t="shared" si="0"/>
        <v>Извън производство</v>
      </c>
      <c r="B42" s="51" t="str">
        <f t="shared" si="1"/>
        <v/>
      </c>
      <c r="C42" s="61" t="s">
        <v>659</v>
      </c>
      <c r="D42" s="51">
        <v>4</v>
      </c>
      <c r="E42" s="58">
        <f>Table2123[[#This Row],[qtyx1]]*28</f>
        <v>112</v>
      </c>
      <c r="F42" s="51"/>
      <c r="G42" s="51"/>
    </row>
    <row r="43" spans="1:15" ht="18" hidden="1" x14ac:dyDescent="0.35">
      <c r="B43" t="s">
        <v>986</v>
      </c>
      <c r="C43" s="93">
        <v>7287547130</v>
      </c>
      <c r="D43" s="94">
        <v>1</v>
      </c>
      <c r="E43" s="95">
        <f>Table2123[[#This Row],[qtyx1]]*28</f>
        <v>28</v>
      </c>
      <c r="F43" s="94"/>
      <c r="G43" s="96"/>
    </row>
    <row r="44" spans="1:15" ht="18" x14ac:dyDescent="0.35">
      <c r="C44" s="93">
        <v>6562</v>
      </c>
      <c r="D44" s="94">
        <v>1</v>
      </c>
      <c r="E44" s="95">
        <f>Table2123[[#This Row],[qtyx1]]*28</f>
        <v>28</v>
      </c>
      <c r="F44" s="94"/>
      <c r="G44" s="96"/>
      <c r="M44" s="17">
        <v>7289405830</v>
      </c>
      <c r="N44" s="60" t="s">
        <v>1715</v>
      </c>
      <c r="O44" s="17" t="s">
        <v>774</v>
      </c>
    </row>
    <row r="45" spans="1:15" x14ac:dyDescent="0.3">
      <c r="M45" s="59">
        <v>7252785330</v>
      </c>
      <c r="N45" s="53" t="s">
        <v>1298</v>
      </c>
      <c r="O45" s="59" t="s">
        <v>192</v>
      </c>
    </row>
    <row r="46" spans="1:15" x14ac:dyDescent="0.3">
      <c r="M46" s="17" t="s">
        <v>846</v>
      </c>
      <c r="N46" s="17" t="s">
        <v>1285</v>
      </c>
      <c r="O46" s="17" t="s">
        <v>145</v>
      </c>
    </row>
    <row r="47" spans="1:15" x14ac:dyDescent="0.3">
      <c r="M47" s="59">
        <v>72897304</v>
      </c>
      <c r="N47" s="59" t="s">
        <v>1276</v>
      </c>
      <c r="O47" s="59" t="s">
        <v>133</v>
      </c>
    </row>
    <row r="48" spans="1:15" x14ac:dyDescent="0.3">
      <c r="M48" s="17">
        <v>7235053630</v>
      </c>
      <c r="N48" s="17" t="s">
        <v>1304</v>
      </c>
      <c r="O48" s="17" t="s">
        <v>848</v>
      </c>
    </row>
    <row r="49" spans="13:15" x14ac:dyDescent="0.3">
      <c r="M49" s="59">
        <v>7247760930</v>
      </c>
      <c r="N49" s="59" t="s">
        <v>1351</v>
      </c>
      <c r="O49" s="59" t="s">
        <v>937</v>
      </c>
    </row>
    <row r="50" spans="13:15" x14ac:dyDescent="0.3">
      <c r="M50" s="17" t="s">
        <v>657</v>
      </c>
      <c r="N50" s="17" t="s">
        <v>1288</v>
      </c>
      <c r="O50" s="17" t="s">
        <v>156</v>
      </c>
    </row>
    <row r="51" spans="13:15" x14ac:dyDescent="0.3">
      <c r="M51" s="59">
        <v>71782472</v>
      </c>
      <c r="N51" s="59" t="s">
        <v>1717</v>
      </c>
      <c r="O51" s="59" t="s">
        <v>987</v>
      </c>
    </row>
    <row r="52" spans="13:15" x14ac:dyDescent="0.3">
      <c r="M52" s="17">
        <v>7252815130</v>
      </c>
      <c r="N52" s="17" t="s">
        <v>1301</v>
      </c>
      <c r="O52" s="17" t="s">
        <v>191</v>
      </c>
    </row>
    <row r="53" spans="13:15" x14ac:dyDescent="0.3">
      <c r="M53" s="59">
        <v>7271007230</v>
      </c>
      <c r="N53" s="59" t="s">
        <v>1719</v>
      </c>
      <c r="O53" s="59" t="s">
        <v>126</v>
      </c>
    </row>
    <row r="54" spans="13:15" x14ac:dyDescent="0.3">
      <c r="M54" s="17" t="s">
        <v>239</v>
      </c>
      <c r="N54" s="17" t="s">
        <v>1720</v>
      </c>
      <c r="O54" s="17" t="s">
        <v>140</v>
      </c>
    </row>
    <row r="55" spans="13:15" x14ac:dyDescent="0.3">
      <c r="M55" s="59" t="s">
        <v>240</v>
      </c>
      <c r="N55" s="59" t="s">
        <v>1281</v>
      </c>
      <c r="O55" s="59" t="s">
        <v>141</v>
      </c>
    </row>
    <row r="56" spans="13:15" x14ac:dyDescent="0.3">
      <c r="M56" s="17">
        <v>7247781230</v>
      </c>
      <c r="N56" s="17" t="s">
        <v>1352</v>
      </c>
      <c r="O56" s="17" t="s">
        <v>946</v>
      </c>
    </row>
    <row r="57" spans="13:15" x14ac:dyDescent="0.3">
      <c r="M57" s="59" t="s">
        <v>603</v>
      </c>
      <c r="N57" s="59" t="s">
        <v>1309</v>
      </c>
      <c r="O57" s="59" t="s">
        <v>856</v>
      </c>
    </row>
    <row r="58" spans="13:15" x14ac:dyDescent="0.3">
      <c r="M58" s="17">
        <v>7198916130</v>
      </c>
      <c r="N58" s="17" t="s">
        <v>1721</v>
      </c>
      <c r="O58" s="17" t="s">
        <v>121</v>
      </c>
    </row>
    <row r="59" spans="13:15" x14ac:dyDescent="0.3">
      <c r="M59" s="59">
        <v>7035990930</v>
      </c>
      <c r="N59" s="59" t="s">
        <v>1299</v>
      </c>
      <c r="O59" s="59" t="s">
        <v>968</v>
      </c>
    </row>
    <row r="60" spans="13:15" x14ac:dyDescent="0.3">
      <c r="M60" s="17">
        <v>7252726530</v>
      </c>
      <c r="N60" s="17" t="s">
        <v>1294</v>
      </c>
      <c r="O60" s="17" t="s">
        <v>190</v>
      </c>
    </row>
    <row r="61" spans="13:15" x14ac:dyDescent="0.3">
      <c r="M61" s="59">
        <v>7252809330</v>
      </c>
      <c r="N61" s="59" t="s">
        <v>1354</v>
      </c>
      <c r="O61" s="59" t="s">
        <v>979</v>
      </c>
    </row>
    <row r="62" spans="13:15" x14ac:dyDescent="0.3">
      <c r="M62" s="17">
        <v>71196401</v>
      </c>
      <c r="N62" s="17" t="s">
        <v>1262</v>
      </c>
      <c r="O62" s="17" t="s">
        <v>91</v>
      </c>
    </row>
    <row r="63" spans="13:15" x14ac:dyDescent="0.3">
      <c r="M63" s="59">
        <v>7118670020</v>
      </c>
      <c r="N63" s="59" t="s">
        <v>1257</v>
      </c>
      <c r="O63" s="59" t="s">
        <v>81</v>
      </c>
    </row>
    <row r="64" spans="13:15" x14ac:dyDescent="0.3">
      <c r="M64" s="17">
        <v>7119131530</v>
      </c>
      <c r="N64" s="17" t="s">
        <v>1259</v>
      </c>
      <c r="O64" s="17" t="s">
        <v>84</v>
      </c>
    </row>
    <row r="65" spans="13:15" x14ac:dyDescent="0.3">
      <c r="M65" s="59">
        <v>7252779130</v>
      </c>
      <c r="N65" s="59" t="s">
        <v>1343</v>
      </c>
      <c r="O65" s="59" t="s">
        <v>943</v>
      </c>
    </row>
    <row r="66" spans="13:15" x14ac:dyDescent="0.3">
      <c r="M66" s="17">
        <v>71989162</v>
      </c>
      <c r="N66" s="17" t="s">
        <v>1271</v>
      </c>
      <c r="O66" s="17" t="s">
        <v>122</v>
      </c>
    </row>
    <row r="67" spans="13:15" x14ac:dyDescent="0.3">
      <c r="M67" s="59" t="s">
        <v>627</v>
      </c>
      <c r="N67" s="59" t="s">
        <v>1289</v>
      </c>
      <c r="O67" s="59" t="s">
        <v>169</v>
      </c>
    </row>
    <row r="68" spans="13:15" x14ac:dyDescent="0.3">
      <c r="M68" s="17">
        <v>7075231930</v>
      </c>
      <c r="N68" s="17" t="s">
        <v>1254</v>
      </c>
      <c r="O68" s="17" t="s">
        <v>75</v>
      </c>
    </row>
    <row r="69" spans="13:15" x14ac:dyDescent="0.3">
      <c r="M69" s="59">
        <v>7247781730</v>
      </c>
      <c r="N69" s="59" t="s">
        <v>1292</v>
      </c>
      <c r="O69" s="59" t="s">
        <v>187</v>
      </c>
    </row>
    <row r="70" spans="13:15" x14ac:dyDescent="0.3">
      <c r="M70" s="17">
        <v>71186354</v>
      </c>
      <c r="N70" s="17" t="s">
        <v>1255</v>
      </c>
      <c r="O70" s="17" t="s">
        <v>78</v>
      </c>
    </row>
    <row r="71" spans="13:15" x14ac:dyDescent="0.3">
      <c r="M71" s="59" t="s">
        <v>596</v>
      </c>
      <c r="N71" s="59" t="s">
        <v>1723</v>
      </c>
      <c r="O71" s="59" t="s">
        <v>161</v>
      </c>
    </row>
    <row r="72" spans="13:15" x14ac:dyDescent="0.3">
      <c r="M72" s="17">
        <v>7047052330</v>
      </c>
      <c r="N72" s="17" t="s">
        <v>1347</v>
      </c>
      <c r="O72" s="17" t="s">
        <v>982</v>
      </c>
    </row>
    <row r="73" spans="13:15" x14ac:dyDescent="0.3">
      <c r="M73" s="59">
        <v>71191993</v>
      </c>
      <c r="N73" s="59" t="s">
        <v>1261</v>
      </c>
      <c r="O73" s="59" t="s">
        <v>87</v>
      </c>
    </row>
    <row r="74" spans="13:15" x14ac:dyDescent="0.3">
      <c r="M74" s="17">
        <v>7289896430</v>
      </c>
      <c r="N74" s="17" t="s">
        <v>1724</v>
      </c>
      <c r="O74" s="17" t="s">
        <v>132</v>
      </c>
    </row>
    <row r="75" spans="13:15" x14ac:dyDescent="0.3">
      <c r="M75" s="59">
        <v>7289982670</v>
      </c>
      <c r="N75" s="59" t="s">
        <v>1726</v>
      </c>
      <c r="O75" s="59" t="s">
        <v>970</v>
      </c>
    </row>
    <row r="76" spans="13:15" x14ac:dyDescent="0.3">
      <c r="M76" s="17" t="s">
        <v>238</v>
      </c>
      <c r="N76" s="17" t="s">
        <v>1728</v>
      </c>
      <c r="O76" s="17" t="s">
        <v>139</v>
      </c>
    </row>
    <row r="77" spans="13:15" x14ac:dyDescent="0.3">
      <c r="M77" s="59">
        <v>71196714</v>
      </c>
      <c r="N77" s="59" t="s">
        <v>1729</v>
      </c>
      <c r="O77" s="59" t="s">
        <v>97</v>
      </c>
    </row>
    <row r="78" spans="13:15" x14ac:dyDescent="0.3">
      <c r="M78" s="17">
        <v>71988082</v>
      </c>
      <c r="N78" s="17" t="s">
        <v>1269</v>
      </c>
      <c r="O78" s="17" t="s">
        <v>118</v>
      </c>
    </row>
    <row r="79" spans="13:15" x14ac:dyDescent="0.3">
      <c r="M79" s="59" t="s">
        <v>221</v>
      </c>
      <c r="N79" s="59" t="s">
        <v>1264</v>
      </c>
      <c r="O79" s="59" t="s">
        <v>103</v>
      </c>
    </row>
    <row r="80" spans="13:15" x14ac:dyDescent="0.3">
      <c r="M80" s="17" t="s">
        <v>599</v>
      </c>
      <c r="N80" s="17" t="s">
        <v>1307</v>
      </c>
      <c r="O80" s="17" t="s">
        <v>289</v>
      </c>
    </row>
    <row r="81" spans="13:15" x14ac:dyDescent="0.3">
      <c r="M81" s="59">
        <v>7252779130</v>
      </c>
      <c r="N81" s="59" t="s">
        <v>1305</v>
      </c>
      <c r="O81" s="59" t="s">
        <v>288</v>
      </c>
    </row>
    <row r="82" spans="13:15" x14ac:dyDescent="0.3">
      <c r="M82" s="17">
        <v>71986562</v>
      </c>
      <c r="N82" s="17" t="s">
        <v>1730</v>
      </c>
      <c r="O82" s="17" t="s">
        <v>745</v>
      </c>
    </row>
    <row r="83" spans="13:15" x14ac:dyDescent="0.3">
      <c r="M83" s="59">
        <v>7297944190</v>
      </c>
      <c r="N83" s="59" t="s">
        <v>1277</v>
      </c>
      <c r="O83" s="59" t="s">
        <v>134</v>
      </c>
    </row>
    <row r="84" spans="13:15" x14ac:dyDescent="0.3">
      <c r="M84" s="17" t="s">
        <v>247</v>
      </c>
      <c r="N84" s="17" t="s">
        <v>1731</v>
      </c>
      <c r="O84" s="17" t="s">
        <v>150</v>
      </c>
    </row>
    <row r="85" spans="13:15" x14ac:dyDescent="0.3">
      <c r="M85" s="59">
        <v>7252785330</v>
      </c>
      <c r="N85" s="59" t="s">
        <v>1342</v>
      </c>
      <c r="O85" s="59" t="s">
        <v>954</v>
      </c>
    </row>
    <row r="86" spans="13:15" x14ac:dyDescent="0.3">
      <c r="M86" s="17">
        <v>7075181330</v>
      </c>
      <c r="N86" s="17" t="s">
        <v>1732</v>
      </c>
      <c r="O86" s="17" t="s">
        <v>964</v>
      </c>
    </row>
    <row r="87" spans="13:15" x14ac:dyDescent="0.3">
      <c r="M87" s="59" t="s">
        <v>261</v>
      </c>
      <c r="N87" s="59" t="s">
        <v>1734</v>
      </c>
      <c r="O87" s="59" t="s">
        <v>170</v>
      </c>
    </row>
    <row r="88" spans="13:15" x14ac:dyDescent="0.3">
      <c r="M88" s="17">
        <v>7035990430</v>
      </c>
      <c r="N88" s="17" t="s">
        <v>1308</v>
      </c>
      <c r="O88" s="17" t="s">
        <v>832</v>
      </c>
    </row>
    <row r="89" spans="13:15" x14ac:dyDescent="0.3">
      <c r="M89" s="59">
        <v>7047186030</v>
      </c>
      <c r="N89" s="59" t="s">
        <v>1290</v>
      </c>
      <c r="O89" s="59" t="s">
        <v>172</v>
      </c>
    </row>
    <row r="90" spans="13:15" x14ac:dyDescent="0.3">
      <c r="M90" s="17">
        <v>7198796290</v>
      </c>
      <c r="N90" s="17" t="s">
        <v>1267</v>
      </c>
      <c r="O90" s="17" t="s">
        <v>117</v>
      </c>
    </row>
    <row r="91" spans="13:15" x14ac:dyDescent="0.3">
      <c r="M91" s="59">
        <v>7052161430</v>
      </c>
      <c r="N91" s="59" t="s">
        <v>1346</v>
      </c>
      <c r="O91" s="59" t="s">
        <v>973</v>
      </c>
    </row>
    <row r="92" spans="13:15" x14ac:dyDescent="0.3">
      <c r="M92" s="17" t="s">
        <v>241</v>
      </c>
      <c r="N92" s="17" t="s">
        <v>1283</v>
      </c>
      <c r="O92" s="17" t="s">
        <v>143</v>
      </c>
    </row>
    <row r="93" spans="13:15" x14ac:dyDescent="0.3">
      <c r="M93" s="59">
        <v>7287547130</v>
      </c>
      <c r="N93" s="59" t="s">
        <v>1735</v>
      </c>
      <c r="O93" s="59" t="s">
        <v>986</v>
      </c>
    </row>
    <row r="94" spans="13:15" x14ac:dyDescent="0.3">
      <c r="M94" s="17">
        <v>7003756102</v>
      </c>
      <c r="N94" s="17" t="s">
        <v>1310</v>
      </c>
      <c r="O94" s="17" t="s">
        <v>857</v>
      </c>
    </row>
    <row r="95" spans="13:15" x14ac:dyDescent="0.3">
      <c r="M95" s="59" t="s">
        <v>609</v>
      </c>
      <c r="N95" s="59" t="s">
        <v>1737</v>
      </c>
      <c r="O95" s="59" t="s">
        <v>1363</v>
      </c>
    </row>
    <row r="96" spans="13:15" x14ac:dyDescent="0.3">
      <c r="M96" s="17" t="s">
        <v>1239</v>
      </c>
      <c r="N96" s="17" t="s">
        <v>1279</v>
      </c>
      <c r="O96" s="17" t="s">
        <v>137</v>
      </c>
    </row>
    <row r="97" spans="13:15" x14ac:dyDescent="0.3">
      <c r="M97">
        <v>7235053630</v>
      </c>
      <c r="N97" t="s">
        <v>1302</v>
      </c>
      <c r="O97" t="s">
        <v>850</v>
      </c>
    </row>
    <row r="98" spans="13:15" x14ac:dyDescent="0.3">
      <c r="M98">
        <v>7198599230</v>
      </c>
      <c r="N98" t="s">
        <v>1738</v>
      </c>
      <c r="O98" t="s">
        <v>1198</v>
      </c>
    </row>
    <row r="99" spans="13:15" x14ac:dyDescent="0.3">
      <c r="M99">
        <v>7119639830</v>
      </c>
      <c r="N99" t="s">
        <v>1740</v>
      </c>
      <c r="O99" t="s">
        <v>90</v>
      </c>
    </row>
    <row r="100" spans="13:15" x14ac:dyDescent="0.3">
      <c r="M100">
        <v>7047186030</v>
      </c>
      <c r="N100" t="s">
        <v>1345</v>
      </c>
      <c r="O100" t="s">
        <v>865</v>
      </c>
    </row>
    <row r="101" spans="13:15" x14ac:dyDescent="0.3">
      <c r="M101">
        <v>72478572</v>
      </c>
      <c r="N101" t="s">
        <v>1350</v>
      </c>
      <c r="O101" t="s">
        <v>1004</v>
      </c>
    </row>
    <row r="102" spans="13:15" x14ac:dyDescent="0.3">
      <c r="M102" t="s">
        <v>845</v>
      </c>
      <c r="N102" t="s">
        <v>1282</v>
      </c>
      <c r="O102" t="s">
        <v>142</v>
      </c>
    </row>
    <row r="103" spans="13:15" x14ac:dyDescent="0.3">
      <c r="M103">
        <v>7183753630</v>
      </c>
      <c r="N103" t="s">
        <v>1741</v>
      </c>
      <c r="O103" t="s">
        <v>203</v>
      </c>
    </row>
    <row r="104" spans="13:15" x14ac:dyDescent="0.3">
      <c r="M104">
        <v>7147882430</v>
      </c>
      <c r="N104" t="s">
        <v>1291</v>
      </c>
      <c r="O104" t="s">
        <v>177</v>
      </c>
    </row>
    <row r="105" spans="13:15" x14ac:dyDescent="0.3">
      <c r="M105">
        <v>7189663170</v>
      </c>
      <c r="N105" t="s">
        <v>1743</v>
      </c>
      <c r="O105" t="s">
        <v>106</v>
      </c>
    </row>
    <row r="106" spans="13:15" x14ac:dyDescent="0.3">
      <c r="M106">
        <v>7247761330</v>
      </c>
      <c r="N106" t="s">
        <v>1349</v>
      </c>
      <c r="O106" t="s">
        <v>940</v>
      </c>
    </row>
    <row r="107" spans="13:15" x14ac:dyDescent="0.3">
      <c r="M107">
        <v>7198948560</v>
      </c>
      <c r="N107" t="s">
        <v>1273</v>
      </c>
      <c r="O107" t="s">
        <v>123</v>
      </c>
    </row>
    <row r="108" spans="13:15" x14ac:dyDescent="0.3">
      <c r="M108" t="s">
        <v>592</v>
      </c>
      <c r="N108" t="s">
        <v>1280</v>
      </c>
      <c r="O108" t="s">
        <v>138</v>
      </c>
    </row>
    <row r="109" spans="13:15" x14ac:dyDescent="0.3">
      <c r="M109" t="s">
        <v>244</v>
      </c>
      <c r="N109" t="s">
        <v>1286</v>
      </c>
      <c r="O109" t="s">
        <v>147</v>
      </c>
    </row>
    <row r="110" spans="13:15" x14ac:dyDescent="0.3">
      <c r="M110">
        <v>71897277</v>
      </c>
      <c r="N110" t="s">
        <v>1306</v>
      </c>
      <c r="O110" t="s">
        <v>965</v>
      </c>
    </row>
    <row r="111" spans="13:15" x14ac:dyDescent="0.3">
      <c r="M111">
        <v>71899503</v>
      </c>
      <c r="N111" t="s">
        <v>1265</v>
      </c>
      <c r="O111" t="s">
        <v>107</v>
      </c>
    </row>
    <row r="112" spans="13:15" x14ac:dyDescent="0.3">
      <c r="M112">
        <v>7189982830</v>
      </c>
      <c r="N112" t="s">
        <v>1745</v>
      </c>
      <c r="O112" t="s">
        <v>108</v>
      </c>
    </row>
    <row r="113" spans="13:15" x14ac:dyDescent="0.3">
      <c r="M113" t="s">
        <v>252</v>
      </c>
      <c r="N113" t="s">
        <v>1747</v>
      </c>
      <c r="O113" t="s">
        <v>155</v>
      </c>
    </row>
    <row r="114" spans="13:15" x14ac:dyDescent="0.3">
      <c r="M114">
        <v>7271007030</v>
      </c>
      <c r="N114" t="s">
        <v>1275</v>
      </c>
      <c r="O114" t="s">
        <v>125</v>
      </c>
    </row>
    <row r="115" spans="13:15" x14ac:dyDescent="0.3">
      <c r="M115">
        <v>7119146730</v>
      </c>
      <c r="N115">
        <v>262706</v>
      </c>
      <c r="O115" t="s">
        <v>86</v>
      </c>
    </row>
    <row r="116" spans="13:15" x14ac:dyDescent="0.3">
      <c r="M116" t="s">
        <v>242</v>
      </c>
      <c r="N116" t="s">
        <v>1284</v>
      </c>
      <c r="O116" t="s">
        <v>144</v>
      </c>
    </row>
    <row r="117" spans="13:15" x14ac:dyDescent="0.3">
      <c r="M117">
        <v>7047135830</v>
      </c>
      <c r="N117" t="s">
        <v>1344</v>
      </c>
      <c r="O117" t="s">
        <v>861</v>
      </c>
    </row>
    <row r="118" spans="13:15" x14ac:dyDescent="0.3">
      <c r="M118">
        <v>71781227</v>
      </c>
      <c r="N118" t="s">
        <v>1749</v>
      </c>
      <c r="O118" t="s">
        <v>201</v>
      </c>
    </row>
    <row r="119" spans="13:15" x14ac:dyDescent="0.3">
      <c r="M119" t="s">
        <v>292</v>
      </c>
      <c r="N119" t="s">
        <v>1751</v>
      </c>
      <c r="O119" t="s">
        <v>297</v>
      </c>
    </row>
    <row r="120" spans="13:15" x14ac:dyDescent="0.3">
      <c r="M120" t="s">
        <v>246</v>
      </c>
      <c r="N120" t="s">
        <v>1287</v>
      </c>
      <c r="O120" t="s">
        <v>149</v>
      </c>
    </row>
    <row r="121" spans="13:15" x14ac:dyDescent="0.3">
      <c r="M121" t="s">
        <v>267</v>
      </c>
      <c r="N121" t="s">
        <v>1752</v>
      </c>
      <c r="O121" t="s">
        <v>207</v>
      </c>
    </row>
    <row r="122" spans="13:15" x14ac:dyDescent="0.3">
      <c r="M122">
        <v>7147882430</v>
      </c>
      <c r="N122" t="s">
        <v>1353</v>
      </c>
      <c r="O122" t="s">
        <v>875</v>
      </c>
    </row>
  </sheetData>
  <mergeCells count="1">
    <mergeCell ref="A1:G1"/>
  </mergeCells>
  <pageMargins left="0.7" right="0.7" top="0.75" bottom="0.75" header="0.3" footer="0.3"/>
  <pageSetup paperSize="9" scale="37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DFC37-6DAE-4D7A-B4FD-4C7DFD776FFC}">
  <sheetPr>
    <tabColor rgb="FF92D050"/>
    <pageSetUpPr fitToPage="1"/>
  </sheetPr>
  <dimension ref="A1:N21"/>
  <sheetViews>
    <sheetView topLeftCell="B1" workbookViewId="0">
      <selection activeCell="N26" sqref="N26"/>
    </sheetView>
  </sheetViews>
  <sheetFormatPr defaultRowHeight="14.4" x14ac:dyDescent="0.3"/>
  <cols>
    <col min="1" max="1" width="14.109375" hidden="1" customWidth="1"/>
    <col min="2" max="2" width="19.44140625" bestFit="1" customWidth="1"/>
    <col min="3" max="3" width="13.5546875" bestFit="1" customWidth="1"/>
    <col min="4" max="4" width="32" bestFit="1" customWidth="1"/>
    <col min="5" max="5" width="9.5546875" customWidth="1"/>
    <col min="6" max="6" width="10.5546875" customWidth="1"/>
    <col min="7" max="7" width="10.33203125" bestFit="1" customWidth="1"/>
    <col min="8" max="9" width="9.77734375" bestFit="1" customWidth="1"/>
    <col min="10" max="10" width="11" bestFit="1" customWidth="1"/>
    <col min="11" max="12" width="6.5546875" bestFit="1" customWidth="1"/>
    <col min="13" max="13" width="5.77734375" bestFit="1" customWidth="1"/>
    <col min="14" max="14" width="9.77734375" bestFit="1" customWidth="1"/>
  </cols>
  <sheetData>
    <row r="1" spans="1:14" x14ac:dyDescent="0.3">
      <c r="A1" t="s">
        <v>836</v>
      </c>
      <c r="B1" t="s">
        <v>307</v>
      </c>
      <c r="C1" t="s">
        <v>309</v>
      </c>
      <c r="D1" t="s">
        <v>310</v>
      </c>
      <c r="E1" t="s">
        <v>311</v>
      </c>
      <c r="F1" t="s">
        <v>22</v>
      </c>
      <c r="G1" t="s">
        <v>308</v>
      </c>
      <c r="H1" t="s">
        <v>837</v>
      </c>
      <c r="I1" t="s">
        <v>838</v>
      </c>
      <c r="J1" t="s">
        <v>839</v>
      </c>
      <c r="K1" t="s">
        <v>840</v>
      </c>
      <c r="L1" t="s">
        <v>2234</v>
      </c>
      <c r="M1" t="s">
        <v>2233</v>
      </c>
      <c r="N1" t="s">
        <v>2235</v>
      </c>
    </row>
    <row r="2" spans="1:14" x14ac:dyDescent="0.3">
      <c r="A2">
        <v>1803</v>
      </c>
      <c r="B2" t="s">
        <v>2086</v>
      </c>
      <c r="C2" s="86" t="s">
        <v>1340</v>
      </c>
      <c r="D2" t="s">
        <v>397</v>
      </c>
      <c r="E2">
        <v>25</v>
      </c>
      <c r="F2">
        <v>50</v>
      </c>
      <c r="G2">
        <v>17</v>
      </c>
      <c r="H2" t="s">
        <v>841</v>
      </c>
      <c r="I2" t="s">
        <v>841</v>
      </c>
      <c r="J2" t="s">
        <v>841</v>
      </c>
      <c r="K2" t="s">
        <v>842</v>
      </c>
      <c r="L2" t="s">
        <v>2195</v>
      </c>
      <c r="N2">
        <v>1</v>
      </c>
    </row>
    <row r="3" spans="1:14" x14ac:dyDescent="0.3">
      <c r="A3">
        <v>1804</v>
      </c>
      <c r="B3" t="s">
        <v>2087</v>
      </c>
      <c r="C3" s="86" t="s">
        <v>785</v>
      </c>
      <c r="D3" t="s">
        <v>589</v>
      </c>
      <c r="E3">
        <v>7</v>
      </c>
      <c r="F3">
        <v>50</v>
      </c>
      <c r="G3">
        <v>32</v>
      </c>
      <c r="H3" t="s">
        <v>841</v>
      </c>
      <c r="I3" t="s">
        <v>841</v>
      </c>
      <c r="J3" t="s">
        <v>841</v>
      </c>
      <c r="K3" t="s">
        <v>842</v>
      </c>
      <c r="L3" t="s">
        <v>2195</v>
      </c>
      <c r="M3">
        <v>270</v>
      </c>
    </row>
    <row r="4" spans="1:14" x14ac:dyDescent="0.3">
      <c r="A4">
        <v>1805</v>
      </c>
      <c r="B4" t="s">
        <v>2088</v>
      </c>
      <c r="C4" s="86" t="s">
        <v>786</v>
      </c>
      <c r="D4" t="s">
        <v>656</v>
      </c>
      <c r="E4">
        <v>7</v>
      </c>
      <c r="F4">
        <v>50</v>
      </c>
      <c r="G4">
        <v>16</v>
      </c>
      <c r="H4" t="s">
        <v>841</v>
      </c>
      <c r="I4" t="s">
        <v>841</v>
      </c>
      <c r="J4" t="s">
        <v>841</v>
      </c>
      <c r="K4" t="s">
        <v>842</v>
      </c>
      <c r="L4" t="s">
        <v>2195</v>
      </c>
      <c r="M4">
        <v>270</v>
      </c>
    </row>
    <row r="5" spans="1:14" x14ac:dyDescent="0.3">
      <c r="A5">
        <v>1806</v>
      </c>
      <c r="B5" t="s">
        <v>2089</v>
      </c>
      <c r="C5" s="86" t="s">
        <v>827</v>
      </c>
      <c r="D5" t="s">
        <v>2090</v>
      </c>
      <c r="E5">
        <v>7</v>
      </c>
      <c r="F5">
        <v>50</v>
      </c>
      <c r="G5">
        <v>32</v>
      </c>
      <c r="H5" t="s">
        <v>841</v>
      </c>
      <c r="I5" t="s">
        <v>841</v>
      </c>
      <c r="J5" t="s">
        <v>841</v>
      </c>
      <c r="K5" t="s">
        <v>842</v>
      </c>
      <c r="L5" t="s">
        <v>2195</v>
      </c>
    </row>
    <row r="6" spans="1:14" x14ac:dyDescent="0.3">
      <c r="A6">
        <v>1807</v>
      </c>
      <c r="B6" t="s">
        <v>2091</v>
      </c>
      <c r="C6" s="86" t="s">
        <v>979</v>
      </c>
      <c r="D6" t="s">
        <v>1355</v>
      </c>
      <c r="E6">
        <v>25</v>
      </c>
      <c r="F6">
        <v>50</v>
      </c>
      <c r="G6">
        <v>17</v>
      </c>
      <c r="H6" t="s">
        <v>841</v>
      </c>
      <c r="I6" t="s">
        <v>841</v>
      </c>
      <c r="J6" t="s">
        <v>841</v>
      </c>
      <c r="K6" t="s">
        <v>842</v>
      </c>
      <c r="L6" t="s">
        <v>2195</v>
      </c>
      <c r="N6">
        <v>1</v>
      </c>
    </row>
    <row r="7" spans="1:14" x14ac:dyDescent="0.3">
      <c r="A7">
        <v>1808</v>
      </c>
      <c r="B7" t="s">
        <v>2092</v>
      </c>
      <c r="C7" s="86" t="s">
        <v>943</v>
      </c>
      <c r="D7" t="s">
        <v>395</v>
      </c>
      <c r="E7">
        <v>25</v>
      </c>
      <c r="F7">
        <v>50</v>
      </c>
      <c r="G7">
        <v>17</v>
      </c>
      <c r="H7" t="s">
        <v>841</v>
      </c>
      <c r="I7" t="s">
        <v>841</v>
      </c>
      <c r="J7" t="s">
        <v>841</v>
      </c>
      <c r="K7" t="s">
        <v>842</v>
      </c>
      <c r="L7" t="s">
        <v>2195</v>
      </c>
      <c r="N7">
        <v>1</v>
      </c>
    </row>
    <row r="8" spans="1:14" x14ac:dyDescent="0.3">
      <c r="A8">
        <v>1809</v>
      </c>
      <c r="B8" t="s">
        <v>2093</v>
      </c>
      <c r="C8" s="86" t="s">
        <v>756</v>
      </c>
      <c r="D8" t="s">
        <v>2094</v>
      </c>
      <c r="E8">
        <v>7</v>
      </c>
      <c r="F8">
        <v>53</v>
      </c>
      <c r="G8">
        <v>16</v>
      </c>
      <c r="H8" t="s">
        <v>841</v>
      </c>
      <c r="I8" t="s">
        <v>841</v>
      </c>
      <c r="J8" t="s">
        <v>841</v>
      </c>
      <c r="K8" t="s">
        <v>842</v>
      </c>
      <c r="L8" t="s">
        <v>2195</v>
      </c>
      <c r="M8">
        <v>270</v>
      </c>
    </row>
    <row r="9" spans="1:14" x14ac:dyDescent="0.3">
      <c r="A9">
        <v>1810</v>
      </c>
      <c r="B9" t="s">
        <v>2095</v>
      </c>
      <c r="C9" s="86" t="s">
        <v>757</v>
      </c>
      <c r="D9" t="s">
        <v>2096</v>
      </c>
      <c r="E9">
        <v>7</v>
      </c>
      <c r="F9">
        <v>53</v>
      </c>
      <c r="G9">
        <v>16</v>
      </c>
      <c r="H9" t="s">
        <v>841</v>
      </c>
      <c r="I9" t="s">
        <v>841</v>
      </c>
      <c r="J9" t="s">
        <v>841</v>
      </c>
      <c r="K9" t="s">
        <v>842</v>
      </c>
      <c r="L9" t="s">
        <v>2195</v>
      </c>
      <c r="M9">
        <v>270</v>
      </c>
    </row>
    <row r="10" spans="1:14" x14ac:dyDescent="0.3">
      <c r="A10">
        <v>1811</v>
      </c>
      <c r="B10" t="s">
        <v>2097</v>
      </c>
      <c r="C10" s="86" t="s">
        <v>762</v>
      </c>
      <c r="D10" t="s">
        <v>2098</v>
      </c>
      <c r="E10">
        <v>7</v>
      </c>
      <c r="F10">
        <v>53</v>
      </c>
      <c r="G10">
        <v>32</v>
      </c>
      <c r="H10" t="s">
        <v>841</v>
      </c>
      <c r="I10" t="s">
        <v>841</v>
      </c>
      <c r="J10" t="s">
        <v>841</v>
      </c>
      <c r="K10" t="s">
        <v>842</v>
      </c>
      <c r="L10" t="s">
        <v>2195</v>
      </c>
      <c r="M10">
        <v>270</v>
      </c>
    </row>
    <row r="11" spans="1:14" x14ac:dyDescent="0.3">
      <c r="A11">
        <v>1812</v>
      </c>
      <c r="B11" t="s">
        <v>2099</v>
      </c>
      <c r="C11" s="86" t="s">
        <v>764</v>
      </c>
      <c r="D11" t="s">
        <v>2100</v>
      </c>
      <c r="E11">
        <v>7</v>
      </c>
      <c r="F11">
        <v>53</v>
      </c>
      <c r="G11">
        <v>16</v>
      </c>
      <c r="H11" t="s">
        <v>841</v>
      </c>
      <c r="I11" t="s">
        <v>841</v>
      </c>
      <c r="J11" t="s">
        <v>841</v>
      </c>
      <c r="K11" t="s">
        <v>842</v>
      </c>
      <c r="L11" t="s">
        <v>2195</v>
      </c>
      <c r="M11">
        <v>270</v>
      </c>
    </row>
    <row r="12" spans="1:14" x14ac:dyDescent="0.3">
      <c r="A12">
        <v>1818</v>
      </c>
      <c r="B12" t="s">
        <v>2101</v>
      </c>
      <c r="C12" s="86" t="s">
        <v>210</v>
      </c>
      <c r="D12" t="s">
        <v>825</v>
      </c>
      <c r="E12">
        <v>7</v>
      </c>
      <c r="F12">
        <v>52</v>
      </c>
      <c r="G12">
        <v>96</v>
      </c>
      <c r="H12" t="s">
        <v>841</v>
      </c>
      <c r="I12" t="s">
        <v>841</v>
      </c>
      <c r="J12" t="s">
        <v>841</v>
      </c>
      <c r="K12" t="s">
        <v>842</v>
      </c>
      <c r="L12" t="s">
        <v>2195</v>
      </c>
    </row>
    <row r="13" spans="1:14" x14ac:dyDescent="0.3">
      <c r="A13">
        <v>1819</v>
      </c>
      <c r="B13" t="s">
        <v>2102</v>
      </c>
      <c r="C13" s="86" t="s">
        <v>2080</v>
      </c>
      <c r="D13" t="s">
        <v>2103</v>
      </c>
      <c r="E13">
        <v>7</v>
      </c>
      <c r="F13">
        <v>52</v>
      </c>
      <c r="G13">
        <v>36</v>
      </c>
      <c r="H13" t="s">
        <v>841</v>
      </c>
      <c r="I13" t="s">
        <v>841</v>
      </c>
      <c r="J13" t="s">
        <v>841</v>
      </c>
      <c r="K13" t="s">
        <v>842</v>
      </c>
      <c r="L13">
        <v>10162</v>
      </c>
      <c r="M13">
        <v>270</v>
      </c>
    </row>
    <row r="14" spans="1:14" x14ac:dyDescent="0.3">
      <c r="A14">
        <v>1820</v>
      </c>
      <c r="B14" t="s">
        <v>2104</v>
      </c>
      <c r="C14" s="86" t="s">
        <v>2079</v>
      </c>
      <c r="D14" t="s">
        <v>2105</v>
      </c>
      <c r="E14">
        <v>7</v>
      </c>
      <c r="F14">
        <v>52</v>
      </c>
      <c r="G14">
        <v>36</v>
      </c>
      <c r="H14" t="s">
        <v>841</v>
      </c>
      <c r="I14" t="s">
        <v>841</v>
      </c>
      <c r="J14" t="s">
        <v>841</v>
      </c>
      <c r="K14" t="s">
        <v>842</v>
      </c>
      <c r="L14">
        <v>10162</v>
      </c>
      <c r="M14">
        <v>270</v>
      </c>
    </row>
    <row r="15" spans="1:14" x14ac:dyDescent="0.3">
      <c r="A15">
        <v>1821</v>
      </c>
      <c r="B15" t="s">
        <v>2106</v>
      </c>
      <c r="C15" s="86" t="s">
        <v>2082</v>
      </c>
      <c r="D15" t="s">
        <v>2100</v>
      </c>
      <c r="E15">
        <v>7</v>
      </c>
      <c r="F15">
        <v>52</v>
      </c>
      <c r="G15">
        <v>18</v>
      </c>
      <c r="H15" t="s">
        <v>841</v>
      </c>
      <c r="I15" t="s">
        <v>841</v>
      </c>
      <c r="J15" t="s">
        <v>841</v>
      </c>
      <c r="K15" t="s">
        <v>842</v>
      </c>
      <c r="L15">
        <v>10162</v>
      </c>
      <c r="N15" s="56">
        <v>1</v>
      </c>
    </row>
    <row r="16" spans="1:14" x14ac:dyDescent="0.3">
      <c r="A16">
        <v>1822</v>
      </c>
      <c r="B16" t="s">
        <v>2107</v>
      </c>
      <c r="C16" s="86" t="s">
        <v>2083</v>
      </c>
      <c r="D16" t="s">
        <v>2108</v>
      </c>
      <c r="E16">
        <v>7</v>
      </c>
      <c r="F16">
        <v>52</v>
      </c>
      <c r="G16">
        <v>18</v>
      </c>
      <c r="H16" t="s">
        <v>841</v>
      </c>
      <c r="I16" t="s">
        <v>841</v>
      </c>
      <c r="J16" t="s">
        <v>841</v>
      </c>
      <c r="K16" t="s">
        <v>842</v>
      </c>
      <c r="L16">
        <v>10162</v>
      </c>
      <c r="M16">
        <v>270</v>
      </c>
    </row>
    <row r="17" spans="1:14" x14ac:dyDescent="0.3">
      <c r="A17">
        <v>1823</v>
      </c>
      <c r="B17" t="s">
        <v>2109</v>
      </c>
      <c r="C17" s="86" t="s">
        <v>2084</v>
      </c>
      <c r="D17" t="s">
        <v>2096</v>
      </c>
      <c r="E17">
        <v>7</v>
      </c>
      <c r="F17">
        <v>52</v>
      </c>
      <c r="G17">
        <v>18</v>
      </c>
      <c r="H17" t="s">
        <v>841</v>
      </c>
      <c r="I17" t="s">
        <v>841</v>
      </c>
      <c r="J17" t="s">
        <v>841</v>
      </c>
      <c r="K17" t="s">
        <v>842</v>
      </c>
      <c r="L17">
        <v>10162</v>
      </c>
      <c r="M17">
        <v>270</v>
      </c>
    </row>
    <row r="18" spans="1:14" x14ac:dyDescent="0.3">
      <c r="A18">
        <v>1830</v>
      </c>
      <c r="B18" t="s">
        <v>2114</v>
      </c>
      <c r="C18" s="86" t="s">
        <v>2110</v>
      </c>
      <c r="D18" t="s">
        <v>2076</v>
      </c>
      <c r="E18">
        <v>7</v>
      </c>
      <c r="F18">
        <v>51</v>
      </c>
      <c r="G18">
        <v>17</v>
      </c>
      <c r="H18" t="s">
        <v>841</v>
      </c>
      <c r="I18" t="s">
        <v>841</v>
      </c>
      <c r="J18" t="s">
        <v>841</v>
      </c>
      <c r="K18" t="s">
        <v>842</v>
      </c>
      <c r="L18" t="s">
        <v>2195</v>
      </c>
      <c r="N18">
        <v>1</v>
      </c>
    </row>
    <row r="19" spans="1:14" x14ac:dyDescent="0.3">
      <c r="A19">
        <v>1831</v>
      </c>
      <c r="B19" t="s">
        <v>2115</v>
      </c>
      <c r="C19" s="86" t="s">
        <v>2111</v>
      </c>
      <c r="D19" t="s">
        <v>2116</v>
      </c>
      <c r="E19">
        <v>7</v>
      </c>
      <c r="F19">
        <v>51</v>
      </c>
      <c r="G19">
        <v>34</v>
      </c>
      <c r="H19" t="s">
        <v>841</v>
      </c>
      <c r="I19" t="s">
        <v>841</v>
      </c>
      <c r="J19" t="s">
        <v>841</v>
      </c>
      <c r="K19" t="s">
        <v>842</v>
      </c>
      <c r="L19" t="s">
        <v>2195</v>
      </c>
      <c r="N19">
        <v>1</v>
      </c>
    </row>
    <row r="20" spans="1:14" x14ac:dyDescent="0.3">
      <c r="A20">
        <v>1832</v>
      </c>
      <c r="B20" t="s">
        <v>2117</v>
      </c>
      <c r="C20" s="86" t="s">
        <v>2113</v>
      </c>
      <c r="D20" t="s">
        <v>2118</v>
      </c>
      <c r="E20">
        <v>7</v>
      </c>
      <c r="F20">
        <v>51</v>
      </c>
      <c r="G20">
        <v>17</v>
      </c>
      <c r="H20" t="s">
        <v>841</v>
      </c>
      <c r="I20" t="s">
        <v>841</v>
      </c>
      <c r="J20" t="s">
        <v>841</v>
      </c>
      <c r="K20" t="s">
        <v>842</v>
      </c>
    </row>
    <row r="21" spans="1:14" x14ac:dyDescent="0.3">
      <c r="A21">
        <v>1873</v>
      </c>
      <c r="B21" t="s">
        <v>2243</v>
      </c>
      <c r="C21" s="86" t="s">
        <v>785</v>
      </c>
      <c r="D21" t="s">
        <v>589</v>
      </c>
      <c r="E21">
        <v>7</v>
      </c>
      <c r="F21">
        <v>54</v>
      </c>
      <c r="G21">
        <v>16</v>
      </c>
      <c r="H21" t="s">
        <v>841</v>
      </c>
      <c r="I21" t="s">
        <v>841</v>
      </c>
      <c r="J21" t="s">
        <v>841</v>
      </c>
      <c r="K21" t="s">
        <v>842</v>
      </c>
      <c r="L21" t="s">
        <v>2242</v>
      </c>
    </row>
  </sheetData>
  <phoneticPr fontId="1" type="noConversion"/>
  <conditionalFormatting sqref="C1:C1048576">
    <cfRule type="duplicateValues" dxfId="22" priority="2"/>
  </conditionalFormatting>
  <conditionalFormatting sqref="D1:D1048576">
    <cfRule type="duplicateValues" dxfId="21" priority="3"/>
  </conditionalFormatting>
  <conditionalFormatting sqref="K1:K1048576">
    <cfRule type="cellIs" dxfId="20" priority="1" operator="equal">
      <formula>"passed"</formula>
    </cfRule>
  </conditionalFormatting>
  <pageMargins left="0.7" right="0.7" top="0.75" bottom="0.75" header="0.3" footer="0.3"/>
  <pageSetup paperSize="9" scale="84" fitToHeight="0" orientation="landscape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FAC55-4A46-4296-892D-05EB051E4572}">
  <sheetPr codeName="Sheet20"/>
  <dimension ref="A1:F11"/>
  <sheetViews>
    <sheetView workbookViewId="0">
      <selection activeCell="E24" sqref="E24"/>
    </sheetView>
  </sheetViews>
  <sheetFormatPr defaultRowHeight="14.4" x14ac:dyDescent="0.3"/>
  <cols>
    <col min="1" max="1" width="9.109375" bestFit="1" customWidth="1"/>
    <col min="2" max="2" width="42.33203125" bestFit="1" customWidth="1"/>
    <col min="3" max="3" width="13.109375" bestFit="1" customWidth="1"/>
    <col min="4" max="4" width="42.6640625" bestFit="1" customWidth="1"/>
    <col min="5" max="5" width="15.33203125" bestFit="1" customWidth="1"/>
    <col min="6" max="6" width="12.88671875" bestFit="1" customWidth="1"/>
  </cols>
  <sheetData>
    <row r="1" spans="1:6" ht="15" thickBot="1" x14ac:dyDescent="0.35">
      <c r="A1" s="67" t="s">
        <v>1885</v>
      </c>
      <c r="B1" s="67" t="s">
        <v>1886</v>
      </c>
      <c r="C1" s="67" t="s">
        <v>1887</v>
      </c>
      <c r="D1" s="67" t="s">
        <v>1888</v>
      </c>
      <c r="E1" s="67" t="s">
        <v>1889</v>
      </c>
      <c r="F1" s="67" t="s">
        <v>1890</v>
      </c>
    </row>
    <row r="2" spans="1:6" ht="16.2" thickBot="1" x14ac:dyDescent="0.35">
      <c r="A2" s="66">
        <v>1</v>
      </c>
      <c r="B2" s="64" t="s">
        <v>589</v>
      </c>
      <c r="C2" s="63" t="s">
        <v>2195</v>
      </c>
      <c r="D2" s="68"/>
      <c r="E2" s="65" t="s">
        <v>785</v>
      </c>
      <c r="F2" s="65">
        <v>32</v>
      </c>
    </row>
    <row r="3" spans="1:6" ht="16.2" thickBot="1" x14ac:dyDescent="0.35">
      <c r="A3" s="66">
        <v>2</v>
      </c>
      <c r="B3" s="64" t="s">
        <v>656</v>
      </c>
      <c r="C3" s="63" t="s">
        <v>2195</v>
      </c>
      <c r="D3" s="65"/>
      <c r="E3" s="65" t="s">
        <v>786</v>
      </c>
      <c r="F3" s="65">
        <v>16</v>
      </c>
    </row>
    <row r="4" spans="1:6" ht="16.2" thickBot="1" x14ac:dyDescent="0.35">
      <c r="A4" s="66">
        <v>3</v>
      </c>
      <c r="B4" s="64" t="s">
        <v>2094</v>
      </c>
      <c r="C4" s="63" t="s">
        <v>2195</v>
      </c>
      <c r="D4" s="65"/>
      <c r="E4" s="65" t="s">
        <v>756</v>
      </c>
      <c r="F4" s="65">
        <v>16</v>
      </c>
    </row>
    <row r="5" spans="1:6" ht="16.2" thickBot="1" x14ac:dyDescent="0.35">
      <c r="A5" s="66">
        <v>4</v>
      </c>
      <c r="B5" s="64" t="s">
        <v>2096</v>
      </c>
      <c r="C5" s="63" t="s">
        <v>2195</v>
      </c>
      <c r="D5" s="65"/>
      <c r="E5" s="65" t="s">
        <v>757</v>
      </c>
      <c r="F5" s="65">
        <v>16</v>
      </c>
    </row>
    <row r="6" spans="1:6" ht="16.2" thickBot="1" x14ac:dyDescent="0.35">
      <c r="A6" s="66">
        <v>5</v>
      </c>
      <c r="B6" s="64" t="s">
        <v>2098</v>
      </c>
      <c r="C6" s="63" t="s">
        <v>2195</v>
      </c>
      <c r="D6" s="65"/>
      <c r="E6" s="65" t="s">
        <v>762</v>
      </c>
      <c r="F6" s="65">
        <v>32</v>
      </c>
    </row>
    <row r="7" spans="1:6" ht="16.2" thickBot="1" x14ac:dyDescent="0.35">
      <c r="A7" s="66">
        <v>6</v>
      </c>
      <c r="B7" s="64" t="s">
        <v>2100</v>
      </c>
      <c r="C7" s="63" t="s">
        <v>2195</v>
      </c>
      <c r="D7" s="65"/>
      <c r="E7" s="65" t="s">
        <v>764</v>
      </c>
      <c r="F7" s="65">
        <v>16</v>
      </c>
    </row>
    <row r="8" spans="1:6" ht="16.2" thickBot="1" x14ac:dyDescent="0.35">
      <c r="A8" s="66">
        <v>7</v>
      </c>
      <c r="B8" s="64" t="s">
        <v>2103</v>
      </c>
      <c r="C8" s="63" t="s">
        <v>2195</v>
      </c>
      <c r="D8" s="65"/>
      <c r="E8" s="65" t="s">
        <v>2080</v>
      </c>
      <c r="F8" s="65">
        <v>36</v>
      </c>
    </row>
    <row r="9" spans="1:6" ht="16.2" thickBot="1" x14ac:dyDescent="0.35">
      <c r="A9" s="66">
        <v>8</v>
      </c>
      <c r="B9" s="64" t="s">
        <v>2105</v>
      </c>
      <c r="C9" s="63" t="s">
        <v>2195</v>
      </c>
      <c r="D9" s="65"/>
      <c r="E9" s="65" t="s">
        <v>2079</v>
      </c>
      <c r="F9" s="65">
        <v>36</v>
      </c>
    </row>
    <row r="10" spans="1:6" ht="16.2" thickBot="1" x14ac:dyDescent="0.35">
      <c r="A10" s="98">
        <v>9</v>
      </c>
      <c r="B10" s="99" t="s">
        <v>2108</v>
      </c>
      <c r="C10" s="63" t="s">
        <v>2195</v>
      </c>
      <c r="D10" s="100"/>
      <c r="E10" s="100" t="s">
        <v>2083</v>
      </c>
      <c r="F10" s="100">
        <v>18</v>
      </c>
    </row>
    <row r="11" spans="1:6" ht="16.2" thickBot="1" x14ac:dyDescent="0.35">
      <c r="A11" s="98">
        <v>10</v>
      </c>
      <c r="B11" s="99" t="s">
        <v>2096</v>
      </c>
      <c r="C11" s="63" t="s">
        <v>2195</v>
      </c>
      <c r="D11" s="100"/>
      <c r="E11" s="100" t="s">
        <v>2084</v>
      </c>
      <c r="F11" s="100">
        <v>18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2A4B7-E3BB-4FA9-B54D-228FB9F24DB0}">
  <sheetPr codeName="Sheet13">
    <tabColor rgb="FF92D050"/>
    <pageSetUpPr fitToPage="1"/>
  </sheetPr>
  <dimension ref="A1:K135"/>
  <sheetViews>
    <sheetView topLeftCell="B1" zoomScaleNormal="100" workbookViewId="0">
      <selection activeCell="B1" sqref="A1:XFD1048576"/>
    </sheetView>
  </sheetViews>
  <sheetFormatPr defaultRowHeight="14.4" x14ac:dyDescent="0.3"/>
  <cols>
    <col min="1" max="1" width="14.109375" hidden="1" customWidth="1"/>
    <col min="2" max="2" width="19.44140625" bestFit="1" customWidth="1"/>
    <col min="3" max="3" width="14.6640625" bestFit="1" customWidth="1"/>
    <col min="4" max="4" width="47.109375" bestFit="1" customWidth="1"/>
    <col min="5" max="5" width="9.5546875" customWidth="1"/>
    <col min="6" max="6" width="10.5546875" customWidth="1"/>
    <col min="7" max="7" width="10.33203125" bestFit="1" customWidth="1"/>
    <col min="8" max="9" width="9.77734375" bestFit="1" customWidth="1"/>
    <col min="10" max="10" width="11" bestFit="1" customWidth="1"/>
    <col min="11" max="11" width="9.77734375" customWidth="1"/>
  </cols>
  <sheetData>
    <row r="1" spans="1:11" x14ac:dyDescent="0.3">
      <c r="A1" t="s">
        <v>836</v>
      </c>
      <c r="B1" t="s">
        <v>307</v>
      </c>
      <c r="C1" t="s">
        <v>309</v>
      </c>
      <c r="D1" t="s">
        <v>310</v>
      </c>
      <c r="E1" t="s">
        <v>311</v>
      </c>
      <c r="F1" t="s">
        <v>22</v>
      </c>
      <c r="G1" t="s">
        <v>308</v>
      </c>
      <c r="H1" t="s">
        <v>837</v>
      </c>
      <c r="I1" t="s">
        <v>838</v>
      </c>
      <c r="J1" t="s">
        <v>839</v>
      </c>
      <c r="K1" t="s">
        <v>840</v>
      </c>
    </row>
    <row r="2" spans="1:11" x14ac:dyDescent="0.3">
      <c r="A2">
        <v>1746</v>
      </c>
      <c r="B2" t="s">
        <v>2010</v>
      </c>
      <c r="C2" s="86" t="s">
        <v>1969</v>
      </c>
      <c r="D2" t="s">
        <v>219</v>
      </c>
      <c r="E2">
        <v>7</v>
      </c>
      <c r="F2">
        <v>24</v>
      </c>
      <c r="G2">
        <v>56</v>
      </c>
      <c r="H2" t="s">
        <v>841</v>
      </c>
      <c r="I2" t="s">
        <v>841</v>
      </c>
      <c r="J2" t="s">
        <v>841</v>
      </c>
      <c r="K2" t="s">
        <v>841</v>
      </c>
    </row>
    <row r="3" spans="1:11" x14ac:dyDescent="0.3">
      <c r="A3">
        <v>1454</v>
      </c>
      <c r="B3" t="s">
        <v>1298</v>
      </c>
      <c r="C3" s="86" t="s">
        <v>192</v>
      </c>
      <c r="D3" t="s">
        <v>397</v>
      </c>
      <c r="E3">
        <v>25</v>
      </c>
      <c r="F3">
        <v>19</v>
      </c>
      <c r="G3">
        <v>420</v>
      </c>
      <c r="H3" t="s">
        <v>841</v>
      </c>
      <c r="I3" t="s">
        <v>841</v>
      </c>
      <c r="J3" t="s">
        <v>841</v>
      </c>
      <c r="K3" t="s">
        <v>842</v>
      </c>
    </row>
    <row r="4" spans="1:11" x14ac:dyDescent="0.3">
      <c r="A4">
        <v>1792</v>
      </c>
      <c r="B4" t="s">
        <v>2070</v>
      </c>
      <c r="C4" s="86" t="s">
        <v>2062</v>
      </c>
      <c r="D4" t="s">
        <v>2071</v>
      </c>
      <c r="E4">
        <v>7</v>
      </c>
      <c r="F4">
        <v>28</v>
      </c>
      <c r="G4">
        <v>112</v>
      </c>
      <c r="H4" t="s">
        <v>841</v>
      </c>
      <c r="I4" t="s">
        <v>841</v>
      </c>
      <c r="J4" t="s">
        <v>841</v>
      </c>
      <c r="K4" t="s">
        <v>841</v>
      </c>
    </row>
    <row r="5" spans="1:11" x14ac:dyDescent="0.3">
      <c r="A5">
        <v>1444</v>
      </c>
      <c r="B5" t="s">
        <v>1285</v>
      </c>
      <c r="C5" s="86" t="s">
        <v>145</v>
      </c>
      <c r="D5" t="s">
        <v>846</v>
      </c>
      <c r="E5">
        <v>7</v>
      </c>
      <c r="F5">
        <v>19</v>
      </c>
      <c r="G5">
        <v>28</v>
      </c>
      <c r="H5" t="s">
        <v>841</v>
      </c>
      <c r="I5" t="s">
        <v>841</v>
      </c>
      <c r="J5" t="s">
        <v>841</v>
      </c>
      <c r="K5" t="s">
        <v>842</v>
      </c>
    </row>
    <row r="6" spans="1:11" x14ac:dyDescent="0.3">
      <c r="A6">
        <v>1436</v>
      </c>
      <c r="B6" t="s">
        <v>1276</v>
      </c>
      <c r="C6" s="86" t="s">
        <v>133</v>
      </c>
      <c r="D6" t="s">
        <v>1253</v>
      </c>
      <c r="E6">
        <v>7</v>
      </c>
      <c r="F6">
        <v>19</v>
      </c>
      <c r="G6">
        <v>56</v>
      </c>
      <c r="H6" t="s">
        <v>841</v>
      </c>
      <c r="I6" t="s">
        <v>841</v>
      </c>
      <c r="J6" t="s">
        <v>841</v>
      </c>
      <c r="K6" t="s">
        <v>842</v>
      </c>
    </row>
    <row r="7" spans="1:11" x14ac:dyDescent="0.3">
      <c r="A7">
        <v>1656</v>
      </c>
      <c r="B7" t="s">
        <v>1773</v>
      </c>
      <c r="C7" s="86" t="s">
        <v>1772</v>
      </c>
      <c r="D7" t="s">
        <v>1774</v>
      </c>
      <c r="E7">
        <v>7</v>
      </c>
      <c r="F7">
        <v>23</v>
      </c>
      <c r="G7">
        <v>28</v>
      </c>
      <c r="H7" t="s">
        <v>841</v>
      </c>
      <c r="I7" t="s">
        <v>841</v>
      </c>
      <c r="J7" t="s">
        <v>841</v>
      </c>
      <c r="K7" t="s">
        <v>842</v>
      </c>
    </row>
    <row r="8" spans="1:11" x14ac:dyDescent="0.3">
      <c r="A8">
        <v>1786</v>
      </c>
      <c r="B8" t="s">
        <v>2053</v>
      </c>
      <c r="C8" s="86" t="s">
        <v>746</v>
      </c>
      <c r="D8" t="s">
        <v>1224</v>
      </c>
      <c r="E8">
        <v>7</v>
      </c>
      <c r="F8">
        <v>27</v>
      </c>
      <c r="G8">
        <v>28</v>
      </c>
      <c r="H8" t="s">
        <v>841</v>
      </c>
      <c r="I8" t="s">
        <v>841</v>
      </c>
      <c r="J8" t="s">
        <v>841</v>
      </c>
      <c r="K8" t="s">
        <v>841</v>
      </c>
    </row>
    <row r="9" spans="1:11" x14ac:dyDescent="0.3">
      <c r="A9">
        <v>1447</v>
      </c>
      <c r="B9" t="s">
        <v>1288</v>
      </c>
      <c r="C9" s="86" t="s">
        <v>156</v>
      </c>
      <c r="D9" t="s">
        <v>657</v>
      </c>
      <c r="E9">
        <v>7</v>
      </c>
      <c r="F9">
        <v>19</v>
      </c>
      <c r="G9">
        <v>28</v>
      </c>
      <c r="H9" t="s">
        <v>841</v>
      </c>
      <c r="I9" t="s">
        <v>841</v>
      </c>
      <c r="J9" t="s">
        <v>841</v>
      </c>
      <c r="K9" t="s">
        <v>841</v>
      </c>
    </row>
    <row r="10" spans="1:11" x14ac:dyDescent="0.3">
      <c r="A10">
        <v>1741</v>
      </c>
      <c r="B10" t="s">
        <v>2011</v>
      </c>
      <c r="C10" s="86" t="s">
        <v>1356</v>
      </c>
      <c r="D10" t="s">
        <v>235</v>
      </c>
      <c r="E10">
        <v>7</v>
      </c>
      <c r="F10">
        <v>24</v>
      </c>
      <c r="G10">
        <v>112</v>
      </c>
      <c r="H10" t="s">
        <v>841</v>
      </c>
      <c r="I10" t="s">
        <v>841</v>
      </c>
      <c r="J10" t="s">
        <v>841</v>
      </c>
      <c r="K10" t="s">
        <v>841</v>
      </c>
    </row>
    <row r="11" spans="1:11" x14ac:dyDescent="0.3">
      <c r="A11">
        <v>1752</v>
      </c>
      <c r="B11" t="s">
        <v>2012</v>
      </c>
      <c r="C11" s="86" t="s">
        <v>2007</v>
      </c>
      <c r="D11" t="s">
        <v>2013</v>
      </c>
      <c r="E11">
        <v>7</v>
      </c>
      <c r="F11">
        <v>25</v>
      </c>
      <c r="G11">
        <v>28</v>
      </c>
      <c r="H11" t="s">
        <v>841</v>
      </c>
      <c r="I11" t="s">
        <v>841</v>
      </c>
      <c r="J11" t="s">
        <v>841</v>
      </c>
      <c r="K11" t="s">
        <v>842</v>
      </c>
    </row>
    <row r="12" spans="1:11" x14ac:dyDescent="0.3">
      <c r="A12">
        <v>1455</v>
      </c>
      <c r="B12" t="s">
        <v>1301</v>
      </c>
      <c r="C12" s="86" t="s">
        <v>191</v>
      </c>
      <c r="D12" t="s">
        <v>399</v>
      </c>
      <c r="E12">
        <v>25</v>
      </c>
      <c r="F12">
        <v>19</v>
      </c>
      <c r="G12">
        <v>336</v>
      </c>
      <c r="H12" t="s">
        <v>841</v>
      </c>
      <c r="I12" t="s">
        <v>841</v>
      </c>
      <c r="J12" t="s">
        <v>841</v>
      </c>
      <c r="K12" t="s">
        <v>842</v>
      </c>
    </row>
    <row r="13" spans="1:11" x14ac:dyDescent="0.3">
      <c r="A13">
        <v>1641</v>
      </c>
      <c r="B13" t="s">
        <v>1719</v>
      </c>
      <c r="C13" s="86" t="s">
        <v>126</v>
      </c>
      <c r="D13" t="s">
        <v>342</v>
      </c>
      <c r="E13">
        <v>7</v>
      </c>
      <c r="F13">
        <v>22</v>
      </c>
      <c r="G13">
        <v>28</v>
      </c>
      <c r="H13" t="s">
        <v>841</v>
      </c>
      <c r="I13" t="s">
        <v>841</v>
      </c>
      <c r="J13" t="s">
        <v>841</v>
      </c>
      <c r="K13" t="s">
        <v>842</v>
      </c>
    </row>
    <row r="14" spans="1:11" x14ac:dyDescent="0.3">
      <c r="A14">
        <v>1632</v>
      </c>
      <c r="B14" t="s">
        <v>1720</v>
      </c>
      <c r="C14" s="86" t="s">
        <v>140</v>
      </c>
      <c r="D14" t="s">
        <v>239</v>
      </c>
      <c r="E14">
        <v>7</v>
      </c>
      <c r="F14">
        <v>22</v>
      </c>
      <c r="G14">
        <v>28</v>
      </c>
      <c r="H14" t="s">
        <v>841</v>
      </c>
      <c r="I14" t="s">
        <v>841</v>
      </c>
      <c r="J14" t="s">
        <v>841</v>
      </c>
      <c r="K14" t="s">
        <v>842</v>
      </c>
    </row>
    <row r="15" spans="1:11" x14ac:dyDescent="0.3">
      <c r="A15">
        <v>1473</v>
      </c>
      <c r="B15" t="s">
        <v>1352</v>
      </c>
      <c r="C15" s="86" t="s">
        <v>946</v>
      </c>
      <c r="D15" t="s">
        <v>384</v>
      </c>
      <c r="E15">
        <v>25</v>
      </c>
      <c r="F15">
        <v>20</v>
      </c>
      <c r="G15">
        <v>28</v>
      </c>
      <c r="H15" t="s">
        <v>841</v>
      </c>
      <c r="I15" t="s">
        <v>841</v>
      </c>
      <c r="J15" t="s">
        <v>841</v>
      </c>
      <c r="K15" t="s">
        <v>842</v>
      </c>
    </row>
    <row r="16" spans="1:11" x14ac:dyDescent="0.3">
      <c r="A16">
        <v>1629</v>
      </c>
      <c r="B16" t="s">
        <v>1721</v>
      </c>
      <c r="C16" s="86" t="s">
        <v>121</v>
      </c>
      <c r="D16" t="s">
        <v>1722</v>
      </c>
      <c r="E16">
        <v>7</v>
      </c>
      <c r="F16">
        <v>22</v>
      </c>
      <c r="G16">
        <v>28</v>
      </c>
      <c r="H16" t="s">
        <v>841</v>
      </c>
      <c r="I16" t="s">
        <v>841</v>
      </c>
      <c r="J16" t="s">
        <v>841</v>
      </c>
      <c r="K16" t="s">
        <v>842</v>
      </c>
    </row>
    <row r="17" spans="1:11" x14ac:dyDescent="0.3">
      <c r="A17">
        <v>1460</v>
      </c>
      <c r="B17" t="s">
        <v>1309</v>
      </c>
      <c r="C17" s="86" t="s">
        <v>856</v>
      </c>
      <c r="D17" t="s">
        <v>603</v>
      </c>
      <c r="E17">
        <v>7</v>
      </c>
      <c r="F17">
        <v>19</v>
      </c>
      <c r="G17">
        <v>28</v>
      </c>
      <c r="H17" t="s">
        <v>841</v>
      </c>
      <c r="I17" t="s">
        <v>841</v>
      </c>
      <c r="J17" t="s">
        <v>841</v>
      </c>
      <c r="K17" t="s">
        <v>842</v>
      </c>
    </row>
    <row r="18" spans="1:11" x14ac:dyDescent="0.3">
      <c r="A18">
        <v>1425</v>
      </c>
      <c r="B18" t="s">
        <v>1257</v>
      </c>
      <c r="C18" s="86" t="s">
        <v>81</v>
      </c>
      <c r="D18" t="s">
        <v>1258</v>
      </c>
      <c r="E18">
        <v>7</v>
      </c>
      <c r="F18">
        <v>19</v>
      </c>
      <c r="G18">
        <v>56</v>
      </c>
      <c r="H18" t="s">
        <v>841</v>
      </c>
      <c r="I18" t="s">
        <v>841</v>
      </c>
      <c r="J18" t="s">
        <v>841</v>
      </c>
      <c r="K18" t="s">
        <v>842</v>
      </c>
    </row>
    <row r="19" spans="1:11" x14ac:dyDescent="0.3">
      <c r="A19">
        <v>1428</v>
      </c>
      <c r="B19" t="s">
        <v>1262</v>
      </c>
      <c r="C19" s="86" t="s">
        <v>91</v>
      </c>
      <c r="D19" t="s">
        <v>1263</v>
      </c>
      <c r="E19">
        <v>7</v>
      </c>
      <c r="F19">
        <v>19</v>
      </c>
      <c r="G19">
        <v>28</v>
      </c>
      <c r="H19" t="s">
        <v>841</v>
      </c>
      <c r="I19" t="s">
        <v>841</v>
      </c>
      <c r="J19" t="s">
        <v>841</v>
      </c>
      <c r="K19" t="s">
        <v>842</v>
      </c>
    </row>
    <row r="20" spans="1:11" x14ac:dyDescent="0.3">
      <c r="A20">
        <v>1651</v>
      </c>
      <c r="B20" t="s">
        <v>1777</v>
      </c>
      <c r="C20" s="86" t="s">
        <v>950</v>
      </c>
      <c r="D20" t="s">
        <v>1778</v>
      </c>
      <c r="E20">
        <v>7</v>
      </c>
      <c r="F20">
        <v>23</v>
      </c>
      <c r="G20">
        <v>28</v>
      </c>
      <c r="H20" t="s">
        <v>841</v>
      </c>
      <c r="I20" t="s">
        <v>841</v>
      </c>
      <c r="J20" t="s">
        <v>841</v>
      </c>
      <c r="K20" t="s">
        <v>842</v>
      </c>
    </row>
    <row r="21" spans="1:11" x14ac:dyDescent="0.3">
      <c r="A21">
        <v>1424</v>
      </c>
      <c r="B21" t="s">
        <v>1255</v>
      </c>
      <c r="C21" s="86" t="s">
        <v>78</v>
      </c>
      <c r="D21" t="s">
        <v>1256</v>
      </c>
      <c r="E21">
        <v>7</v>
      </c>
      <c r="F21">
        <v>19</v>
      </c>
      <c r="G21">
        <v>56</v>
      </c>
      <c r="H21" t="s">
        <v>841</v>
      </c>
      <c r="I21" t="s">
        <v>841</v>
      </c>
      <c r="J21" t="s">
        <v>841</v>
      </c>
      <c r="K21" t="s">
        <v>842</v>
      </c>
    </row>
    <row r="22" spans="1:11" x14ac:dyDescent="0.3">
      <c r="A22">
        <v>1468</v>
      </c>
      <c r="B22" t="s">
        <v>1347</v>
      </c>
      <c r="C22" s="86" t="s">
        <v>982</v>
      </c>
      <c r="D22" t="s">
        <v>1348</v>
      </c>
      <c r="E22">
        <v>25</v>
      </c>
      <c r="F22">
        <v>20</v>
      </c>
      <c r="G22">
        <v>56</v>
      </c>
      <c r="H22" t="s">
        <v>841</v>
      </c>
      <c r="I22" t="s">
        <v>841</v>
      </c>
      <c r="J22" t="s">
        <v>841</v>
      </c>
      <c r="K22" t="s">
        <v>842</v>
      </c>
    </row>
    <row r="23" spans="1:11" x14ac:dyDescent="0.3">
      <c r="A23">
        <v>1427</v>
      </c>
      <c r="B23" t="s">
        <v>1261</v>
      </c>
      <c r="C23" s="86" t="s">
        <v>87</v>
      </c>
      <c r="D23" t="s">
        <v>852</v>
      </c>
      <c r="E23">
        <v>7</v>
      </c>
      <c r="F23">
        <v>19</v>
      </c>
      <c r="G23">
        <v>28</v>
      </c>
      <c r="H23" t="s">
        <v>841</v>
      </c>
      <c r="I23" t="s">
        <v>841</v>
      </c>
      <c r="J23" t="s">
        <v>841</v>
      </c>
      <c r="K23" t="s">
        <v>842</v>
      </c>
    </row>
    <row r="24" spans="1:11" x14ac:dyDescent="0.3">
      <c r="A24">
        <v>1630</v>
      </c>
      <c r="B24" t="s">
        <v>1724</v>
      </c>
      <c r="C24" s="86" t="s">
        <v>132</v>
      </c>
      <c r="D24" t="s">
        <v>1725</v>
      </c>
      <c r="E24">
        <v>7</v>
      </c>
      <c r="F24">
        <v>22</v>
      </c>
      <c r="G24">
        <v>28</v>
      </c>
      <c r="H24" t="s">
        <v>841</v>
      </c>
      <c r="I24" t="s">
        <v>841</v>
      </c>
      <c r="J24" t="s">
        <v>841</v>
      </c>
      <c r="K24" t="s">
        <v>842</v>
      </c>
    </row>
    <row r="25" spans="1:11" x14ac:dyDescent="0.3">
      <c r="A25">
        <v>1836</v>
      </c>
      <c r="B25" t="s">
        <v>2129</v>
      </c>
      <c r="C25" s="86" t="s">
        <v>2128</v>
      </c>
      <c r="D25" t="s">
        <v>212</v>
      </c>
      <c r="E25">
        <v>7</v>
      </c>
      <c r="F25">
        <v>43</v>
      </c>
      <c r="G25">
        <v>28</v>
      </c>
      <c r="H25" t="s">
        <v>841</v>
      </c>
      <c r="I25" t="s">
        <v>841</v>
      </c>
      <c r="J25" t="s">
        <v>841</v>
      </c>
      <c r="K25" t="s">
        <v>841</v>
      </c>
    </row>
    <row r="26" spans="1:11" x14ac:dyDescent="0.3">
      <c r="A26">
        <v>1631</v>
      </c>
      <c r="B26" t="s">
        <v>1728</v>
      </c>
      <c r="C26" s="86" t="s">
        <v>139</v>
      </c>
      <c r="D26" t="s">
        <v>238</v>
      </c>
      <c r="E26">
        <v>7</v>
      </c>
      <c r="F26">
        <v>22</v>
      </c>
      <c r="G26">
        <v>28</v>
      </c>
      <c r="H26" t="s">
        <v>841</v>
      </c>
      <c r="I26" t="s">
        <v>841</v>
      </c>
      <c r="J26" t="s">
        <v>841</v>
      </c>
      <c r="K26" t="s">
        <v>842</v>
      </c>
    </row>
    <row r="27" spans="1:11" x14ac:dyDescent="0.3">
      <c r="A27">
        <v>1625</v>
      </c>
      <c r="B27" t="s">
        <v>1729</v>
      </c>
      <c r="C27" s="86" t="s">
        <v>97</v>
      </c>
      <c r="D27" t="s">
        <v>323</v>
      </c>
      <c r="E27">
        <v>7</v>
      </c>
      <c r="F27">
        <v>22</v>
      </c>
      <c r="G27">
        <v>28</v>
      </c>
      <c r="H27" t="s">
        <v>841</v>
      </c>
      <c r="I27" t="s">
        <v>841</v>
      </c>
      <c r="J27" t="s">
        <v>841</v>
      </c>
      <c r="K27" t="s">
        <v>842</v>
      </c>
    </row>
    <row r="28" spans="1:11" x14ac:dyDescent="0.3">
      <c r="A28">
        <v>1453</v>
      </c>
      <c r="B28" t="s">
        <v>1305</v>
      </c>
      <c r="C28" s="86" t="s">
        <v>288</v>
      </c>
      <c r="D28" t="s">
        <v>395</v>
      </c>
      <c r="E28">
        <v>25</v>
      </c>
      <c r="F28">
        <v>19</v>
      </c>
      <c r="G28">
        <v>56</v>
      </c>
      <c r="H28" t="s">
        <v>841</v>
      </c>
      <c r="I28" t="s">
        <v>841</v>
      </c>
      <c r="J28" t="s">
        <v>841</v>
      </c>
      <c r="K28" t="s">
        <v>842</v>
      </c>
    </row>
    <row r="29" spans="1:11" x14ac:dyDescent="0.3">
      <c r="A29">
        <v>1437</v>
      </c>
      <c r="B29" t="s">
        <v>1277</v>
      </c>
      <c r="C29" s="86" t="s">
        <v>134</v>
      </c>
      <c r="D29" t="s">
        <v>1278</v>
      </c>
      <c r="E29">
        <v>7</v>
      </c>
      <c r="F29">
        <v>19</v>
      </c>
      <c r="G29">
        <v>56</v>
      </c>
      <c r="H29" t="s">
        <v>841</v>
      </c>
      <c r="I29" t="s">
        <v>841</v>
      </c>
      <c r="J29" t="s">
        <v>841</v>
      </c>
      <c r="K29" t="s">
        <v>842</v>
      </c>
    </row>
    <row r="30" spans="1:11" x14ac:dyDescent="0.3">
      <c r="A30">
        <v>1755</v>
      </c>
      <c r="B30" t="s">
        <v>2034</v>
      </c>
      <c r="C30" s="86" t="s">
        <v>2027</v>
      </c>
      <c r="D30" t="s">
        <v>225</v>
      </c>
      <c r="E30">
        <v>7</v>
      </c>
      <c r="F30">
        <v>26</v>
      </c>
      <c r="G30">
        <v>28</v>
      </c>
      <c r="H30" t="s">
        <v>841</v>
      </c>
      <c r="I30" t="s">
        <v>841</v>
      </c>
      <c r="J30" t="s">
        <v>841</v>
      </c>
      <c r="K30" t="s">
        <v>842</v>
      </c>
    </row>
    <row r="31" spans="1:11" x14ac:dyDescent="0.3">
      <c r="A31">
        <v>1633</v>
      </c>
      <c r="B31" t="s">
        <v>1731</v>
      </c>
      <c r="C31" s="86" t="s">
        <v>150</v>
      </c>
      <c r="D31" t="s">
        <v>247</v>
      </c>
      <c r="E31">
        <v>7</v>
      </c>
      <c r="F31">
        <v>22</v>
      </c>
      <c r="G31">
        <v>28</v>
      </c>
      <c r="H31" t="s">
        <v>841</v>
      </c>
      <c r="I31" t="s">
        <v>841</v>
      </c>
      <c r="J31" t="s">
        <v>841</v>
      </c>
      <c r="K31" t="s">
        <v>842</v>
      </c>
    </row>
    <row r="32" spans="1:11" x14ac:dyDescent="0.3">
      <c r="A32">
        <v>1817</v>
      </c>
      <c r="B32" t="s">
        <v>2078</v>
      </c>
      <c r="C32" s="86" t="s">
        <v>2077</v>
      </c>
      <c r="D32" t="s">
        <v>251</v>
      </c>
      <c r="E32">
        <v>7</v>
      </c>
      <c r="F32">
        <v>29</v>
      </c>
      <c r="G32">
        <v>112</v>
      </c>
      <c r="H32" t="s">
        <v>841</v>
      </c>
      <c r="I32" t="s">
        <v>841</v>
      </c>
      <c r="J32" t="s">
        <v>841</v>
      </c>
      <c r="K32" t="s">
        <v>842</v>
      </c>
    </row>
    <row r="33" spans="1:11" x14ac:dyDescent="0.3">
      <c r="A33">
        <v>1749</v>
      </c>
      <c r="B33" t="s">
        <v>2018</v>
      </c>
      <c r="C33" s="86" t="s">
        <v>2006</v>
      </c>
      <c r="D33" t="s">
        <v>936</v>
      </c>
      <c r="E33">
        <v>7</v>
      </c>
      <c r="F33">
        <v>25</v>
      </c>
      <c r="G33">
        <v>28</v>
      </c>
      <c r="H33" t="s">
        <v>841</v>
      </c>
      <c r="I33" t="s">
        <v>841</v>
      </c>
      <c r="J33" t="s">
        <v>841</v>
      </c>
      <c r="K33" t="s">
        <v>842</v>
      </c>
    </row>
    <row r="34" spans="1:11" x14ac:dyDescent="0.3">
      <c r="A34">
        <v>1442</v>
      </c>
      <c r="B34" t="s">
        <v>1283</v>
      </c>
      <c r="C34" s="86" t="s">
        <v>143</v>
      </c>
      <c r="D34" t="s">
        <v>241</v>
      </c>
      <c r="E34">
        <v>7</v>
      </c>
      <c r="F34">
        <v>19</v>
      </c>
      <c r="G34">
        <v>56</v>
      </c>
      <c r="H34" t="s">
        <v>841</v>
      </c>
      <c r="I34" t="s">
        <v>841</v>
      </c>
      <c r="J34" t="s">
        <v>841</v>
      </c>
      <c r="K34" t="s">
        <v>842</v>
      </c>
    </row>
    <row r="35" spans="1:11" x14ac:dyDescent="0.3">
      <c r="A35">
        <v>1654</v>
      </c>
      <c r="B35" t="s">
        <v>1780</v>
      </c>
      <c r="C35" s="86" t="s">
        <v>1760</v>
      </c>
      <c r="D35" t="s">
        <v>1219</v>
      </c>
      <c r="E35">
        <v>7</v>
      </c>
      <c r="F35">
        <v>23</v>
      </c>
      <c r="G35">
        <v>28</v>
      </c>
      <c r="H35" t="s">
        <v>841</v>
      </c>
      <c r="I35" t="s">
        <v>841</v>
      </c>
      <c r="J35" t="s">
        <v>841</v>
      </c>
      <c r="K35" t="s">
        <v>841</v>
      </c>
    </row>
    <row r="36" spans="1:11" x14ac:dyDescent="0.3">
      <c r="A36">
        <v>1648</v>
      </c>
      <c r="B36" t="s">
        <v>1735</v>
      </c>
      <c r="C36" s="86" t="s">
        <v>986</v>
      </c>
      <c r="D36" t="s">
        <v>1736</v>
      </c>
      <c r="E36">
        <v>7</v>
      </c>
      <c r="F36">
        <v>22</v>
      </c>
      <c r="G36">
        <v>28</v>
      </c>
      <c r="H36" t="s">
        <v>841</v>
      </c>
      <c r="I36" t="s">
        <v>841</v>
      </c>
      <c r="J36" t="s">
        <v>841</v>
      </c>
      <c r="K36" t="s">
        <v>842</v>
      </c>
    </row>
    <row r="37" spans="1:11" x14ac:dyDescent="0.3">
      <c r="A37">
        <v>1647</v>
      </c>
      <c r="B37" t="s">
        <v>1738</v>
      </c>
      <c r="C37" s="86" t="s">
        <v>1198</v>
      </c>
      <c r="D37" t="s">
        <v>1739</v>
      </c>
      <c r="E37">
        <v>7</v>
      </c>
      <c r="F37">
        <v>22</v>
      </c>
      <c r="G37">
        <v>28</v>
      </c>
      <c r="H37" t="s">
        <v>841</v>
      </c>
      <c r="I37" t="s">
        <v>841</v>
      </c>
      <c r="J37" t="s">
        <v>841</v>
      </c>
      <c r="K37" t="s">
        <v>842</v>
      </c>
    </row>
    <row r="38" spans="1:11" x14ac:dyDescent="0.3">
      <c r="A38">
        <v>1624</v>
      </c>
      <c r="B38" t="s">
        <v>1740</v>
      </c>
      <c r="C38" s="86" t="s">
        <v>90</v>
      </c>
      <c r="D38" t="s">
        <v>318</v>
      </c>
      <c r="E38">
        <v>7</v>
      </c>
      <c r="F38">
        <v>22</v>
      </c>
      <c r="G38">
        <v>28</v>
      </c>
      <c r="H38" t="s">
        <v>841</v>
      </c>
      <c r="I38" t="s">
        <v>841</v>
      </c>
      <c r="J38" t="s">
        <v>841</v>
      </c>
      <c r="K38" t="s">
        <v>842</v>
      </c>
    </row>
    <row r="39" spans="1:11" x14ac:dyDescent="0.3">
      <c r="A39">
        <v>1748</v>
      </c>
      <c r="B39" t="s">
        <v>2019</v>
      </c>
      <c r="C39" s="86" t="s">
        <v>1971</v>
      </c>
      <c r="D39" t="s">
        <v>1226</v>
      </c>
      <c r="E39">
        <v>7</v>
      </c>
      <c r="F39">
        <v>24</v>
      </c>
      <c r="G39">
        <v>56</v>
      </c>
      <c r="H39" t="s">
        <v>841</v>
      </c>
      <c r="I39" t="s">
        <v>841</v>
      </c>
      <c r="J39" t="s">
        <v>841</v>
      </c>
      <c r="K39" t="s">
        <v>841</v>
      </c>
    </row>
    <row r="40" spans="1:11" x14ac:dyDescent="0.3">
      <c r="A40">
        <v>1474</v>
      </c>
      <c r="B40" t="s">
        <v>1350</v>
      </c>
      <c r="C40" s="86" t="s">
        <v>1004</v>
      </c>
      <c r="D40" t="s">
        <v>389</v>
      </c>
      <c r="E40">
        <v>25</v>
      </c>
      <c r="F40">
        <v>20</v>
      </c>
      <c r="G40">
        <v>28</v>
      </c>
      <c r="H40" t="s">
        <v>841</v>
      </c>
      <c r="I40" t="s">
        <v>841</v>
      </c>
      <c r="J40" t="s">
        <v>841</v>
      </c>
      <c r="K40" t="s">
        <v>842</v>
      </c>
    </row>
    <row r="41" spans="1:11" x14ac:dyDescent="0.3">
      <c r="A41">
        <v>1757</v>
      </c>
      <c r="B41" t="s">
        <v>2037</v>
      </c>
      <c r="C41" s="86" t="s">
        <v>2029</v>
      </c>
      <c r="D41" t="s">
        <v>843</v>
      </c>
      <c r="E41">
        <v>7</v>
      </c>
      <c r="F41">
        <v>26</v>
      </c>
      <c r="G41">
        <v>28</v>
      </c>
      <c r="H41" t="s">
        <v>841</v>
      </c>
      <c r="I41" t="s">
        <v>841</v>
      </c>
      <c r="J41" t="s">
        <v>841</v>
      </c>
      <c r="K41" t="s">
        <v>842</v>
      </c>
    </row>
    <row r="42" spans="1:11" x14ac:dyDescent="0.3">
      <c r="A42">
        <v>1875</v>
      </c>
      <c r="B42" t="s">
        <v>2236</v>
      </c>
      <c r="C42" s="86" t="s">
        <v>802</v>
      </c>
      <c r="D42" t="s">
        <v>2237</v>
      </c>
      <c r="E42">
        <v>7</v>
      </c>
      <c r="F42">
        <v>44</v>
      </c>
      <c r="G42">
        <v>28</v>
      </c>
      <c r="H42" t="s">
        <v>841</v>
      </c>
      <c r="I42" t="s">
        <v>841</v>
      </c>
      <c r="J42" t="s">
        <v>841</v>
      </c>
      <c r="K42" t="s">
        <v>841</v>
      </c>
    </row>
    <row r="43" spans="1:11" x14ac:dyDescent="0.3">
      <c r="A43">
        <v>1638</v>
      </c>
      <c r="B43" t="s">
        <v>1741</v>
      </c>
      <c r="C43" s="86" t="s">
        <v>203</v>
      </c>
      <c r="D43" t="s">
        <v>1742</v>
      </c>
      <c r="E43">
        <v>7</v>
      </c>
      <c r="F43">
        <v>22</v>
      </c>
      <c r="G43">
        <v>28</v>
      </c>
      <c r="H43" t="s">
        <v>841</v>
      </c>
      <c r="I43" t="s">
        <v>841</v>
      </c>
      <c r="J43" t="s">
        <v>841</v>
      </c>
      <c r="K43" t="s">
        <v>842</v>
      </c>
    </row>
    <row r="44" spans="1:11" x14ac:dyDescent="0.3">
      <c r="A44">
        <v>1626</v>
      </c>
      <c r="B44" t="s">
        <v>1743</v>
      </c>
      <c r="C44" s="86" t="s">
        <v>106</v>
      </c>
      <c r="D44" t="s">
        <v>1744</v>
      </c>
      <c r="E44">
        <v>7</v>
      </c>
      <c r="F44">
        <v>22</v>
      </c>
      <c r="G44">
        <v>56</v>
      </c>
      <c r="H44" t="s">
        <v>841</v>
      </c>
      <c r="I44" t="s">
        <v>841</v>
      </c>
      <c r="J44" t="s">
        <v>841</v>
      </c>
      <c r="K44" t="s">
        <v>842</v>
      </c>
    </row>
    <row r="45" spans="1:11" x14ac:dyDescent="0.3">
      <c r="A45">
        <v>1450</v>
      </c>
      <c r="B45" t="s">
        <v>1291</v>
      </c>
      <c r="C45" s="86" t="s">
        <v>177</v>
      </c>
      <c r="D45" t="s">
        <v>373</v>
      </c>
      <c r="E45">
        <v>25</v>
      </c>
      <c r="F45">
        <v>19</v>
      </c>
      <c r="G45">
        <v>168</v>
      </c>
      <c r="H45" t="s">
        <v>841</v>
      </c>
      <c r="I45" t="s">
        <v>841</v>
      </c>
      <c r="J45" t="s">
        <v>841</v>
      </c>
      <c r="K45" t="s">
        <v>842</v>
      </c>
    </row>
    <row r="46" spans="1:11" x14ac:dyDescent="0.3">
      <c r="A46">
        <v>1472</v>
      </c>
      <c r="B46" t="s">
        <v>1349</v>
      </c>
      <c r="C46" s="86" t="s">
        <v>940</v>
      </c>
      <c r="D46" t="s">
        <v>381</v>
      </c>
      <c r="E46">
        <v>25</v>
      </c>
      <c r="F46">
        <v>20</v>
      </c>
      <c r="G46">
        <v>28</v>
      </c>
      <c r="H46" t="s">
        <v>841</v>
      </c>
      <c r="I46" t="s">
        <v>841</v>
      </c>
      <c r="J46" t="s">
        <v>841</v>
      </c>
      <c r="K46" t="s">
        <v>842</v>
      </c>
    </row>
    <row r="47" spans="1:11" x14ac:dyDescent="0.3">
      <c r="A47">
        <v>1434</v>
      </c>
      <c r="B47" t="s">
        <v>1273</v>
      </c>
      <c r="C47" s="86" t="s">
        <v>123</v>
      </c>
      <c r="D47" t="s">
        <v>1274</v>
      </c>
      <c r="E47">
        <v>7</v>
      </c>
      <c r="F47">
        <v>19</v>
      </c>
      <c r="G47">
        <v>28</v>
      </c>
      <c r="H47" t="s">
        <v>841</v>
      </c>
      <c r="I47" t="s">
        <v>841</v>
      </c>
      <c r="J47" t="s">
        <v>841</v>
      </c>
      <c r="K47" t="s">
        <v>842</v>
      </c>
    </row>
    <row r="48" spans="1:11" x14ac:dyDescent="0.3">
      <c r="A48">
        <v>1445</v>
      </c>
      <c r="B48" t="s">
        <v>1286</v>
      </c>
      <c r="C48" s="86" t="s">
        <v>147</v>
      </c>
      <c r="D48" t="s">
        <v>244</v>
      </c>
      <c r="E48">
        <v>7</v>
      </c>
      <c r="F48">
        <v>19</v>
      </c>
      <c r="G48">
        <v>56</v>
      </c>
      <c r="H48" t="s">
        <v>841</v>
      </c>
      <c r="I48" t="s">
        <v>841</v>
      </c>
      <c r="J48" t="s">
        <v>841</v>
      </c>
      <c r="K48" t="s">
        <v>842</v>
      </c>
    </row>
    <row r="49" spans="1:11" x14ac:dyDescent="0.3">
      <c r="A49">
        <v>1634</v>
      </c>
      <c r="B49" t="s">
        <v>1747</v>
      </c>
      <c r="C49" s="86" t="s">
        <v>155</v>
      </c>
      <c r="D49" t="s">
        <v>252</v>
      </c>
      <c r="E49">
        <v>7</v>
      </c>
      <c r="F49">
        <v>22</v>
      </c>
      <c r="G49">
        <v>28</v>
      </c>
      <c r="H49" t="s">
        <v>841</v>
      </c>
      <c r="I49" t="s">
        <v>841</v>
      </c>
      <c r="J49" t="s">
        <v>841</v>
      </c>
      <c r="K49" t="s">
        <v>842</v>
      </c>
    </row>
    <row r="50" spans="1:11" x14ac:dyDescent="0.3">
      <c r="A50">
        <v>1627</v>
      </c>
      <c r="B50" t="s">
        <v>1745</v>
      </c>
      <c r="C50" s="86" t="s">
        <v>108</v>
      </c>
      <c r="D50" t="s">
        <v>1746</v>
      </c>
      <c r="E50">
        <v>7</v>
      </c>
      <c r="F50">
        <v>22</v>
      </c>
      <c r="G50">
        <v>28</v>
      </c>
      <c r="H50" t="s">
        <v>841</v>
      </c>
      <c r="I50" t="s">
        <v>841</v>
      </c>
      <c r="J50" t="s">
        <v>841</v>
      </c>
      <c r="K50" t="s">
        <v>842</v>
      </c>
    </row>
    <row r="51" spans="1:11" x14ac:dyDescent="0.3">
      <c r="A51">
        <v>1435</v>
      </c>
      <c r="B51" t="s">
        <v>1275</v>
      </c>
      <c r="C51" s="86" t="s">
        <v>125</v>
      </c>
      <c r="D51" t="s">
        <v>814</v>
      </c>
      <c r="E51">
        <v>7</v>
      </c>
      <c r="F51">
        <v>19</v>
      </c>
      <c r="G51">
        <v>28</v>
      </c>
      <c r="H51" t="s">
        <v>841</v>
      </c>
      <c r="I51" t="s">
        <v>841</v>
      </c>
      <c r="J51" t="s">
        <v>841</v>
      </c>
      <c r="K51" t="s">
        <v>842</v>
      </c>
    </row>
    <row r="52" spans="1:11" x14ac:dyDescent="0.3">
      <c r="A52">
        <v>1623</v>
      </c>
      <c r="B52" t="s">
        <v>1761</v>
      </c>
      <c r="C52" s="86" t="s">
        <v>86</v>
      </c>
      <c r="D52" t="s">
        <v>1748</v>
      </c>
      <c r="E52">
        <v>7</v>
      </c>
      <c r="F52">
        <v>22</v>
      </c>
      <c r="G52">
        <v>28</v>
      </c>
      <c r="H52" t="s">
        <v>841</v>
      </c>
      <c r="I52" t="s">
        <v>841</v>
      </c>
      <c r="J52" t="s">
        <v>841</v>
      </c>
      <c r="K52" t="s">
        <v>842</v>
      </c>
    </row>
    <row r="53" spans="1:11" x14ac:dyDescent="0.3">
      <c r="A53">
        <v>1443</v>
      </c>
      <c r="B53" t="s">
        <v>1284</v>
      </c>
      <c r="C53" s="86" t="s">
        <v>144</v>
      </c>
      <c r="D53" t="s">
        <v>242</v>
      </c>
      <c r="E53">
        <v>7</v>
      </c>
      <c r="F53">
        <v>19</v>
      </c>
      <c r="G53">
        <v>28</v>
      </c>
      <c r="H53" t="s">
        <v>841</v>
      </c>
      <c r="I53" t="s">
        <v>841</v>
      </c>
      <c r="J53" t="s">
        <v>841</v>
      </c>
      <c r="K53" t="s">
        <v>842</v>
      </c>
    </row>
    <row r="54" spans="1:11" x14ac:dyDescent="0.3">
      <c r="A54">
        <v>1743</v>
      </c>
      <c r="B54" t="s">
        <v>2022</v>
      </c>
      <c r="C54" s="86" t="s">
        <v>1757</v>
      </c>
      <c r="D54" t="s">
        <v>1815</v>
      </c>
      <c r="E54">
        <v>7</v>
      </c>
      <c r="F54">
        <v>24</v>
      </c>
      <c r="G54">
        <v>28</v>
      </c>
      <c r="H54" t="s">
        <v>841</v>
      </c>
      <c r="I54" t="s">
        <v>841</v>
      </c>
      <c r="J54" t="s">
        <v>841</v>
      </c>
      <c r="K54" t="s">
        <v>842</v>
      </c>
    </row>
    <row r="55" spans="1:11" x14ac:dyDescent="0.3">
      <c r="A55">
        <v>1655</v>
      </c>
      <c r="B55" t="s">
        <v>1783</v>
      </c>
      <c r="C55" s="86" t="s">
        <v>1768</v>
      </c>
      <c r="D55" t="s">
        <v>521</v>
      </c>
      <c r="E55">
        <v>7</v>
      </c>
      <c r="F55">
        <v>23</v>
      </c>
      <c r="G55">
        <v>56</v>
      </c>
      <c r="H55" t="s">
        <v>841</v>
      </c>
      <c r="I55" t="s">
        <v>841</v>
      </c>
      <c r="J55" t="s">
        <v>841</v>
      </c>
      <c r="K55" t="s">
        <v>841</v>
      </c>
    </row>
    <row r="56" spans="1:11" x14ac:dyDescent="0.3">
      <c r="A56">
        <v>1465</v>
      </c>
      <c r="B56" t="s">
        <v>1344</v>
      </c>
      <c r="C56" s="86" t="s">
        <v>861</v>
      </c>
      <c r="D56" t="s">
        <v>364</v>
      </c>
      <c r="E56">
        <v>25</v>
      </c>
      <c r="F56">
        <v>20</v>
      </c>
      <c r="G56">
        <v>28</v>
      </c>
      <c r="H56" t="s">
        <v>841</v>
      </c>
      <c r="I56" t="s">
        <v>841</v>
      </c>
      <c r="J56" t="s">
        <v>841</v>
      </c>
      <c r="K56" t="s">
        <v>842</v>
      </c>
    </row>
    <row r="57" spans="1:11" x14ac:dyDescent="0.3">
      <c r="A57">
        <v>1637</v>
      </c>
      <c r="B57" t="s">
        <v>1749</v>
      </c>
      <c r="C57" s="86" t="s">
        <v>201</v>
      </c>
      <c r="D57" t="s">
        <v>1750</v>
      </c>
      <c r="E57">
        <v>7</v>
      </c>
      <c r="F57">
        <v>22</v>
      </c>
      <c r="G57">
        <v>28</v>
      </c>
      <c r="H57" t="s">
        <v>841</v>
      </c>
      <c r="I57" t="s">
        <v>841</v>
      </c>
      <c r="J57" t="s">
        <v>841</v>
      </c>
      <c r="K57" t="s">
        <v>842</v>
      </c>
    </row>
    <row r="58" spans="1:11" x14ac:dyDescent="0.3">
      <c r="A58">
        <v>1640</v>
      </c>
      <c r="B58" t="s">
        <v>1751</v>
      </c>
      <c r="C58" s="86" t="s">
        <v>297</v>
      </c>
      <c r="D58" t="s">
        <v>292</v>
      </c>
      <c r="E58">
        <v>7</v>
      </c>
      <c r="F58">
        <v>22</v>
      </c>
      <c r="G58">
        <v>28</v>
      </c>
      <c r="H58" t="s">
        <v>841</v>
      </c>
      <c r="I58" t="s">
        <v>841</v>
      </c>
      <c r="J58" t="s">
        <v>841</v>
      </c>
      <c r="K58" t="s">
        <v>842</v>
      </c>
    </row>
    <row r="59" spans="1:11" x14ac:dyDescent="0.3">
      <c r="A59">
        <v>1874</v>
      </c>
      <c r="B59" t="s">
        <v>2238</v>
      </c>
      <c r="C59" s="86" t="s">
        <v>784</v>
      </c>
      <c r="D59" t="s">
        <v>2239</v>
      </c>
      <c r="E59">
        <v>7</v>
      </c>
      <c r="F59">
        <v>44</v>
      </c>
      <c r="G59">
        <v>28</v>
      </c>
      <c r="H59" t="s">
        <v>841</v>
      </c>
      <c r="I59" t="s">
        <v>841</v>
      </c>
      <c r="J59" t="s">
        <v>841</v>
      </c>
      <c r="K59" t="s">
        <v>841</v>
      </c>
    </row>
    <row r="60" spans="1:11" x14ac:dyDescent="0.3">
      <c r="A60">
        <v>1745</v>
      </c>
      <c r="B60" t="s">
        <v>2009</v>
      </c>
      <c r="C60" s="86" t="s">
        <v>1904</v>
      </c>
      <c r="D60" t="s">
        <v>248</v>
      </c>
      <c r="E60">
        <v>7</v>
      </c>
      <c r="F60">
        <v>24</v>
      </c>
      <c r="G60">
        <v>56</v>
      </c>
      <c r="H60" t="s">
        <v>841</v>
      </c>
      <c r="I60" t="s">
        <v>841</v>
      </c>
      <c r="J60" t="s">
        <v>841</v>
      </c>
      <c r="K60" t="s">
        <v>842</v>
      </c>
    </row>
    <row r="61" spans="1:11" x14ac:dyDescent="0.3">
      <c r="A61">
        <v>1642</v>
      </c>
      <c r="B61" t="s">
        <v>1715</v>
      </c>
      <c r="C61" s="86" t="s">
        <v>774</v>
      </c>
      <c r="D61" t="s">
        <v>1716</v>
      </c>
      <c r="E61">
        <v>7</v>
      </c>
      <c r="F61">
        <v>22</v>
      </c>
      <c r="G61">
        <v>28</v>
      </c>
      <c r="H61" t="s">
        <v>841</v>
      </c>
      <c r="I61" t="s">
        <v>841</v>
      </c>
      <c r="J61" t="s">
        <v>841</v>
      </c>
      <c r="K61" t="s">
        <v>842</v>
      </c>
    </row>
    <row r="62" spans="1:11" x14ac:dyDescent="0.3">
      <c r="A62">
        <v>1876</v>
      </c>
      <c r="B62" t="s">
        <v>2240</v>
      </c>
      <c r="C62" s="86" t="s">
        <v>1870</v>
      </c>
      <c r="D62" t="s">
        <v>1210</v>
      </c>
      <c r="E62">
        <v>7</v>
      </c>
      <c r="F62">
        <v>44</v>
      </c>
      <c r="G62">
        <v>112</v>
      </c>
      <c r="H62" t="s">
        <v>841</v>
      </c>
      <c r="I62" t="s">
        <v>841</v>
      </c>
      <c r="J62" t="s">
        <v>841</v>
      </c>
      <c r="K62" t="s">
        <v>841</v>
      </c>
    </row>
    <row r="63" spans="1:11" x14ac:dyDescent="0.3">
      <c r="A63">
        <v>1458</v>
      </c>
      <c r="B63" t="s">
        <v>1304</v>
      </c>
      <c r="C63" s="86" t="s">
        <v>848</v>
      </c>
      <c r="D63" t="s">
        <v>1303</v>
      </c>
      <c r="E63">
        <v>7</v>
      </c>
      <c r="F63">
        <v>19</v>
      </c>
      <c r="G63">
        <v>28</v>
      </c>
      <c r="H63" t="s">
        <v>841</v>
      </c>
      <c r="I63" t="s">
        <v>841</v>
      </c>
      <c r="J63" t="s">
        <v>841</v>
      </c>
      <c r="K63" t="s">
        <v>842</v>
      </c>
    </row>
    <row r="64" spans="1:11" x14ac:dyDescent="0.3">
      <c r="A64">
        <v>1471</v>
      </c>
      <c r="B64" t="s">
        <v>1351</v>
      </c>
      <c r="C64" s="86" t="s">
        <v>937</v>
      </c>
      <c r="D64" t="s">
        <v>379</v>
      </c>
      <c r="E64">
        <v>25</v>
      </c>
      <c r="F64">
        <v>20</v>
      </c>
      <c r="G64">
        <v>28</v>
      </c>
      <c r="H64" t="s">
        <v>841</v>
      </c>
      <c r="I64" t="s">
        <v>841</v>
      </c>
      <c r="J64" t="s">
        <v>841</v>
      </c>
      <c r="K64" t="s">
        <v>842</v>
      </c>
    </row>
    <row r="65" spans="1:11" x14ac:dyDescent="0.3">
      <c r="A65">
        <v>1644</v>
      </c>
      <c r="B65" t="s">
        <v>1717</v>
      </c>
      <c r="C65" s="86" t="s">
        <v>987</v>
      </c>
      <c r="D65" t="s">
        <v>1718</v>
      </c>
      <c r="E65">
        <v>7</v>
      </c>
      <c r="F65">
        <v>22</v>
      </c>
      <c r="G65">
        <v>28</v>
      </c>
      <c r="H65" t="s">
        <v>841</v>
      </c>
      <c r="I65" t="s">
        <v>841</v>
      </c>
      <c r="J65" t="s">
        <v>841</v>
      </c>
      <c r="K65" t="s">
        <v>842</v>
      </c>
    </row>
    <row r="66" spans="1:11" x14ac:dyDescent="0.3">
      <c r="A66">
        <v>1793</v>
      </c>
      <c r="B66" t="s">
        <v>2072</v>
      </c>
      <c r="C66" s="86" t="s">
        <v>2063</v>
      </c>
      <c r="D66" t="s">
        <v>2073</v>
      </c>
      <c r="E66">
        <v>7</v>
      </c>
      <c r="F66">
        <v>28</v>
      </c>
      <c r="G66">
        <v>28</v>
      </c>
      <c r="H66" t="s">
        <v>841</v>
      </c>
      <c r="I66" t="s">
        <v>841</v>
      </c>
      <c r="J66" t="s">
        <v>841</v>
      </c>
      <c r="K66" t="s">
        <v>842</v>
      </c>
    </row>
    <row r="67" spans="1:11" x14ac:dyDescent="0.3">
      <c r="A67">
        <v>1744</v>
      </c>
      <c r="B67" t="s">
        <v>2014</v>
      </c>
      <c r="C67" s="86" t="s">
        <v>1903</v>
      </c>
      <c r="D67" t="s">
        <v>249</v>
      </c>
      <c r="E67">
        <v>7</v>
      </c>
      <c r="F67">
        <v>24</v>
      </c>
      <c r="G67">
        <v>56</v>
      </c>
      <c r="H67" t="s">
        <v>841</v>
      </c>
      <c r="I67" t="s">
        <v>841</v>
      </c>
      <c r="J67" t="s">
        <v>841</v>
      </c>
      <c r="K67" t="s">
        <v>842</v>
      </c>
    </row>
    <row r="68" spans="1:11" x14ac:dyDescent="0.3">
      <c r="A68">
        <v>1750</v>
      </c>
      <c r="B68" t="s">
        <v>2015</v>
      </c>
      <c r="C68" s="86" t="s">
        <v>2001</v>
      </c>
      <c r="D68" t="s">
        <v>2016</v>
      </c>
      <c r="E68">
        <v>7</v>
      </c>
      <c r="F68">
        <v>25</v>
      </c>
      <c r="G68">
        <v>28</v>
      </c>
      <c r="H68" t="s">
        <v>841</v>
      </c>
      <c r="I68" t="s">
        <v>841</v>
      </c>
      <c r="J68" t="s">
        <v>841</v>
      </c>
      <c r="K68" t="s">
        <v>842</v>
      </c>
    </row>
    <row r="69" spans="1:11" x14ac:dyDescent="0.3">
      <c r="A69">
        <v>1440</v>
      </c>
      <c r="B69" t="s">
        <v>1281</v>
      </c>
      <c r="C69" s="86" t="s">
        <v>141</v>
      </c>
      <c r="D69" t="s">
        <v>240</v>
      </c>
      <c r="E69">
        <v>7</v>
      </c>
      <c r="F69">
        <v>19</v>
      </c>
      <c r="G69">
        <v>28</v>
      </c>
      <c r="H69" t="s">
        <v>841</v>
      </c>
      <c r="I69" t="s">
        <v>841</v>
      </c>
      <c r="J69" t="s">
        <v>841</v>
      </c>
      <c r="K69" t="s">
        <v>842</v>
      </c>
    </row>
    <row r="70" spans="1:11" x14ac:dyDescent="0.3">
      <c r="A70">
        <v>1747</v>
      </c>
      <c r="B70" t="s">
        <v>2017</v>
      </c>
      <c r="C70" s="86" t="s">
        <v>1968</v>
      </c>
      <c r="D70" t="s">
        <v>1227</v>
      </c>
      <c r="E70">
        <v>7</v>
      </c>
      <c r="F70">
        <v>24</v>
      </c>
      <c r="G70">
        <v>56</v>
      </c>
      <c r="H70" t="s">
        <v>841</v>
      </c>
      <c r="I70" t="s">
        <v>841</v>
      </c>
      <c r="J70" t="s">
        <v>841</v>
      </c>
      <c r="K70" t="s">
        <v>841</v>
      </c>
    </row>
    <row r="71" spans="1:11" x14ac:dyDescent="0.3">
      <c r="A71">
        <v>1452</v>
      </c>
      <c r="B71" t="s">
        <v>1294</v>
      </c>
      <c r="C71" s="86" t="s">
        <v>190</v>
      </c>
      <c r="D71" t="s">
        <v>391</v>
      </c>
      <c r="E71">
        <v>25</v>
      </c>
      <c r="F71">
        <v>19</v>
      </c>
      <c r="G71">
        <v>56</v>
      </c>
      <c r="H71" t="s">
        <v>841</v>
      </c>
      <c r="I71" t="s">
        <v>841</v>
      </c>
      <c r="J71" t="s">
        <v>841</v>
      </c>
      <c r="K71" t="s">
        <v>842</v>
      </c>
    </row>
    <row r="72" spans="1:11" x14ac:dyDescent="0.3">
      <c r="A72">
        <v>1794</v>
      </c>
      <c r="B72" t="s">
        <v>2074</v>
      </c>
      <c r="C72" s="86" t="s">
        <v>2066</v>
      </c>
      <c r="D72" t="s">
        <v>217</v>
      </c>
      <c r="E72">
        <v>7</v>
      </c>
      <c r="F72">
        <v>28</v>
      </c>
      <c r="G72">
        <v>84</v>
      </c>
      <c r="H72" t="s">
        <v>841</v>
      </c>
      <c r="I72" t="s">
        <v>841</v>
      </c>
      <c r="J72" t="s">
        <v>841</v>
      </c>
      <c r="K72" t="s">
        <v>841</v>
      </c>
    </row>
    <row r="73" spans="1:11" x14ac:dyDescent="0.3">
      <c r="A73">
        <v>1467</v>
      </c>
      <c r="B73" t="s">
        <v>1354</v>
      </c>
      <c r="C73" s="86" t="s">
        <v>979</v>
      </c>
      <c r="D73" t="s">
        <v>1355</v>
      </c>
      <c r="E73">
        <v>25</v>
      </c>
      <c r="F73">
        <v>20</v>
      </c>
      <c r="G73">
        <v>28</v>
      </c>
      <c r="H73" t="s">
        <v>841</v>
      </c>
      <c r="I73" t="s">
        <v>841</v>
      </c>
      <c r="J73" t="s">
        <v>841</v>
      </c>
      <c r="K73" t="s">
        <v>842</v>
      </c>
    </row>
    <row r="74" spans="1:11" x14ac:dyDescent="0.3">
      <c r="A74">
        <v>1426</v>
      </c>
      <c r="B74" t="s">
        <v>1259</v>
      </c>
      <c r="C74" s="86" t="s">
        <v>84</v>
      </c>
      <c r="D74" t="s">
        <v>1260</v>
      </c>
      <c r="E74">
        <v>7</v>
      </c>
      <c r="F74">
        <v>19</v>
      </c>
      <c r="G74">
        <v>84</v>
      </c>
      <c r="H74" t="s">
        <v>841</v>
      </c>
      <c r="I74" t="s">
        <v>841</v>
      </c>
      <c r="J74" t="s">
        <v>841</v>
      </c>
      <c r="K74" t="s">
        <v>842</v>
      </c>
    </row>
    <row r="75" spans="1:11" x14ac:dyDescent="0.3">
      <c r="A75">
        <v>1433</v>
      </c>
      <c r="B75" t="s">
        <v>1271</v>
      </c>
      <c r="C75" s="86" t="s">
        <v>122</v>
      </c>
      <c r="D75" t="s">
        <v>1272</v>
      </c>
      <c r="E75">
        <v>7</v>
      </c>
      <c r="F75">
        <v>19</v>
      </c>
      <c r="G75">
        <v>84</v>
      </c>
      <c r="H75" t="s">
        <v>841</v>
      </c>
      <c r="I75" t="s">
        <v>841</v>
      </c>
      <c r="J75" t="s">
        <v>841</v>
      </c>
      <c r="K75" t="s">
        <v>842</v>
      </c>
    </row>
    <row r="76" spans="1:11" x14ac:dyDescent="0.3">
      <c r="A76">
        <v>1789</v>
      </c>
      <c r="B76" t="s">
        <v>2054</v>
      </c>
      <c r="C76" s="86" t="s">
        <v>2047</v>
      </c>
      <c r="D76" t="s">
        <v>2055</v>
      </c>
      <c r="E76">
        <v>7</v>
      </c>
      <c r="F76">
        <v>27</v>
      </c>
      <c r="G76">
        <v>28</v>
      </c>
      <c r="H76" t="s">
        <v>841</v>
      </c>
      <c r="I76" t="s">
        <v>841</v>
      </c>
      <c r="J76" t="s">
        <v>841</v>
      </c>
      <c r="K76" t="s">
        <v>842</v>
      </c>
    </row>
    <row r="77" spans="1:11" x14ac:dyDescent="0.3">
      <c r="A77">
        <v>1475</v>
      </c>
      <c r="B77" t="s">
        <v>1343</v>
      </c>
      <c r="C77" s="86" t="s">
        <v>943</v>
      </c>
      <c r="D77" t="s">
        <v>395</v>
      </c>
      <c r="E77">
        <v>25</v>
      </c>
      <c r="F77">
        <v>20</v>
      </c>
      <c r="G77">
        <v>56</v>
      </c>
      <c r="H77" t="s">
        <v>841</v>
      </c>
      <c r="I77" t="s">
        <v>841</v>
      </c>
      <c r="J77" t="s">
        <v>841</v>
      </c>
      <c r="K77" t="s">
        <v>842</v>
      </c>
    </row>
    <row r="78" spans="1:11" x14ac:dyDescent="0.3">
      <c r="A78">
        <v>1448</v>
      </c>
      <c r="B78" t="s">
        <v>1289</v>
      </c>
      <c r="C78" s="86" t="s">
        <v>169</v>
      </c>
      <c r="D78" t="s">
        <v>627</v>
      </c>
      <c r="E78">
        <v>7</v>
      </c>
      <c r="F78">
        <v>19</v>
      </c>
      <c r="G78">
        <v>28</v>
      </c>
      <c r="H78" t="s">
        <v>841</v>
      </c>
      <c r="I78" t="s">
        <v>841</v>
      </c>
      <c r="J78" t="s">
        <v>841</v>
      </c>
      <c r="K78" t="s">
        <v>842</v>
      </c>
    </row>
    <row r="79" spans="1:11" x14ac:dyDescent="0.3">
      <c r="A79">
        <v>1652</v>
      </c>
      <c r="B79" t="s">
        <v>1775</v>
      </c>
      <c r="C79" s="86" t="s">
        <v>1759</v>
      </c>
      <c r="D79" t="s">
        <v>1776</v>
      </c>
      <c r="E79">
        <v>7</v>
      </c>
      <c r="F79">
        <v>23</v>
      </c>
      <c r="G79">
        <v>28</v>
      </c>
      <c r="H79" t="s">
        <v>841</v>
      </c>
      <c r="I79" t="s">
        <v>841</v>
      </c>
      <c r="J79" t="s">
        <v>841</v>
      </c>
      <c r="K79" t="s">
        <v>841</v>
      </c>
    </row>
    <row r="80" spans="1:11" x14ac:dyDescent="0.3">
      <c r="A80">
        <v>1791</v>
      </c>
      <c r="B80" t="s">
        <v>2056</v>
      </c>
      <c r="C80" s="86" t="s">
        <v>2050</v>
      </c>
      <c r="D80" t="s">
        <v>579</v>
      </c>
      <c r="E80">
        <v>7</v>
      </c>
      <c r="F80">
        <v>27</v>
      </c>
      <c r="G80">
        <v>28</v>
      </c>
      <c r="H80" t="s">
        <v>841</v>
      </c>
      <c r="I80" t="s">
        <v>841</v>
      </c>
      <c r="J80" t="s">
        <v>841</v>
      </c>
      <c r="K80" t="s">
        <v>841</v>
      </c>
    </row>
    <row r="81" spans="1:11" x14ac:dyDescent="0.3">
      <c r="A81">
        <v>1423</v>
      </c>
      <c r="B81" t="s">
        <v>1254</v>
      </c>
      <c r="C81" s="86" t="s">
        <v>75</v>
      </c>
      <c r="D81" t="s">
        <v>835</v>
      </c>
      <c r="E81">
        <v>7</v>
      </c>
      <c r="F81">
        <v>19</v>
      </c>
      <c r="G81">
        <v>28</v>
      </c>
      <c r="H81" t="s">
        <v>841</v>
      </c>
      <c r="I81" t="s">
        <v>841</v>
      </c>
      <c r="J81" t="s">
        <v>841</v>
      </c>
      <c r="K81" t="s">
        <v>842</v>
      </c>
    </row>
    <row r="82" spans="1:11" x14ac:dyDescent="0.3">
      <c r="A82">
        <v>1451</v>
      </c>
      <c r="B82" t="s">
        <v>1292</v>
      </c>
      <c r="C82" s="86" t="s">
        <v>187</v>
      </c>
      <c r="D82" t="s">
        <v>386</v>
      </c>
      <c r="E82">
        <v>25</v>
      </c>
      <c r="F82">
        <v>19</v>
      </c>
      <c r="G82">
        <v>56</v>
      </c>
      <c r="H82" t="s">
        <v>841</v>
      </c>
      <c r="I82" t="s">
        <v>841</v>
      </c>
      <c r="J82" t="s">
        <v>841</v>
      </c>
      <c r="K82" t="s">
        <v>842</v>
      </c>
    </row>
    <row r="83" spans="1:11" x14ac:dyDescent="0.3">
      <c r="A83">
        <v>1635</v>
      </c>
      <c r="B83" t="s">
        <v>1723</v>
      </c>
      <c r="C83" s="86" t="s">
        <v>161</v>
      </c>
      <c r="D83" t="s">
        <v>596</v>
      </c>
      <c r="E83">
        <v>7</v>
      </c>
      <c r="F83">
        <v>22</v>
      </c>
      <c r="G83">
        <v>28</v>
      </c>
      <c r="H83" t="s">
        <v>841</v>
      </c>
      <c r="I83" t="s">
        <v>841</v>
      </c>
      <c r="J83" t="s">
        <v>841</v>
      </c>
      <c r="K83" t="s">
        <v>842</v>
      </c>
    </row>
    <row r="84" spans="1:11" x14ac:dyDescent="0.3">
      <c r="A84">
        <v>1645</v>
      </c>
      <c r="B84" t="s">
        <v>1726</v>
      </c>
      <c r="C84" s="86" t="s">
        <v>970</v>
      </c>
      <c r="D84" t="s">
        <v>1727</v>
      </c>
      <c r="E84">
        <v>7</v>
      </c>
      <c r="F84">
        <v>22</v>
      </c>
      <c r="G84">
        <v>28</v>
      </c>
      <c r="H84" t="s">
        <v>841</v>
      </c>
      <c r="I84" t="s">
        <v>841</v>
      </c>
      <c r="J84" t="s">
        <v>841</v>
      </c>
      <c r="K84" t="s">
        <v>842</v>
      </c>
    </row>
    <row r="85" spans="1:11" x14ac:dyDescent="0.3">
      <c r="A85">
        <v>1650</v>
      </c>
      <c r="B85" t="s">
        <v>1779</v>
      </c>
      <c r="C85" s="86" t="s">
        <v>148</v>
      </c>
      <c r="D85" t="s">
        <v>245</v>
      </c>
      <c r="E85">
        <v>7</v>
      </c>
      <c r="F85">
        <v>23</v>
      </c>
      <c r="G85">
        <v>28</v>
      </c>
      <c r="H85" t="s">
        <v>841</v>
      </c>
      <c r="I85" t="s">
        <v>841</v>
      </c>
      <c r="J85" t="s">
        <v>841</v>
      </c>
      <c r="K85" t="s">
        <v>842</v>
      </c>
    </row>
    <row r="86" spans="1:11" x14ac:dyDescent="0.3">
      <c r="A86">
        <v>1756</v>
      </c>
      <c r="B86" t="s">
        <v>2033</v>
      </c>
      <c r="C86" s="86" t="s">
        <v>2028</v>
      </c>
      <c r="D86" t="s">
        <v>224</v>
      </c>
      <c r="E86">
        <v>7</v>
      </c>
      <c r="F86">
        <v>26</v>
      </c>
      <c r="G86">
        <v>28</v>
      </c>
      <c r="H86" t="s">
        <v>841</v>
      </c>
      <c r="I86" t="s">
        <v>841</v>
      </c>
      <c r="J86" t="s">
        <v>841</v>
      </c>
      <c r="K86" t="s">
        <v>842</v>
      </c>
    </row>
    <row r="87" spans="1:11" x14ac:dyDescent="0.3">
      <c r="A87">
        <v>1429</v>
      </c>
      <c r="B87" t="s">
        <v>1264</v>
      </c>
      <c r="C87" s="86" t="s">
        <v>103</v>
      </c>
      <c r="D87" t="s">
        <v>221</v>
      </c>
      <c r="E87">
        <v>7</v>
      </c>
      <c r="F87">
        <v>19</v>
      </c>
      <c r="G87">
        <v>28</v>
      </c>
      <c r="H87" t="s">
        <v>841</v>
      </c>
      <c r="I87" t="s">
        <v>841</v>
      </c>
      <c r="J87" t="s">
        <v>841</v>
      </c>
      <c r="K87" t="s">
        <v>842</v>
      </c>
    </row>
    <row r="88" spans="1:11" x14ac:dyDescent="0.3">
      <c r="A88">
        <v>1432</v>
      </c>
      <c r="B88" t="s">
        <v>1269</v>
      </c>
      <c r="C88" s="86" t="s">
        <v>118</v>
      </c>
      <c r="D88" t="s">
        <v>1270</v>
      </c>
      <c r="E88">
        <v>7</v>
      </c>
      <c r="F88">
        <v>19</v>
      </c>
      <c r="G88">
        <v>28</v>
      </c>
      <c r="H88" t="s">
        <v>841</v>
      </c>
      <c r="I88" t="s">
        <v>841</v>
      </c>
      <c r="J88" t="s">
        <v>841</v>
      </c>
      <c r="K88" t="s">
        <v>842</v>
      </c>
    </row>
    <row r="89" spans="1:11" x14ac:dyDescent="0.3">
      <c r="A89">
        <v>1456</v>
      </c>
      <c r="B89" t="s">
        <v>1307</v>
      </c>
      <c r="C89" s="86" t="s">
        <v>289</v>
      </c>
      <c r="D89" t="s">
        <v>599</v>
      </c>
      <c r="E89">
        <v>7</v>
      </c>
      <c r="F89">
        <v>19</v>
      </c>
      <c r="G89">
        <v>28</v>
      </c>
      <c r="H89" t="s">
        <v>841</v>
      </c>
      <c r="I89" t="s">
        <v>841</v>
      </c>
      <c r="J89" t="s">
        <v>841</v>
      </c>
      <c r="K89" t="s">
        <v>842</v>
      </c>
    </row>
    <row r="90" spans="1:11" x14ac:dyDescent="0.3">
      <c r="A90">
        <v>1463</v>
      </c>
      <c r="B90" t="s">
        <v>1299</v>
      </c>
      <c r="C90" s="86" t="s">
        <v>969</v>
      </c>
      <c r="D90" t="s">
        <v>1300</v>
      </c>
      <c r="E90">
        <v>7</v>
      </c>
      <c r="F90">
        <v>19</v>
      </c>
      <c r="G90">
        <v>28</v>
      </c>
      <c r="H90" t="s">
        <v>841</v>
      </c>
      <c r="I90" t="s">
        <v>841</v>
      </c>
      <c r="J90" t="s">
        <v>841</v>
      </c>
      <c r="K90" t="s">
        <v>842</v>
      </c>
    </row>
    <row r="91" spans="1:11" x14ac:dyDescent="0.3">
      <c r="A91">
        <v>1628</v>
      </c>
      <c r="B91" t="s">
        <v>1730</v>
      </c>
      <c r="C91" s="86" t="s">
        <v>745</v>
      </c>
      <c r="D91" t="s">
        <v>335</v>
      </c>
      <c r="E91">
        <v>7</v>
      </c>
      <c r="F91">
        <v>22</v>
      </c>
      <c r="G91">
        <v>28</v>
      </c>
      <c r="H91" t="s">
        <v>841</v>
      </c>
      <c r="I91" t="s">
        <v>841</v>
      </c>
      <c r="J91" t="s">
        <v>841</v>
      </c>
      <c r="K91" t="s">
        <v>842</v>
      </c>
    </row>
    <row r="92" spans="1:11" x14ac:dyDescent="0.3">
      <c r="A92">
        <v>1476</v>
      </c>
      <c r="B92" t="s">
        <v>1342</v>
      </c>
      <c r="C92" s="86" t="s">
        <v>954</v>
      </c>
      <c r="D92" t="s">
        <v>397</v>
      </c>
      <c r="E92">
        <v>25</v>
      </c>
      <c r="F92">
        <v>20</v>
      </c>
      <c r="G92">
        <v>112</v>
      </c>
      <c r="H92" t="s">
        <v>841</v>
      </c>
      <c r="I92" t="s">
        <v>841</v>
      </c>
      <c r="J92" t="s">
        <v>841</v>
      </c>
      <c r="K92" t="s">
        <v>841</v>
      </c>
    </row>
    <row r="93" spans="1:11" x14ac:dyDescent="0.3">
      <c r="A93">
        <v>1636</v>
      </c>
      <c r="B93" t="s">
        <v>1734</v>
      </c>
      <c r="C93" s="86" t="s">
        <v>170</v>
      </c>
      <c r="D93" t="s">
        <v>261</v>
      </c>
      <c r="E93">
        <v>7</v>
      </c>
      <c r="F93">
        <v>22</v>
      </c>
      <c r="G93">
        <v>28</v>
      </c>
      <c r="H93" t="s">
        <v>841</v>
      </c>
      <c r="I93" t="s">
        <v>841</v>
      </c>
      <c r="J93" t="s">
        <v>841</v>
      </c>
      <c r="K93" t="s">
        <v>842</v>
      </c>
    </row>
    <row r="94" spans="1:11" x14ac:dyDescent="0.3">
      <c r="A94">
        <v>1646</v>
      </c>
      <c r="B94" t="s">
        <v>1732</v>
      </c>
      <c r="C94" s="86" t="s">
        <v>964</v>
      </c>
      <c r="D94" t="s">
        <v>1733</v>
      </c>
      <c r="E94">
        <v>7</v>
      </c>
      <c r="F94">
        <v>22</v>
      </c>
      <c r="G94">
        <v>28</v>
      </c>
      <c r="H94" t="s">
        <v>841</v>
      </c>
      <c r="I94" t="s">
        <v>841</v>
      </c>
      <c r="J94" t="s">
        <v>841</v>
      </c>
      <c r="K94" t="s">
        <v>842</v>
      </c>
    </row>
    <row r="95" spans="1:11" x14ac:dyDescent="0.3">
      <c r="A95">
        <v>1449</v>
      </c>
      <c r="B95" t="s">
        <v>1290</v>
      </c>
      <c r="C95" s="86" t="s">
        <v>172</v>
      </c>
      <c r="D95" t="s">
        <v>366</v>
      </c>
      <c r="E95">
        <v>25</v>
      </c>
      <c r="F95">
        <v>19</v>
      </c>
      <c r="G95">
        <v>840</v>
      </c>
      <c r="H95" t="s">
        <v>841</v>
      </c>
      <c r="I95" t="s">
        <v>841</v>
      </c>
      <c r="J95" t="s">
        <v>841</v>
      </c>
      <c r="K95" t="s">
        <v>842</v>
      </c>
    </row>
    <row r="96" spans="1:11" x14ac:dyDescent="0.3">
      <c r="A96">
        <v>1457</v>
      </c>
      <c r="B96" t="s">
        <v>1308</v>
      </c>
      <c r="C96" s="86" t="s">
        <v>832</v>
      </c>
      <c r="D96" t="s">
        <v>834</v>
      </c>
      <c r="E96">
        <v>7</v>
      </c>
      <c r="F96">
        <v>19</v>
      </c>
      <c r="G96">
        <v>56</v>
      </c>
      <c r="H96" t="s">
        <v>841</v>
      </c>
      <c r="I96" t="s">
        <v>841</v>
      </c>
      <c r="J96" t="s">
        <v>841</v>
      </c>
      <c r="K96" t="s">
        <v>842</v>
      </c>
    </row>
    <row r="97" spans="1:11" x14ac:dyDescent="0.3">
      <c r="A97">
        <v>1758</v>
      </c>
      <c r="B97" t="s">
        <v>2035</v>
      </c>
      <c r="C97" s="86" t="s">
        <v>2030</v>
      </c>
      <c r="D97" t="s">
        <v>218</v>
      </c>
      <c r="E97">
        <v>7</v>
      </c>
      <c r="F97">
        <v>26</v>
      </c>
      <c r="G97">
        <v>28</v>
      </c>
      <c r="H97" t="s">
        <v>841</v>
      </c>
      <c r="I97" t="s">
        <v>841</v>
      </c>
      <c r="J97" t="s">
        <v>841</v>
      </c>
      <c r="K97" t="s">
        <v>841</v>
      </c>
    </row>
    <row r="98" spans="1:11" x14ac:dyDescent="0.3">
      <c r="A98">
        <v>1469</v>
      </c>
      <c r="B98" t="s">
        <v>1346</v>
      </c>
      <c r="C98" s="86" t="s">
        <v>973</v>
      </c>
      <c r="D98" t="s">
        <v>370</v>
      </c>
      <c r="E98">
        <v>25</v>
      </c>
      <c r="F98">
        <v>20</v>
      </c>
      <c r="G98">
        <v>28</v>
      </c>
      <c r="H98" t="s">
        <v>841</v>
      </c>
      <c r="I98" t="s">
        <v>841</v>
      </c>
      <c r="J98" t="s">
        <v>841</v>
      </c>
      <c r="K98" t="s">
        <v>841</v>
      </c>
    </row>
    <row r="99" spans="1:11" x14ac:dyDescent="0.3">
      <c r="A99">
        <v>1431</v>
      </c>
      <c r="B99" t="s">
        <v>1267</v>
      </c>
      <c r="C99" s="86" t="s">
        <v>117</v>
      </c>
      <c r="D99" t="s">
        <v>1268</v>
      </c>
      <c r="E99">
        <v>7</v>
      </c>
      <c r="F99">
        <v>19</v>
      </c>
      <c r="G99">
        <v>56</v>
      </c>
      <c r="H99" t="s">
        <v>841</v>
      </c>
      <c r="I99" t="s">
        <v>841</v>
      </c>
      <c r="J99" t="s">
        <v>841</v>
      </c>
      <c r="K99" t="s">
        <v>842</v>
      </c>
    </row>
    <row r="100" spans="1:11" x14ac:dyDescent="0.3">
      <c r="A100">
        <v>1461</v>
      </c>
      <c r="B100" t="s">
        <v>1310</v>
      </c>
      <c r="C100" s="86" t="s">
        <v>857</v>
      </c>
      <c r="D100" t="s">
        <v>1293</v>
      </c>
      <c r="E100">
        <v>7</v>
      </c>
      <c r="F100">
        <v>19</v>
      </c>
      <c r="G100">
        <v>28</v>
      </c>
      <c r="H100" t="s">
        <v>841</v>
      </c>
      <c r="I100" t="s">
        <v>841</v>
      </c>
      <c r="J100" t="s">
        <v>841</v>
      </c>
      <c r="K100" t="s">
        <v>841</v>
      </c>
    </row>
    <row r="101" spans="1:11" x14ac:dyDescent="0.3">
      <c r="A101">
        <v>1649</v>
      </c>
      <c r="B101" t="s">
        <v>1781</v>
      </c>
      <c r="C101" s="86" t="s">
        <v>80</v>
      </c>
      <c r="D101" t="s">
        <v>515</v>
      </c>
      <c r="E101">
        <v>7</v>
      </c>
      <c r="F101">
        <v>23</v>
      </c>
      <c r="G101">
        <v>56</v>
      </c>
      <c r="H101" t="s">
        <v>841</v>
      </c>
      <c r="I101" t="s">
        <v>841</v>
      </c>
      <c r="J101" t="s">
        <v>841</v>
      </c>
      <c r="K101" t="s">
        <v>841</v>
      </c>
    </row>
    <row r="102" spans="1:11" x14ac:dyDescent="0.3">
      <c r="A102">
        <v>1643</v>
      </c>
      <c r="B102" t="s">
        <v>1737</v>
      </c>
      <c r="C102" s="86" t="s">
        <v>1363</v>
      </c>
      <c r="D102" t="s">
        <v>609</v>
      </c>
      <c r="E102">
        <v>7</v>
      </c>
      <c r="F102">
        <v>22</v>
      </c>
      <c r="G102">
        <v>28</v>
      </c>
      <c r="H102" t="s">
        <v>841</v>
      </c>
      <c r="I102" t="s">
        <v>841</v>
      </c>
      <c r="J102" t="s">
        <v>841</v>
      </c>
      <c r="K102" t="s">
        <v>842</v>
      </c>
    </row>
    <row r="103" spans="1:11" x14ac:dyDescent="0.3">
      <c r="A103">
        <v>1438</v>
      </c>
      <c r="B103" t="s">
        <v>1279</v>
      </c>
      <c r="C103" s="86" t="s">
        <v>137</v>
      </c>
      <c r="D103" t="s">
        <v>1239</v>
      </c>
      <c r="E103">
        <v>7</v>
      </c>
      <c r="F103">
        <v>19</v>
      </c>
      <c r="G103">
        <v>280</v>
      </c>
      <c r="H103" t="s">
        <v>841</v>
      </c>
      <c r="I103" t="s">
        <v>841</v>
      </c>
      <c r="J103" t="s">
        <v>841</v>
      </c>
      <c r="K103" t="s">
        <v>842</v>
      </c>
    </row>
    <row r="104" spans="1:11" x14ac:dyDescent="0.3">
      <c r="A104">
        <v>1459</v>
      </c>
      <c r="B104" t="s">
        <v>1302</v>
      </c>
      <c r="C104" s="86" t="s">
        <v>850</v>
      </c>
      <c r="D104" t="s">
        <v>1303</v>
      </c>
      <c r="E104">
        <v>7</v>
      </c>
      <c r="F104">
        <v>19</v>
      </c>
      <c r="G104">
        <v>28</v>
      </c>
      <c r="H104" t="s">
        <v>841</v>
      </c>
      <c r="I104" t="s">
        <v>841</v>
      </c>
      <c r="J104" t="s">
        <v>841</v>
      </c>
      <c r="K104" t="s">
        <v>842</v>
      </c>
    </row>
    <row r="105" spans="1:11" x14ac:dyDescent="0.3">
      <c r="A105">
        <v>1790</v>
      </c>
      <c r="B105" t="s">
        <v>2057</v>
      </c>
      <c r="C105" s="86" t="s">
        <v>2049</v>
      </c>
      <c r="D105" t="s">
        <v>214</v>
      </c>
      <c r="E105">
        <v>7</v>
      </c>
      <c r="F105">
        <v>27</v>
      </c>
      <c r="G105">
        <v>28</v>
      </c>
      <c r="H105" t="s">
        <v>841</v>
      </c>
      <c r="I105" t="s">
        <v>841</v>
      </c>
      <c r="J105" t="s">
        <v>841</v>
      </c>
      <c r="K105" t="s">
        <v>841</v>
      </c>
    </row>
    <row r="106" spans="1:11" x14ac:dyDescent="0.3">
      <c r="A106">
        <v>1787</v>
      </c>
      <c r="B106" t="s">
        <v>2058</v>
      </c>
      <c r="C106" s="86" t="s">
        <v>2043</v>
      </c>
      <c r="D106" t="s">
        <v>2059</v>
      </c>
      <c r="E106">
        <v>7</v>
      </c>
      <c r="F106">
        <v>27</v>
      </c>
      <c r="G106">
        <v>28</v>
      </c>
      <c r="H106" t="s">
        <v>841</v>
      </c>
      <c r="I106" t="s">
        <v>841</v>
      </c>
      <c r="J106" t="s">
        <v>841</v>
      </c>
      <c r="K106" t="s">
        <v>842</v>
      </c>
    </row>
    <row r="107" spans="1:11" x14ac:dyDescent="0.3">
      <c r="A107">
        <v>1753</v>
      </c>
      <c r="B107" t="s">
        <v>2036</v>
      </c>
      <c r="C107" s="86" t="s">
        <v>2023</v>
      </c>
      <c r="D107" t="s">
        <v>936</v>
      </c>
      <c r="E107">
        <v>7</v>
      </c>
      <c r="F107">
        <v>26</v>
      </c>
      <c r="G107">
        <v>28</v>
      </c>
      <c r="H107" t="s">
        <v>841</v>
      </c>
      <c r="I107" t="s">
        <v>841</v>
      </c>
      <c r="J107" t="s">
        <v>841</v>
      </c>
      <c r="K107" t="s">
        <v>842</v>
      </c>
    </row>
    <row r="108" spans="1:11" x14ac:dyDescent="0.3">
      <c r="A108">
        <v>1466</v>
      </c>
      <c r="B108" t="s">
        <v>1345</v>
      </c>
      <c r="C108" s="86" t="s">
        <v>865</v>
      </c>
      <c r="D108" t="s">
        <v>366</v>
      </c>
      <c r="E108">
        <v>25</v>
      </c>
      <c r="F108">
        <v>20</v>
      </c>
      <c r="G108">
        <v>140</v>
      </c>
      <c r="H108" t="s">
        <v>841</v>
      </c>
      <c r="I108" t="s">
        <v>841</v>
      </c>
      <c r="J108" t="s">
        <v>841</v>
      </c>
      <c r="K108" t="s">
        <v>842</v>
      </c>
    </row>
    <row r="109" spans="1:11" x14ac:dyDescent="0.3">
      <c r="A109">
        <v>1835</v>
      </c>
      <c r="B109" t="s">
        <v>2130</v>
      </c>
      <c r="C109" s="86" t="s">
        <v>2125</v>
      </c>
      <c r="D109" t="s">
        <v>558</v>
      </c>
      <c r="E109">
        <v>7</v>
      </c>
      <c r="F109">
        <v>43</v>
      </c>
      <c r="G109">
        <v>28</v>
      </c>
      <c r="H109" t="s">
        <v>841</v>
      </c>
      <c r="I109" t="s">
        <v>841</v>
      </c>
      <c r="J109" t="s">
        <v>841</v>
      </c>
      <c r="K109" t="s">
        <v>841</v>
      </c>
    </row>
    <row r="110" spans="1:11" x14ac:dyDescent="0.3">
      <c r="A110">
        <v>1742</v>
      </c>
      <c r="B110" t="s">
        <v>2020</v>
      </c>
      <c r="C110" s="86" t="s">
        <v>210</v>
      </c>
      <c r="D110" t="s">
        <v>825</v>
      </c>
      <c r="E110">
        <v>7</v>
      </c>
      <c r="F110">
        <v>24</v>
      </c>
      <c r="G110">
        <v>56</v>
      </c>
      <c r="H110" t="s">
        <v>841</v>
      </c>
      <c r="I110" t="s">
        <v>841</v>
      </c>
      <c r="J110" t="s">
        <v>841</v>
      </c>
      <c r="K110" t="s">
        <v>841</v>
      </c>
    </row>
    <row r="111" spans="1:11" x14ac:dyDescent="0.3">
      <c r="A111">
        <v>1653</v>
      </c>
      <c r="B111" t="s">
        <v>1782</v>
      </c>
      <c r="C111" s="86" t="s">
        <v>1756</v>
      </c>
      <c r="D111" t="s">
        <v>798</v>
      </c>
      <c r="E111">
        <v>7</v>
      </c>
      <c r="F111">
        <v>23</v>
      </c>
      <c r="G111">
        <v>56</v>
      </c>
      <c r="H111" t="s">
        <v>841</v>
      </c>
      <c r="I111" t="s">
        <v>841</v>
      </c>
      <c r="J111" t="s">
        <v>841</v>
      </c>
      <c r="K111" t="s">
        <v>842</v>
      </c>
    </row>
    <row r="112" spans="1:11" x14ac:dyDescent="0.3">
      <c r="A112">
        <v>1441</v>
      </c>
      <c r="B112" t="s">
        <v>1282</v>
      </c>
      <c r="C112" s="86" t="s">
        <v>142</v>
      </c>
      <c r="D112" t="s">
        <v>845</v>
      </c>
      <c r="E112">
        <v>7</v>
      </c>
      <c r="F112">
        <v>19</v>
      </c>
      <c r="G112">
        <v>56</v>
      </c>
      <c r="H112" t="s">
        <v>841</v>
      </c>
      <c r="I112" t="s">
        <v>841</v>
      </c>
      <c r="J112" t="s">
        <v>841</v>
      </c>
      <c r="K112" t="s">
        <v>842</v>
      </c>
    </row>
    <row r="113" spans="1:11" x14ac:dyDescent="0.3">
      <c r="A113">
        <v>1834</v>
      </c>
      <c r="B113" t="s">
        <v>2131</v>
      </c>
      <c r="C113" s="86" t="s">
        <v>2122</v>
      </c>
      <c r="D113" t="s">
        <v>1238</v>
      </c>
      <c r="E113">
        <v>7</v>
      </c>
      <c r="F113">
        <v>43</v>
      </c>
      <c r="G113">
        <v>28</v>
      </c>
      <c r="H113" t="s">
        <v>841</v>
      </c>
      <c r="I113" t="s">
        <v>841</v>
      </c>
      <c r="J113" t="s">
        <v>841</v>
      </c>
      <c r="K113" t="s">
        <v>841</v>
      </c>
    </row>
    <row r="114" spans="1:11" x14ac:dyDescent="0.3">
      <c r="A114">
        <v>1439</v>
      </c>
      <c r="B114" t="s">
        <v>1280</v>
      </c>
      <c r="C114" s="86" t="s">
        <v>138</v>
      </c>
      <c r="D114" t="s">
        <v>592</v>
      </c>
      <c r="E114">
        <v>7</v>
      </c>
      <c r="F114">
        <v>19</v>
      </c>
      <c r="G114">
        <v>56</v>
      </c>
      <c r="H114" t="s">
        <v>841</v>
      </c>
      <c r="I114" t="s">
        <v>841</v>
      </c>
      <c r="J114" t="s">
        <v>841</v>
      </c>
      <c r="K114" t="s">
        <v>842</v>
      </c>
    </row>
    <row r="115" spans="1:11" x14ac:dyDescent="0.3">
      <c r="A115">
        <v>1462</v>
      </c>
      <c r="B115" t="s">
        <v>1306</v>
      </c>
      <c r="C115" s="86" t="s">
        <v>965</v>
      </c>
      <c r="D115" t="s">
        <v>870</v>
      </c>
      <c r="E115">
        <v>7</v>
      </c>
      <c r="F115">
        <v>19</v>
      </c>
      <c r="G115">
        <v>28</v>
      </c>
      <c r="H115" t="s">
        <v>841</v>
      </c>
      <c r="I115" t="s">
        <v>841</v>
      </c>
      <c r="J115" t="s">
        <v>841</v>
      </c>
      <c r="K115" t="s">
        <v>842</v>
      </c>
    </row>
    <row r="116" spans="1:11" x14ac:dyDescent="0.3">
      <c r="A116">
        <v>1430</v>
      </c>
      <c r="B116" t="s">
        <v>1265</v>
      </c>
      <c r="C116" s="86" t="s">
        <v>107</v>
      </c>
      <c r="D116" t="s">
        <v>1266</v>
      </c>
      <c r="E116">
        <v>7</v>
      </c>
      <c r="F116">
        <v>19</v>
      </c>
      <c r="G116">
        <v>56</v>
      </c>
      <c r="H116" t="s">
        <v>841</v>
      </c>
      <c r="I116" t="s">
        <v>841</v>
      </c>
      <c r="J116" t="s">
        <v>841</v>
      </c>
      <c r="K116" t="s">
        <v>842</v>
      </c>
    </row>
    <row r="117" spans="1:11" x14ac:dyDescent="0.3">
      <c r="A117">
        <v>1877</v>
      </c>
      <c r="B117" t="s">
        <v>2241</v>
      </c>
      <c r="C117" s="86" t="s">
        <v>2199</v>
      </c>
      <c r="D117" t="s">
        <v>1225</v>
      </c>
      <c r="E117">
        <v>7</v>
      </c>
      <c r="F117">
        <v>44</v>
      </c>
      <c r="G117">
        <v>28</v>
      </c>
      <c r="H117" t="s">
        <v>841</v>
      </c>
      <c r="I117" t="s">
        <v>841</v>
      </c>
      <c r="J117" t="s">
        <v>841</v>
      </c>
      <c r="K117" t="s">
        <v>841</v>
      </c>
    </row>
    <row r="118" spans="1:11" x14ac:dyDescent="0.3">
      <c r="A118">
        <v>1754</v>
      </c>
      <c r="B118" t="s">
        <v>2038</v>
      </c>
      <c r="C118" s="86" t="s">
        <v>2024</v>
      </c>
      <c r="D118" t="s">
        <v>2025</v>
      </c>
      <c r="E118">
        <v>7</v>
      </c>
      <c r="F118">
        <v>26</v>
      </c>
      <c r="G118">
        <v>112</v>
      </c>
      <c r="H118" t="s">
        <v>841</v>
      </c>
      <c r="I118" t="s">
        <v>841</v>
      </c>
      <c r="J118" t="s">
        <v>841</v>
      </c>
      <c r="K118" t="s">
        <v>842</v>
      </c>
    </row>
    <row r="119" spans="1:11" x14ac:dyDescent="0.3">
      <c r="A119">
        <v>1788</v>
      </c>
      <c r="B119" t="s">
        <v>2060</v>
      </c>
      <c r="C119" s="86" t="s">
        <v>2044</v>
      </c>
      <c r="D119" t="s">
        <v>1237</v>
      </c>
      <c r="E119">
        <v>7</v>
      </c>
      <c r="F119">
        <v>27</v>
      </c>
      <c r="G119">
        <v>28</v>
      </c>
      <c r="H119" t="s">
        <v>841</v>
      </c>
      <c r="I119" t="s">
        <v>841</v>
      </c>
      <c r="J119" t="s">
        <v>841</v>
      </c>
      <c r="K119" t="s">
        <v>842</v>
      </c>
    </row>
    <row r="120" spans="1:11" x14ac:dyDescent="0.3">
      <c r="A120">
        <v>1751</v>
      </c>
      <c r="B120" t="s">
        <v>2021</v>
      </c>
      <c r="C120" s="86" t="s">
        <v>2003</v>
      </c>
      <c r="D120" t="s">
        <v>547</v>
      </c>
      <c r="E120">
        <v>7</v>
      </c>
      <c r="F120">
        <v>25</v>
      </c>
      <c r="G120">
        <v>28</v>
      </c>
      <c r="H120" t="s">
        <v>841</v>
      </c>
      <c r="I120" t="s">
        <v>841</v>
      </c>
      <c r="J120" t="s">
        <v>841</v>
      </c>
      <c r="K120" t="s">
        <v>841</v>
      </c>
    </row>
    <row r="121" spans="1:11" x14ac:dyDescent="0.3">
      <c r="A121">
        <v>1446</v>
      </c>
      <c r="B121" t="s">
        <v>1287</v>
      </c>
      <c r="C121" s="86" t="s">
        <v>149</v>
      </c>
      <c r="D121" t="s">
        <v>246</v>
      </c>
      <c r="E121">
        <v>7</v>
      </c>
      <c r="F121">
        <v>19</v>
      </c>
      <c r="G121">
        <v>28</v>
      </c>
      <c r="H121" t="s">
        <v>841</v>
      </c>
      <c r="I121" t="s">
        <v>841</v>
      </c>
      <c r="J121" t="s">
        <v>841</v>
      </c>
      <c r="K121" t="s">
        <v>842</v>
      </c>
    </row>
    <row r="122" spans="1:11" x14ac:dyDescent="0.3">
      <c r="A122">
        <v>1639</v>
      </c>
      <c r="B122" t="s">
        <v>1752</v>
      </c>
      <c r="C122" s="86" t="s">
        <v>207</v>
      </c>
      <c r="D122" t="s">
        <v>267</v>
      </c>
      <c r="E122">
        <v>7</v>
      </c>
      <c r="F122">
        <v>22</v>
      </c>
      <c r="G122">
        <v>28</v>
      </c>
      <c r="H122" t="s">
        <v>841</v>
      </c>
      <c r="I122" t="s">
        <v>841</v>
      </c>
      <c r="J122" t="s">
        <v>841</v>
      </c>
      <c r="K122" t="s">
        <v>842</v>
      </c>
    </row>
    <row r="123" spans="1:11" x14ac:dyDescent="0.3">
      <c r="A123">
        <v>1470</v>
      </c>
      <c r="B123" t="s">
        <v>1353</v>
      </c>
      <c r="C123" s="86" t="s">
        <v>875</v>
      </c>
      <c r="D123" t="s">
        <v>373</v>
      </c>
      <c r="E123">
        <v>25</v>
      </c>
      <c r="F123">
        <v>20</v>
      </c>
      <c r="G123">
        <v>28</v>
      </c>
      <c r="H123" t="s">
        <v>841</v>
      </c>
      <c r="I123" t="s">
        <v>841</v>
      </c>
      <c r="J123" t="s">
        <v>841</v>
      </c>
      <c r="K123" t="s">
        <v>842</v>
      </c>
    </row>
    <row r="135" spans="10:10" x14ac:dyDescent="0.3">
      <c r="J135" t="s">
        <v>2121</v>
      </c>
    </row>
  </sheetData>
  <phoneticPr fontId="1" type="noConversion"/>
  <conditionalFormatting sqref="C1:C1048576">
    <cfRule type="duplicateValues" dxfId="19" priority="2"/>
  </conditionalFormatting>
  <conditionalFormatting sqref="D1:D1048576">
    <cfRule type="duplicateValues" dxfId="18" priority="3"/>
  </conditionalFormatting>
  <conditionalFormatting sqref="K1:K1048576">
    <cfRule type="cellIs" dxfId="17" priority="1" operator="equal">
      <formula>"passed"</formula>
    </cfRule>
  </conditionalFormatting>
  <pageMargins left="0.7" right="0.7" top="0.75" bottom="0.75" header="0.3" footer="0.3"/>
  <pageSetup paperSize="9" scale="86" fitToHeight="0" orientation="landscape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001123-C363-413A-9601-B0A25102E3C3}">
  <sheetPr filterMode="1"/>
  <dimension ref="A1:AN135"/>
  <sheetViews>
    <sheetView topLeftCell="B1" workbookViewId="0">
      <selection activeCell="AN114" activeCellId="2" sqref="AN5:AN53 AN74:AN112 AN114:AN122"/>
    </sheetView>
  </sheetViews>
  <sheetFormatPr defaultRowHeight="14.4" x14ac:dyDescent="0.3"/>
  <cols>
    <col min="1" max="1" width="0" hidden="1" customWidth="1"/>
    <col min="3" max="3" width="14.6640625" bestFit="1" customWidth="1"/>
    <col min="4" max="4" width="47.109375" bestFit="1" customWidth="1"/>
    <col min="5" max="6" width="0" hidden="1" customWidth="1"/>
    <col min="8" max="11" width="0" hidden="1" customWidth="1"/>
    <col min="19" max="39" width="0" hidden="1" customWidth="1"/>
  </cols>
  <sheetData>
    <row r="1" spans="1:40" s="101" customFormat="1" x14ac:dyDescent="0.3">
      <c r="A1" s="101" t="s">
        <v>836</v>
      </c>
      <c r="B1" s="101" t="s">
        <v>307</v>
      </c>
      <c r="C1" s="101" t="s">
        <v>309</v>
      </c>
      <c r="D1" s="101" t="s">
        <v>310</v>
      </c>
      <c r="E1" t="s">
        <v>311</v>
      </c>
      <c r="F1" t="s">
        <v>22</v>
      </c>
      <c r="G1" s="101" t="s">
        <v>308</v>
      </c>
      <c r="H1" s="101" t="s">
        <v>837</v>
      </c>
      <c r="I1" s="101" t="s">
        <v>838</v>
      </c>
      <c r="J1" s="101" t="s">
        <v>839</v>
      </c>
      <c r="K1" s="101" t="s">
        <v>840</v>
      </c>
      <c r="L1" s="101" t="s">
        <v>2203</v>
      </c>
      <c r="M1" s="101" t="s">
        <v>2204</v>
      </c>
      <c r="N1" s="101" t="s">
        <v>2205</v>
      </c>
      <c r="O1" s="101" t="s">
        <v>2206</v>
      </c>
      <c r="P1" s="101" t="s">
        <v>2207</v>
      </c>
      <c r="Q1" s="101" t="s">
        <v>2208</v>
      </c>
      <c r="R1" s="101" t="s">
        <v>2209</v>
      </c>
      <c r="S1" s="101" t="s">
        <v>2210</v>
      </c>
      <c r="T1" s="101" t="s">
        <v>2211</v>
      </c>
      <c r="U1" s="101" t="s">
        <v>2212</v>
      </c>
      <c r="V1" s="101" t="s">
        <v>2213</v>
      </c>
      <c r="W1" s="101" t="s">
        <v>2202</v>
      </c>
      <c r="X1" s="101" t="s">
        <v>2214</v>
      </c>
      <c r="Y1" s="101" t="s">
        <v>2215</v>
      </c>
      <c r="Z1" s="101" t="s">
        <v>2216</v>
      </c>
      <c r="AA1" s="101" t="s">
        <v>2217</v>
      </c>
      <c r="AB1" s="101" t="s">
        <v>2218</v>
      </c>
      <c r="AC1" s="101" t="s">
        <v>2219</v>
      </c>
      <c r="AD1" s="101" t="s">
        <v>2220</v>
      </c>
      <c r="AE1" s="101" t="s">
        <v>2221</v>
      </c>
      <c r="AF1" s="101" t="s">
        <v>2222</v>
      </c>
      <c r="AG1" s="101" t="s">
        <v>2223</v>
      </c>
      <c r="AH1" s="101" t="s">
        <v>2224</v>
      </c>
      <c r="AI1" s="101" t="s">
        <v>2225</v>
      </c>
      <c r="AJ1" s="101" t="s">
        <v>2226</v>
      </c>
      <c r="AK1" s="101" t="s">
        <v>2227</v>
      </c>
      <c r="AL1" s="101" t="s">
        <v>2228</v>
      </c>
      <c r="AM1" s="101" t="s">
        <v>2229</v>
      </c>
      <c r="AN1" s="101" t="s">
        <v>2230</v>
      </c>
    </row>
    <row r="2" spans="1:40" hidden="1" x14ac:dyDescent="0.3">
      <c r="A2">
        <v>1746</v>
      </c>
      <c r="B2" t="s">
        <v>2010</v>
      </c>
      <c r="C2" t="s">
        <v>1969</v>
      </c>
      <c r="D2" t="s">
        <v>219</v>
      </c>
      <c r="E2">
        <v>7</v>
      </c>
      <c r="F2">
        <v>24</v>
      </c>
      <c r="G2">
        <v>56</v>
      </c>
      <c r="H2" t="s">
        <v>841</v>
      </c>
      <c r="I2" t="s">
        <v>841</v>
      </c>
      <c r="J2" t="s">
        <v>841</v>
      </c>
      <c r="K2" t="s">
        <v>841</v>
      </c>
    </row>
    <row r="3" spans="1:40" hidden="1" x14ac:dyDescent="0.3">
      <c r="A3">
        <v>1454</v>
      </c>
      <c r="B3" t="s">
        <v>1298</v>
      </c>
      <c r="C3" t="s">
        <v>192</v>
      </c>
      <c r="D3" t="s">
        <v>397</v>
      </c>
      <c r="E3">
        <v>25</v>
      </c>
      <c r="F3">
        <v>19</v>
      </c>
      <c r="G3">
        <v>420</v>
      </c>
      <c r="H3" t="s">
        <v>841</v>
      </c>
      <c r="I3" t="s">
        <v>841</v>
      </c>
      <c r="J3" t="s">
        <v>841</v>
      </c>
      <c r="K3" t="s">
        <v>842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</row>
    <row r="4" spans="1:40" hidden="1" x14ac:dyDescent="0.3">
      <c r="A4">
        <v>1792</v>
      </c>
      <c r="B4" t="s">
        <v>2070</v>
      </c>
      <c r="C4" t="s">
        <v>2062</v>
      </c>
      <c r="D4" t="s">
        <v>2071</v>
      </c>
      <c r="E4">
        <v>7</v>
      </c>
      <c r="F4">
        <v>28</v>
      </c>
      <c r="G4">
        <v>112</v>
      </c>
      <c r="H4" t="s">
        <v>841</v>
      </c>
      <c r="I4" t="s">
        <v>841</v>
      </c>
      <c r="J4" t="s">
        <v>841</v>
      </c>
      <c r="K4" t="s">
        <v>841</v>
      </c>
    </row>
    <row r="5" spans="1:40" x14ac:dyDescent="0.3">
      <c r="A5">
        <v>1444</v>
      </c>
      <c r="B5" t="s">
        <v>1285</v>
      </c>
      <c r="C5" t="s">
        <v>145</v>
      </c>
      <c r="D5" t="s">
        <v>846</v>
      </c>
      <c r="E5">
        <v>7</v>
      </c>
      <c r="F5">
        <v>19</v>
      </c>
      <c r="G5">
        <v>28</v>
      </c>
      <c r="H5" t="s">
        <v>841</v>
      </c>
      <c r="I5" t="s">
        <v>841</v>
      </c>
      <c r="J5" t="s">
        <v>841</v>
      </c>
      <c r="K5" t="s">
        <v>842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AN5">
        <v>130</v>
      </c>
    </row>
    <row r="6" spans="1:40" hidden="1" x14ac:dyDescent="0.3">
      <c r="A6">
        <v>1436</v>
      </c>
      <c r="B6" t="s">
        <v>1276</v>
      </c>
      <c r="C6" t="s">
        <v>133</v>
      </c>
      <c r="D6" t="s">
        <v>1253</v>
      </c>
      <c r="E6">
        <v>7</v>
      </c>
      <c r="F6">
        <v>19</v>
      </c>
      <c r="G6">
        <v>56</v>
      </c>
      <c r="H6" t="s">
        <v>841</v>
      </c>
      <c r="I6" t="s">
        <v>841</v>
      </c>
      <c r="J6" t="s">
        <v>841</v>
      </c>
      <c r="K6" t="s">
        <v>842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</row>
    <row r="7" spans="1:40" hidden="1" x14ac:dyDescent="0.3">
      <c r="A7">
        <v>1656</v>
      </c>
      <c r="B7" t="s">
        <v>1773</v>
      </c>
      <c r="C7" t="s">
        <v>1772</v>
      </c>
      <c r="D7" t="s">
        <v>1774</v>
      </c>
      <c r="E7">
        <v>7</v>
      </c>
      <c r="F7">
        <v>23</v>
      </c>
      <c r="G7">
        <v>28</v>
      </c>
      <c r="H7" t="s">
        <v>841</v>
      </c>
      <c r="I7" t="s">
        <v>841</v>
      </c>
      <c r="J7" t="s">
        <v>841</v>
      </c>
      <c r="K7" t="s">
        <v>842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</row>
    <row r="8" spans="1:40" hidden="1" x14ac:dyDescent="0.3">
      <c r="A8">
        <v>1786</v>
      </c>
      <c r="B8" t="s">
        <v>2053</v>
      </c>
      <c r="C8" t="s">
        <v>746</v>
      </c>
      <c r="D8" t="s">
        <v>1224</v>
      </c>
      <c r="E8">
        <v>7</v>
      </c>
      <c r="F8">
        <v>27</v>
      </c>
      <c r="G8">
        <v>28</v>
      </c>
      <c r="H8" t="s">
        <v>841</v>
      </c>
      <c r="I8" t="s">
        <v>841</v>
      </c>
      <c r="J8" t="s">
        <v>841</v>
      </c>
      <c r="K8" t="s">
        <v>841</v>
      </c>
    </row>
    <row r="9" spans="1:40" hidden="1" x14ac:dyDescent="0.3">
      <c r="A9">
        <v>1447</v>
      </c>
      <c r="B9" t="s">
        <v>1288</v>
      </c>
      <c r="C9" t="s">
        <v>156</v>
      </c>
      <c r="D9" t="s">
        <v>657</v>
      </c>
      <c r="E9">
        <v>7</v>
      </c>
      <c r="F9">
        <v>19</v>
      </c>
      <c r="G9">
        <v>28</v>
      </c>
      <c r="H9" t="s">
        <v>841</v>
      </c>
      <c r="I9" t="s">
        <v>841</v>
      </c>
      <c r="J9" t="s">
        <v>841</v>
      </c>
      <c r="K9" t="s">
        <v>841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</row>
    <row r="10" spans="1:40" hidden="1" x14ac:dyDescent="0.3">
      <c r="A10">
        <v>1741</v>
      </c>
      <c r="B10" t="s">
        <v>2011</v>
      </c>
      <c r="C10" t="s">
        <v>1356</v>
      </c>
      <c r="D10" t="s">
        <v>235</v>
      </c>
      <c r="E10">
        <v>7</v>
      </c>
      <c r="F10">
        <v>24</v>
      </c>
      <c r="G10">
        <v>112</v>
      </c>
      <c r="H10" t="s">
        <v>841</v>
      </c>
      <c r="I10" t="s">
        <v>841</v>
      </c>
      <c r="J10" t="s">
        <v>841</v>
      </c>
      <c r="K10" t="s">
        <v>841</v>
      </c>
    </row>
    <row r="11" spans="1:40" hidden="1" x14ac:dyDescent="0.3">
      <c r="A11">
        <v>1752</v>
      </c>
      <c r="B11" t="s">
        <v>2012</v>
      </c>
      <c r="C11" t="s">
        <v>2007</v>
      </c>
      <c r="D11" t="s">
        <v>2013</v>
      </c>
      <c r="E11">
        <v>7</v>
      </c>
      <c r="F11">
        <v>25</v>
      </c>
      <c r="G11">
        <v>28</v>
      </c>
      <c r="H11" t="s">
        <v>841</v>
      </c>
      <c r="I11" t="s">
        <v>841</v>
      </c>
      <c r="J11" t="s">
        <v>841</v>
      </c>
      <c r="K11" t="s">
        <v>842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</row>
    <row r="12" spans="1:40" hidden="1" x14ac:dyDescent="0.3">
      <c r="A12">
        <v>1455</v>
      </c>
      <c r="B12" t="s">
        <v>1301</v>
      </c>
      <c r="C12" t="s">
        <v>191</v>
      </c>
      <c r="D12" t="s">
        <v>399</v>
      </c>
      <c r="E12">
        <v>25</v>
      </c>
      <c r="F12">
        <v>19</v>
      </c>
      <c r="G12">
        <v>336</v>
      </c>
      <c r="H12" t="s">
        <v>841</v>
      </c>
      <c r="I12" t="s">
        <v>841</v>
      </c>
      <c r="J12" t="s">
        <v>841</v>
      </c>
      <c r="K12" t="s">
        <v>842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</row>
    <row r="13" spans="1:40" hidden="1" x14ac:dyDescent="0.3">
      <c r="A13">
        <v>1641</v>
      </c>
      <c r="B13" t="s">
        <v>1719</v>
      </c>
      <c r="C13" t="s">
        <v>126</v>
      </c>
      <c r="D13" t="s">
        <v>342</v>
      </c>
      <c r="E13">
        <v>7</v>
      </c>
      <c r="F13">
        <v>22</v>
      </c>
      <c r="G13">
        <v>28</v>
      </c>
      <c r="H13" t="s">
        <v>841</v>
      </c>
      <c r="I13" t="s">
        <v>841</v>
      </c>
      <c r="J13" t="s">
        <v>841</v>
      </c>
      <c r="K13" t="s">
        <v>841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</row>
    <row r="14" spans="1:40" hidden="1" x14ac:dyDescent="0.3">
      <c r="A14">
        <v>1632</v>
      </c>
      <c r="B14" t="s">
        <v>1720</v>
      </c>
      <c r="C14" t="s">
        <v>140</v>
      </c>
      <c r="D14" t="s">
        <v>239</v>
      </c>
      <c r="E14">
        <v>7</v>
      </c>
      <c r="F14">
        <v>22</v>
      </c>
      <c r="G14">
        <v>28</v>
      </c>
      <c r="H14" t="s">
        <v>841</v>
      </c>
      <c r="I14" t="s">
        <v>841</v>
      </c>
      <c r="J14" t="s">
        <v>841</v>
      </c>
      <c r="K14" t="s">
        <v>842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</row>
    <row r="15" spans="1:40" hidden="1" x14ac:dyDescent="0.3">
      <c r="A15">
        <v>1473</v>
      </c>
      <c r="B15" t="s">
        <v>1352</v>
      </c>
      <c r="C15" t="s">
        <v>946</v>
      </c>
      <c r="D15" t="s">
        <v>384</v>
      </c>
      <c r="E15">
        <v>25</v>
      </c>
      <c r="F15">
        <v>20</v>
      </c>
      <c r="G15">
        <v>28</v>
      </c>
      <c r="H15" t="s">
        <v>841</v>
      </c>
      <c r="I15" t="s">
        <v>841</v>
      </c>
      <c r="J15" t="s">
        <v>841</v>
      </c>
      <c r="K15" t="s">
        <v>842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</row>
    <row r="16" spans="1:40" hidden="1" x14ac:dyDescent="0.3">
      <c r="A16">
        <v>1629</v>
      </c>
      <c r="B16" t="s">
        <v>1721</v>
      </c>
      <c r="C16" t="s">
        <v>121</v>
      </c>
      <c r="D16" t="s">
        <v>1722</v>
      </c>
      <c r="E16">
        <v>7</v>
      </c>
      <c r="F16">
        <v>22</v>
      </c>
      <c r="G16">
        <v>28</v>
      </c>
      <c r="H16" t="s">
        <v>841</v>
      </c>
      <c r="I16" t="s">
        <v>841</v>
      </c>
      <c r="J16" t="s">
        <v>841</v>
      </c>
      <c r="K16" t="s">
        <v>842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</row>
    <row r="17" spans="1:40" hidden="1" x14ac:dyDescent="0.3">
      <c r="A17">
        <v>1460</v>
      </c>
      <c r="B17" t="s">
        <v>1309</v>
      </c>
      <c r="C17" t="s">
        <v>856</v>
      </c>
      <c r="D17" t="s">
        <v>603</v>
      </c>
      <c r="E17">
        <v>7</v>
      </c>
      <c r="F17">
        <v>19</v>
      </c>
      <c r="G17">
        <v>28</v>
      </c>
      <c r="H17" t="s">
        <v>841</v>
      </c>
      <c r="I17" t="s">
        <v>841</v>
      </c>
      <c r="J17" t="s">
        <v>841</v>
      </c>
      <c r="K17" t="s">
        <v>842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1</v>
      </c>
    </row>
    <row r="18" spans="1:40" hidden="1" x14ac:dyDescent="0.3">
      <c r="A18">
        <v>1425</v>
      </c>
      <c r="B18" t="s">
        <v>1257</v>
      </c>
      <c r="C18" t="s">
        <v>81</v>
      </c>
      <c r="D18" t="s">
        <v>1258</v>
      </c>
      <c r="E18">
        <v>7</v>
      </c>
      <c r="F18">
        <v>19</v>
      </c>
      <c r="G18">
        <v>56</v>
      </c>
      <c r="H18" t="s">
        <v>841</v>
      </c>
      <c r="I18" t="s">
        <v>841</v>
      </c>
      <c r="J18" t="s">
        <v>841</v>
      </c>
      <c r="K18" t="s">
        <v>842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</row>
    <row r="19" spans="1:40" hidden="1" x14ac:dyDescent="0.3">
      <c r="A19">
        <v>1428</v>
      </c>
      <c r="B19" t="s">
        <v>1262</v>
      </c>
      <c r="C19" t="s">
        <v>91</v>
      </c>
      <c r="D19" t="s">
        <v>1263</v>
      </c>
      <c r="E19">
        <v>7</v>
      </c>
      <c r="F19">
        <v>19</v>
      </c>
      <c r="G19">
        <v>28</v>
      </c>
      <c r="H19" t="s">
        <v>841</v>
      </c>
      <c r="I19" t="s">
        <v>841</v>
      </c>
      <c r="J19" t="s">
        <v>841</v>
      </c>
      <c r="K19" t="s">
        <v>842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</row>
    <row r="20" spans="1:40" hidden="1" x14ac:dyDescent="0.3">
      <c r="A20">
        <v>1651</v>
      </c>
      <c r="B20" t="s">
        <v>1777</v>
      </c>
      <c r="C20" t="s">
        <v>950</v>
      </c>
      <c r="D20" t="s">
        <v>1778</v>
      </c>
      <c r="E20">
        <v>7</v>
      </c>
      <c r="F20">
        <v>23</v>
      </c>
      <c r="G20">
        <v>28</v>
      </c>
      <c r="H20" t="s">
        <v>841</v>
      </c>
      <c r="I20" t="s">
        <v>841</v>
      </c>
      <c r="J20" t="s">
        <v>841</v>
      </c>
      <c r="K20" t="s">
        <v>842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</row>
    <row r="21" spans="1:40" hidden="1" x14ac:dyDescent="0.3">
      <c r="A21">
        <v>1424</v>
      </c>
      <c r="B21" t="s">
        <v>1255</v>
      </c>
      <c r="C21" t="s">
        <v>78</v>
      </c>
      <c r="D21" t="s">
        <v>1256</v>
      </c>
      <c r="E21">
        <v>7</v>
      </c>
      <c r="F21">
        <v>19</v>
      </c>
      <c r="G21">
        <v>56</v>
      </c>
      <c r="H21" t="s">
        <v>841</v>
      </c>
      <c r="I21" t="s">
        <v>841</v>
      </c>
      <c r="J21" t="s">
        <v>841</v>
      </c>
      <c r="K21" t="s">
        <v>842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</row>
    <row r="22" spans="1:40" hidden="1" x14ac:dyDescent="0.3">
      <c r="A22">
        <v>1468</v>
      </c>
      <c r="B22" t="s">
        <v>1347</v>
      </c>
      <c r="C22" t="s">
        <v>982</v>
      </c>
      <c r="D22" t="s">
        <v>1348</v>
      </c>
      <c r="E22">
        <v>25</v>
      </c>
      <c r="F22">
        <v>20</v>
      </c>
      <c r="G22">
        <v>56</v>
      </c>
      <c r="H22" t="s">
        <v>841</v>
      </c>
      <c r="I22" t="s">
        <v>841</v>
      </c>
      <c r="J22" t="s">
        <v>841</v>
      </c>
      <c r="K22" t="s">
        <v>842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</row>
    <row r="23" spans="1:40" hidden="1" x14ac:dyDescent="0.3">
      <c r="A23">
        <v>1427</v>
      </c>
      <c r="B23" t="s">
        <v>1261</v>
      </c>
      <c r="C23" t="s">
        <v>87</v>
      </c>
      <c r="D23" t="s">
        <v>852</v>
      </c>
      <c r="E23">
        <v>7</v>
      </c>
      <c r="F23">
        <v>19</v>
      </c>
      <c r="G23">
        <v>28</v>
      </c>
      <c r="H23" t="s">
        <v>841</v>
      </c>
      <c r="I23" t="s">
        <v>841</v>
      </c>
      <c r="J23" t="s">
        <v>841</v>
      </c>
      <c r="K23" t="s">
        <v>842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</row>
    <row r="24" spans="1:40" hidden="1" x14ac:dyDescent="0.3">
      <c r="A24">
        <v>1630</v>
      </c>
      <c r="B24" t="s">
        <v>1724</v>
      </c>
      <c r="C24" t="s">
        <v>132</v>
      </c>
      <c r="D24" t="s">
        <v>1725</v>
      </c>
      <c r="E24">
        <v>7</v>
      </c>
      <c r="F24">
        <v>22</v>
      </c>
      <c r="G24">
        <v>28</v>
      </c>
      <c r="H24" t="s">
        <v>841</v>
      </c>
      <c r="I24" t="s">
        <v>841</v>
      </c>
      <c r="J24" t="s">
        <v>841</v>
      </c>
      <c r="K24" t="s">
        <v>842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</row>
    <row r="25" spans="1:40" hidden="1" x14ac:dyDescent="0.3">
      <c r="A25">
        <v>1836</v>
      </c>
      <c r="B25" t="s">
        <v>2129</v>
      </c>
      <c r="C25" t="s">
        <v>2128</v>
      </c>
      <c r="D25" t="s">
        <v>212</v>
      </c>
      <c r="E25">
        <v>7</v>
      </c>
      <c r="F25">
        <v>43</v>
      </c>
      <c r="G25">
        <v>28</v>
      </c>
      <c r="H25" t="s">
        <v>841</v>
      </c>
      <c r="I25" t="s">
        <v>841</v>
      </c>
      <c r="J25" t="s">
        <v>841</v>
      </c>
      <c r="K25" t="s">
        <v>841</v>
      </c>
    </row>
    <row r="26" spans="1:40" x14ac:dyDescent="0.3">
      <c r="A26">
        <v>1631</v>
      </c>
      <c r="B26" t="s">
        <v>1728</v>
      </c>
      <c r="C26" t="s">
        <v>139</v>
      </c>
      <c r="D26" t="s">
        <v>238</v>
      </c>
      <c r="E26">
        <v>7</v>
      </c>
      <c r="F26">
        <v>22</v>
      </c>
      <c r="G26">
        <v>28</v>
      </c>
      <c r="H26" t="s">
        <v>841</v>
      </c>
      <c r="I26" t="s">
        <v>841</v>
      </c>
      <c r="J26" t="s">
        <v>841</v>
      </c>
      <c r="K26" t="s">
        <v>842</v>
      </c>
      <c r="L26">
        <v>1</v>
      </c>
      <c r="M26">
        <v>1</v>
      </c>
      <c r="N26">
        <v>1</v>
      </c>
      <c r="O26">
        <v>1</v>
      </c>
      <c r="P26">
        <v>1</v>
      </c>
      <c r="Q26">
        <v>1</v>
      </c>
      <c r="R26">
        <v>1</v>
      </c>
      <c r="AN26">
        <v>149</v>
      </c>
    </row>
    <row r="27" spans="1:40" hidden="1" x14ac:dyDescent="0.3">
      <c r="A27">
        <v>1625</v>
      </c>
      <c r="B27" t="s">
        <v>1729</v>
      </c>
      <c r="C27" t="s">
        <v>97</v>
      </c>
      <c r="D27" t="s">
        <v>323</v>
      </c>
      <c r="E27">
        <v>7</v>
      </c>
      <c r="F27">
        <v>22</v>
      </c>
      <c r="G27">
        <v>28</v>
      </c>
      <c r="H27" t="s">
        <v>841</v>
      </c>
      <c r="I27" t="s">
        <v>841</v>
      </c>
      <c r="J27" t="s">
        <v>841</v>
      </c>
      <c r="K27" t="s">
        <v>842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</row>
    <row r="28" spans="1:40" hidden="1" x14ac:dyDescent="0.3">
      <c r="A28">
        <v>1453</v>
      </c>
      <c r="B28" t="s">
        <v>1305</v>
      </c>
      <c r="C28" t="s">
        <v>288</v>
      </c>
      <c r="D28" t="s">
        <v>395</v>
      </c>
      <c r="E28">
        <v>25</v>
      </c>
      <c r="F28">
        <v>19</v>
      </c>
      <c r="G28">
        <v>56</v>
      </c>
      <c r="H28" t="s">
        <v>841</v>
      </c>
      <c r="I28" t="s">
        <v>841</v>
      </c>
      <c r="J28" t="s">
        <v>841</v>
      </c>
      <c r="K28" t="s">
        <v>842</v>
      </c>
      <c r="L28">
        <v>1</v>
      </c>
      <c r="M28">
        <v>1</v>
      </c>
      <c r="N28">
        <v>1</v>
      </c>
      <c r="O28">
        <v>1</v>
      </c>
      <c r="P28">
        <v>1</v>
      </c>
      <c r="Q28">
        <v>1</v>
      </c>
      <c r="R28">
        <v>1</v>
      </c>
    </row>
    <row r="29" spans="1:40" hidden="1" x14ac:dyDescent="0.3">
      <c r="A29">
        <v>1437</v>
      </c>
      <c r="B29" t="s">
        <v>1277</v>
      </c>
      <c r="C29" t="s">
        <v>134</v>
      </c>
      <c r="D29" t="s">
        <v>1278</v>
      </c>
      <c r="E29">
        <v>7</v>
      </c>
      <c r="F29">
        <v>19</v>
      </c>
      <c r="G29">
        <v>56</v>
      </c>
      <c r="H29" t="s">
        <v>841</v>
      </c>
      <c r="I29" t="s">
        <v>841</v>
      </c>
      <c r="J29" t="s">
        <v>841</v>
      </c>
      <c r="K29" t="s">
        <v>842</v>
      </c>
      <c r="L29">
        <v>1</v>
      </c>
      <c r="M29">
        <v>1</v>
      </c>
      <c r="N29">
        <v>1</v>
      </c>
      <c r="O29">
        <v>1</v>
      </c>
      <c r="P29">
        <v>1</v>
      </c>
      <c r="Q29">
        <v>1</v>
      </c>
      <c r="R29">
        <v>1</v>
      </c>
    </row>
    <row r="30" spans="1:40" hidden="1" x14ac:dyDescent="0.3">
      <c r="A30">
        <v>1755</v>
      </c>
      <c r="B30" t="s">
        <v>2034</v>
      </c>
      <c r="C30" t="s">
        <v>2027</v>
      </c>
      <c r="D30" t="s">
        <v>225</v>
      </c>
      <c r="E30">
        <v>7</v>
      </c>
      <c r="F30">
        <v>26</v>
      </c>
      <c r="G30">
        <v>28</v>
      </c>
      <c r="H30" t="s">
        <v>841</v>
      </c>
      <c r="I30" t="s">
        <v>841</v>
      </c>
      <c r="J30" t="s">
        <v>841</v>
      </c>
      <c r="K30" t="s">
        <v>842</v>
      </c>
      <c r="L30">
        <v>1</v>
      </c>
      <c r="M30">
        <v>1</v>
      </c>
      <c r="N30">
        <v>1</v>
      </c>
      <c r="O30">
        <v>1</v>
      </c>
      <c r="P30">
        <v>1</v>
      </c>
      <c r="Q30">
        <v>1</v>
      </c>
      <c r="R30">
        <v>1</v>
      </c>
    </row>
    <row r="31" spans="1:40" x14ac:dyDescent="0.3">
      <c r="A31">
        <v>1633</v>
      </c>
      <c r="B31" t="s">
        <v>1731</v>
      </c>
      <c r="C31" t="s">
        <v>150</v>
      </c>
      <c r="D31" t="s">
        <v>247</v>
      </c>
      <c r="E31">
        <v>7</v>
      </c>
      <c r="F31">
        <v>22</v>
      </c>
      <c r="G31">
        <v>28</v>
      </c>
      <c r="H31" t="s">
        <v>841</v>
      </c>
      <c r="I31" t="s">
        <v>841</v>
      </c>
      <c r="J31" t="s">
        <v>841</v>
      </c>
      <c r="K31" t="s">
        <v>842</v>
      </c>
      <c r="L31">
        <v>1</v>
      </c>
      <c r="M31">
        <v>1</v>
      </c>
      <c r="N31">
        <v>1</v>
      </c>
      <c r="O31">
        <v>1</v>
      </c>
      <c r="P31">
        <v>1</v>
      </c>
      <c r="Q31">
        <v>1</v>
      </c>
      <c r="R31">
        <v>1</v>
      </c>
      <c r="AN31">
        <v>175</v>
      </c>
    </row>
    <row r="32" spans="1:40" hidden="1" x14ac:dyDescent="0.3">
      <c r="A32">
        <v>1817</v>
      </c>
      <c r="B32" t="s">
        <v>2078</v>
      </c>
      <c r="C32" t="s">
        <v>2077</v>
      </c>
      <c r="D32" t="s">
        <v>251</v>
      </c>
      <c r="E32">
        <v>7</v>
      </c>
      <c r="F32">
        <v>29</v>
      </c>
      <c r="G32">
        <v>112</v>
      </c>
      <c r="H32" t="s">
        <v>841</v>
      </c>
      <c r="I32" t="s">
        <v>841</v>
      </c>
      <c r="J32" t="s">
        <v>841</v>
      </c>
      <c r="K32" t="s">
        <v>841</v>
      </c>
      <c r="L32">
        <v>1</v>
      </c>
      <c r="M32">
        <v>1</v>
      </c>
      <c r="N32">
        <v>1</v>
      </c>
      <c r="O32">
        <v>1</v>
      </c>
      <c r="P32">
        <v>1</v>
      </c>
      <c r="Q32">
        <v>1</v>
      </c>
      <c r="R32">
        <v>1</v>
      </c>
    </row>
    <row r="33" spans="1:40" hidden="1" x14ac:dyDescent="0.3">
      <c r="A33">
        <v>1749</v>
      </c>
      <c r="B33" t="s">
        <v>2018</v>
      </c>
      <c r="C33" t="s">
        <v>2006</v>
      </c>
      <c r="D33" t="s">
        <v>936</v>
      </c>
      <c r="E33">
        <v>7</v>
      </c>
      <c r="F33">
        <v>25</v>
      </c>
      <c r="G33">
        <v>28</v>
      </c>
      <c r="H33" t="s">
        <v>841</v>
      </c>
      <c r="I33" t="s">
        <v>841</v>
      </c>
      <c r="J33" t="s">
        <v>841</v>
      </c>
      <c r="K33" t="s">
        <v>842</v>
      </c>
      <c r="L33">
        <v>1</v>
      </c>
      <c r="M33">
        <v>1</v>
      </c>
      <c r="N33">
        <v>1</v>
      </c>
      <c r="O33">
        <v>1</v>
      </c>
      <c r="P33">
        <v>1</v>
      </c>
      <c r="Q33">
        <v>1</v>
      </c>
      <c r="R33">
        <v>1</v>
      </c>
    </row>
    <row r="34" spans="1:40" x14ac:dyDescent="0.3">
      <c r="A34">
        <v>1442</v>
      </c>
      <c r="B34" t="s">
        <v>1283</v>
      </c>
      <c r="C34" t="s">
        <v>143</v>
      </c>
      <c r="D34" t="s">
        <v>241</v>
      </c>
      <c r="E34">
        <v>7</v>
      </c>
      <c r="F34">
        <v>19</v>
      </c>
      <c r="G34">
        <v>56</v>
      </c>
      <c r="H34" t="s">
        <v>841</v>
      </c>
      <c r="I34" t="s">
        <v>841</v>
      </c>
      <c r="J34" t="s">
        <v>841</v>
      </c>
      <c r="K34" t="s">
        <v>842</v>
      </c>
      <c r="L34">
        <v>1</v>
      </c>
      <c r="M34">
        <v>1</v>
      </c>
      <c r="N34">
        <v>1</v>
      </c>
      <c r="O34">
        <v>1</v>
      </c>
      <c r="P34">
        <v>1</v>
      </c>
      <c r="Q34">
        <v>1</v>
      </c>
      <c r="R34">
        <v>1</v>
      </c>
      <c r="AN34" t="s">
        <v>2245</v>
      </c>
    </row>
    <row r="35" spans="1:40" hidden="1" x14ac:dyDescent="0.3">
      <c r="A35">
        <v>1654</v>
      </c>
      <c r="B35" t="s">
        <v>1780</v>
      </c>
      <c r="C35" t="s">
        <v>1760</v>
      </c>
      <c r="D35" t="s">
        <v>1219</v>
      </c>
      <c r="E35">
        <v>7</v>
      </c>
      <c r="F35">
        <v>23</v>
      </c>
      <c r="G35">
        <v>28</v>
      </c>
      <c r="H35" t="s">
        <v>841</v>
      </c>
      <c r="I35" t="s">
        <v>841</v>
      </c>
      <c r="J35" t="s">
        <v>841</v>
      </c>
      <c r="K35" t="s">
        <v>841</v>
      </c>
    </row>
    <row r="36" spans="1:40" hidden="1" x14ac:dyDescent="0.3">
      <c r="A36">
        <v>1648</v>
      </c>
      <c r="B36" t="s">
        <v>1735</v>
      </c>
      <c r="C36" t="s">
        <v>986</v>
      </c>
      <c r="D36" t="s">
        <v>1736</v>
      </c>
      <c r="E36">
        <v>7</v>
      </c>
      <c r="F36">
        <v>22</v>
      </c>
      <c r="G36">
        <v>28</v>
      </c>
      <c r="H36" t="s">
        <v>841</v>
      </c>
      <c r="I36" t="s">
        <v>841</v>
      </c>
      <c r="J36" t="s">
        <v>841</v>
      </c>
      <c r="K36" t="s">
        <v>842</v>
      </c>
      <c r="L36">
        <v>1</v>
      </c>
      <c r="M36">
        <v>1</v>
      </c>
      <c r="N36">
        <v>1</v>
      </c>
      <c r="O36">
        <v>1</v>
      </c>
      <c r="P36">
        <v>1</v>
      </c>
      <c r="Q36">
        <v>1</v>
      </c>
      <c r="R36">
        <v>1</v>
      </c>
    </row>
    <row r="37" spans="1:40" hidden="1" x14ac:dyDescent="0.3">
      <c r="A37">
        <v>1647</v>
      </c>
      <c r="B37" t="s">
        <v>1738</v>
      </c>
      <c r="C37" t="s">
        <v>1198</v>
      </c>
      <c r="D37">
        <v>7198599230</v>
      </c>
      <c r="E37">
        <v>7</v>
      </c>
      <c r="F37">
        <v>22</v>
      </c>
      <c r="G37">
        <v>28</v>
      </c>
      <c r="H37" t="s">
        <v>841</v>
      </c>
      <c r="I37" t="s">
        <v>841</v>
      </c>
      <c r="J37" t="s">
        <v>841</v>
      </c>
      <c r="K37" t="s">
        <v>842</v>
      </c>
      <c r="L37">
        <v>1</v>
      </c>
      <c r="M37">
        <v>1</v>
      </c>
      <c r="N37">
        <v>1</v>
      </c>
      <c r="O37">
        <v>1</v>
      </c>
      <c r="P37">
        <v>1</v>
      </c>
      <c r="Q37">
        <v>1</v>
      </c>
      <c r="R37">
        <v>1</v>
      </c>
    </row>
    <row r="38" spans="1:40" hidden="1" x14ac:dyDescent="0.3">
      <c r="A38">
        <v>1624</v>
      </c>
      <c r="B38" t="s">
        <v>1740</v>
      </c>
      <c r="C38" t="s">
        <v>90</v>
      </c>
      <c r="D38" t="s">
        <v>318</v>
      </c>
      <c r="E38">
        <v>7</v>
      </c>
      <c r="F38">
        <v>22</v>
      </c>
      <c r="G38">
        <v>28</v>
      </c>
      <c r="H38" t="s">
        <v>841</v>
      </c>
      <c r="I38" t="s">
        <v>841</v>
      </c>
      <c r="J38" t="s">
        <v>841</v>
      </c>
      <c r="K38" t="s">
        <v>842</v>
      </c>
      <c r="L38">
        <v>1</v>
      </c>
      <c r="M38">
        <v>1</v>
      </c>
      <c r="N38">
        <v>1</v>
      </c>
      <c r="O38">
        <v>1</v>
      </c>
      <c r="P38">
        <v>1</v>
      </c>
      <c r="Q38">
        <v>1</v>
      </c>
      <c r="R38">
        <v>1</v>
      </c>
    </row>
    <row r="39" spans="1:40" hidden="1" x14ac:dyDescent="0.3">
      <c r="A39">
        <v>1748</v>
      </c>
      <c r="B39" t="s">
        <v>2019</v>
      </c>
      <c r="C39" t="s">
        <v>1971</v>
      </c>
      <c r="D39" t="s">
        <v>1226</v>
      </c>
      <c r="E39">
        <v>7</v>
      </c>
      <c r="F39">
        <v>24</v>
      </c>
      <c r="G39">
        <v>56</v>
      </c>
      <c r="H39" t="s">
        <v>841</v>
      </c>
      <c r="I39" t="s">
        <v>841</v>
      </c>
      <c r="J39" t="s">
        <v>841</v>
      </c>
      <c r="K39" t="s">
        <v>841</v>
      </c>
    </row>
    <row r="40" spans="1:40" hidden="1" x14ac:dyDescent="0.3">
      <c r="A40">
        <v>1474</v>
      </c>
      <c r="B40" t="s">
        <v>1350</v>
      </c>
      <c r="C40" t="s">
        <v>1004</v>
      </c>
      <c r="D40" t="s">
        <v>389</v>
      </c>
      <c r="E40">
        <v>25</v>
      </c>
      <c r="F40">
        <v>20</v>
      </c>
      <c r="G40">
        <v>28</v>
      </c>
      <c r="H40" t="s">
        <v>841</v>
      </c>
      <c r="I40" t="s">
        <v>841</v>
      </c>
      <c r="J40" t="s">
        <v>841</v>
      </c>
      <c r="K40" t="s">
        <v>842</v>
      </c>
      <c r="L40">
        <v>1</v>
      </c>
      <c r="M40">
        <v>1</v>
      </c>
      <c r="N40">
        <v>1</v>
      </c>
      <c r="O40">
        <v>1</v>
      </c>
      <c r="P40">
        <v>1</v>
      </c>
      <c r="Q40">
        <v>1</v>
      </c>
      <c r="R40">
        <v>1</v>
      </c>
    </row>
    <row r="41" spans="1:40" hidden="1" x14ac:dyDescent="0.3">
      <c r="A41">
        <v>1757</v>
      </c>
      <c r="B41" t="s">
        <v>2037</v>
      </c>
      <c r="C41" t="s">
        <v>2029</v>
      </c>
      <c r="D41" t="s">
        <v>843</v>
      </c>
      <c r="E41">
        <v>7</v>
      </c>
      <c r="F41">
        <v>26</v>
      </c>
      <c r="G41">
        <v>28</v>
      </c>
      <c r="H41" t="s">
        <v>841</v>
      </c>
      <c r="I41" t="s">
        <v>841</v>
      </c>
      <c r="J41" t="s">
        <v>841</v>
      </c>
      <c r="K41" t="s">
        <v>842</v>
      </c>
      <c r="L41">
        <v>1</v>
      </c>
      <c r="M41">
        <v>1</v>
      </c>
      <c r="N41">
        <v>1</v>
      </c>
      <c r="O41">
        <v>1</v>
      </c>
      <c r="P41">
        <v>1</v>
      </c>
      <c r="Q41">
        <v>1</v>
      </c>
      <c r="R41">
        <v>1</v>
      </c>
    </row>
    <row r="42" spans="1:40" hidden="1" x14ac:dyDescent="0.3">
      <c r="A42">
        <v>1875</v>
      </c>
      <c r="B42" t="s">
        <v>2236</v>
      </c>
      <c r="C42" t="s">
        <v>802</v>
      </c>
      <c r="D42" t="s">
        <v>2237</v>
      </c>
      <c r="E42">
        <v>7</v>
      </c>
      <c r="F42">
        <v>44</v>
      </c>
      <c r="G42">
        <v>28</v>
      </c>
      <c r="H42" t="s">
        <v>841</v>
      </c>
      <c r="I42" t="s">
        <v>841</v>
      </c>
      <c r="J42" t="s">
        <v>841</v>
      </c>
      <c r="K42" t="s">
        <v>841</v>
      </c>
    </row>
    <row r="43" spans="1:40" hidden="1" x14ac:dyDescent="0.3">
      <c r="A43">
        <v>1638</v>
      </c>
      <c r="B43" t="s">
        <v>1741</v>
      </c>
      <c r="C43" t="s">
        <v>203</v>
      </c>
      <c r="D43" t="s">
        <v>1742</v>
      </c>
      <c r="E43">
        <v>7</v>
      </c>
      <c r="F43">
        <v>22</v>
      </c>
      <c r="G43">
        <v>28</v>
      </c>
      <c r="H43" t="s">
        <v>841</v>
      </c>
      <c r="I43" t="s">
        <v>841</v>
      </c>
      <c r="J43" t="s">
        <v>841</v>
      </c>
      <c r="K43" t="s">
        <v>842</v>
      </c>
      <c r="L43">
        <v>1</v>
      </c>
      <c r="M43">
        <v>1</v>
      </c>
      <c r="N43">
        <v>1</v>
      </c>
      <c r="O43">
        <v>1</v>
      </c>
      <c r="P43">
        <v>1</v>
      </c>
      <c r="Q43">
        <v>1</v>
      </c>
      <c r="R43">
        <v>1</v>
      </c>
    </row>
    <row r="44" spans="1:40" hidden="1" x14ac:dyDescent="0.3">
      <c r="A44">
        <v>1626</v>
      </c>
      <c r="B44" t="s">
        <v>1743</v>
      </c>
      <c r="C44" t="s">
        <v>106</v>
      </c>
      <c r="D44" t="s">
        <v>1744</v>
      </c>
      <c r="E44">
        <v>7</v>
      </c>
      <c r="F44">
        <v>22</v>
      </c>
      <c r="G44">
        <v>56</v>
      </c>
      <c r="H44" t="s">
        <v>841</v>
      </c>
      <c r="I44" t="s">
        <v>841</v>
      </c>
      <c r="J44" t="s">
        <v>841</v>
      </c>
      <c r="K44" t="s">
        <v>842</v>
      </c>
    </row>
    <row r="45" spans="1:40" hidden="1" x14ac:dyDescent="0.3">
      <c r="A45">
        <v>1450</v>
      </c>
      <c r="B45" t="s">
        <v>1291</v>
      </c>
      <c r="C45" t="s">
        <v>177</v>
      </c>
      <c r="D45" t="s">
        <v>373</v>
      </c>
      <c r="E45">
        <v>25</v>
      </c>
      <c r="F45">
        <v>19</v>
      </c>
      <c r="G45">
        <v>168</v>
      </c>
      <c r="H45" t="s">
        <v>841</v>
      </c>
      <c r="I45" t="s">
        <v>841</v>
      </c>
      <c r="J45" t="s">
        <v>841</v>
      </c>
      <c r="K45" t="s">
        <v>842</v>
      </c>
      <c r="L45">
        <v>1</v>
      </c>
      <c r="M45">
        <v>1</v>
      </c>
      <c r="N45">
        <v>1</v>
      </c>
      <c r="O45">
        <v>1</v>
      </c>
      <c r="P45">
        <v>1</v>
      </c>
      <c r="Q45">
        <v>1</v>
      </c>
      <c r="R45">
        <v>1</v>
      </c>
    </row>
    <row r="46" spans="1:40" hidden="1" x14ac:dyDescent="0.3">
      <c r="A46">
        <v>1472</v>
      </c>
      <c r="B46" t="s">
        <v>1349</v>
      </c>
      <c r="C46" t="s">
        <v>940</v>
      </c>
      <c r="D46" t="s">
        <v>381</v>
      </c>
      <c r="E46">
        <v>25</v>
      </c>
      <c r="F46">
        <v>20</v>
      </c>
      <c r="G46">
        <v>28</v>
      </c>
      <c r="H46" t="s">
        <v>841</v>
      </c>
      <c r="I46" t="s">
        <v>841</v>
      </c>
      <c r="J46" t="s">
        <v>841</v>
      </c>
      <c r="K46" t="s">
        <v>842</v>
      </c>
      <c r="L46">
        <v>1</v>
      </c>
      <c r="M46">
        <v>1</v>
      </c>
      <c r="N46">
        <v>1</v>
      </c>
      <c r="O46">
        <v>1</v>
      </c>
      <c r="P46">
        <v>1</v>
      </c>
      <c r="Q46">
        <v>1</v>
      </c>
      <c r="R46">
        <v>1</v>
      </c>
    </row>
    <row r="47" spans="1:40" hidden="1" x14ac:dyDescent="0.3">
      <c r="A47">
        <v>1434</v>
      </c>
      <c r="B47" t="s">
        <v>1273</v>
      </c>
      <c r="C47" t="s">
        <v>123</v>
      </c>
      <c r="D47" t="s">
        <v>1274</v>
      </c>
      <c r="E47">
        <v>7</v>
      </c>
      <c r="F47">
        <v>19</v>
      </c>
      <c r="G47">
        <v>28</v>
      </c>
      <c r="H47" t="s">
        <v>841</v>
      </c>
      <c r="I47" t="s">
        <v>841</v>
      </c>
      <c r="J47" t="s">
        <v>841</v>
      </c>
      <c r="K47" t="s">
        <v>842</v>
      </c>
      <c r="L47">
        <v>1</v>
      </c>
      <c r="M47">
        <v>1</v>
      </c>
      <c r="N47">
        <v>1</v>
      </c>
      <c r="O47">
        <v>1</v>
      </c>
      <c r="P47">
        <v>1</v>
      </c>
      <c r="Q47">
        <v>1</v>
      </c>
      <c r="R47">
        <v>1</v>
      </c>
    </row>
    <row r="48" spans="1:40" hidden="1" x14ac:dyDescent="0.3">
      <c r="A48">
        <v>1445</v>
      </c>
      <c r="B48" t="s">
        <v>1286</v>
      </c>
      <c r="C48" t="s">
        <v>147</v>
      </c>
      <c r="D48" t="s">
        <v>244</v>
      </c>
      <c r="E48">
        <v>7</v>
      </c>
      <c r="F48">
        <v>19</v>
      </c>
      <c r="G48">
        <v>56</v>
      </c>
      <c r="H48" t="s">
        <v>841</v>
      </c>
      <c r="I48" t="s">
        <v>841</v>
      </c>
      <c r="J48" t="s">
        <v>841</v>
      </c>
      <c r="K48" t="s">
        <v>842</v>
      </c>
    </row>
    <row r="49" spans="1:40" x14ac:dyDescent="0.3">
      <c r="A49">
        <v>1634</v>
      </c>
      <c r="B49" t="s">
        <v>1747</v>
      </c>
      <c r="C49" t="s">
        <v>155</v>
      </c>
      <c r="D49" t="s">
        <v>252</v>
      </c>
      <c r="E49">
        <v>7</v>
      </c>
      <c r="F49">
        <v>22</v>
      </c>
      <c r="G49">
        <v>28</v>
      </c>
      <c r="H49" t="s">
        <v>841</v>
      </c>
      <c r="I49" t="s">
        <v>841</v>
      </c>
      <c r="J49" t="s">
        <v>841</v>
      </c>
      <c r="K49" t="s">
        <v>842</v>
      </c>
      <c r="L49">
        <v>1</v>
      </c>
      <c r="M49">
        <v>1</v>
      </c>
      <c r="N49">
        <v>1</v>
      </c>
      <c r="O49">
        <v>1</v>
      </c>
      <c r="P49">
        <v>1</v>
      </c>
      <c r="Q49">
        <v>1</v>
      </c>
      <c r="R49">
        <v>1</v>
      </c>
      <c r="AN49">
        <v>154</v>
      </c>
    </row>
    <row r="50" spans="1:40" hidden="1" x14ac:dyDescent="0.3">
      <c r="A50">
        <v>1627</v>
      </c>
      <c r="B50" t="s">
        <v>1745</v>
      </c>
      <c r="C50" t="s">
        <v>108</v>
      </c>
      <c r="D50" t="s">
        <v>1746</v>
      </c>
      <c r="E50">
        <v>7</v>
      </c>
      <c r="F50">
        <v>22</v>
      </c>
      <c r="G50">
        <v>28</v>
      </c>
      <c r="H50" t="s">
        <v>841</v>
      </c>
      <c r="I50" t="s">
        <v>841</v>
      </c>
      <c r="J50" t="s">
        <v>841</v>
      </c>
      <c r="K50" t="s">
        <v>842</v>
      </c>
      <c r="L50">
        <v>1</v>
      </c>
      <c r="M50">
        <v>1</v>
      </c>
      <c r="N50">
        <v>1</v>
      </c>
      <c r="O50">
        <v>1</v>
      </c>
      <c r="P50">
        <v>1</v>
      </c>
      <c r="Q50">
        <v>1</v>
      </c>
      <c r="R50">
        <v>1</v>
      </c>
    </row>
    <row r="51" spans="1:40" hidden="1" x14ac:dyDescent="0.3">
      <c r="A51">
        <v>1435</v>
      </c>
      <c r="B51" t="s">
        <v>1275</v>
      </c>
      <c r="C51" t="s">
        <v>125</v>
      </c>
      <c r="D51" t="s">
        <v>814</v>
      </c>
      <c r="E51">
        <v>7</v>
      </c>
      <c r="F51">
        <v>19</v>
      </c>
      <c r="G51">
        <v>28</v>
      </c>
      <c r="H51" t="s">
        <v>841</v>
      </c>
      <c r="I51" t="s">
        <v>841</v>
      </c>
      <c r="J51" t="s">
        <v>841</v>
      </c>
      <c r="K51" t="s">
        <v>841</v>
      </c>
      <c r="L51">
        <v>1</v>
      </c>
      <c r="M51">
        <v>1</v>
      </c>
      <c r="N51">
        <v>1</v>
      </c>
      <c r="O51">
        <v>1</v>
      </c>
      <c r="P51">
        <v>1</v>
      </c>
      <c r="Q51">
        <v>1</v>
      </c>
      <c r="R51">
        <v>1</v>
      </c>
    </row>
    <row r="52" spans="1:40" hidden="1" x14ac:dyDescent="0.3">
      <c r="A52">
        <v>1623</v>
      </c>
      <c r="B52" t="s">
        <v>1761</v>
      </c>
      <c r="C52" t="s">
        <v>86</v>
      </c>
      <c r="D52" t="s">
        <v>1748</v>
      </c>
      <c r="E52">
        <v>7</v>
      </c>
      <c r="F52">
        <v>22</v>
      </c>
      <c r="G52">
        <v>28</v>
      </c>
      <c r="H52" t="s">
        <v>841</v>
      </c>
      <c r="I52" t="s">
        <v>841</v>
      </c>
      <c r="J52" t="s">
        <v>841</v>
      </c>
      <c r="K52" t="s">
        <v>842</v>
      </c>
      <c r="L52">
        <v>1</v>
      </c>
      <c r="M52">
        <v>1</v>
      </c>
      <c r="N52">
        <v>1</v>
      </c>
      <c r="O52">
        <v>1</v>
      </c>
      <c r="P52">
        <v>1</v>
      </c>
      <c r="Q52">
        <v>1</v>
      </c>
      <c r="R52">
        <v>1</v>
      </c>
    </row>
    <row r="53" spans="1:40" x14ac:dyDescent="0.3">
      <c r="A53">
        <v>1443</v>
      </c>
      <c r="B53" t="s">
        <v>1284</v>
      </c>
      <c r="C53" t="s">
        <v>144</v>
      </c>
      <c r="D53" t="s">
        <v>242</v>
      </c>
      <c r="E53">
        <v>7</v>
      </c>
      <c r="F53">
        <v>19</v>
      </c>
      <c r="G53">
        <v>28</v>
      </c>
      <c r="H53" t="s">
        <v>841</v>
      </c>
      <c r="I53" t="s">
        <v>841</v>
      </c>
      <c r="J53" t="s">
        <v>841</v>
      </c>
      <c r="K53" t="s">
        <v>842</v>
      </c>
      <c r="L53">
        <v>1</v>
      </c>
      <c r="M53">
        <v>1</v>
      </c>
      <c r="N53">
        <v>1</v>
      </c>
      <c r="O53">
        <v>1</v>
      </c>
      <c r="P53">
        <v>1</v>
      </c>
      <c r="Q53">
        <v>1</v>
      </c>
      <c r="R53">
        <v>1</v>
      </c>
      <c r="AN53">
        <v>493</v>
      </c>
    </row>
    <row r="54" spans="1:40" hidden="1" x14ac:dyDescent="0.3">
      <c r="A54">
        <v>1743</v>
      </c>
      <c r="B54" t="s">
        <v>2022</v>
      </c>
      <c r="C54" t="s">
        <v>1757</v>
      </c>
      <c r="D54">
        <v>7075244730</v>
      </c>
      <c r="E54">
        <v>7</v>
      </c>
      <c r="F54">
        <v>24</v>
      </c>
      <c r="G54">
        <v>28</v>
      </c>
      <c r="H54" t="s">
        <v>841</v>
      </c>
      <c r="I54" t="s">
        <v>841</v>
      </c>
      <c r="J54" t="s">
        <v>841</v>
      </c>
      <c r="K54" t="s">
        <v>842</v>
      </c>
      <c r="L54">
        <v>1</v>
      </c>
      <c r="M54">
        <v>1</v>
      </c>
      <c r="N54">
        <v>1</v>
      </c>
      <c r="O54">
        <v>1</v>
      </c>
      <c r="P54">
        <v>1</v>
      </c>
      <c r="Q54">
        <v>1</v>
      </c>
      <c r="R54">
        <v>1</v>
      </c>
    </row>
    <row r="55" spans="1:40" x14ac:dyDescent="0.3">
      <c r="A55">
        <v>1655</v>
      </c>
      <c r="B55" t="s">
        <v>1783</v>
      </c>
      <c r="C55" t="s">
        <v>1768</v>
      </c>
      <c r="D55" t="s">
        <v>521</v>
      </c>
      <c r="E55">
        <v>7</v>
      </c>
      <c r="F55">
        <v>23</v>
      </c>
      <c r="G55">
        <v>56</v>
      </c>
      <c r="H55" t="s">
        <v>841</v>
      </c>
      <c r="I55" t="s">
        <v>841</v>
      </c>
      <c r="J55" t="s">
        <v>841</v>
      </c>
      <c r="K55" t="s">
        <v>841</v>
      </c>
      <c r="AN55">
        <v>483</v>
      </c>
    </row>
    <row r="56" spans="1:40" hidden="1" x14ac:dyDescent="0.3">
      <c r="A56">
        <v>1465</v>
      </c>
      <c r="B56" t="s">
        <v>1344</v>
      </c>
      <c r="C56" t="s">
        <v>861</v>
      </c>
      <c r="D56" t="s">
        <v>364</v>
      </c>
      <c r="E56">
        <v>25</v>
      </c>
      <c r="F56">
        <v>20</v>
      </c>
      <c r="G56">
        <v>28</v>
      </c>
      <c r="H56" t="s">
        <v>841</v>
      </c>
      <c r="I56" t="s">
        <v>841</v>
      </c>
      <c r="J56" t="s">
        <v>841</v>
      </c>
      <c r="K56" t="s">
        <v>842</v>
      </c>
      <c r="L56">
        <v>1</v>
      </c>
      <c r="M56">
        <v>1</v>
      </c>
      <c r="N56">
        <v>1</v>
      </c>
      <c r="O56">
        <v>1</v>
      </c>
      <c r="P56">
        <v>1</v>
      </c>
      <c r="Q56">
        <v>1</v>
      </c>
      <c r="R56">
        <v>1</v>
      </c>
    </row>
    <row r="57" spans="1:40" hidden="1" x14ac:dyDescent="0.3">
      <c r="A57">
        <v>1637</v>
      </c>
      <c r="B57" t="s">
        <v>1749</v>
      </c>
      <c r="C57" t="s">
        <v>201</v>
      </c>
      <c r="D57" t="s">
        <v>1750</v>
      </c>
      <c r="E57">
        <v>7</v>
      </c>
      <c r="F57">
        <v>22</v>
      </c>
      <c r="G57">
        <v>28</v>
      </c>
      <c r="H57" t="s">
        <v>841</v>
      </c>
      <c r="I57" t="s">
        <v>841</v>
      </c>
      <c r="J57" t="s">
        <v>841</v>
      </c>
      <c r="K57" t="s">
        <v>842</v>
      </c>
      <c r="L57">
        <v>1</v>
      </c>
      <c r="M57">
        <v>1</v>
      </c>
      <c r="N57">
        <v>1</v>
      </c>
      <c r="O57">
        <v>1</v>
      </c>
      <c r="P57">
        <v>1</v>
      </c>
      <c r="Q57">
        <v>1</v>
      </c>
      <c r="R57">
        <v>1</v>
      </c>
    </row>
    <row r="58" spans="1:40" hidden="1" x14ac:dyDescent="0.3">
      <c r="A58">
        <v>1640</v>
      </c>
      <c r="B58" t="s">
        <v>1751</v>
      </c>
      <c r="C58" t="s">
        <v>297</v>
      </c>
      <c r="D58" t="s">
        <v>292</v>
      </c>
      <c r="E58">
        <v>7</v>
      </c>
      <c r="F58">
        <v>22</v>
      </c>
      <c r="G58">
        <v>28</v>
      </c>
      <c r="H58" t="s">
        <v>841</v>
      </c>
      <c r="I58" t="s">
        <v>841</v>
      </c>
      <c r="J58" t="s">
        <v>841</v>
      </c>
      <c r="K58" t="s">
        <v>842</v>
      </c>
      <c r="L58">
        <v>1</v>
      </c>
      <c r="M58">
        <v>1</v>
      </c>
      <c r="N58">
        <v>1</v>
      </c>
      <c r="O58">
        <v>1</v>
      </c>
      <c r="P58">
        <v>1</v>
      </c>
      <c r="Q58">
        <v>1</v>
      </c>
      <c r="R58">
        <v>1</v>
      </c>
    </row>
    <row r="59" spans="1:40" hidden="1" x14ac:dyDescent="0.3">
      <c r="A59">
        <v>1874</v>
      </c>
      <c r="B59" t="s">
        <v>2238</v>
      </c>
      <c r="C59" t="s">
        <v>784</v>
      </c>
      <c r="D59" t="s">
        <v>2239</v>
      </c>
      <c r="E59">
        <v>7</v>
      </c>
      <c r="F59">
        <v>44</v>
      </c>
      <c r="G59">
        <v>28</v>
      </c>
      <c r="H59" t="s">
        <v>841</v>
      </c>
      <c r="I59" t="s">
        <v>841</v>
      </c>
      <c r="J59" t="s">
        <v>841</v>
      </c>
      <c r="K59" t="s">
        <v>841</v>
      </c>
    </row>
    <row r="60" spans="1:40" hidden="1" x14ac:dyDescent="0.3">
      <c r="A60">
        <v>1745</v>
      </c>
      <c r="B60" t="s">
        <v>2009</v>
      </c>
      <c r="C60" t="s">
        <v>1904</v>
      </c>
      <c r="D60" t="s">
        <v>248</v>
      </c>
      <c r="E60">
        <v>7</v>
      </c>
      <c r="F60">
        <v>24</v>
      </c>
      <c r="G60">
        <v>56</v>
      </c>
      <c r="H60" t="s">
        <v>841</v>
      </c>
      <c r="I60" t="s">
        <v>841</v>
      </c>
      <c r="J60" t="s">
        <v>841</v>
      </c>
      <c r="K60" t="s">
        <v>842</v>
      </c>
      <c r="L60">
        <v>1</v>
      </c>
      <c r="M60">
        <v>1</v>
      </c>
      <c r="N60">
        <v>1</v>
      </c>
      <c r="O60">
        <v>1</v>
      </c>
      <c r="P60">
        <v>1</v>
      </c>
      <c r="Q60">
        <v>1</v>
      </c>
      <c r="R60">
        <v>1</v>
      </c>
    </row>
    <row r="61" spans="1:40" hidden="1" x14ac:dyDescent="0.3">
      <c r="A61">
        <v>1642</v>
      </c>
      <c r="B61" t="s">
        <v>1715</v>
      </c>
      <c r="C61" t="s">
        <v>774</v>
      </c>
      <c r="D61" t="s">
        <v>1716</v>
      </c>
      <c r="E61">
        <v>7</v>
      </c>
      <c r="F61">
        <v>22</v>
      </c>
      <c r="G61">
        <v>28</v>
      </c>
      <c r="H61" t="s">
        <v>841</v>
      </c>
      <c r="I61" t="s">
        <v>841</v>
      </c>
      <c r="J61" t="s">
        <v>841</v>
      </c>
      <c r="K61" t="s">
        <v>842</v>
      </c>
      <c r="L61">
        <v>1</v>
      </c>
      <c r="M61">
        <v>1</v>
      </c>
      <c r="N61">
        <v>1</v>
      </c>
      <c r="O61">
        <v>1</v>
      </c>
      <c r="P61">
        <v>1</v>
      </c>
      <c r="Q61">
        <v>1</v>
      </c>
      <c r="R61">
        <v>1</v>
      </c>
    </row>
    <row r="62" spans="1:40" x14ac:dyDescent="0.3">
      <c r="A62">
        <v>1876</v>
      </c>
      <c r="B62" t="s">
        <v>2240</v>
      </c>
      <c r="C62" t="s">
        <v>1870</v>
      </c>
      <c r="D62" t="s">
        <v>1210</v>
      </c>
      <c r="E62">
        <v>7</v>
      </c>
      <c r="F62">
        <v>44</v>
      </c>
      <c r="G62">
        <v>112</v>
      </c>
      <c r="H62" t="s">
        <v>841</v>
      </c>
      <c r="I62" t="s">
        <v>841</v>
      </c>
      <c r="J62" t="s">
        <v>841</v>
      </c>
      <c r="K62" t="s">
        <v>841</v>
      </c>
      <c r="AN62" t="s">
        <v>2244</v>
      </c>
    </row>
    <row r="63" spans="1:40" hidden="1" x14ac:dyDescent="0.3">
      <c r="A63">
        <v>1458</v>
      </c>
      <c r="B63" t="s">
        <v>1304</v>
      </c>
      <c r="C63" t="s">
        <v>848</v>
      </c>
      <c r="D63" t="s">
        <v>1303</v>
      </c>
      <c r="E63">
        <v>7</v>
      </c>
      <c r="F63">
        <v>19</v>
      </c>
      <c r="G63">
        <v>28</v>
      </c>
      <c r="H63" t="s">
        <v>841</v>
      </c>
      <c r="I63" t="s">
        <v>841</v>
      </c>
      <c r="J63" t="s">
        <v>841</v>
      </c>
      <c r="K63" t="s">
        <v>842</v>
      </c>
      <c r="L63">
        <v>1</v>
      </c>
      <c r="M63">
        <v>1</v>
      </c>
      <c r="N63">
        <v>1</v>
      </c>
      <c r="O63">
        <v>1</v>
      </c>
      <c r="P63">
        <v>1</v>
      </c>
      <c r="Q63">
        <v>1</v>
      </c>
      <c r="R63">
        <v>1</v>
      </c>
    </row>
    <row r="64" spans="1:40" hidden="1" x14ac:dyDescent="0.3">
      <c r="A64">
        <v>1471</v>
      </c>
      <c r="B64" t="s">
        <v>1351</v>
      </c>
      <c r="C64" t="s">
        <v>937</v>
      </c>
      <c r="D64" t="s">
        <v>379</v>
      </c>
      <c r="E64">
        <v>25</v>
      </c>
      <c r="F64">
        <v>20</v>
      </c>
      <c r="G64">
        <v>28</v>
      </c>
      <c r="H64" t="s">
        <v>841</v>
      </c>
      <c r="I64" t="s">
        <v>841</v>
      </c>
      <c r="J64" t="s">
        <v>841</v>
      </c>
      <c r="K64" t="s">
        <v>841</v>
      </c>
      <c r="L64">
        <v>1</v>
      </c>
      <c r="M64">
        <v>1</v>
      </c>
      <c r="N64">
        <v>1</v>
      </c>
      <c r="O64">
        <v>1</v>
      </c>
      <c r="P64">
        <v>1</v>
      </c>
      <c r="Q64">
        <v>1</v>
      </c>
      <c r="R64">
        <v>1</v>
      </c>
    </row>
    <row r="65" spans="1:40" hidden="1" x14ac:dyDescent="0.3">
      <c r="A65">
        <v>1644</v>
      </c>
      <c r="B65" t="s">
        <v>1717</v>
      </c>
      <c r="C65" t="s">
        <v>987</v>
      </c>
      <c r="D65" t="s">
        <v>1718</v>
      </c>
      <c r="E65">
        <v>7</v>
      </c>
      <c r="F65">
        <v>22</v>
      </c>
      <c r="G65">
        <v>28</v>
      </c>
      <c r="H65" t="s">
        <v>841</v>
      </c>
      <c r="I65" t="s">
        <v>841</v>
      </c>
      <c r="J65" t="s">
        <v>841</v>
      </c>
      <c r="K65" t="s">
        <v>842</v>
      </c>
      <c r="L65">
        <v>1</v>
      </c>
      <c r="M65">
        <v>1</v>
      </c>
      <c r="N65">
        <v>1</v>
      </c>
      <c r="O65">
        <v>1</v>
      </c>
      <c r="P65">
        <v>1</v>
      </c>
      <c r="Q65">
        <v>1</v>
      </c>
      <c r="R65">
        <v>1</v>
      </c>
    </row>
    <row r="66" spans="1:40" hidden="1" x14ac:dyDescent="0.3">
      <c r="A66">
        <v>1793</v>
      </c>
      <c r="B66" t="s">
        <v>2072</v>
      </c>
      <c r="C66" t="s">
        <v>2063</v>
      </c>
      <c r="D66" t="s">
        <v>2073</v>
      </c>
      <c r="E66">
        <v>7</v>
      </c>
      <c r="F66">
        <v>28</v>
      </c>
      <c r="G66">
        <v>28</v>
      </c>
      <c r="H66" t="s">
        <v>841</v>
      </c>
      <c r="I66" t="s">
        <v>841</v>
      </c>
      <c r="J66" t="s">
        <v>841</v>
      </c>
      <c r="K66" t="s">
        <v>842</v>
      </c>
      <c r="L66">
        <v>1</v>
      </c>
      <c r="M66">
        <v>1</v>
      </c>
      <c r="N66">
        <v>1</v>
      </c>
      <c r="O66">
        <v>1</v>
      </c>
      <c r="P66">
        <v>1</v>
      </c>
      <c r="Q66">
        <v>1</v>
      </c>
      <c r="R66">
        <v>1</v>
      </c>
    </row>
    <row r="67" spans="1:40" hidden="1" x14ac:dyDescent="0.3">
      <c r="A67">
        <v>1744</v>
      </c>
      <c r="B67" t="s">
        <v>2014</v>
      </c>
      <c r="C67" t="s">
        <v>1903</v>
      </c>
      <c r="D67" t="s">
        <v>249</v>
      </c>
      <c r="E67">
        <v>7</v>
      </c>
      <c r="F67">
        <v>24</v>
      </c>
      <c r="G67">
        <v>56</v>
      </c>
      <c r="H67" t="s">
        <v>841</v>
      </c>
      <c r="I67" t="s">
        <v>841</v>
      </c>
      <c r="J67" t="s">
        <v>841</v>
      </c>
      <c r="K67" t="s">
        <v>842</v>
      </c>
    </row>
    <row r="68" spans="1:40" hidden="1" x14ac:dyDescent="0.3">
      <c r="A68">
        <v>1750</v>
      </c>
      <c r="B68" t="s">
        <v>2015</v>
      </c>
      <c r="C68" t="s">
        <v>2001</v>
      </c>
      <c r="D68" t="s">
        <v>2016</v>
      </c>
      <c r="E68">
        <v>7</v>
      </c>
      <c r="F68">
        <v>25</v>
      </c>
      <c r="G68">
        <v>28</v>
      </c>
      <c r="H68" t="s">
        <v>841</v>
      </c>
      <c r="I68" t="s">
        <v>841</v>
      </c>
      <c r="J68" t="s">
        <v>841</v>
      </c>
      <c r="K68" t="s">
        <v>842</v>
      </c>
    </row>
    <row r="69" spans="1:40" hidden="1" x14ac:dyDescent="0.3">
      <c r="A69">
        <v>1440</v>
      </c>
      <c r="B69" t="s">
        <v>1281</v>
      </c>
      <c r="C69" t="s">
        <v>141</v>
      </c>
      <c r="D69" t="s">
        <v>240</v>
      </c>
      <c r="E69">
        <v>7</v>
      </c>
      <c r="F69">
        <v>19</v>
      </c>
      <c r="G69">
        <v>28</v>
      </c>
      <c r="H69" t="s">
        <v>841</v>
      </c>
      <c r="I69" t="s">
        <v>841</v>
      </c>
      <c r="J69" t="s">
        <v>841</v>
      </c>
      <c r="K69" t="s">
        <v>842</v>
      </c>
    </row>
    <row r="70" spans="1:40" hidden="1" x14ac:dyDescent="0.3">
      <c r="A70">
        <v>1747</v>
      </c>
      <c r="B70" t="s">
        <v>2017</v>
      </c>
      <c r="C70" t="s">
        <v>1968</v>
      </c>
      <c r="D70" t="s">
        <v>1227</v>
      </c>
      <c r="E70">
        <v>7</v>
      </c>
      <c r="F70">
        <v>24</v>
      </c>
      <c r="G70">
        <v>56</v>
      </c>
      <c r="H70" t="s">
        <v>841</v>
      </c>
      <c r="I70" t="s">
        <v>841</v>
      </c>
      <c r="J70" t="s">
        <v>841</v>
      </c>
      <c r="K70" t="s">
        <v>841</v>
      </c>
    </row>
    <row r="71" spans="1:40" hidden="1" x14ac:dyDescent="0.3">
      <c r="A71">
        <v>1452</v>
      </c>
      <c r="B71" t="s">
        <v>1294</v>
      </c>
      <c r="C71" t="s">
        <v>190</v>
      </c>
      <c r="D71" t="s">
        <v>391</v>
      </c>
      <c r="E71">
        <v>25</v>
      </c>
      <c r="F71">
        <v>19</v>
      </c>
      <c r="G71">
        <v>56</v>
      </c>
      <c r="H71" t="s">
        <v>841</v>
      </c>
      <c r="I71" t="s">
        <v>841</v>
      </c>
      <c r="J71" t="s">
        <v>841</v>
      </c>
      <c r="K71" t="s">
        <v>842</v>
      </c>
      <c r="L71">
        <v>1</v>
      </c>
      <c r="M71">
        <v>1</v>
      </c>
      <c r="N71">
        <v>1</v>
      </c>
      <c r="O71">
        <v>1</v>
      </c>
      <c r="P71">
        <v>1</v>
      </c>
      <c r="Q71">
        <v>1</v>
      </c>
      <c r="R71">
        <v>1</v>
      </c>
    </row>
    <row r="72" spans="1:40" hidden="1" x14ac:dyDescent="0.3">
      <c r="A72">
        <v>1794</v>
      </c>
      <c r="B72" t="s">
        <v>2074</v>
      </c>
      <c r="C72" t="s">
        <v>2066</v>
      </c>
      <c r="D72" t="s">
        <v>217</v>
      </c>
      <c r="E72">
        <v>7</v>
      </c>
      <c r="F72">
        <v>28</v>
      </c>
      <c r="G72">
        <v>84</v>
      </c>
      <c r="H72" t="s">
        <v>841</v>
      </c>
      <c r="I72" t="s">
        <v>841</v>
      </c>
      <c r="J72" t="s">
        <v>841</v>
      </c>
      <c r="K72" t="s">
        <v>841</v>
      </c>
    </row>
    <row r="73" spans="1:40" hidden="1" x14ac:dyDescent="0.3">
      <c r="A73">
        <v>1467</v>
      </c>
      <c r="B73" t="s">
        <v>1354</v>
      </c>
      <c r="C73" t="s">
        <v>979</v>
      </c>
      <c r="D73" t="s">
        <v>1355</v>
      </c>
      <c r="E73">
        <v>25</v>
      </c>
      <c r="F73">
        <v>20</v>
      </c>
      <c r="G73">
        <v>28</v>
      </c>
      <c r="H73" t="s">
        <v>841</v>
      </c>
      <c r="I73" t="s">
        <v>841</v>
      </c>
      <c r="J73" t="s">
        <v>841</v>
      </c>
      <c r="K73" t="s">
        <v>842</v>
      </c>
      <c r="L73">
        <v>1</v>
      </c>
      <c r="M73">
        <v>1</v>
      </c>
      <c r="N73">
        <v>1</v>
      </c>
      <c r="O73">
        <v>1</v>
      </c>
      <c r="P73">
        <v>1</v>
      </c>
      <c r="Q73">
        <v>1</v>
      </c>
      <c r="R73">
        <v>1</v>
      </c>
    </row>
    <row r="74" spans="1:40" x14ac:dyDescent="0.3">
      <c r="A74">
        <v>1426</v>
      </c>
      <c r="B74" t="s">
        <v>1259</v>
      </c>
      <c r="C74" t="s">
        <v>84</v>
      </c>
      <c r="D74" t="s">
        <v>1260</v>
      </c>
      <c r="E74">
        <v>7</v>
      </c>
      <c r="F74">
        <v>19</v>
      </c>
      <c r="G74">
        <v>84</v>
      </c>
      <c r="H74" t="s">
        <v>841</v>
      </c>
      <c r="I74" t="s">
        <v>841</v>
      </c>
      <c r="J74" t="s">
        <v>841</v>
      </c>
      <c r="K74" t="s">
        <v>842</v>
      </c>
      <c r="L74">
        <v>1</v>
      </c>
      <c r="M74">
        <v>1</v>
      </c>
      <c r="N74">
        <v>1</v>
      </c>
      <c r="O74">
        <v>1</v>
      </c>
      <c r="P74">
        <v>1</v>
      </c>
      <c r="Q74">
        <v>1</v>
      </c>
      <c r="R74">
        <v>1</v>
      </c>
      <c r="AN74">
        <v>258</v>
      </c>
    </row>
    <row r="75" spans="1:40" x14ac:dyDescent="0.3">
      <c r="A75">
        <v>1433</v>
      </c>
      <c r="B75" t="s">
        <v>1271</v>
      </c>
      <c r="C75" t="s">
        <v>122</v>
      </c>
      <c r="D75" t="s">
        <v>1272</v>
      </c>
      <c r="E75">
        <v>7</v>
      </c>
      <c r="F75">
        <v>19</v>
      </c>
      <c r="G75">
        <v>84</v>
      </c>
      <c r="H75" t="s">
        <v>841</v>
      </c>
      <c r="I75" t="s">
        <v>841</v>
      </c>
      <c r="J75" t="s">
        <v>841</v>
      </c>
      <c r="K75" t="s">
        <v>841</v>
      </c>
      <c r="L75">
        <v>1</v>
      </c>
      <c r="M75">
        <v>1</v>
      </c>
      <c r="N75">
        <v>1</v>
      </c>
      <c r="O75">
        <v>1</v>
      </c>
      <c r="P75">
        <v>1</v>
      </c>
      <c r="Q75">
        <v>1</v>
      </c>
      <c r="R75">
        <v>1</v>
      </c>
      <c r="AN75">
        <v>496</v>
      </c>
    </row>
    <row r="76" spans="1:40" hidden="1" x14ac:dyDescent="0.3">
      <c r="A76">
        <v>1789</v>
      </c>
      <c r="B76" t="s">
        <v>2054</v>
      </c>
      <c r="C76" t="s">
        <v>2047</v>
      </c>
      <c r="D76" t="s">
        <v>2055</v>
      </c>
      <c r="E76">
        <v>7</v>
      </c>
      <c r="F76">
        <v>27</v>
      </c>
      <c r="G76">
        <v>28</v>
      </c>
      <c r="H76" t="s">
        <v>841</v>
      </c>
      <c r="I76" t="s">
        <v>841</v>
      </c>
      <c r="J76" t="s">
        <v>841</v>
      </c>
      <c r="K76" t="s">
        <v>842</v>
      </c>
      <c r="L76">
        <v>1</v>
      </c>
      <c r="M76">
        <v>1</v>
      </c>
      <c r="N76">
        <v>1</v>
      </c>
      <c r="O76">
        <v>1</v>
      </c>
      <c r="P76">
        <v>1</v>
      </c>
      <c r="Q76">
        <v>1</v>
      </c>
      <c r="R76">
        <v>1</v>
      </c>
    </row>
    <row r="77" spans="1:40" hidden="1" x14ac:dyDescent="0.3">
      <c r="A77">
        <v>1475</v>
      </c>
      <c r="B77" t="s">
        <v>1343</v>
      </c>
      <c r="C77" t="s">
        <v>943</v>
      </c>
      <c r="D77" t="s">
        <v>395</v>
      </c>
      <c r="E77">
        <v>25</v>
      </c>
      <c r="F77">
        <v>20</v>
      </c>
      <c r="G77">
        <v>56</v>
      </c>
      <c r="H77" t="s">
        <v>841</v>
      </c>
      <c r="I77" t="s">
        <v>841</v>
      </c>
      <c r="J77" t="s">
        <v>841</v>
      </c>
      <c r="K77" t="s">
        <v>842</v>
      </c>
      <c r="L77">
        <v>1</v>
      </c>
      <c r="M77">
        <v>1</v>
      </c>
      <c r="N77">
        <v>1</v>
      </c>
      <c r="O77">
        <v>1</v>
      </c>
      <c r="P77">
        <v>1</v>
      </c>
      <c r="Q77">
        <v>1</v>
      </c>
      <c r="R77">
        <v>1</v>
      </c>
    </row>
    <row r="78" spans="1:40" x14ac:dyDescent="0.3">
      <c r="A78">
        <v>1448</v>
      </c>
      <c r="B78" t="s">
        <v>1289</v>
      </c>
      <c r="C78" t="s">
        <v>169</v>
      </c>
      <c r="D78" t="s">
        <v>627</v>
      </c>
      <c r="E78">
        <v>7</v>
      </c>
      <c r="F78">
        <v>19</v>
      </c>
      <c r="G78">
        <v>28</v>
      </c>
      <c r="H78" t="s">
        <v>841</v>
      </c>
      <c r="I78" t="s">
        <v>841</v>
      </c>
      <c r="J78" t="s">
        <v>841</v>
      </c>
      <c r="K78" t="s">
        <v>842</v>
      </c>
      <c r="L78">
        <v>1</v>
      </c>
      <c r="M78">
        <v>1</v>
      </c>
      <c r="N78">
        <v>1</v>
      </c>
      <c r="O78">
        <v>1</v>
      </c>
      <c r="P78">
        <v>1</v>
      </c>
      <c r="Q78">
        <v>1</v>
      </c>
      <c r="R78">
        <v>1</v>
      </c>
      <c r="AN78">
        <v>161</v>
      </c>
    </row>
    <row r="79" spans="1:40" hidden="1" x14ac:dyDescent="0.3">
      <c r="A79">
        <v>1652</v>
      </c>
      <c r="B79" t="s">
        <v>1775</v>
      </c>
      <c r="C79" t="s">
        <v>1759</v>
      </c>
      <c r="D79" t="s">
        <v>1776</v>
      </c>
      <c r="E79">
        <v>7</v>
      </c>
      <c r="F79">
        <v>23</v>
      </c>
      <c r="G79">
        <v>28</v>
      </c>
      <c r="H79" t="s">
        <v>841</v>
      </c>
      <c r="I79" t="s">
        <v>841</v>
      </c>
      <c r="J79" t="s">
        <v>841</v>
      </c>
      <c r="K79" t="s">
        <v>841</v>
      </c>
    </row>
    <row r="80" spans="1:40" hidden="1" x14ac:dyDescent="0.3">
      <c r="A80">
        <v>1791</v>
      </c>
      <c r="B80" t="s">
        <v>2056</v>
      </c>
      <c r="C80" t="s">
        <v>2050</v>
      </c>
      <c r="D80" t="s">
        <v>579</v>
      </c>
      <c r="E80">
        <v>7</v>
      </c>
      <c r="F80">
        <v>27</v>
      </c>
      <c r="G80">
        <v>28</v>
      </c>
      <c r="H80" t="s">
        <v>841</v>
      </c>
      <c r="I80" t="s">
        <v>841</v>
      </c>
      <c r="J80" t="s">
        <v>841</v>
      </c>
      <c r="K80" t="s">
        <v>841</v>
      </c>
    </row>
    <row r="81" spans="1:40" hidden="1" x14ac:dyDescent="0.3">
      <c r="A81">
        <v>1423</v>
      </c>
      <c r="B81" t="s">
        <v>1254</v>
      </c>
      <c r="C81" t="s">
        <v>75</v>
      </c>
      <c r="D81" t="s">
        <v>835</v>
      </c>
      <c r="E81">
        <v>7</v>
      </c>
      <c r="F81">
        <v>19</v>
      </c>
      <c r="G81">
        <v>28</v>
      </c>
      <c r="H81" t="s">
        <v>841</v>
      </c>
      <c r="I81" t="s">
        <v>841</v>
      </c>
      <c r="J81" t="s">
        <v>841</v>
      </c>
      <c r="K81" t="s">
        <v>842</v>
      </c>
      <c r="L81">
        <v>1</v>
      </c>
      <c r="M81">
        <v>1</v>
      </c>
      <c r="N81">
        <v>1</v>
      </c>
      <c r="O81">
        <v>1</v>
      </c>
      <c r="P81">
        <v>1</v>
      </c>
      <c r="Q81">
        <v>1</v>
      </c>
      <c r="R81">
        <v>1</v>
      </c>
    </row>
    <row r="82" spans="1:40" hidden="1" x14ac:dyDescent="0.3">
      <c r="A82">
        <v>1451</v>
      </c>
      <c r="B82" t="s">
        <v>1292</v>
      </c>
      <c r="C82" t="s">
        <v>187</v>
      </c>
      <c r="D82">
        <v>7247781730</v>
      </c>
      <c r="E82">
        <v>25</v>
      </c>
      <c r="F82">
        <v>19</v>
      </c>
      <c r="G82">
        <v>56</v>
      </c>
      <c r="H82" t="s">
        <v>841</v>
      </c>
      <c r="I82" t="s">
        <v>841</v>
      </c>
      <c r="J82" t="s">
        <v>841</v>
      </c>
      <c r="K82" t="s">
        <v>842</v>
      </c>
      <c r="L82">
        <v>1</v>
      </c>
      <c r="M82">
        <v>1</v>
      </c>
      <c r="N82">
        <v>1</v>
      </c>
      <c r="O82">
        <v>1</v>
      </c>
      <c r="P82">
        <v>1</v>
      </c>
      <c r="Q82">
        <v>1</v>
      </c>
      <c r="R82">
        <v>1</v>
      </c>
    </row>
    <row r="83" spans="1:40" hidden="1" x14ac:dyDescent="0.3">
      <c r="A83">
        <v>1635</v>
      </c>
      <c r="B83" t="s">
        <v>1723</v>
      </c>
      <c r="C83" t="s">
        <v>161</v>
      </c>
      <c r="D83" t="s">
        <v>596</v>
      </c>
      <c r="E83">
        <v>7</v>
      </c>
      <c r="F83">
        <v>22</v>
      </c>
      <c r="G83">
        <v>28</v>
      </c>
      <c r="H83" t="s">
        <v>841</v>
      </c>
      <c r="I83" t="s">
        <v>841</v>
      </c>
      <c r="J83" t="s">
        <v>841</v>
      </c>
      <c r="K83" t="s">
        <v>842</v>
      </c>
    </row>
    <row r="84" spans="1:40" hidden="1" x14ac:dyDescent="0.3">
      <c r="A84">
        <v>1645</v>
      </c>
      <c r="B84" t="s">
        <v>1726</v>
      </c>
      <c r="C84" t="s">
        <v>970</v>
      </c>
      <c r="D84" t="s">
        <v>1727</v>
      </c>
      <c r="E84">
        <v>7</v>
      </c>
      <c r="F84">
        <v>22</v>
      </c>
      <c r="G84">
        <v>28</v>
      </c>
      <c r="H84" t="s">
        <v>841</v>
      </c>
      <c r="I84" t="s">
        <v>841</v>
      </c>
      <c r="J84" t="s">
        <v>841</v>
      </c>
      <c r="K84" t="s">
        <v>842</v>
      </c>
      <c r="L84">
        <v>1</v>
      </c>
      <c r="M84">
        <v>1</v>
      </c>
      <c r="N84">
        <v>1</v>
      </c>
      <c r="O84">
        <v>1</v>
      </c>
      <c r="P84">
        <v>1</v>
      </c>
      <c r="Q84">
        <v>1</v>
      </c>
      <c r="R84">
        <v>1</v>
      </c>
    </row>
    <row r="85" spans="1:40" x14ac:dyDescent="0.3">
      <c r="A85">
        <v>1650</v>
      </c>
      <c r="B85" t="s">
        <v>1779</v>
      </c>
      <c r="C85" t="s">
        <v>148</v>
      </c>
      <c r="D85" t="s">
        <v>245</v>
      </c>
      <c r="E85">
        <v>7</v>
      </c>
      <c r="F85">
        <v>23</v>
      </c>
      <c r="G85">
        <v>28</v>
      </c>
      <c r="H85" t="s">
        <v>841</v>
      </c>
      <c r="I85" t="s">
        <v>841</v>
      </c>
      <c r="J85" t="s">
        <v>841</v>
      </c>
      <c r="K85" t="s">
        <v>842</v>
      </c>
      <c r="L85">
        <v>1</v>
      </c>
      <c r="M85">
        <v>1</v>
      </c>
      <c r="N85">
        <v>1</v>
      </c>
      <c r="O85">
        <v>1</v>
      </c>
      <c r="P85">
        <v>1</v>
      </c>
      <c r="Q85">
        <v>1</v>
      </c>
      <c r="R85">
        <v>1</v>
      </c>
      <c r="AN85">
        <v>163</v>
      </c>
    </row>
    <row r="86" spans="1:40" hidden="1" x14ac:dyDescent="0.3">
      <c r="A86">
        <v>1756</v>
      </c>
      <c r="B86" t="s">
        <v>2033</v>
      </c>
      <c r="C86" t="s">
        <v>2028</v>
      </c>
      <c r="D86" t="s">
        <v>224</v>
      </c>
      <c r="E86">
        <v>7</v>
      </c>
      <c r="F86">
        <v>26</v>
      </c>
      <c r="G86">
        <v>28</v>
      </c>
      <c r="H86" t="s">
        <v>841</v>
      </c>
      <c r="I86" t="s">
        <v>841</v>
      </c>
      <c r="J86" t="s">
        <v>841</v>
      </c>
      <c r="K86" t="s">
        <v>841</v>
      </c>
      <c r="L86">
        <v>1</v>
      </c>
      <c r="M86">
        <v>1</v>
      </c>
      <c r="N86">
        <v>1</v>
      </c>
      <c r="O86">
        <v>1</v>
      </c>
      <c r="P86">
        <v>1</v>
      </c>
      <c r="Q86">
        <v>1</v>
      </c>
      <c r="R86">
        <v>1</v>
      </c>
    </row>
    <row r="87" spans="1:40" hidden="1" x14ac:dyDescent="0.3">
      <c r="A87">
        <v>1429</v>
      </c>
      <c r="B87" t="s">
        <v>1264</v>
      </c>
      <c r="C87" t="s">
        <v>103</v>
      </c>
      <c r="D87" t="s">
        <v>221</v>
      </c>
      <c r="E87">
        <v>7</v>
      </c>
      <c r="F87">
        <v>19</v>
      </c>
      <c r="G87">
        <v>28</v>
      </c>
      <c r="H87" t="s">
        <v>841</v>
      </c>
      <c r="I87" t="s">
        <v>841</v>
      </c>
      <c r="J87" t="s">
        <v>841</v>
      </c>
      <c r="K87" t="s">
        <v>842</v>
      </c>
    </row>
    <row r="88" spans="1:40" hidden="1" x14ac:dyDescent="0.3">
      <c r="A88">
        <v>1432</v>
      </c>
      <c r="B88" t="s">
        <v>1269</v>
      </c>
      <c r="C88" t="s">
        <v>118</v>
      </c>
      <c r="D88" t="s">
        <v>1270</v>
      </c>
      <c r="E88">
        <v>7</v>
      </c>
      <c r="F88">
        <v>19</v>
      </c>
      <c r="G88">
        <v>28</v>
      </c>
      <c r="H88" t="s">
        <v>841</v>
      </c>
      <c r="I88" t="s">
        <v>841</v>
      </c>
      <c r="J88" t="s">
        <v>841</v>
      </c>
      <c r="K88" t="s">
        <v>842</v>
      </c>
      <c r="L88">
        <v>1</v>
      </c>
      <c r="M88">
        <v>1</v>
      </c>
      <c r="N88">
        <v>1</v>
      </c>
      <c r="O88">
        <v>1</v>
      </c>
      <c r="P88">
        <v>1</v>
      </c>
      <c r="Q88">
        <v>1</v>
      </c>
      <c r="R88">
        <v>1</v>
      </c>
    </row>
    <row r="89" spans="1:40" hidden="1" x14ac:dyDescent="0.3">
      <c r="A89">
        <v>1456</v>
      </c>
      <c r="B89" t="s">
        <v>1307</v>
      </c>
      <c r="C89" t="s">
        <v>289</v>
      </c>
      <c r="D89" t="s">
        <v>599</v>
      </c>
      <c r="E89">
        <v>7</v>
      </c>
      <c r="F89">
        <v>19</v>
      </c>
      <c r="G89">
        <v>28</v>
      </c>
      <c r="H89" t="s">
        <v>841</v>
      </c>
      <c r="I89" t="s">
        <v>841</v>
      </c>
      <c r="J89" t="s">
        <v>841</v>
      </c>
      <c r="K89" t="s">
        <v>842</v>
      </c>
      <c r="L89">
        <v>1</v>
      </c>
      <c r="M89">
        <v>1</v>
      </c>
      <c r="N89">
        <v>1</v>
      </c>
      <c r="O89">
        <v>1</v>
      </c>
      <c r="P89">
        <v>1</v>
      </c>
      <c r="Q89">
        <v>1</v>
      </c>
      <c r="R89">
        <v>1</v>
      </c>
    </row>
    <row r="90" spans="1:40" hidden="1" x14ac:dyDescent="0.3">
      <c r="A90">
        <v>1463</v>
      </c>
      <c r="B90" t="s">
        <v>1299</v>
      </c>
      <c r="C90" t="s">
        <v>969</v>
      </c>
      <c r="D90" t="s">
        <v>1300</v>
      </c>
      <c r="E90">
        <v>7</v>
      </c>
      <c r="F90">
        <v>19</v>
      </c>
      <c r="G90">
        <v>28</v>
      </c>
      <c r="H90" t="s">
        <v>841</v>
      </c>
      <c r="I90" t="s">
        <v>841</v>
      </c>
      <c r="J90" t="s">
        <v>841</v>
      </c>
      <c r="K90" t="s">
        <v>842</v>
      </c>
      <c r="L90">
        <v>1</v>
      </c>
      <c r="M90">
        <v>1</v>
      </c>
      <c r="N90">
        <v>1</v>
      </c>
      <c r="O90">
        <v>1</v>
      </c>
      <c r="P90">
        <v>1</v>
      </c>
      <c r="Q90">
        <v>1</v>
      </c>
      <c r="R90">
        <v>1</v>
      </c>
    </row>
    <row r="91" spans="1:40" hidden="1" x14ac:dyDescent="0.3">
      <c r="A91">
        <v>1628</v>
      </c>
      <c r="B91" t="s">
        <v>1730</v>
      </c>
      <c r="C91" t="s">
        <v>745</v>
      </c>
      <c r="D91" t="s">
        <v>335</v>
      </c>
      <c r="E91">
        <v>7</v>
      </c>
      <c r="F91">
        <v>22</v>
      </c>
      <c r="G91">
        <v>28</v>
      </c>
      <c r="H91" t="s">
        <v>841</v>
      </c>
      <c r="I91" t="s">
        <v>841</v>
      </c>
      <c r="J91" t="s">
        <v>841</v>
      </c>
      <c r="K91" t="s">
        <v>842</v>
      </c>
      <c r="L91">
        <v>1</v>
      </c>
      <c r="M91">
        <v>1</v>
      </c>
      <c r="N91">
        <v>1</v>
      </c>
      <c r="O91">
        <v>1</v>
      </c>
      <c r="P91">
        <v>1</v>
      </c>
      <c r="Q91">
        <v>1</v>
      </c>
      <c r="R91">
        <v>1</v>
      </c>
    </row>
    <row r="92" spans="1:40" hidden="1" x14ac:dyDescent="0.3">
      <c r="A92">
        <v>1476</v>
      </c>
      <c r="B92" t="s">
        <v>1342</v>
      </c>
      <c r="C92" t="s">
        <v>954</v>
      </c>
      <c r="D92" t="s">
        <v>397</v>
      </c>
      <c r="E92">
        <v>25</v>
      </c>
      <c r="F92">
        <v>20</v>
      </c>
      <c r="G92">
        <v>112</v>
      </c>
      <c r="H92" t="s">
        <v>841</v>
      </c>
      <c r="I92" t="s">
        <v>841</v>
      </c>
      <c r="J92" t="s">
        <v>841</v>
      </c>
      <c r="K92" t="s">
        <v>841</v>
      </c>
    </row>
    <row r="93" spans="1:40" hidden="1" x14ac:dyDescent="0.3">
      <c r="A93">
        <v>1636</v>
      </c>
      <c r="B93" t="s">
        <v>1734</v>
      </c>
      <c r="C93" t="s">
        <v>170</v>
      </c>
      <c r="D93" t="s">
        <v>261</v>
      </c>
      <c r="E93">
        <v>7</v>
      </c>
      <c r="F93">
        <v>22</v>
      </c>
      <c r="G93">
        <v>28</v>
      </c>
      <c r="H93" t="s">
        <v>841</v>
      </c>
      <c r="I93" t="s">
        <v>841</v>
      </c>
      <c r="J93" t="s">
        <v>841</v>
      </c>
      <c r="K93" t="s">
        <v>842</v>
      </c>
      <c r="L93">
        <v>1</v>
      </c>
      <c r="M93">
        <v>1</v>
      </c>
      <c r="N93">
        <v>1</v>
      </c>
      <c r="O93">
        <v>1</v>
      </c>
      <c r="P93">
        <v>1</v>
      </c>
      <c r="Q93">
        <v>1</v>
      </c>
      <c r="R93">
        <v>1</v>
      </c>
    </row>
    <row r="94" spans="1:40" hidden="1" x14ac:dyDescent="0.3">
      <c r="A94">
        <v>1646</v>
      </c>
      <c r="B94" t="s">
        <v>1732</v>
      </c>
      <c r="C94" t="s">
        <v>964</v>
      </c>
      <c r="D94" t="s">
        <v>1733</v>
      </c>
      <c r="E94">
        <v>7</v>
      </c>
      <c r="F94">
        <v>22</v>
      </c>
      <c r="G94">
        <v>28</v>
      </c>
      <c r="H94" t="s">
        <v>841</v>
      </c>
      <c r="I94" t="s">
        <v>841</v>
      </c>
      <c r="J94" t="s">
        <v>841</v>
      </c>
      <c r="K94" t="s">
        <v>842</v>
      </c>
      <c r="L94">
        <v>1</v>
      </c>
      <c r="M94">
        <v>1</v>
      </c>
      <c r="N94">
        <v>1</v>
      </c>
      <c r="O94">
        <v>1</v>
      </c>
      <c r="P94">
        <v>1</v>
      </c>
      <c r="Q94">
        <v>1</v>
      </c>
      <c r="R94">
        <v>1</v>
      </c>
    </row>
    <row r="95" spans="1:40" hidden="1" x14ac:dyDescent="0.3">
      <c r="A95">
        <v>1449</v>
      </c>
      <c r="B95" t="s">
        <v>1290</v>
      </c>
      <c r="C95" t="s">
        <v>172</v>
      </c>
      <c r="D95" t="s">
        <v>366</v>
      </c>
      <c r="E95">
        <v>25</v>
      </c>
      <c r="F95">
        <v>19</v>
      </c>
      <c r="G95">
        <v>840</v>
      </c>
      <c r="H95" t="s">
        <v>841</v>
      </c>
      <c r="I95" t="s">
        <v>841</v>
      </c>
      <c r="J95" t="s">
        <v>841</v>
      </c>
      <c r="K95" t="s">
        <v>842</v>
      </c>
      <c r="L95">
        <v>1</v>
      </c>
      <c r="M95">
        <v>1</v>
      </c>
      <c r="N95">
        <v>1</v>
      </c>
      <c r="O95">
        <v>1</v>
      </c>
      <c r="P95">
        <v>1</v>
      </c>
      <c r="Q95">
        <v>1</v>
      </c>
      <c r="R95">
        <v>1</v>
      </c>
    </row>
    <row r="96" spans="1:40" hidden="1" x14ac:dyDescent="0.3">
      <c r="A96">
        <v>1457</v>
      </c>
      <c r="B96" t="s">
        <v>1308</v>
      </c>
      <c r="C96" t="s">
        <v>832</v>
      </c>
      <c r="D96" t="s">
        <v>834</v>
      </c>
      <c r="E96">
        <v>7</v>
      </c>
      <c r="F96">
        <v>19</v>
      </c>
      <c r="G96">
        <v>56</v>
      </c>
      <c r="H96" t="s">
        <v>841</v>
      </c>
      <c r="I96" t="s">
        <v>841</v>
      </c>
      <c r="J96" t="s">
        <v>841</v>
      </c>
      <c r="K96" t="s">
        <v>842</v>
      </c>
      <c r="L96">
        <v>1</v>
      </c>
      <c r="M96">
        <v>1</v>
      </c>
      <c r="N96">
        <v>1</v>
      </c>
      <c r="O96">
        <v>1</v>
      </c>
      <c r="P96">
        <v>1</v>
      </c>
      <c r="Q96">
        <v>1</v>
      </c>
      <c r="R96">
        <v>1</v>
      </c>
    </row>
    <row r="97" spans="1:40" hidden="1" x14ac:dyDescent="0.3">
      <c r="A97">
        <v>1758</v>
      </c>
      <c r="B97" t="s">
        <v>2035</v>
      </c>
      <c r="C97" t="s">
        <v>2030</v>
      </c>
      <c r="D97" t="s">
        <v>218</v>
      </c>
      <c r="E97">
        <v>7</v>
      </c>
      <c r="F97">
        <v>26</v>
      </c>
      <c r="G97">
        <v>28</v>
      </c>
      <c r="H97" t="s">
        <v>841</v>
      </c>
      <c r="I97" t="s">
        <v>841</v>
      </c>
      <c r="J97" t="s">
        <v>841</v>
      </c>
      <c r="K97" t="s">
        <v>841</v>
      </c>
    </row>
    <row r="98" spans="1:40" hidden="1" x14ac:dyDescent="0.3">
      <c r="A98">
        <v>1469</v>
      </c>
      <c r="B98" t="s">
        <v>1346</v>
      </c>
      <c r="C98" t="s">
        <v>973</v>
      </c>
      <c r="D98" t="s">
        <v>370</v>
      </c>
      <c r="E98">
        <v>25</v>
      </c>
      <c r="F98">
        <v>20</v>
      </c>
      <c r="G98">
        <v>28</v>
      </c>
      <c r="H98" t="s">
        <v>841</v>
      </c>
      <c r="I98" t="s">
        <v>841</v>
      </c>
      <c r="J98" t="s">
        <v>841</v>
      </c>
      <c r="K98" t="s">
        <v>841</v>
      </c>
    </row>
    <row r="99" spans="1:40" hidden="1" x14ac:dyDescent="0.3">
      <c r="A99">
        <v>1431</v>
      </c>
      <c r="B99" t="s">
        <v>1267</v>
      </c>
      <c r="C99" t="s">
        <v>117</v>
      </c>
      <c r="D99" t="s">
        <v>1268</v>
      </c>
      <c r="E99">
        <v>7</v>
      </c>
      <c r="F99">
        <v>19</v>
      </c>
      <c r="G99">
        <v>56</v>
      </c>
      <c r="H99" t="s">
        <v>841</v>
      </c>
      <c r="I99" t="s">
        <v>841</v>
      </c>
      <c r="J99" t="s">
        <v>841</v>
      </c>
      <c r="K99" t="s">
        <v>842</v>
      </c>
      <c r="L99">
        <v>1</v>
      </c>
      <c r="M99">
        <v>1</v>
      </c>
      <c r="N99">
        <v>1</v>
      </c>
      <c r="O99">
        <v>1</v>
      </c>
      <c r="P99">
        <v>1</v>
      </c>
      <c r="Q99">
        <v>1</v>
      </c>
      <c r="R99">
        <v>1</v>
      </c>
    </row>
    <row r="100" spans="1:40" hidden="1" x14ac:dyDescent="0.3">
      <c r="A100">
        <v>1461</v>
      </c>
      <c r="B100" t="s">
        <v>1310</v>
      </c>
      <c r="C100" t="s">
        <v>857</v>
      </c>
      <c r="D100" t="s">
        <v>1293</v>
      </c>
      <c r="E100">
        <v>7</v>
      </c>
      <c r="F100">
        <v>19</v>
      </c>
      <c r="G100">
        <v>28</v>
      </c>
      <c r="H100" t="s">
        <v>841</v>
      </c>
      <c r="I100" t="s">
        <v>841</v>
      </c>
      <c r="J100" t="s">
        <v>841</v>
      </c>
      <c r="K100" t="s">
        <v>841</v>
      </c>
    </row>
    <row r="101" spans="1:40" hidden="1" x14ac:dyDescent="0.3">
      <c r="A101">
        <v>1649</v>
      </c>
      <c r="B101" t="s">
        <v>1781</v>
      </c>
      <c r="C101" t="s">
        <v>80</v>
      </c>
      <c r="D101" t="s">
        <v>515</v>
      </c>
      <c r="E101">
        <v>7</v>
      </c>
      <c r="F101">
        <v>23</v>
      </c>
      <c r="G101">
        <v>56</v>
      </c>
      <c r="H101" t="s">
        <v>841</v>
      </c>
      <c r="I101" t="s">
        <v>841</v>
      </c>
      <c r="J101" t="s">
        <v>841</v>
      </c>
      <c r="K101" t="s">
        <v>841</v>
      </c>
    </row>
    <row r="102" spans="1:40" hidden="1" x14ac:dyDescent="0.3">
      <c r="A102">
        <v>1643</v>
      </c>
      <c r="B102" t="s">
        <v>1737</v>
      </c>
      <c r="C102" t="s">
        <v>1363</v>
      </c>
      <c r="D102" t="s">
        <v>609</v>
      </c>
      <c r="E102">
        <v>7</v>
      </c>
      <c r="F102">
        <v>22</v>
      </c>
      <c r="G102">
        <v>28</v>
      </c>
      <c r="H102" t="s">
        <v>841</v>
      </c>
      <c r="I102" t="s">
        <v>841</v>
      </c>
      <c r="J102" t="s">
        <v>841</v>
      </c>
      <c r="K102" t="s">
        <v>842</v>
      </c>
    </row>
    <row r="103" spans="1:40" hidden="1" x14ac:dyDescent="0.3">
      <c r="A103">
        <v>1438</v>
      </c>
      <c r="B103" t="s">
        <v>1279</v>
      </c>
      <c r="C103" t="s">
        <v>137</v>
      </c>
      <c r="D103" t="s">
        <v>1239</v>
      </c>
      <c r="E103">
        <v>7</v>
      </c>
      <c r="F103">
        <v>19</v>
      </c>
      <c r="G103">
        <v>280</v>
      </c>
      <c r="H103" t="s">
        <v>841</v>
      </c>
      <c r="I103" t="s">
        <v>841</v>
      </c>
      <c r="J103" t="s">
        <v>841</v>
      </c>
      <c r="K103" t="s">
        <v>842</v>
      </c>
      <c r="L103">
        <v>1</v>
      </c>
      <c r="M103">
        <v>1</v>
      </c>
      <c r="N103">
        <v>1</v>
      </c>
      <c r="O103">
        <v>1</v>
      </c>
      <c r="P103">
        <v>1</v>
      </c>
      <c r="Q103">
        <v>1</v>
      </c>
      <c r="R103">
        <v>1</v>
      </c>
    </row>
    <row r="104" spans="1:40" hidden="1" x14ac:dyDescent="0.3">
      <c r="A104">
        <v>1459</v>
      </c>
      <c r="B104" t="s">
        <v>1302</v>
      </c>
      <c r="C104" t="s">
        <v>850</v>
      </c>
      <c r="D104" t="s">
        <v>1303</v>
      </c>
      <c r="E104">
        <v>7</v>
      </c>
      <c r="F104">
        <v>19</v>
      </c>
      <c r="G104">
        <v>28</v>
      </c>
      <c r="H104" t="s">
        <v>841</v>
      </c>
      <c r="I104" t="s">
        <v>841</v>
      </c>
      <c r="J104" t="s">
        <v>841</v>
      </c>
      <c r="K104" t="s">
        <v>842</v>
      </c>
      <c r="L104">
        <v>1</v>
      </c>
      <c r="M104">
        <v>1</v>
      </c>
      <c r="N104">
        <v>1</v>
      </c>
      <c r="O104">
        <v>1</v>
      </c>
      <c r="P104">
        <v>1</v>
      </c>
      <c r="Q104">
        <v>1</v>
      </c>
      <c r="R104">
        <v>1</v>
      </c>
    </row>
    <row r="105" spans="1:40" hidden="1" x14ac:dyDescent="0.3">
      <c r="A105">
        <v>1790</v>
      </c>
      <c r="B105" t="s">
        <v>2057</v>
      </c>
      <c r="C105" t="s">
        <v>2049</v>
      </c>
      <c r="D105" t="s">
        <v>214</v>
      </c>
      <c r="E105">
        <v>7</v>
      </c>
      <c r="F105">
        <v>27</v>
      </c>
      <c r="G105">
        <v>28</v>
      </c>
      <c r="H105" t="s">
        <v>841</v>
      </c>
      <c r="I105" t="s">
        <v>841</v>
      </c>
      <c r="J105" t="s">
        <v>841</v>
      </c>
      <c r="K105" t="s">
        <v>841</v>
      </c>
    </row>
    <row r="106" spans="1:40" hidden="1" x14ac:dyDescent="0.3">
      <c r="A106">
        <v>1787</v>
      </c>
      <c r="B106" t="s">
        <v>2058</v>
      </c>
      <c r="C106" t="s">
        <v>2043</v>
      </c>
      <c r="D106" t="s">
        <v>2059</v>
      </c>
      <c r="E106">
        <v>7</v>
      </c>
      <c r="F106">
        <v>27</v>
      </c>
      <c r="G106">
        <v>28</v>
      </c>
      <c r="H106" t="s">
        <v>841</v>
      </c>
      <c r="I106" t="s">
        <v>841</v>
      </c>
      <c r="J106" t="s">
        <v>841</v>
      </c>
      <c r="K106" t="s">
        <v>842</v>
      </c>
    </row>
    <row r="107" spans="1:40" hidden="1" x14ac:dyDescent="0.3">
      <c r="A107">
        <v>1753</v>
      </c>
      <c r="B107" t="s">
        <v>2036</v>
      </c>
      <c r="C107" t="s">
        <v>2023</v>
      </c>
      <c r="D107" t="s">
        <v>936</v>
      </c>
      <c r="E107">
        <v>7</v>
      </c>
      <c r="F107">
        <v>26</v>
      </c>
      <c r="G107">
        <v>28</v>
      </c>
      <c r="H107" t="s">
        <v>841</v>
      </c>
      <c r="I107" t="s">
        <v>841</v>
      </c>
      <c r="J107" t="s">
        <v>841</v>
      </c>
      <c r="K107" t="s">
        <v>842</v>
      </c>
      <c r="L107">
        <v>1</v>
      </c>
      <c r="M107">
        <v>1</v>
      </c>
      <c r="N107">
        <v>1</v>
      </c>
      <c r="O107">
        <v>1</v>
      </c>
      <c r="P107">
        <v>1</v>
      </c>
      <c r="Q107">
        <v>1</v>
      </c>
      <c r="R107">
        <v>1</v>
      </c>
    </row>
    <row r="108" spans="1:40" hidden="1" x14ac:dyDescent="0.3">
      <c r="A108">
        <v>1466</v>
      </c>
      <c r="B108" t="s">
        <v>1345</v>
      </c>
      <c r="C108" t="s">
        <v>865</v>
      </c>
      <c r="D108" t="s">
        <v>366</v>
      </c>
      <c r="E108">
        <v>25</v>
      </c>
      <c r="F108">
        <v>20</v>
      </c>
      <c r="G108">
        <v>140</v>
      </c>
      <c r="H108" t="s">
        <v>841</v>
      </c>
      <c r="I108" t="s">
        <v>841</v>
      </c>
      <c r="J108" t="s">
        <v>841</v>
      </c>
      <c r="K108" t="s">
        <v>842</v>
      </c>
      <c r="L108">
        <v>1</v>
      </c>
      <c r="M108">
        <v>1</v>
      </c>
      <c r="N108">
        <v>1</v>
      </c>
      <c r="O108">
        <v>1</v>
      </c>
      <c r="P108">
        <v>1</v>
      </c>
      <c r="Q108">
        <v>1</v>
      </c>
      <c r="R108">
        <v>1</v>
      </c>
    </row>
    <row r="109" spans="1:40" hidden="1" x14ac:dyDescent="0.3">
      <c r="A109">
        <v>1835</v>
      </c>
      <c r="B109" t="s">
        <v>2130</v>
      </c>
      <c r="C109" t="s">
        <v>2125</v>
      </c>
      <c r="D109" t="s">
        <v>558</v>
      </c>
      <c r="E109">
        <v>7</v>
      </c>
      <c r="F109">
        <v>43</v>
      </c>
      <c r="G109">
        <v>28</v>
      </c>
      <c r="H109" t="s">
        <v>841</v>
      </c>
      <c r="I109" t="s">
        <v>841</v>
      </c>
      <c r="J109" t="s">
        <v>841</v>
      </c>
      <c r="K109" t="s">
        <v>841</v>
      </c>
    </row>
    <row r="110" spans="1:40" hidden="1" x14ac:dyDescent="0.3">
      <c r="A110">
        <v>1742</v>
      </c>
      <c r="B110" t="s">
        <v>2020</v>
      </c>
      <c r="C110" t="s">
        <v>210</v>
      </c>
      <c r="D110" t="s">
        <v>825</v>
      </c>
      <c r="E110">
        <v>7</v>
      </c>
      <c r="F110">
        <v>24</v>
      </c>
      <c r="G110">
        <v>56</v>
      </c>
      <c r="H110" t="s">
        <v>841</v>
      </c>
      <c r="I110" t="s">
        <v>841</v>
      </c>
      <c r="J110" t="s">
        <v>841</v>
      </c>
      <c r="K110" t="s">
        <v>841</v>
      </c>
    </row>
    <row r="111" spans="1:40" hidden="1" x14ac:dyDescent="0.3">
      <c r="A111">
        <v>1653</v>
      </c>
      <c r="B111" t="s">
        <v>1782</v>
      </c>
      <c r="C111" t="s">
        <v>1756</v>
      </c>
      <c r="D111" t="s">
        <v>798</v>
      </c>
      <c r="E111">
        <v>7</v>
      </c>
      <c r="F111">
        <v>23</v>
      </c>
      <c r="G111">
        <v>56</v>
      </c>
      <c r="H111" t="s">
        <v>841</v>
      </c>
      <c r="I111" t="s">
        <v>841</v>
      </c>
      <c r="J111" t="s">
        <v>841</v>
      </c>
      <c r="K111" t="s">
        <v>842</v>
      </c>
      <c r="L111">
        <v>1</v>
      </c>
      <c r="M111">
        <v>1</v>
      </c>
      <c r="N111">
        <v>1</v>
      </c>
      <c r="O111">
        <v>1</v>
      </c>
      <c r="P111">
        <v>1</v>
      </c>
      <c r="Q111">
        <v>1</v>
      </c>
      <c r="R111">
        <v>1</v>
      </c>
    </row>
    <row r="112" spans="1:40" x14ac:dyDescent="0.3">
      <c r="A112">
        <v>1441</v>
      </c>
      <c r="B112" t="s">
        <v>1282</v>
      </c>
      <c r="C112" t="s">
        <v>142</v>
      </c>
      <c r="D112" t="s">
        <v>845</v>
      </c>
      <c r="E112">
        <v>7</v>
      </c>
      <c r="F112">
        <v>19</v>
      </c>
      <c r="G112">
        <v>56</v>
      </c>
      <c r="H112" t="s">
        <v>841</v>
      </c>
      <c r="I112" t="s">
        <v>841</v>
      </c>
      <c r="J112" t="s">
        <v>841</v>
      </c>
      <c r="K112" t="s">
        <v>842</v>
      </c>
      <c r="L112">
        <v>1</v>
      </c>
      <c r="M112">
        <v>1</v>
      </c>
      <c r="N112">
        <v>1</v>
      </c>
      <c r="O112">
        <v>1</v>
      </c>
      <c r="P112">
        <v>1</v>
      </c>
      <c r="Q112">
        <v>1</v>
      </c>
      <c r="R112">
        <v>1</v>
      </c>
      <c r="AN112" t="s">
        <v>2246</v>
      </c>
    </row>
    <row r="113" spans="1:40" x14ac:dyDescent="0.3">
      <c r="A113">
        <v>1834</v>
      </c>
      <c r="B113" t="s">
        <v>2131</v>
      </c>
      <c r="C113" t="s">
        <v>2122</v>
      </c>
      <c r="D113" t="s">
        <v>1238</v>
      </c>
      <c r="E113">
        <v>7</v>
      </c>
      <c r="F113">
        <v>43</v>
      </c>
      <c r="G113">
        <v>28</v>
      </c>
      <c r="H113" t="s">
        <v>841</v>
      </c>
      <c r="I113" t="s">
        <v>841</v>
      </c>
      <c r="J113" t="s">
        <v>841</v>
      </c>
      <c r="K113" t="s">
        <v>841</v>
      </c>
      <c r="AN113">
        <v>129</v>
      </c>
    </row>
    <row r="114" spans="1:40" x14ac:dyDescent="0.3">
      <c r="A114">
        <v>1439</v>
      </c>
      <c r="B114" t="s">
        <v>1280</v>
      </c>
      <c r="C114" t="s">
        <v>138</v>
      </c>
      <c r="D114" t="s">
        <v>592</v>
      </c>
      <c r="E114">
        <v>7</v>
      </c>
      <c r="F114">
        <v>19</v>
      </c>
      <c r="G114">
        <v>56</v>
      </c>
      <c r="H114" t="s">
        <v>841</v>
      </c>
      <c r="I114" t="s">
        <v>841</v>
      </c>
      <c r="J114" t="s">
        <v>841</v>
      </c>
      <c r="K114" t="s">
        <v>842</v>
      </c>
      <c r="L114">
        <v>1</v>
      </c>
      <c r="M114">
        <v>1</v>
      </c>
      <c r="N114">
        <v>1</v>
      </c>
      <c r="O114">
        <v>1</v>
      </c>
      <c r="P114">
        <v>1</v>
      </c>
      <c r="Q114">
        <v>1</v>
      </c>
      <c r="R114">
        <v>1</v>
      </c>
      <c r="AN114">
        <v>248</v>
      </c>
    </row>
    <row r="115" spans="1:40" hidden="1" x14ac:dyDescent="0.3">
      <c r="A115">
        <v>1462</v>
      </c>
      <c r="B115" t="s">
        <v>1306</v>
      </c>
      <c r="C115" t="s">
        <v>965</v>
      </c>
      <c r="D115" t="s">
        <v>870</v>
      </c>
      <c r="E115">
        <v>7</v>
      </c>
      <c r="F115">
        <v>19</v>
      </c>
      <c r="G115">
        <v>28</v>
      </c>
      <c r="H115" t="s">
        <v>841</v>
      </c>
      <c r="I115" t="s">
        <v>841</v>
      </c>
      <c r="J115" t="s">
        <v>841</v>
      </c>
      <c r="K115" t="s">
        <v>842</v>
      </c>
      <c r="L115">
        <v>1</v>
      </c>
      <c r="M115">
        <v>1</v>
      </c>
      <c r="N115">
        <v>1</v>
      </c>
      <c r="O115">
        <v>1</v>
      </c>
      <c r="P115">
        <v>1</v>
      </c>
      <c r="Q115">
        <v>1</v>
      </c>
      <c r="R115">
        <v>1</v>
      </c>
    </row>
    <row r="116" spans="1:40" x14ac:dyDescent="0.3">
      <c r="A116">
        <v>1430</v>
      </c>
      <c r="B116" t="s">
        <v>1265</v>
      </c>
      <c r="C116" t="s">
        <v>107</v>
      </c>
      <c r="D116" t="s">
        <v>1266</v>
      </c>
      <c r="E116">
        <v>7</v>
      </c>
      <c r="F116">
        <v>19</v>
      </c>
      <c r="G116">
        <v>56</v>
      </c>
      <c r="H116" t="s">
        <v>841</v>
      </c>
      <c r="I116" t="s">
        <v>841</v>
      </c>
      <c r="J116" t="s">
        <v>841</v>
      </c>
      <c r="K116" t="s">
        <v>842</v>
      </c>
      <c r="L116">
        <v>1</v>
      </c>
      <c r="M116">
        <v>1</v>
      </c>
      <c r="N116">
        <v>1</v>
      </c>
      <c r="O116">
        <v>1</v>
      </c>
      <c r="P116">
        <v>1</v>
      </c>
      <c r="Q116">
        <v>1</v>
      </c>
      <c r="R116">
        <v>1</v>
      </c>
      <c r="AN116">
        <v>129</v>
      </c>
    </row>
    <row r="117" spans="1:40" hidden="1" x14ac:dyDescent="0.3">
      <c r="A117">
        <v>1877</v>
      </c>
      <c r="B117" t="s">
        <v>2241</v>
      </c>
      <c r="C117" t="s">
        <v>2199</v>
      </c>
      <c r="D117" t="s">
        <v>1225</v>
      </c>
      <c r="E117">
        <v>7</v>
      </c>
      <c r="F117">
        <v>44</v>
      </c>
      <c r="G117">
        <v>28</v>
      </c>
      <c r="H117" t="s">
        <v>841</v>
      </c>
      <c r="I117" t="s">
        <v>841</v>
      </c>
      <c r="J117" t="s">
        <v>841</v>
      </c>
      <c r="K117" t="s">
        <v>841</v>
      </c>
    </row>
    <row r="118" spans="1:40" hidden="1" x14ac:dyDescent="0.3">
      <c r="A118">
        <v>1754</v>
      </c>
      <c r="B118" t="s">
        <v>2038</v>
      </c>
      <c r="C118" t="s">
        <v>2024</v>
      </c>
      <c r="D118" t="s">
        <v>2025</v>
      </c>
      <c r="E118">
        <v>7</v>
      </c>
      <c r="F118">
        <v>26</v>
      </c>
      <c r="G118">
        <v>112</v>
      </c>
      <c r="H118" t="s">
        <v>841</v>
      </c>
      <c r="I118" t="s">
        <v>841</v>
      </c>
      <c r="J118" t="s">
        <v>841</v>
      </c>
      <c r="K118" t="s">
        <v>842</v>
      </c>
      <c r="L118">
        <v>1</v>
      </c>
      <c r="M118">
        <v>1</v>
      </c>
      <c r="N118">
        <v>1</v>
      </c>
      <c r="O118">
        <v>1</v>
      </c>
      <c r="P118">
        <v>1</v>
      </c>
      <c r="Q118">
        <v>1</v>
      </c>
      <c r="R118">
        <v>1</v>
      </c>
    </row>
    <row r="119" spans="1:40" hidden="1" x14ac:dyDescent="0.3">
      <c r="A119">
        <v>1788</v>
      </c>
      <c r="B119" t="s">
        <v>2060</v>
      </c>
      <c r="C119" t="s">
        <v>2044</v>
      </c>
      <c r="D119" t="s">
        <v>1237</v>
      </c>
      <c r="E119">
        <v>7</v>
      </c>
      <c r="F119">
        <v>27</v>
      </c>
      <c r="G119">
        <v>28</v>
      </c>
      <c r="H119" t="s">
        <v>841</v>
      </c>
      <c r="I119" t="s">
        <v>841</v>
      </c>
      <c r="J119" t="s">
        <v>841</v>
      </c>
      <c r="K119" t="s">
        <v>842</v>
      </c>
    </row>
    <row r="120" spans="1:40" hidden="1" x14ac:dyDescent="0.3">
      <c r="A120">
        <v>1751</v>
      </c>
      <c r="B120" t="s">
        <v>2021</v>
      </c>
      <c r="C120" t="s">
        <v>2003</v>
      </c>
      <c r="D120" t="s">
        <v>547</v>
      </c>
      <c r="E120">
        <v>7</v>
      </c>
      <c r="F120">
        <v>25</v>
      </c>
      <c r="G120">
        <v>28</v>
      </c>
      <c r="H120" t="s">
        <v>841</v>
      </c>
      <c r="I120" t="s">
        <v>841</v>
      </c>
      <c r="J120" t="s">
        <v>841</v>
      </c>
      <c r="K120" t="s">
        <v>841</v>
      </c>
    </row>
    <row r="121" spans="1:40" x14ac:dyDescent="0.3">
      <c r="A121">
        <v>1446</v>
      </c>
      <c r="B121" t="s">
        <v>1287</v>
      </c>
      <c r="C121" t="s">
        <v>149</v>
      </c>
      <c r="D121" t="s">
        <v>246</v>
      </c>
      <c r="E121">
        <v>7</v>
      </c>
      <c r="F121">
        <v>19</v>
      </c>
      <c r="G121">
        <v>28</v>
      </c>
      <c r="H121" t="s">
        <v>841</v>
      </c>
      <c r="I121" t="s">
        <v>841</v>
      </c>
      <c r="J121" t="s">
        <v>841</v>
      </c>
      <c r="K121" t="s">
        <v>842</v>
      </c>
      <c r="L121">
        <v>1</v>
      </c>
      <c r="M121">
        <v>1</v>
      </c>
      <c r="N121">
        <v>1</v>
      </c>
      <c r="O121">
        <v>1</v>
      </c>
      <c r="P121">
        <v>1</v>
      </c>
      <c r="Q121">
        <v>1</v>
      </c>
      <c r="R121">
        <v>1</v>
      </c>
      <c r="AN121">
        <v>165</v>
      </c>
    </row>
    <row r="122" spans="1:40" x14ac:dyDescent="0.3">
      <c r="A122">
        <v>1639</v>
      </c>
      <c r="B122" t="s">
        <v>1752</v>
      </c>
      <c r="C122" t="s">
        <v>207</v>
      </c>
      <c r="D122" t="s">
        <v>267</v>
      </c>
      <c r="E122">
        <v>7</v>
      </c>
      <c r="F122">
        <v>22</v>
      </c>
      <c r="G122">
        <v>28</v>
      </c>
      <c r="H122" t="s">
        <v>841</v>
      </c>
      <c r="I122" t="s">
        <v>841</v>
      </c>
      <c r="J122" t="s">
        <v>841</v>
      </c>
      <c r="K122" t="s">
        <v>842</v>
      </c>
      <c r="L122">
        <v>1</v>
      </c>
      <c r="M122">
        <v>1</v>
      </c>
      <c r="N122">
        <v>1</v>
      </c>
      <c r="O122">
        <v>1</v>
      </c>
      <c r="P122">
        <v>1</v>
      </c>
      <c r="Q122">
        <v>1</v>
      </c>
      <c r="R122">
        <v>1</v>
      </c>
      <c r="AN122">
        <v>159</v>
      </c>
    </row>
    <row r="123" spans="1:40" hidden="1" x14ac:dyDescent="0.3">
      <c r="A123">
        <v>1470</v>
      </c>
      <c r="B123" t="s">
        <v>1353</v>
      </c>
      <c r="C123" t="s">
        <v>875</v>
      </c>
      <c r="D123" t="s">
        <v>373</v>
      </c>
      <c r="E123">
        <v>25</v>
      </c>
      <c r="F123">
        <v>20</v>
      </c>
      <c r="G123">
        <v>28</v>
      </c>
      <c r="H123" t="s">
        <v>841</v>
      </c>
      <c r="I123" t="s">
        <v>841</v>
      </c>
      <c r="J123" t="s">
        <v>841</v>
      </c>
      <c r="K123" t="s">
        <v>842</v>
      </c>
      <c r="L123">
        <v>1</v>
      </c>
      <c r="M123">
        <v>1</v>
      </c>
      <c r="N123">
        <v>1</v>
      </c>
      <c r="O123">
        <v>1</v>
      </c>
      <c r="P123">
        <v>1</v>
      </c>
      <c r="Q123">
        <v>1</v>
      </c>
      <c r="R123">
        <v>1</v>
      </c>
    </row>
    <row r="126" spans="1:40" x14ac:dyDescent="0.3">
      <c r="R126" t="s">
        <v>2121</v>
      </c>
    </row>
    <row r="135" spans="10:10" x14ac:dyDescent="0.3">
      <c r="J135" t="s">
        <v>2121</v>
      </c>
    </row>
  </sheetData>
  <autoFilter ref="A1:AN123" xr:uid="{CA001123-C363-413A-9601-B0A25102E3C3}">
    <filterColumn colId="39">
      <customFilters>
        <customFilter operator="notEqual" val=" "/>
      </customFilters>
    </filterColumn>
  </autoFilter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A14160-04BD-443C-A4A1-F7ACDE03DFA8}">
  <dimension ref="A1:A15"/>
  <sheetViews>
    <sheetView workbookViewId="0">
      <selection activeCell="Q2" sqref="Q2"/>
    </sheetView>
  </sheetViews>
  <sheetFormatPr defaultRowHeight="14.4" x14ac:dyDescent="0.3"/>
  <cols>
    <col min="1" max="1" width="47.44140625" bestFit="1" customWidth="1"/>
  </cols>
  <sheetData>
    <row r="1" spans="1:1" ht="84.6" x14ac:dyDescent="0.3">
      <c r="A1" s="102">
        <v>130</v>
      </c>
    </row>
    <row r="2" spans="1:1" ht="84.6" x14ac:dyDescent="0.3">
      <c r="A2" s="102">
        <v>149</v>
      </c>
    </row>
    <row r="3" spans="1:1" ht="84.6" x14ac:dyDescent="0.3">
      <c r="A3" s="102">
        <v>175</v>
      </c>
    </row>
    <row r="4" spans="1:1" ht="84.6" x14ac:dyDescent="0.3">
      <c r="A4" s="102" t="s">
        <v>2245</v>
      </c>
    </row>
    <row r="5" spans="1:1" ht="84.6" x14ac:dyDescent="0.3">
      <c r="A5" s="102">
        <v>154</v>
      </c>
    </row>
    <row r="6" spans="1:1" ht="84.6" x14ac:dyDescent="0.3">
      <c r="A6" s="102">
        <v>493</v>
      </c>
    </row>
    <row r="7" spans="1:1" ht="84.6" x14ac:dyDescent="0.3">
      <c r="A7" s="102">
        <v>258</v>
      </c>
    </row>
    <row r="8" spans="1:1" ht="84.6" x14ac:dyDescent="0.3">
      <c r="A8" s="102">
        <v>496</v>
      </c>
    </row>
    <row r="9" spans="1:1" ht="84.6" x14ac:dyDescent="0.3">
      <c r="A9" s="102">
        <v>161</v>
      </c>
    </row>
    <row r="10" spans="1:1" ht="84.6" x14ac:dyDescent="0.3">
      <c r="A10" s="102">
        <v>163</v>
      </c>
    </row>
    <row r="11" spans="1:1" ht="84.6" x14ac:dyDescent="0.3">
      <c r="A11" s="102" t="s">
        <v>2246</v>
      </c>
    </row>
    <row r="12" spans="1:1" ht="84.6" x14ac:dyDescent="0.3">
      <c r="A12" s="102">
        <v>248</v>
      </c>
    </row>
    <row r="13" spans="1:1" ht="84.6" x14ac:dyDescent="0.3">
      <c r="A13" s="102">
        <v>129</v>
      </c>
    </row>
    <row r="14" spans="1:1" ht="84.6" x14ac:dyDescent="0.3">
      <c r="A14" s="102">
        <v>165</v>
      </c>
    </row>
    <row r="15" spans="1:1" ht="84.6" x14ac:dyDescent="0.3">
      <c r="A15" s="102">
        <v>159</v>
      </c>
    </row>
  </sheetData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C4853C-D52D-4DEC-A91C-9FBAD50DE536}">
  <dimension ref="A1:N7"/>
  <sheetViews>
    <sheetView workbookViewId="0">
      <selection activeCell="C6" sqref="C6"/>
    </sheetView>
  </sheetViews>
  <sheetFormatPr defaultRowHeight="14.4" x14ac:dyDescent="0.3"/>
  <cols>
    <col min="1" max="1" width="14" customWidth="1"/>
    <col min="2" max="2" width="14.6640625" customWidth="1"/>
    <col min="3" max="9" width="13.88671875" customWidth="1"/>
  </cols>
  <sheetData>
    <row r="1" spans="1:14" x14ac:dyDescent="0.3">
      <c r="A1" t="s">
        <v>2248</v>
      </c>
      <c r="B1" t="s">
        <v>754</v>
      </c>
      <c r="C1" t="s">
        <v>18</v>
      </c>
      <c r="D1" t="s">
        <v>2249</v>
      </c>
      <c r="E1" t="s">
        <v>2250</v>
      </c>
      <c r="F1" t="s">
        <v>1339</v>
      </c>
      <c r="G1" t="s">
        <v>13</v>
      </c>
      <c r="H1" t="s">
        <v>14</v>
      </c>
      <c r="I1" t="s">
        <v>15</v>
      </c>
    </row>
    <row r="2" spans="1:14" x14ac:dyDescent="0.3">
      <c r="B2" t="s">
        <v>2251</v>
      </c>
    </row>
    <row r="3" spans="1:14" x14ac:dyDescent="0.3">
      <c r="B3" t="s">
        <v>2252</v>
      </c>
    </row>
    <row r="7" spans="1:14" x14ac:dyDescent="0.3">
      <c r="N7" t="s">
        <v>2121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DC04CB-6890-4244-B65A-9D9E1D2A9FE6}">
  <sheetPr>
    <tabColor rgb="FFFFFF00"/>
    <pageSetUpPr fitToPage="1"/>
  </sheetPr>
  <dimension ref="A1:K119"/>
  <sheetViews>
    <sheetView topLeftCell="B1" workbookViewId="0">
      <selection activeCell="E122" sqref="E122"/>
    </sheetView>
  </sheetViews>
  <sheetFormatPr defaultRowHeight="14.4" x14ac:dyDescent="0.3"/>
  <cols>
    <col min="1" max="1" width="14.109375" hidden="1" customWidth="1"/>
    <col min="2" max="2" width="19.44140625" bestFit="1" customWidth="1"/>
    <col min="3" max="3" width="14.6640625" bestFit="1" customWidth="1"/>
    <col min="4" max="4" width="40.21875" bestFit="1" customWidth="1"/>
    <col min="5" max="5" width="9.5546875" bestFit="1" customWidth="1"/>
    <col min="6" max="6" width="10.5546875" bestFit="1" customWidth="1"/>
    <col min="7" max="7" width="10.33203125" bestFit="1" customWidth="1"/>
    <col min="8" max="9" width="9.77734375" bestFit="1" customWidth="1"/>
    <col min="10" max="10" width="11" bestFit="1" customWidth="1"/>
    <col min="11" max="11" width="9.77734375" customWidth="1"/>
  </cols>
  <sheetData>
    <row r="1" spans="1:11" x14ac:dyDescent="0.3">
      <c r="A1" t="s">
        <v>836</v>
      </c>
      <c r="B1" t="s">
        <v>307</v>
      </c>
      <c r="C1" t="s">
        <v>309</v>
      </c>
      <c r="D1" t="s">
        <v>310</v>
      </c>
      <c r="E1" t="s">
        <v>311</v>
      </c>
      <c r="F1" t="s">
        <v>22</v>
      </c>
      <c r="G1" t="s">
        <v>308</v>
      </c>
      <c r="H1" t="s">
        <v>837</v>
      </c>
      <c r="I1" t="s">
        <v>838</v>
      </c>
      <c r="J1" t="s">
        <v>839</v>
      </c>
      <c r="K1" t="s">
        <v>840</v>
      </c>
    </row>
    <row r="2" spans="1:11" hidden="1" x14ac:dyDescent="0.3">
      <c r="A2">
        <v>1677</v>
      </c>
      <c r="B2" t="s">
        <v>1924</v>
      </c>
      <c r="C2" s="86" t="s">
        <v>123</v>
      </c>
      <c r="D2" t="s">
        <v>1274</v>
      </c>
      <c r="E2">
        <v>7</v>
      </c>
      <c r="F2">
        <v>30</v>
      </c>
      <c r="G2">
        <v>17</v>
      </c>
      <c r="H2" t="s">
        <v>841</v>
      </c>
      <c r="I2" t="s">
        <v>841</v>
      </c>
      <c r="J2" t="s">
        <v>841</v>
      </c>
      <c r="K2" t="s">
        <v>842</v>
      </c>
    </row>
    <row r="3" spans="1:11" hidden="1" x14ac:dyDescent="0.3">
      <c r="A3">
        <v>1854</v>
      </c>
      <c r="B3" t="s">
        <v>2138</v>
      </c>
      <c r="C3" s="86" t="s">
        <v>1971</v>
      </c>
      <c r="D3" t="s">
        <v>1226</v>
      </c>
      <c r="E3">
        <v>7</v>
      </c>
      <c r="F3">
        <v>34</v>
      </c>
      <c r="G3">
        <v>34</v>
      </c>
      <c r="H3" t="s">
        <v>841</v>
      </c>
      <c r="I3" t="s">
        <v>841</v>
      </c>
      <c r="J3" t="s">
        <v>841</v>
      </c>
      <c r="K3" t="s">
        <v>841</v>
      </c>
    </row>
    <row r="4" spans="1:11" hidden="1" x14ac:dyDescent="0.3">
      <c r="A4">
        <v>1859</v>
      </c>
      <c r="B4" t="s">
        <v>2139</v>
      </c>
      <c r="C4" s="86" t="s">
        <v>2029</v>
      </c>
      <c r="D4" t="s">
        <v>843</v>
      </c>
      <c r="E4">
        <v>7</v>
      </c>
      <c r="F4">
        <v>34</v>
      </c>
      <c r="G4">
        <v>17</v>
      </c>
      <c r="H4" t="s">
        <v>841</v>
      </c>
      <c r="I4" t="s">
        <v>841</v>
      </c>
      <c r="J4" t="s">
        <v>841</v>
      </c>
      <c r="K4" t="s">
        <v>841</v>
      </c>
    </row>
    <row r="5" spans="1:11" hidden="1" x14ac:dyDescent="0.3">
      <c r="A5">
        <v>1860</v>
      </c>
      <c r="B5" t="s">
        <v>2140</v>
      </c>
      <c r="C5" s="86" t="s">
        <v>2030</v>
      </c>
      <c r="D5" t="s">
        <v>218</v>
      </c>
      <c r="E5">
        <v>7</v>
      </c>
      <c r="F5">
        <v>34</v>
      </c>
      <c r="G5">
        <v>17</v>
      </c>
      <c r="H5" t="s">
        <v>841</v>
      </c>
      <c r="I5" t="s">
        <v>841</v>
      </c>
      <c r="J5" t="s">
        <v>841</v>
      </c>
      <c r="K5" t="s">
        <v>841</v>
      </c>
    </row>
    <row r="6" spans="1:11" hidden="1" x14ac:dyDescent="0.3">
      <c r="A6">
        <v>1868</v>
      </c>
      <c r="B6" t="s">
        <v>2141</v>
      </c>
      <c r="C6" s="86" t="s">
        <v>2066</v>
      </c>
      <c r="D6" t="s">
        <v>217</v>
      </c>
      <c r="E6">
        <v>7</v>
      </c>
      <c r="F6">
        <v>34</v>
      </c>
      <c r="G6">
        <v>51</v>
      </c>
      <c r="H6" t="s">
        <v>841</v>
      </c>
      <c r="I6" t="s">
        <v>841</v>
      </c>
      <c r="J6" t="s">
        <v>841</v>
      </c>
      <c r="K6" t="s">
        <v>841</v>
      </c>
    </row>
    <row r="7" spans="1:11" hidden="1" x14ac:dyDescent="0.3">
      <c r="A7">
        <v>1851</v>
      </c>
      <c r="B7" t="s">
        <v>2142</v>
      </c>
      <c r="C7" s="86" t="s">
        <v>1904</v>
      </c>
      <c r="D7" t="s">
        <v>248</v>
      </c>
      <c r="E7">
        <v>7</v>
      </c>
      <c r="F7">
        <v>34</v>
      </c>
      <c r="G7">
        <v>34</v>
      </c>
      <c r="H7" t="s">
        <v>841</v>
      </c>
      <c r="I7" t="s">
        <v>841</v>
      </c>
      <c r="J7" t="s">
        <v>841</v>
      </c>
      <c r="K7" t="s">
        <v>841</v>
      </c>
    </row>
    <row r="8" spans="1:11" hidden="1" x14ac:dyDescent="0.3">
      <c r="A8">
        <v>1704</v>
      </c>
      <c r="B8" t="s">
        <v>1951</v>
      </c>
      <c r="C8" s="86" t="s">
        <v>950</v>
      </c>
      <c r="D8" t="s">
        <v>1778</v>
      </c>
      <c r="E8">
        <v>7</v>
      </c>
      <c r="F8">
        <v>30</v>
      </c>
      <c r="G8">
        <v>17</v>
      </c>
      <c r="H8" t="s">
        <v>841</v>
      </c>
      <c r="I8" t="s">
        <v>841</v>
      </c>
      <c r="J8" t="s">
        <v>841</v>
      </c>
      <c r="K8" t="s">
        <v>841</v>
      </c>
    </row>
    <row r="9" spans="1:11" hidden="1" x14ac:dyDescent="0.3">
      <c r="A9">
        <v>1846</v>
      </c>
      <c r="B9" t="s">
        <v>2143</v>
      </c>
      <c r="C9" s="86" t="s">
        <v>1870</v>
      </c>
      <c r="D9" t="s">
        <v>1210</v>
      </c>
      <c r="E9">
        <v>7</v>
      </c>
      <c r="F9">
        <v>34</v>
      </c>
      <c r="G9">
        <v>68</v>
      </c>
      <c r="H9" t="s">
        <v>841</v>
      </c>
      <c r="I9" t="s">
        <v>841</v>
      </c>
      <c r="J9" t="s">
        <v>841</v>
      </c>
      <c r="K9" t="s">
        <v>841</v>
      </c>
    </row>
    <row r="10" spans="1:11" hidden="1" x14ac:dyDescent="0.3">
      <c r="A10">
        <v>1688</v>
      </c>
      <c r="B10" t="s">
        <v>1935</v>
      </c>
      <c r="C10" s="86" t="s">
        <v>145</v>
      </c>
      <c r="D10" t="s">
        <v>846</v>
      </c>
      <c r="E10">
        <v>7</v>
      </c>
      <c r="F10">
        <v>30</v>
      </c>
      <c r="G10">
        <v>17</v>
      </c>
      <c r="H10" t="s">
        <v>841</v>
      </c>
      <c r="I10" t="s">
        <v>841</v>
      </c>
      <c r="J10" t="s">
        <v>841</v>
      </c>
      <c r="K10" t="s">
        <v>841</v>
      </c>
    </row>
    <row r="11" spans="1:11" hidden="1" x14ac:dyDescent="0.3">
      <c r="A11">
        <v>1682</v>
      </c>
      <c r="B11" t="s">
        <v>1929</v>
      </c>
      <c r="C11" s="86" t="s">
        <v>138</v>
      </c>
      <c r="D11" t="s">
        <v>592</v>
      </c>
      <c r="E11">
        <v>7</v>
      </c>
      <c r="F11">
        <v>30</v>
      </c>
      <c r="G11">
        <v>34</v>
      </c>
      <c r="H11" t="s">
        <v>841</v>
      </c>
      <c r="I11" t="s">
        <v>841</v>
      </c>
      <c r="J11" t="s">
        <v>841</v>
      </c>
      <c r="K11" t="s">
        <v>841</v>
      </c>
    </row>
    <row r="12" spans="1:11" hidden="1" x14ac:dyDescent="0.3">
      <c r="A12">
        <v>1664</v>
      </c>
      <c r="B12" t="s">
        <v>1911</v>
      </c>
      <c r="C12" s="86" t="s">
        <v>87</v>
      </c>
      <c r="D12" t="s">
        <v>852</v>
      </c>
      <c r="E12">
        <v>7</v>
      </c>
      <c r="F12">
        <v>30</v>
      </c>
      <c r="G12">
        <v>17</v>
      </c>
      <c r="H12" t="s">
        <v>841</v>
      </c>
      <c r="I12" t="s">
        <v>841</v>
      </c>
      <c r="J12" t="s">
        <v>841</v>
      </c>
      <c r="K12" t="s">
        <v>841</v>
      </c>
    </row>
    <row r="13" spans="1:11" hidden="1" x14ac:dyDescent="0.3">
      <c r="A13">
        <v>1687</v>
      </c>
      <c r="B13" t="s">
        <v>1934</v>
      </c>
      <c r="C13" s="86" t="s">
        <v>144</v>
      </c>
      <c r="D13" t="s">
        <v>242</v>
      </c>
      <c r="E13">
        <v>7</v>
      </c>
      <c r="F13">
        <v>30</v>
      </c>
      <c r="G13">
        <v>17</v>
      </c>
      <c r="H13" t="s">
        <v>841</v>
      </c>
      <c r="I13" t="s">
        <v>841</v>
      </c>
      <c r="J13" t="s">
        <v>841</v>
      </c>
      <c r="K13" t="s">
        <v>841</v>
      </c>
    </row>
    <row r="14" spans="1:11" hidden="1" x14ac:dyDescent="0.3">
      <c r="A14">
        <v>1724</v>
      </c>
      <c r="B14" t="s">
        <v>1976</v>
      </c>
      <c r="C14" s="86" t="s">
        <v>177</v>
      </c>
      <c r="D14" t="s">
        <v>373</v>
      </c>
      <c r="E14">
        <v>25</v>
      </c>
      <c r="F14">
        <v>32</v>
      </c>
      <c r="G14">
        <v>85</v>
      </c>
      <c r="H14" t="s">
        <v>841</v>
      </c>
      <c r="I14" t="s">
        <v>841</v>
      </c>
      <c r="J14" t="s">
        <v>841</v>
      </c>
      <c r="K14" t="s">
        <v>841</v>
      </c>
    </row>
    <row r="15" spans="1:11" hidden="1" x14ac:dyDescent="0.3">
      <c r="A15">
        <v>1728</v>
      </c>
      <c r="B15" t="s">
        <v>1980</v>
      </c>
      <c r="C15" s="86" t="s">
        <v>1340</v>
      </c>
      <c r="D15" t="s">
        <v>397</v>
      </c>
      <c r="E15">
        <v>25</v>
      </c>
      <c r="F15">
        <v>32</v>
      </c>
      <c r="G15">
        <v>221</v>
      </c>
      <c r="H15" t="s">
        <v>841</v>
      </c>
      <c r="I15" t="s">
        <v>841</v>
      </c>
      <c r="J15" t="s">
        <v>841</v>
      </c>
      <c r="K15" t="s">
        <v>841</v>
      </c>
    </row>
    <row r="16" spans="1:11" hidden="1" x14ac:dyDescent="0.3">
      <c r="A16">
        <v>1738</v>
      </c>
      <c r="B16" t="s">
        <v>1990</v>
      </c>
      <c r="C16" s="86" t="s">
        <v>1004</v>
      </c>
      <c r="D16" t="s">
        <v>389</v>
      </c>
      <c r="E16">
        <v>25</v>
      </c>
      <c r="F16">
        <v>31</v>
      </c>
      <c r="G16">
        <v>17</v>
      </c>
      <c r="H16" t="s">
        <v>841</v>
      </c>
      <c r="I16" t="s">
        <v>841</v>
      </c>
      <c r="J16" t="s">
        <v>841</v>
      </c>
      <c r="K16" t="s">
        <v>841</v>
      </c>
    </row>
    <row r="17" spans="1:11" hidden="1" x14ac:dyDescent="0.3">
      <c r="A17">
        <v>1727</v>
      </c>
      <c r="B17" t="s">
        <v>1979</v>
      </c>
      <c r="C17" s="86" t="s">
        <v>1358</v>
      </c>
      <c r="D17" t="s">
        <v>395</v>
      </c>
      <c r="E17">
        <v>25</v>
      </c>
      <c r="F17">
        <v>32</v>
      </c>
      <c r="G17">
        <v>34</v>
      </c>
      <c r="H17" t="s">
        <v>841</v>
      </c>
      <c r="I17" t="s">
        <v>841</v>
      </c>
      <c r="J17" t="s">
        <v>841</v>
      </c>
      <c r="K17" t="s">
        <v>841</v>
      </c>
    </row>
    <row r="18" spans="1:11" hidden="1" x14ac:dyDescent="0.3">
      <c r="A18">
        <v>1718</v>
      </c>
      <c r="B18" t="s">
        <v>1965</v>
      </c>
      <c r="C18" s="86" t="s">
        <v>1760</v>
      </c>
      <c r="D18" t="s">
        <v>1219</v>
      </c>
      <c r="E18">
        <v>7</v>
      </c>
      <c r="F18">
        <v>30</v>
      </c>
      <c r="G18">
        <v>17</v>
      </c>
      <c r="H18" t="s">
        <v>841</v>
      </c>
      <c r="I18" t="s">
        <v>841</v>
      </c>
      <c r="J18" t="s">
        <v>841</v>
      </c>
      <c r="K18" t="s">
        <v>841</v>
      </c>
    </row>
    <row r="19" spans="1:11" hidden="1" x14ac:dyDescent="0.3">
      <c r="A19">
        <v>1842</v>
      </c>
      <c r="B19" t="s">
        <v>2144</v>
      </c>
      <c r="C19" s="86" t="s">
        <v>167</v>
      </c>
      <c r="D19" t="s">
        <v>594</v>
      </c>
      <c r="E19">
        <v>7</v>
      </c>
      <c r="F19">
        <v>34</v>
      </c>
      <c r="G19">
        <v>17</v>
      </c>
      <c r="H19" t="s">
        <v>841</v>
      </c>
      <c r="I19" t="s">
        <v>841</v>
      </c>
      <c r="J19" t="s">
        <v>841</v>
      </c>
      <c r="K19" t="s">
        <v>841</v>
      </c>
    </row>
    <row r="20" spans="1:11" hidden="1" x14ac:dyDescent="0.3">
      <c r="A20">
        <v>1662</v>
      </c>
      <c r="B20" t="s">
        <v>1909</v>
      </c>
      <c r="C20" s="86" t="s">
        <v>84</v>
      </c>
      <c r="D20" t="s">
        <v>1260</v>
      </c>
      <c r="E20">
        <v>7</v>
      </c>
      <c r="F20">
        <v>30</v>
      </c>
      <c r="G20">
        <v>51</v>
      </c>
      <c r="H20" t="s">
        <v>841</v>
      </c>
      <c r="I20" t="s">
        <v>841</v>
      </c>
      <c r="J20" t="s">
        <v>841</v>
      </c>
      <c r="K20" t="s">
        <v>842</v>
      </c>
    </row>
    <row r="21" spans="1:11" hidden="1" x14ac:dyDescent="0.3">
      <c r="A21">
        <v>1837</v>
      </c>
      <c r="B21" t="s">
        <v>2145</v>
      </c>
      <c r="C21" s="86" t="s">
        <v>746</v>
      </c>
      <c r="D21" t="s">
        <v>1224</v>
      </c>
      <c r="E21">
        <v>7</v>
      </c>
      <c r="F21">
        <v>34</v>
      </c>
      <c r="G21">
        <v>17</v>
      </c>
      <c r="H21" t="s">
        <v>841</v>
      </c>
      <c r="I21" t="s">
        <v>841</v>
      </c>
      <c r="J21" t="s">
        <v>841</v>
      </c>
      <c r="K21" t="s">
        <v>841</v>
      </c>
    </row>
    <row r="22" spans="1:11" hidden="1" x14ac:dyDescent="0.3">
      <c r="A22">
        <v>1839</v>
      </c>
      <c r="B22" t="s">
        <v>2146</v>
      </c>
      <c r="C22" s="86" t="s">
        <v>136</v>
      </c>
      <c r="D22" t="s">
        <v>236</v>
      </c>
      <c r="E22">
        <v>7</v>
      </c>
      <c r="F22">
        <v>34</v>
      </c>
      <c r="G22">
        <v>17</v>
      </c>
      <c r="H22" t="s">
        <v>841</v>
      </c>
      <c r="I22" t="s">
        <v>841</v>
      </c>
      <c r="J22" t="s">
        <v>841</v>
      </c>
      <c r="K22" t="s">
        <v>841</v>
      </c>
    </row>
    <row r="23" spans="1:11" hidden="1" x14ac:dyDescent="0.3">
      <c r="A23">
        <v>1719</v>
      </c>
      <c r="B23" t="s">
        <v>1966</v>
      </c>
      <c r="C23" s="86" t="s">
        <v>1768</v>
      </c>
      <c r="D23" t="s">
        <v>521</v>
      </c>
      <c r="E23">
        <v>7</v>
      </c>
      <c r="F23">
        <v>30</v>
      </c>
      <c r="G23">
        <v>34</v>
      </c>
      <c r="H23" t="s">
        <v>841</v>
      </c>
      <c r="I23" t="s">
        <v>841</v>
      </c>
      <c r="J23" t="s">
        <v>841</v>
      </c>
      <c r="K23" t="s">
        <v>841</v>
      </c>
    </row>
    <row r="24" spans="1:11" hidden="1" x14ac:dyDescent="0.3">
      <c r="A24">
        <v>1845</v>
      </c>
      <c r="B24" t="s">
        <v>2147</v>
      </c>
      <c r="C24" s="86" t="s">
        <v>812</v>
      </c>
      <c r="D24" t="s">
        <v>813</v>
      </c>
      <c r="E24">
        <v>7</v>
      </c>
      <c r="F24">
        <v>34</v>
      </c>
      <c r="G24">
        <v>17</v>
      </c>
      <c r="H24" t="s">
        <v>841</v>
      </c>
      <c r="I24" t="s">
        <v>841</v>
      </c>
      <c r="J24" t="s">
        <v>841</v>
      </c>
      <c r="K24" t="s">
        <v>841</v>
      </c>
    </row>
    <row r="25" spans="1:11" hidden="1" x14ac:dyDescent="0.3">
      <c r="A25">
        <v>1850</v>
      </c>
      <c r="B25" t="s">
        <v>2148</v>
      </c>
      <c r="C25" s="86" t="s">
        <v>1903</v>
      </c>
      <c r="D25" t="s">
        <v>249</v>
      </c>
      <c r="E25">
        <v>7</v>
      </c>
      <c r="F25">
        <v>34</v>
      </c>
      <c r="G25">
        <v>102</v>
      </c>
      <c r="H25" t="s">
        <v>841</v>
      </c>
      <c r="I25" t="s">
        <v>841</v>
      </c>
      <c r="J25" t="s">
        <v>841</v>
      </c>
      <c r="K25" t="s">
        <v>841</v>
      </c>
    </row>
    <row r="26" spans="1:11" hidden="1" x14ac:dyDescent="0.3">
      <c r="A26">
        <v>1699</v>
      </c>
      <c r="B26" t="s">
        <v>1946</v>
      </c>
      <c r="C26" s="86" t="s">
        <v>203</v>
      </c>
      <c r="D26" t="s">
        <v>1742</v>
      </c>
      <c r="E26">
        <v>7</v>
      </c>
      <c r="F26">
        <v>30</v>
      </c>
      <c r="G26">
        <v>17</v>
      </c>
      <c r="H26" t="s">
        <v>841</v>
      </c>
      <c r="I26" t="s">
        <v>841</v>
      </c>
      <c r="J26" t="s">
        <v>841</v>
      </c>
      <c r="K26" t="s">
        <v>841</v>
      </c>
    </row>
    <row r="27" spans="1:11" hidden="1" x14ac:dyDescent="0.3">
      <c r="A27">
        <v>1740</v>
      </c>
      <c r="B27" t="s">
        <v>1992</v>
      </c>
      <c r="C27" s="86" t="s">
        <v>954</v>
      </c>
      <c r="D27" t="s">
        <v>397</v>
      </c>
      <c r="E27">
        <v>25</v>
      </c>
      <c r="F27">
        <v>31</v>
      </c>
      <c r="G27">
        <v>51</v>
      </c>
      <c r="H27" t="s">
        <v>841</v>
      </c>
      <c r="I27" t="s">
        <v>841</v>
      </c>
      <c r="J27" t="s">
        <v>841</v>
      </c>
      <c r="K27" t="s">
        <v>841</v>
      </c>
    </row>
    <row r="28" spans="1:11" hidden="1" x14ac:dyDescent="0.3">
      <c r="A28">
        <v>1703</v>
      </c>
      <c r="B28" t="s">
        <v>1950</v>
      </c>
      <c r="C28" s="86" t="s">
        <v>774</v>
      </c>
      <c r="D28" t="s">
        <v>1716</v>
      </c>
      <c r="E28">
        <v>7</v>
      </c>
      <c r="F28">
        <v>30</v>
      </c>
      <c r="G28">
        <v>17</v>
      </c>
      <c r="H28" t="s">
        <v>841</v>
      </c>
      <c r="I28" t="s">
        <v>841</v>
      </c>
      <c r="J28" t="s">
        <v>841</v>
      </c>
      <c r="K28" t="s">
        <v>841</v>
      </c>
    </row>
    <row r="29" spans="1:11" hidden="1" x14ac:dyDescent="0.3">
      <c r="A29">
        <v>1737</v>
      </c>
      <c r="B29" t="s">
        <v>1989</v>
      </c>
      <c r="C29" s="86" t="s">
        <v>946</v>
      </c>
      <c r="D29" t="s">
        <v>384</v>
      </c>
      <c r="E29">
        <v>25</v>
      </c>
      <c r="F29">
        <v>31</v>
      </c>
      <c r="G29">
        <v>17</v>
      </c>
      <c r="H29" t="s">
        <v>841</v>
      </c>
      <c r="I29" t="s">
        <v>841</v>
      </c>
      <c r="J29" t="s">
        <v>841</v>
      </c>
      <c r="K29" t="s">
        <v>841</v>
      </c>
    </row>
    <row r="30" spans="1:11" hidden="1" x14ac:dyDescent="0.3">
      <c r="A30">
        <v>1710</v>
      </c>
      <c r="B30" t="s">
        <v>1957</v>
      </c>
      <c r="C30" s="86" t="s">
        <v>987</v>
      </c>
      <c r="D30" t="s">
        <v>1718</v>
      </c>
      <c r="E30">
        <v>7</v>
      </c>
      <c r="F30">
        <v>30</v>
      </c>
      <c r="G30">
        <v>17</v>
      </c>
      <c r="H30" t="s">
        <v>841</v>
      </c>
      <c r="I30" t="s">
        <v>841</v>
      </c>
      <c r="J30" t="s">
        <v>841</v>
      </c>
      <c r="K30" t="s">
        <v>842</v>
      </c>
    </row>
    <row r="31" spans="1:11" hidden="1" x14ac:dyDescent="0.3">
      <c r="A31">
        <v>1686</v>
      </c>
      <c r="B31" t="s">
        <v>1933</v>
      </c>
      <c r="C31" s="86" t="s">
        <v>143</v>
      </c>
      <c r="D31" t="s">
        <v>241</v>
      </c>
      <c r="E31">
        <v>7</v>
      </c>
      <c r="F31">
        <v>30</v>
      </c>
      <c r="G31">
        <v>34</v>
      </c>
      <c r="H31" t="s">
        <v>841</v>
      </c>
      <c r="I31" t="s">
        <v>841</v>
      </c>
      <c r="J31" t="s">
        <v>841</v>
      </c>
      <c r="K31" t="s">
        <v>841</v>
      </c>
    </row>
    <row r="32" spans="1:11" hidden="1" x14ac:dyDescent="0.3">
      <c r="A32">
        <v>1715</v>
      </c>
      <c r="B32" t="s">
        <v>1962</v>
      </c>
      <c r="C32" s="86" t="s">
        <v>1759</v>
      </c>
      <c r="D32" t="s">
        <v>1776</v>
      </c>
      <c r="E32">
        <v>7</v>
      </c>
      <c r="F32">
        <v>30</v>
      </c>
      <c r="G32">
        <v>17</v>
      </c>
      <c r="H32" t="s">
        <v>841</v>
      </c>
      <c r="I32" t="s">
        <v>841</v>
      </c>
      <c r="J32" t="s">
        <v>841</v>
      </c>
      <c r="K32" t="s">
        <v>841</v>
      </c>
    </row>
    <row r="33" spans="1:11" hidden="1" x14ac:dyDescent="0.3">
      <c r="A33">
        <v>1843</v>
      </c>
      <c r="B33" t="s">
        <v>2149</v>
      </c>
      <c r="C33" s="86" t="s">
        <v>168</v>
      </c>
      <c r="D33" t="s">
        <v>260</v>
      </c>
      <c r="E33">
        <v>7</v>
      </c>
      <c r="F33">
        <v>34</v>
      </c>
      <c r="G33">
        <v>17</v>
      </c>
      <c r="H33" t="s">
        <v>841</v>
      </c>
      <c r="I33" t="s">
        <v>841</v>
      </c>
      <c r="J33" t="s">
        <v>841</v>
      </c>
      <c r="K33" t="s">
        <v>841</v>
      </c>
    </row>
    <row r="34" spans="1:11" hidden="1" x14ac:dyDescent="0.3">
      <c r="A34">
        <v>1670</v>
      </c>
      <c r="B34" t="s">
        <v>1917</v>
      </c>
      <c r="C34" s="86" t="s">
        <v>107</v>
      </c>
      <c r="D34" t="s">
        <v>1266</v>
      </c>
      <c r="E34">
        <v>7</v>
      </c>
      <c r="F34">
        <v>30</v>
      </c>
      <c r="G34">
        <v>34</v>
      </c>
      <c r="H34" t="s">
        <v>841</v>
      </c>
      <c r="I34" t="s">
        <v>841</v>
      </c>
      <c r="J34" t="s">
        <v>841</v>
      </c>
      <c r="K34" t="s">
        <v>841</v>
      </c>
    </row>
    <row r="35" spans="1:11" hidden="1" x14ac:dyDescent="0.3">
      <c r="A35">
        <v>1700</v>
      </c>
      <c r="B35" t="s">
        <v>1947</v>
      </c>
      <c r="C35" s="86" t="s">
        <v>289</v>
      </c>
      <c r="D35" t="s">
        <v>599</v>
      </c>
      <c r="E35">
        <v>7</v>
      </c>
      <c r="F35">
        <v>30</v>
      </c>
      <c r="G35">
        <v>17</v>
      </c>
      <c r="H35" t="s">
        <v>841</v>
      </c>
      <c r="I35" t="s">
        <v>841</v>
      </c>
      <c r="J35" t="s">
        <v>841</v>
      </c>
      <c r="K35" t="s">
        <v>841</v>
      </c>
    </row>
    <row r="36" spans="1:11" hidden="1" x14ac:dyDescent="0.3">
      <c r="A36">
        <v>1869</v>
      </c>
      <c r="B36" t="s">
        <v>2150</v>
      </c>
      <c r="C36" s="86" t="s">
        <v>2077</v>
      </c>
      <c r="D36" t="s">
        <v>251</v>
      </c>
      <c r="E36">
        <v>7</v>
      </c>
      <c r="F36">
        <v>34</v>
      </c>
      <c r="G36">
        <v>68</v>
      </c>
      <c r="H36" t="s">
        <v>841</v>
      </c>
      <c r="I36" t="s">
        <v>841</v>
      </c>
      <c r="J36" t="s">
        <v>841</v>
      </c>
      <c r="K36" t="s">
        <v>841</v>
      </c>
    </row>
    <row r="37" spans="1:11" hidden="1" x14ac:dyDescent="0.3">
      <c r="A37">
        <v>1695</v>
      </c>
      <c r="B37" t="s">
        <v>1942</v>
      </c>
      <c r="C37" s="86" t="s">
        <v>161</v>
      </c>
      <c r="D37" t="s">
        <v>596</v>
      </c>
      <c r="E37">
        <v>7</v>
      </c>
      <c r="F37">
        <v>30</v>
      </c>
      <c r="G37">
        <v>17</v>
      </c>
      <c r="H37" t="s">
        <v>841</v>
      </c>
      <c r="I37" t="s">
        <v>841</v>
      </c>
      <c r="J37" t="s">
        <v>841</v>
      </c>
      <c r="K37" t="s">
        <v>841</v>
      </c>
    </row>
    <row r="38" spans="1:11" hidden="1" x14ac:dyDescent="0.3">
      <c r="A38">
        <v>1870</v>
      </c>
      <c r="B38" t="s">
        <v>2151</v>
      </c>
      <c r="C38" s="86" t="s">
        <v>2122</v>
      </c>
      <c r="D38" t="s">
        <v>1238</v>
      </c>
      <c r="E38">
        <v>7</v>
      </c>
      <c r="F38">
        <v>34</v>
      </c>
      <c r="G38">
        <v>17</v>
      </c>
      <c r="H38" t="s">
        <v>841</v>
      </c>
      <c r="I38" t="s">
        <v>841</v>
      </c>
      <c r="J38" t="s">
        <v>841</v>
      </c>
      <c r="K38" t="s">
        <v>841</v>
      </c>
    </row>
    <row r="39" spans="1:11" hidden="1" x14ac:dyDescent="0.3">
      <c r="A39">
        <v>1840</v>
      </c>
      <c r="B39" t="s">
        <v>2152</v>
      </c>
      <c r="C39" s="86" t="s">
        <v>137</v>
      </c>
      <c r="D39" t="s">
        <v>1239</v>
      </c>
      <c r="E39">
        <v>7</v>
      </c>
      <c r="F39">
        <v>34</v>
      </c>
      <c r="G39">
        <v>153</v>
      </c>
      <c r="H39" t="s">
        <v>841</v>
      </c>
      <c r="I39" t="s">
        <v>841</v>
      </c>
      <c r="J39" t="s">
        <v>841</v>
      </c>
      <c r="K39" t="s">
        <v>841</v>
      </c>
    </row>
    <row r="40" spans="1:11" hidden="1" x14ac:dyDescent="0.3">
      <c r="A40">
        <v>1866</v>
      </c>
      <c r="B40" t="s">
        <v>2153</v>
      </c>
      <c r="C40" s="86" t="s">
        <v>2062</v>
      </c>
      <c r="D40" t="s">
        <v>2071</v>
      </c>
      <c r="E40">
        <v>7</v>
      </c>
      <c r="F40">
        <v>34</v>
      </c>
      <c r="G40">
        <v>68</v>
      </c>
      <c r="H40" t="s">
        <v>841</v>
      </c>
      <c r="I40" t="s">
        <v>841</v>
      </c>
      <c r="J40" t="s">
        <v>841</v>
      </c>
      <c r="K40" t="s">
        <v>841</v>
      </c>
    </row>
    <row r="41" spans="1:11" hidden="1" x14ac:dyDescent="0.3">
      <c r="A41">
        <v>1675</v>
      </c>
      <c r="B41" t="s">
        <v>1922</v>
      </c>
      <c r="C41" s="86" t="s">
        <v>121</v>
      </c>
      <c r="D41" t="s">
        <v>1722</v>
      </c>
      <c r="E41">
        <v>7</v>
      </c>
      <c r="F41">
        <v>30</v>
      </c>
      <c r="G41">
        <v>17</v>
      </c>
      <c r="H41" t="s">
        <v>841</v>
      </c>
      <c r="I41" t="s">
        <v>841</v>
      </c>
      <c r="J41" t="s">
        <v>841</v>
      </c>
      <c r="K41" t="s">
        <v>841</v>
      </c>
    </row>
    <row r="42" spans="1:11" hidden="1" x14ac:dyDescent="0.3">
      <c r="A42">
        <v>1708</v>
      </c>
      <c r="B42" t="s">
        <v>1955</v>
      </c>
      <c r="C42" s="86" t="s">
        <v>856</v>
      </c>
      <c r="D42" t="s">
        <v>603</v>
      </c>
      <c r="E42">
        <v>7</v>
      </c>
      <c r="F42">
        <v>30</v>
      </c>
      <c r="G42">
        <v>17</v>
      </c>
      <c r="H42" t="s">
        <v>841</v>
      </c>
      <c r="I42" t="s">
        <v>841</v>
      </c>
      <c r="J42" t="s">
        <v>841</v>
      </c>
      <c r="K42" t="s">
        <v>841</v>
      </c>
    </row>
    <row r="43" spans="1:11" hidden="1" x14ac:dyDescent="0.3">
      <c r="A43">
        <v>1665</v>
      </c>
      <c r="B43" t="s">
        <v>1912</v>
      </c>
      <c r="C43" s="86" t="s">
        <v>90</v>
      </c>
      <c r="D43" t="s">
        <v>318</v>
      </c>
      <c r="E43">
        <v>7</v>
      </c>
      <c r="F43">
        <v>30</v>
      </c>
      <c r="G43">
        <v>17</v>
      </c>
      <c r="H43" t="s">
        <v>841</v>
      </c>
      <c r="I43" t="s">
        <v>841</v>
      </c>
      <c r="J43" t="s">
        <v>841</v>
      </c>
      <c r="K43" t="s">
        <v>841</v>
      </c>
    </row>
    <row r="44" spans="1:11" hidden="1" x14ac:dyDescent="0.3">
      <c r="A44">
        <v>1848</v>
      </c>
      <c r="B44" t="s">
        <v>2154</v>
      </c>
      <c r="C44" s="86" t="s">
        <v>2006</v>
      </c>
      <c r="D44" t="s">
        <v>936</v>
      </c>
      <c r="E44">
        <v>7</v>
      </c>
      <c r="F44">
        <v>34</v>
      </c>
      <c r="G44">
        <v>17</v>
      </c>
      <c r="H44" t="s">
        <v>841</v>
      </c>
      <c r="I44" t="s">
        <v>841</v>
      </c>
      <c r="J44" t="s">
        <v>841</v>
      </c>
      <c r="K44" t="s">
        <v>841</v>
      </c>
    </row>
    <row r="45" spans="1:11" hidden="1" x14ac:dyDescent="0.3">
      <c r="A45">
        <v>1867</v>
      </c>
      <c r="B45" t="s">
        <v>2155</v>
      </c>
      <c r="C45" s="86" t="s">
        <v>2063</v>
      </c>
      <c r="D45" t="s">
        <v>2073</v>
      </c>
      <c r="E45">
        <v>7</v>
      </c>
      <c r="F45">
        <v>34</v>
      </c>
      <c r="G45">
        <v>17</v>
      </c>
      <c r="H45" t="s">
        <v>841</v>
      </c>
      <c r="I45" t="s">
        <v>841</v>
      </c>
      <c r="J45" t="s">
        <v>841</v>
      </c>
      <c r="K45" t="s">
        <v>841</v>
      </c>
    </row>
    <row r="46" spans="1:11" hidden="1" x14ac:dyDescent="0.3">
      <c r="A46">
        <v>1858</v>
      </c>
      <c r="B46" t="s">
        <v>2156</v>
      </c>
      <c r="C46" s="86" t="s">
        <v>2028</v>
      </c>
      <c r="D46" t="s">
        <v>224</v>
      </c>
      <c r="E46">
        <v>7</v>
      </c>
      <c r="F46">
        <v>34</v>
      </c>
      <c r="G46">
        <v>17</v>
      </c>
      <c r="H46" t="s">
        <v>841</v>
      </c>
      <c r="I46" t="s">
        <v>841</v>
      </c>
      <c r="J46" t="s">
        <v>841</v>
      </c>
      <c r="K46" t="s">
        <v>841</v>
      </c>
    </row>
    <row r="47" spans="1:11" hidden="1" x14ac:dyDescent="0.3">
      <c r="A47">
        <v>1864</v>
      </c>
      <c r="B47" t="s">
        <v>2157</v>
      </c>
      <c r="C47" s="86" t="s">
        <v>2049</v>
      </c>
      <c r="D47" t="s">
        <v>214</v>
      </c>
      <c r="E47">
        <v>7</v>
      </c>
      <c r="F47">
        <v>34</v>
      </c>
      <c r="G47">
        <v>17</v>
      </c>
      <c r="H47" t="s">
        <v>841</v>
      </c>
      <c r="I47" t="s">
        <v>841</v>
      </c>
      <c r="J47" t="s">
        <v>841</v>
      </c>
      <c r="K47" t="s">
        <v>841</v>
      </c>
    </row>
    <row r="48" spans="1:11" hidden="1" x14ac:dyDescent="0.3">
      <c r="A48">
        <v>1709</v>
      </c>
      <c r="B48" t="s">
        <v>1956</v>
      </c>
      <c r="C48" s="86" t="s">
        <v>857</v>
      </c>
      <c r="D48" t="s">
        <v>1293</v>
      </c>
      <c r="E48">
        <v>7</v>
      </c>
      <c r="F48">
        <v>30</v>
      </c>
      <c r="G48">
        <v>17</v>
      </c>
      <c r="H48" t="s">
        <v>841</v>
      </c>
      <c r="I48" t="s">
        <v>841</v>
      </c>
      <c r="J48" t="s">
        <v>841</v>
      </c>
      <c r="K48" t="s">
        <v>841</v>
      </c>
    </row>
    <row r="49" spans="1:11" hidden="1" x14ac:dyDescent="0.3">
      <c r="A49">
        <v>1697</v>
      </c>
      <c r="B49" t="s">
        <v>1944</v>
      </c>
      <c r="C49" s="86" t="s">
        <v>170</v>
      </c>
      <c r="D49" t="s">
        <v>261</v>
      </c>
      <c r="E49">
        <v>7</v>
      </c>
      <c r="F49">
        <v>30</v>
      </c>
      <c r="G49">
        <v>17</v>
      </c>
      <c r="H49" t="s">
        <v>841</v>
      </c>
      <c r="I49" t="s">
        <v>841</v>
      </c>
      <c r="J49" t="s">
        <v>841</v>
      </c>
      <c r="K49" t="s">
        <v>842</v>
      </c>
    </row>
    <row r="50" spans="1:11" hidden="1" x14ac:dyDescent="0.3">
      <c r="A50">
        <v>1733</v>
      </c>
      <c r="B50" t="s">
        <v>1985</v>
      </c>
      <c r="C50" s="86" t="s">
        <v>982</v>
      </c>
      <c r="D50" t="s">
        <v>1348</v>
      </c>
      <c r="E50">
        <v>25</v>
      </c>
      <c r="F50">
        <v>31</v>
      </c>
      <c r="G50">
        <v>34</v>
      </c>
      <c r="H50" t="s">
        <v>841</v>
      </c>
      <c r="I50" t="s">
        <v>841</v>
      </c>
      <c r="J50" t="s">
        <v>841</v>
      </c>
      <c r="K50" t="s">
        <v>841</v>
      </c>
    </row>
    <row r="51" spans="1:11" hidden="1" x14ac:dyDescent="0.3">
      <c r="A51">
        <v>1696</v>
      </c>
      <c r="B51" t="s">
        <v>1943</v>
      </c>
      <c r="C51" s="86" t="s">
        <v>169</v>
      </c>
      <c r="D51" t="s">
        <v>627</v>
      </c>
      <c r="E51">
        <v>7</v>
      </c>
      <c r="F51">
        <v>30</v>
      </c>
      <c r="G51">
        <v>17</v>
      </c>
      <c r="H51" t="s">
        <v>841</v>
      </c>
      <c r="I51" t="s">
        <v>841</v>
      </c>
      <c r="J51" t="s">
        <v>841</v>
      </c>
      <c r="K51" t="s">
        <v>841</v>
      </c>
    </row>
    <row r="52" spans="1:11" hidden="1" x14ac:dyDescent="0.3">
      <c r="A52">
        <v>1861</v>
      </c>
      <c r="B52" t="s">
        <v>2158</v>
      </c>
      <c r="C52" s="86" t="s">
        <v>2043</v>
      </c>
      <c r="D52" t="s">
        <v>2059</v>
      </c>
      <c r="E52">
        <v>7</v>
      </c>
      <c r="F52">
        <v>34</v>
      </c>
      <c r="G52">
        <v>17</v>
      </c>
      <c r="H52" t="s">
        <v>841</v>
      </c>
      <c r="I52" t="s">
        <v>841</v>
      </c>
      <c r="J52" t="s">
        <v>841</v>
      </c>
      <c r="K52" t="s">
        <v>841</v>
      </c>
    </row>
    <row r="53" spans="1:11" hidden="1" x14ac:dyDescent="0.3">
      <c r="A53">
        <v>1735</v>
      </c>
      <c r="B53" t="s">
        <v>1987</v>
      </c>
      <c r="C53" s="86" t="s">
        <v>937</v>
      </c>
      <c r="D53" t="s">
        <v>379</v>
      </c>
      <c r="E53">
        <v>25</v>
      </c>
      <c r="F53">
        <v>31</v>
      </c>
      <c r="G53">
        <v>17</v>
      </c>
      <c r="H53" t="s">
        <v>841</v>
      </c>
      <c r="I53" t="s">
        <v>841</v>
      </c>
      <c r="J53" t="s">
        <v>841</v>
      </c>
      <c r="K53" t="s">
        <v>841</v>
      </c>
    </row>
    <row r="54" spans="1:11" hidden="1" x14ac:dyDescent="0.3">
      <c r="A54">
        <v>1844</v>
      </c>
      <c r="B54" t="s">
        <v>2159</v>
      </c>
      <c r="C54" s="86" t="s">
        <v>210</v>
      </c>
      <c r="D54" t="s">
        <v>825</v>
      </c>
      <c r="E54">
        <v>7</v>
      </c>
      <c r="F54">
        <v>34</v>
      </c>
      <c r="G54">
        <v>34</v>
      </c>
      <c r="H54" t="s">
        <v>841</v>
      </c>
      <c r="I54" t="s">
        <v>841</v>
      </c>
      <c r="J54" t="s">
        <v>841</v>
      </c>
      <c r="K54" t="s">
        <v>841</v>
      </c>
    </row>
    <row r="55" spans="1:11" hidden="1" x14ac:dyDescent="0.3">
      <c r="A55">
        <v>1661</v>
      </c>
      <c r="B55" t="s">
        <v>1908</v>
      </c>
      <c r="C55" s="86" t="s">
        <v>81</v>
      </c>
      <c r="D55" t="s">
        <v>1258</v>
      </c>
      <c r="E55">
        <v>7</v>
      </c>
      <c r="F55">
        <v>30</v>
      </c>
      <c r="G55">
        <v>34</v>
      </c>
      <c r="H55" t="s">
        <v>841</v>
      </c>
      <c r="I55" t="s">
        <v>841</v>
      </c>
      <c r="J55" t="s">
        <v>841</v>
      </c>
      <c r="K55" t="s">
        <v>841</v>
      </c>
    </row>
    <row r="56" spans="1:11" hidden="1" x14ac:dyDescent="0.3">
      <c r="A56">
        <v>1705</v>
      </c>
      <c r="B56" t="s">
        <v>1952</v>
      </c>
      <c r="C56" s="86" t="s">
        <v>832</v>
      </c>
      <c r="D56" t="s">
        <v>834</v>
      </c>
      <c r="E56">
        <v>7</v>
      </c>
      <c r="F56">
        <v>30</v>
      </c>
      <c r="G56">
        <v>34</v>
      </c>
      <c r="H56" t="s">
        <v>841</v>
      </c>
      <c r="I56" t="s">
        <v>841</v>
      </c>
      <c r="J56" t="s">
        <v>841</v>
      </c>
      <c r="K56" t="s">
        <v>841</v>
      </c>
    </row>
    <row r="57" spans="1:11" hidden="1" x14ac:dyDescent="0.3">
      <c r="A57">
        <v>1693</v>
      </c>
      <c r="B57" t="s">
        <v>1940</v>
      </c>
      <c r="C57" s="86" t="s">
        <v>155</v>
      </c>
      <c r="D57" t="s">
        <v>252</v>
      </c>
      <c r="E57">
        <v>7</v>
      </c>
      <c r="F57">
        <v>30</v>
      </c>
      <c r="G57">
        <v>17</v>
      </c>
      <c r="H57" t="s">
        <v>841</v>
      </c>
      <c r="I57" t="s">
        <v>841</v>
      </c>
      <c r="J57" t="s">
        <v>841</v>
      </c>
      <c r="K57" t="s">
        <v>842</v>
      </c>
    </row>
    <row r="58" spans="1:11" hidden="1" x14ac:dyDescent="0.3">
      <c r="A58">
        <v>1666</v>
      </c>
      <c r="B58" t="s">
        <v>1913</v>
      </c>
      <c r="C58" s="86" t="s">
        <v>91</v>
      </c>
      <c r="D58" t="s">
        <v>1263</v>
      </c>
      <c r="E58">
        <v>7</v>
      </c>
      <c r="F58">
        <v>30</v>
      </c>
      <c r="G58">
        <v>17</v>
      </c>
      <c r="H58" t="s">
        <v>841</v>
      </c>
      <c r="I58" t="s">
        <v>841</v>
      </c>
      <c r="J58" t="s">
        <v>841</v>
      </c>
      <c r="K58" t="s">
        <v>841</v>
      </c>
    </row>
    <row r="59" spans="1:11" hidden="1" x14ac:dyDescent="0.3">
      <c r="A59">
        <v>1736</v>
      </c>
      <c r="B59" t="s">
        <v>1988</v>
      </c>
      <c r="C59" s="86" t="s">
        <v>940</v>
      </c>
      <c r="D59" t="s">
        <v>381</v>
      </c>
      <c r="E59">
        <v>25</v>
      </c>
      <c r="F59">
        <v>31</v>
      </c>
      <c r="G59">
        <v>17</v>
      </c>
      <c r="H59" t="s">
        <v>841</v>
      </c>
      <c r="I59" t="s">
        <v>841</v>
      </c>
      <c r="J59" t="s">
        <v>841</v>
      </c>
      <c r="K59" t="s">
        <v>841</v>
      </c>
    </row>
    <row r="60" spans="1:11" hidden="1" x14ac:dyDescent="0.3">
      <c r="A60">
        <v>1857</v>
      </c>
      <c r="B60" t="s">
        <v>2160</v>
      </c>
      <c r="C60" s="86" t="s">
        <v>2027</v>
      </c>
      <c r="D60" t="s">
        <v>225</v>
      </c>
      <c r="E60">
        <v>7</v>
      </c>
      <c r="F60">
        <v>34</v>
      </c>
      <c r="G60">
        <v>17</v>
      </c>
      <c r="H60" t="s">
        <v>841</v>
      </c>
      <c r="I60" t="s">
        <v>841</v>
      </c>
      <c r="J60" t="s">
        <v>841</v>
      </c>
      <c r="K60" t="s">
        <v>841</v>
      </c>
    </row>
    <row r="61" spans="1:11" hidden="1" x14ac:dyDescent="0.3">
      <c r="A61">
        <v>1694</v>
      </c>
      <c r="B61" t="s">
        <v>1941</v>
      </c>
      <c r="C61" s="86" t="s">
        <v>156</v>
      </c>
      <c r="D61" t="s">
        <v>657</v>
      </c>
      <c r="E61">
        <v>7</v>
      </c>
      <c r="F61">
        <v>30</v>
      </c>
      <c r="G61">
        <v>17</v>
      </c>
      <c r="H61" t="s">
        <v>841</v>
      </c>
      <c r="I61" t="s">
        <v>841</v>
      </c>
      <c r="J61" t="s">
        <v>841</v>
      </c>
      <c r="K61" t="s">
        <v>841</v>
      </c>
    </row>
    <row r="62" spans="1:11" hidden="1" x14ac:dyDescent="0.3">
      <c r="A62">
        <v>1692</v>
      </c>
      <c r="B62" t="s">
        <v>1939</v>
      </c>
      <c r="C62" s="86" t="s">
        <v>150</v>
      </c>
      <c r="D62" t="s">
        <v>247</v>
      </c>
      <c r="E62">
        <v>7</v>
      </c>
      <c r="F62">
        <v>30</v>
      </c>
      <c r="G62">
        <v>17</v>
      </c>
      <c r="H62" t="s">
        <v>841</v>
      </c>
      <c r="I62" t="s">
        <v>841</v>
      </c>
      <c r="J62" t="s">
        <v>841</v>
      </c>
      <c r="K62" t="s">
        <v>842</v>
      </c>
    </row>
    <row r="63" spans="1:11" hidden="1" x14ac:dyDescent="0.3">
      <c r="A63">
        <v>1739</v>
      </c>
      <c r="B63" t="s">
        <v>1991</v>
      </c>
      <c r="C63" s="86" t="s">
        <v>943</v>
      </c>
      <c r="D63" t="s">
        <v>395</v>
      </c>
      <c r="E63">
        <v>25</v>
      </c>
      <c r="F63">
        <v>31</v>
      </c>
      <c r="G63">
        <v>34</v>
      </c>
      <c r="H63" t="s">
        <v>841</v>
      </c>
      <c r="I63" t="s">
        <v>841</v>
      </c>
      <c r="J63" t="s">
        <v>841</v>
      </c>
      <c r="K63" t="s">
        <v>841</v>
      </c>
    </row>
    <row r="64" spans="1:11" hidden="1" x14ac:dyDescent="0.3">
      <c r="A64">
        <v>1855</v>
      </c>
      <c r="B64" t="s">
        <v>2161</v>
      </c>
      <c r="C64" s="86" t="s">
        <v>2001</v>
      </c>
      <c r="D64" t="s">
        <v>2016</v>
      </c>
      <c r="E64">
        <v>7</v>
      </c>
      <c r="F64">
        <v>34</v>
      </c>
      <c r="G64">
        <v>17</v>
      </c>
      <c r="H64" t="s">
        <v>841</v>
      </c>
      <c r="I64" t="s">
        <v>841</v>
      </c>
      <c r="J64" t="s">
        <v>841</v>
      </c>
      <c r="K64" t="s">
        <v>841</v>
      </c>
    </row>
    <row r="65" spans="1:11" hidden="1" x14ac:dyDescent="0.3">
      <c r="A65">
        <v>1871</v>
      </c>
      <c r="B65" t="s">
        <v>2162</v>
      </c>
      <c r="C65" s="86" t="s">
        <v>2125</v>
      </c>
      <c r="D65" t="s">
        <v>558</v>
      </c>
      <c r="E65">
        <v>7</v>
      </c>
      <c r="F65">
        <v>34</v>
      </c>
      <c r="G65">
        <v>17</v>
      </c>
      <c r="H65" t="s">
        <v>841</v>
      </c>
      <c r="I65" t="s">
        <v>841</v>
      </c>
      <c r="J65" t="s">
        <v>841</v>
      </c>
      <c r="K65" t="s">
        <v>841</v>
      </c>
    </row>
    <row r="66" spans="1:11" hidden="1" x14ac:dyDescent="0.3">
      <c r="A66">
        <v>1716</v>
      </c>
      <c r="B66" t="s">
        <v>1963</v>
      </c>
      <c r="C66" s="86" t="s">
        <v>986</v>
      </c>
      <c r="D66" t="s">
        <v>1736</v>
      </c>
      <c r="E66">
        <v>7</v>
      </c>
      <c r="F66">
        <v>30</v>
      </c>
      <c r="G66">
        <v>17</v>
      </c>
      <c r="H66" t="s">
        <v>841</v>
      </c>
      <c r="I66" t="s">
        <v>841</v>
      </c>
      <c r="J66" t="s">
        <v>841</v>
      </c>
      <c r="K66" t="s">
        <v>841</v>
      </c>
    </row>
    <row r="67" spans="1:11" x14ac:dyDescent="0.3">
      <c r="A67">
        <v>1723</v>
      </c>
      <c r="B67" t="s">
        <v>1975</v>
      </c>
      <c r="C67" s="86" t="s">
        <v>1341</v>
      </c>
      <c r="D67" t="s">
        <v>366</v>
      </c>
      <c r="E67">
        <v>25</v>
      </c>
      <c r="F67">
        <v>32</v>
      </c>
      <c r="G67">
        <v>510</v>
      </c>
      <c r="H67" t="s">
        <v>841</v>
      </c>
      <c r="I67" t="s">
        <v>841</v>
      </c>
      <c r="J67" t="s">
        <v>841</v>
      </c>
      <c r="K67" t="s">
        <v>841</v>
      </c>
    </row>
    <row r="68" spans="1:11" x14ac:dyDescent="0.3">
      <c r="A68">
        <v>1717</v>
      </c>
      <c r="B68" t="s">
        <v>1964</v>
      </c>
      <c r="C68" s="86" t="s">
        <v>1756</v>
      </c>
      <c r="D68" t="s">
        <v>798</v>
      </c>
      <c r="E68">
        <v>7</v>
      </c>
      <c r="F68">
        <v>30</v>
      </c>
      <c r="G68">
        <v>34</v>
      </c>
      <c r="H68" t="s">
        <v>841</v>
      </c>
      <c r="I68" t="s">
        <v>841</v>
      </c>
      <c r="J68" t="s">
        <v>841</v>
      </c>
      <c r="K68" t="s">
        <v>841</v>
      </c>
    </row>
    <row r="69" spans="1:11" hidden="1" x14ac:dyDescent="0.3">
      <c r="A69">
        <v>1726</v>
      </c>
      <c r="B69" t="s">
        <v>1978</v>
      </c>
      <c r="C69" s="86" t="s">
        <v>190</v>
      </c>
      <c r="D69" t="s">
        <v>391</v>
      </c>
      <c r="E69">
        <v>25</v>
      </c>
      <c r="F69">
        <v>32</v>
      </c>
      <c r="G69">
        <v>34</v>
      </c>
      <c r="H69" t="s">
        <v>841</v>
      </c>
      <c r="I69" t="s">
        <v>841</v>
      </c>
      <c r="J69" t="s">
        <v>841</v>
      </c>
      <c r="K69" t="s">
        <v>841</v>
      </c>
    </row>
    <row r="70" spans="1:11" hidden="1" x14ac:dyDescent="0.3">
      <c r="A70">
        <v>1660</v>
      </c>
      <c r="B70" t="s">
        <v>1907</v>
      </c>
      <c r="C70" s="86" t="s">
        <v>80</v>
      </c>
      <c r="D70" t="s">
        <v>515</v>
      </c>
      <c r="E70">
        <v>7</v>
      </c>
      <c r="F70">
        <v>30</v>
      </c>
      <c r="G70">
        <v>34</v>
      </c>
      <c r="H70" t="s">
        <v>841</v>
      </c>
      <c r="I70" t="s">
        <v>841</v>
      </c>
      <c r="J70" t="s">
        <v>841</v>
      </c>
      <c r="K70" t="s">
        <v>841</v>
      </c>
    </row>
    <row r="71" spans="1:11" hidden="1" x14ac:dyDescent="0.3">
      <c r="A71">
        <v>1847</v>
      </c>
      <c r="B71" t="s">
        <v>2163</v>
      </c>
      <c r="C71" s="86" t="s">
        <v>2023</v>
      </c>
      <c r="D71" t="s">
        <v>936</v>
      </c>
      <c r="E71">
        <v>7</v>
      </c>
      <c r="F71">
        <v>34</v>
      </c>
      <c r="G71">
        <v>17</v>
      </c>
      <c r="H71" t="s">
        <v>841</v>
      </c>
      <c r="I71" t="s">
        <v>841</v>
      </c>
      <c r="J71" t="s">
        <v>841</v>
      </c>
      <c r="K71" t="s">
        <v>841</v>
      </c>
    </row>
    <row r="72" spans="1:11" hidden="1" x14ac:dyDescent="0.3">
      <c r="A72">
        <v>1725</v>
      </c>
      <c r="B72" t="s">
        <v>1977</v>
      </c>
      <c r="C72" s="86" t="s">
        <v>187</v>
      </c>
      <c r="D72" t="s">
        <v>386</v>
      </c>
      <c r="E72">
        <v>25</v>
      </c>
      <c r="F72">
        <v>32</v>
      </c>
      <c r="G72">
        <v>34</v>
      </c>
      <c r="H72" t="s">
        <v>841</v>
      </c>
      <c r="I72" t="s">
        <v>841</v>
      </c>
      <c r="J72" t="s">
        <v>841</v>
      </c>
      <c r="K72" t="s">
        <v>841</v>
      </c>
    </row>
    <row r="73" spans="1:11" hidden="1" x14ac:dyDescent="0.3">
      <c r="A73">
        <v>1714</v>
      </c>
      <c r="B73" t="s">
        <v>1961</v>
      </c>
      <c r="C73" s="86" t="s">
        <v>964</v>
      </c>
      <c r="D73" t="s">
        <v>1733</v>
      </c>
      <c r="E73">
        <v>7</v>
      </c>
      <c r="F73">
        <v>30</v>
      </c>
      <c r="G73">
        <v>17</v>
      </c>
      <c r="H73" t="s">
        <v>841</v>
      </c>
      <c r="I73" t="s">
        <v>841</v>
      </c>
      <c r="J73" t="s">
        <v>841</v>
      </c>
      <c r="K73" t="s">
        <v>841</v>
      </c>
    </row>
    <row r="74" spans="1:11" hidden="1" x14ac:dyDescent="0.3">
      <c r="A74">
        <v>1672</v>
      </c>
      <c r="B74" t="s">
        <v>1919</v>
      </c>
      <c r="C74" s="86" t="s">
        <v>745</v>
      </c>
      <c r="D74" t="s">
        <v>335</v>
      </c>
      <c r="E74">
        <v>7</v>
      </c>
      <c r="F74">
        <v>30</v>
      </c>
      <c r="G74">
        <v>17</v>
      </c>
      <c r="H74" t="s">
        <v>841</v>
      </c>
      <c r="I74" t="s">
        <v>841</v>
      </c>
      <c r="J74" t="s">
        <v>841</v>
      </c>
      <c r="K74" t="s">
        <v>841</v>
      </c>
    </row>
    <row r="75" spans="1:11" hidden="1" x14ac:dyDescent="0.3">
      <c r="A75">
        <v>1729</v>
      </c>
      <c r="B75" t="s">
        <v>1981</v>
      </c>
      <c r="C75" s="86" t="s">
        <v>191</v>
      </c>
      <c r="D75" t="s">
        <v>399</v>
      </c>
      <c r="E75">
        <v>25</v>
      </c>
      <c r="F75">
        <v>32</v>
      </c>
      <c r="G75">
        <v>204</v>
      </c>
      <c r="H75" t="s">
        <v>841</v>
      </c>
      <c r="I75" t="s">
        <v>841</v>
      </c>
      <c r="J75" t="s">
        <v>841</v>
      </c>
      <c r="K75" t="s">
        <v>841</v>
      </c>
    </row>
    <row r="76" spans="1:11" hidden="1" x14ac:dyDescent="0.3">
      <c r="A76">
        <v>1681</v>
      </c>
      <c r="B76" t="s">
        <v>1928</v>
      </c>
      <c r="C76" s="86" t="s">
        <v>134</v>
      </c>
      <c r="D76" t="s">
        <v>1278</v>
      </c>
      <c r="E76">
        <v>7</v>
      </c>
      <c r="F76">
        <v>30</v>
      </c>
      <c r="G76">
        <v>34</v>
      </c>
      <c r="H76" t="s">
        <v>841</v>
      </c>
      <c r="I76" t="s">
        <v>841</v>
      </c>
      <c r="J76" t="s">
        <v>841</v>
      </c>
      <c r="K76" t="s">
        <v>841</v>
      </c>
    </row>
    <row r="77" spans="1:11" hidden="1" x14ac:dyDescent="0.3">
      <c r="A77">
        <v>1872</v>
      </c>
      <c r="B77" t="s">
        <v>2164</v>
      </c>
      <c r="C77" s="86" t="s">
        <v>2128</v>
      </c>
      <c r="D77" t="s">
        <v>212</v>
      </c>
      <c r="E77">
        <v>7</v>
      </c>
      <c r="F77">
        <v>34</v>
      </c>
      <c r="G77">
        <v>17</v>
      </c>
      <c r="H77" t="s">
        <v>841</v>
      </c>
      <c r="I77" t="s">
        <v>841</v>
      </c>
      <c r="J77" t="s">
        <v>841</v>
      </c>
      <c r="K77" t="s">
        <v>841</v>
      </c>
    </row>
    <row r="78" spans="1:11" hidden="1" x14ac:dyDescent="0.3">
      <c r="A78">
        <v>1698</v>
      </c>
      <c r="B78" t="s">
        <v>1945</v>
      </c>
      <c r="C78" s="86" t="s">
        <v>201</v>
      </c>
      <c r="D78" t="s">
        <v>1750</v>
      </c>
      <c r="E78">
        <v>7</v>
      </c>
      <c r="F78">
        <v>30</v>
      </c>
      <c r="G78">
        <v>17</v>
      </c>
      <c r="H78" t="s">
        <v>841</v>
      </c>
      <c r="I78" t="s">
        <v>841</v>
      </c>
      <c r="J78" t="s">
        <v>841</v>
      </c>
      <c r="K78" t="s">
        <v>841</v>
      </c>
    </row>
    <row r="79" spans="1:11" hidden="1" x14ac:dyDescent="0.3">
      <c r="A79">
        <v>1684</v>
      </c>
      <c r="B79" t="s">
        <v>1931</v>
      </c>
      <c r="C79" s="86" t="s">
        <v>141</v>
      </c>
      <c r="D79" t="s">
        <v>240</v>
      </c>
      <c r="E79">
        <v>7</v>
      </c>
      <c r="F79">
        <v>30</v>
      </c>
      <c r="G79">
        <v>34</v>
      </c>
      <c r="H79" t="s">
        <v>841</v>
      </c>
      <c r="I79" t="s">
        <v>841</v>
      </c>
      <c r="J79" t="s">
        <v>841</v>
      </c>
      <c r="K79" t="s">
        <v>841</v>
      </c>
    </row>
    <row r="80" spans="1:11" hidden="1" x14ac:dyDescent="0.3">
      <c r="A80">
        <v>1674</v>
      </c>
      <c r="B80" t="s">
        <v>1921</v>
      </c>
      <c r="C80" s="86" t="s">
        <v>118</v>
      </c>
      <c r="D80" t="s">
        <v>1270</v>
      </c>
      <c r="E80">
        <v>7</v>
      </c>
      <c r="F80">
        <v>30</v>
      </c>
      <c r="G80">
        <v>17</v>
      </c>
      <c r="H80" t="s">
        <v>841</v>
      </c>
      <c r="I80" t="s">
        <v>841</v>
      </c>
      <c r="J80" t="s">
        <v>841</v>
      </c>
      <c r="K80" t="s">
        <v>841</v>
      </c>
    </row>
    <row r="81" spans="1:11" hidden="1" x14ac:dyDescent="0.3">
      <c r="A81">
        <v>1863</v>
      </c>
      <c r="B81" t="s">
        <v>2165</v>
      </c>
      <c r="C81" s="86" t="s">
        <v>2047</v>
      </c>
      <c r="D81" t="s">
        <v>2055</v>
      </c>
      <c r="E81">
        <v>7</v>
      </c>
      <c r="F81">
        <v>34</v>
      </c>
      <c r="G81">
        <v>17</v>
      </c>
      <c r="H81" t="s">
        <v>841</v>
      </c>
      <c r="I81" t="s">
        <v>841</v>
      </c>
      <c r="J81" t="s">
        <v>841</v>
      </c>
      <c r="K81" t="s">
        <v>841</v>
      </c>
    </row>
    <row r="82" spans="1:11" hidden="1" x14ac:dyDescent="0.3">
      <c r="A82">
        <v>1711</v>
      </c>
      <c r="B82" t="s">
        <v>1958</v>
      </c>
      <c r="C82" s="86" t="s">
        <v>965</v>
      </c>
      <c r="D82" t="s">
        <v>870</v>
      </c>
      <c r="E82">
        <v>7</v>
      </c>
      <c r="F82">
        <v>30</v>
      </c>
      <c r="G82">
        <v>17</v>
      </c>
      <c r="H82" t="s">
        <v>841</v>
      </c>
      <c r="I82" t="s">
        <v>841</v>
      </c>
      <c r="J82" t="s">
        <v>841</v>
      </c>
      <c r="K82" t="s">
        <v>841</v>
      </c>
    </row>
    <row r="83" spans="1:11" hidden="1" x14ac:dyDescent="0.3">
      <c r="A83">
        <v>1667</v>
      </c>
      <c r="B83" t="s">
        <v>1914</v>
      </c>
      <c r="C83" s="86" t="s">
        <v>97</v>
      </c>
      <c r="D83" t="s">
        <v>323</v>
      </c>
      <c r="E83">
        <v>7</v>
      </c>
      <c r="F83">
        <v>30</v>
      </c>
      <c r="G83">
        <v>17</v>
      </c>
      <c r="H83" t="s">
        <v>841</v>
      </c>
      <c r="I83" t="s">
        <v>841</v>
      </c>
      <c r="J83" t="s">
        <v>841</v>
      </c>
      <c r="K83" t="s">
        <v>841</v>
      </c>
    </row>
    <row r="84" spans="1:11" hidden="1" x14ac:dyDescent="0.3">
      <c r="A84">
        <v>1730</v>
      </c>
      <c r="B84" t="s">
        <v>1982</v>
      </c>
      <c r="C84" s="86" t="s">
        <v>861</v>
      </c>
      <c r="D84" t="s">
        <v>364</v>
      </c>
      <c r="E84">
        <v>25</v>
      </c>
      <c r="F84">
        <v>31</v>
      </c>
      <c r="G84">
        <v>17</v>
      </c>
      <c r="H84" t="s">
        <v>841</v>
      </c>
      <c r="I84" t="s">
        <v>841</v>
      </c>
      <c r="J84" t="s">
        <v>841</v>
      </c>
      <c r="K84" t="s">
        <v>841</v>
      </c>
    </row>
    <row r="85" spans="1:11" hidden="1" x14ac:dyDescent="0.3">
      <c r="A85">
        <v>1673</v>
      </c>
      <c r="B85" t="s">
        <v>1920</v>
      </c>
      <c r="C85" s="86" t="s">
        <v>117</v>
      </c>
      <c r="D85" t="s">
        <v>1268</v>
      </c>
      <c r="E85">
        <v>7</v>
      </c>
      <c r="F85">
        <v>30</v>
      </c>
      <c r="G85">
        <v>34</v>
      </c>
      <c r="H85" t="s">
        <v>841</v>
      </c>
      <c r="I85" t="s">
        <v>841</v>
      </c>
      <c r="J85" t="s">
        <v>841</v>
      </c>
      <c r="K85" t="s">
        <v>841</v>
      </c>
    </row>
    <row r="86" spans="1:11" hidden="1" x14ac:dyDescent="0.3">
      <c r="A86">
        <v>1669</v>
      </c>
      <c r="B86" t="s">
        <v>1916</v>
      </c>
      <c r="C86" s="86" t="s">
        <v>106</v>
      </c>
      <c r="D86" t="s">
        <v>1744</v>
      </c>
      <c r="E86">
        <v>7</v>
      </c>
      <c r="F86">
        <v>30</v>
      </c>
      <c r="G86">
        <v>34</v>
      </c>
      <c r="H86" t="s">
        <v>841</v>
      </c>
      <c r="I86" t="s">
        <v>841</v>
      </c>
      <c r="J86" t="s">
        <v>841</v>
      </c>
      <c r="K86" t="s">
        <v>841</v>
      </c>
    </row>
    <row r="87" spans="1:11" hidden="1" x14ac:dyDescent="0.3">
      <c r="A87">
        <v>1668</v>
      </c>
      <c r="B87" t="s">
        <v>1915</v>
      </c>
      <c r="C87" s="86" t="s">
        <v>103</v>
      </c>
      <c r="D87" t="s">
        <v>221</v>
      </c>
      <c r="E87">
        <v>7</v>
      </c>
      <c r="F87">
        <v>30</v>
      </c>
      <c r="G87">
        <v>17</v>
      </c>
      <c r="H87" t="s">
        <v>841</v>
      </c>
      <c r="I87" t="s">
        <v>841</v>
      </c>
      <c r="J87" t="s">
        <v>841</v>
      </c>
      <c r="K87" t="s">
        <v>841</v>
      </c>
    </row>
    <row r="88" spans="1:11" hidden="1" x14ac:dyDescent="0.3">
      <c r="A88">
        <v>1676</v>
      </c>
      <c r="B88" t="s">
        <v>1923</v>
      </c>
      <c r="C88" s="86" t="s">
        <v>122</v>
      </c>
      <c r="D88" t="s">
        <v>1272</v>
      </c>
      <c r="E88">
        <v>7</v>
      </c>
      <c r="F88">
        <v>30</v>
      </c>
      <c r="G88">
        <v>51</v>
      </c>
      <c r="H88" t="s">
        <v>841</v>
      </c>
      <c r="I88" t="s">
        <v>841</v>
      </c>
      <c r="J88" t="s">
        <v>841</v>
      </c>
      <c r="K88" t="s">
        <v>842</v>
      </c>
    </row>
    <row r="89" spans="1:11" hidden="1" x14ac:dyDescent="0.3">
      <c r="A89">
        <v>1706</v>
      </c>
      <c r="B89" t="s">
        <v>1953</v>
      </c>
      <c r="C89" s="86" t="s">
        <v>1363</v>
      </c>
      <c r="D89" t="s">
        <v>609</v>
      </c>
      <c r="E89">
        <v>7</v>
      </c>
      <c r="F89">
        <v>30</v>
      </c>
      <c r="G89">
        <v>17</v>
      </c>
      <c r="H89" t="s">
        <v>841</v>
      </c>
      <c r="I89" t="s">
        <v>841</v>
      </c>
      <c r="J89" t="s">
        <v>841</v>
      </c>
      <c r="K89" t="s">
        <v>841</v>
      </c>
    </row>
    <row r="90" spans="1:11" hidden="1" x14ac:dyDescent="0.3">
      <c r="A90">
        <v>1720</v>
      </c>
      <c r="B90" t="s">
        <v>1967</v>
      </c>
      <c r="C90" s="86" t="s">
        <v>1772</v>
      </c>
      <c r="D90" t="s">
        <v>1774</v>
      </c>
      <c r="E90">
        <v>7</v>
      </c>
      <c r="F90">
        <v>30</v>
      </c>
      <c r="G90">
        <v>17</v>
      </c>
      <c r="H90" t="s">
        <v>841</v>
      </c>
      <c r="I90" t="s">
        <v>841</v>
      </c>
      <c r="J90" t="s">
        <v>841</v>
      </c>
      <c r="K90" t="s">
        <v>841</v>
      </c>
    </row>
    <row r="91" spans="1:11" hidden="1" x14ac:dyDescent="0.3">
      <c r="A91">
        <v>1838</v>
      </c>
      <c r="B91" t="s">
        <v>2166</v>
      </c>
      <c r="C91" s="86" t="s">
        <v>135</v>
      </c>
      <c r="D91" t="s">
        <v>234</v>
      </c>
      <c r="E91">
        <v>7</v>
      </c>
      <c r="F91">
        <v>34</v>
      </c>
      <c r="G91">
        <v>68</v>
      </c>
      <c r="H91" t="s">
        <v>841</v>
      </c>
      <c r="I91" t="s">
        <v>841</v>
      </c>
      <c r="J91" t="s">
        <v>841</v>
      </c>
      <c r="K91" t="s">
        <v>841</v>
      </c>
    </row>
    <row r="92" spans="1:11" hidden="1" x14ac:dyDescent="0.3">
      <c r="A92">
        <v>1690</v>
      </c>
      <c r="B92" t="s">
        <v>1937</v>
      </c>
      <c r="C92" s="86" t="s">
        <v>148</v>
      </c>
      <c r="D92" t="s">
        <v>245</v>
      </c>
      <c r="E92">
        <v>7</v>
      </c>
      <c r="F92">
        <v>30</v>
      </c>
      <c r="G92">
        <v>17</v>
      </c>
      <c r="H92" t="s">
        <v>841</v>
      </c>
      <c r="I92" t="s">
        <v>841</v>
      </c>
      <c r="J92" t="s">
        <v>841</v>
      </c>
      <c r="K92" t="s">
        <v>841</v>
      </c>
    </row>
    <row r="93" spans="1:11" hidden="1" x14ac:dyDescent="0.3">
      <c r="A93">
        <v>1862</v>
      </c>
      <c r="B93" t="s">
        <v>2167</v>
      </c>
      <c r="C93" s="86" t="s">
        <v>2044</v>
      </c>
      <c r="D93" t="s">
        <v>1237</v>
      </c>
      <c r="E93">
        <v>7</v>
      </c>
      <c r="F93">
        <v>34</v>
      </c>
      <c r="G93">
        <v>17</v>
      </c>
      <c r="H93" t="s">
        <v>841</v>
      </c>
      <c r="I93" t="s">
        <v>841</v>
      </c>
      <c r="J93" t="s">
        <v>841</v>
      </c>
      <c r="K93" t="s">
        <v>841</v>
      </c>
    </row>
    <row r="94" spans="1:11" hidden="1" x14ac:dyDescent="0.3">
      <c r="A94">
        <v>1707</v>
      </c>
      <c r="B94" t="s">
        <v>1954</v>
      </c>
      <c r="C94" s="86" t="s">
        <v>848</v>
      </c>
      <c r="D94" t="s">
        <v>1303</v>
      </c>
      <c r="E94">
        <v>7</v>
      </c>
      <c r="F94">
        <v>30</v>
      </c>
      <c r="G94">
        <v>17</v>
      </c>
      <c r="H94" t="s">
        <v>841</v>
      </c>
      <c r="I94" t="s">
        <v>841</v>
      </c>
      <c r="J94" t="s">
        <v>841</v>
      </c>
      <c r="K94" t="s">
        <v>841</v>
      </c>
    </row>
    <row r="95" spans="1:11" hidden="1" x14ac:dyDescent="0.3">
      <c r="A95">
        <v>1856</v>
      </c>
      <c r="B95" t="s">
        <v>2168</v>
      </c>
      <c r="C95" s="86" t="s">
        <v>2007</v>
      </c>
      <c r="D95" t="s">
        <v>2013</v>
      </c>
      <c r="E95">
        <v>7</v>
      </c>
      <c r="F95">
        <v>34</v>
      </c>
      <c r="G95">
        <v>17</v>
      </c>
      <c r="H95" t="s">
        <v>841</v>
      </c>
      <c r="I95" t="s">
        <v>841</v>
      </c>
      <c r="J95" t="s">
        <v>841</v>
      </c>
      <c r="K95" t="s">
        <v>841</v>
      </c>
    </row>
    <row r="96" spans="1:11" hidden="1" x14ac:dyDescent="0.3">
      <c r="A96">
        <v>1841</v>
      </c>
      <c r="B96" t="s">
        <v>2169</v>
      </c>
      <c r="C96" s="86" t="s">
        <v>165</v>
      </c>
      <c r="D96" t="s">
        <v>2170</v>
      </c>
      <c r="E96">
        <v>7</v>
      </c>
      <c r="F96">
        <v>34</v>
      </c>
      <c r="G96">
        <v>17</v>
      </c>
      <c r="H96" t="s">
        <v>841</v>
      </c>
      <c r="I96" t="s">
        <v>841</v>
      </c>
      <c r="J96" t="s">
        <v>841</v>
      </c>
      <c r="K96" t="s">
        <v>841</v>
      </c>
    </row>
    <row r="97" spans="1:11" hidden="1" x14ac:dyDescent="0.3">
      <c r="A97">
        <v>1712</v>
      </c>
      <c r="B97" t="s">
        <v>1959</v>
      </c>
      <c r="C97" s="86" t="s">
        <v>970</v>
      </c>
      <c r="D97" t="s">
        <v>1727</v>
      </c>
      <c r="E97">
        <v>7</v>
      </c>
      <c r="F97">
        <v>30</v>
      </c>
      <c r="G97">
        <v>17</v>
      </c>
      <c r="H97" t="s">
        <v>841</v>
      </c>
      <c r="I97" t="s">
        <v>841</v>
      </c>
      <c r="J97" t="s">
        <v>841</v>
      </c>
      <c r="K97" t="s">
        <v>841</v>
      </c>
    </row>
    <row r="98" spans="1:11" hidden="1" x14ac:dyDescent="0.3">
      <c r="A98">
        <v>1685</v>
      </c>
      <c r="B98" t="s">
        <v>1932</v>
      </c>
      <c r="C98" s="86" t="s">
        <v>142</v>
      </c>
      <c r="D98" t="s">
        <v>845</v>
      </c>
      <c r="E98">
        <v>7</v>
      </c>
      <c r="F98">
        <v>30</v>
      </c>
      <c r="G98">
        <v>34</v>
      </c>
      <c r="H98" t="s">
        <v>841</v>
      </c>
      <c r="I98" t="s">
        <v>841</v>
      </c>
      <c r="J98" t="s">
        <v>841</v>
      </c>
      <c r="K98" t="s">
        <v>841</v>
      </c>
    </row>
    <row r="99" spans="1:11" hidden="1" x14ac:dyDescent="0.3">
      <c r="A99">
        <v>1658</v>
      </c>
      <c r="B99" t="s">
        <v>1905</v>
      </c>
      <c r="C99" s="86" t="s">
        <v>75</v>
      </c>
      <c r="D99" t="s">
        <v>835</v>
      </c>
      <c r="E99">
        <v>7</v>
      </c>
      <c r="F99">
        <v>30</v>
      </c>
      <c r="G99">
        <v>17</v>
      </c>
      <c r="H99" t="s">
        <v>841</v>
      </c>
      <c r="I99" t="s">
        <v>841</v>
      </c>
      <c r="J99" t="s">
        <v>841</v>
      </c>
      <c r="K99" t="s">
        <v>841</v>
      </c>
    </row>
    <row r="100" spans="1:11" x14ac:dyDescent="0.3">
      <c r="A100">
        <v>1731</v>
      </c>
      <c r="B100" t="s">
        <v>1983</v>
      </c>
      <c r="C100" s="86" t="s">
        <v>865</v>
      </c>
      <c r="D100" t="s">
        <v>366</v>
      </c>
      <c r="E100">
        <v>25</v>
      </c>
      <c r="F100">
        <v>31</v>
      </c>
      <c r="G100">
        <v>102</v>
      </c>
      <c r="H100" t="s">
        <v>841</v>
      </c>
      <c r="I100" t="s">
        <v>841</v>
      </c>
      <c r="J100" t="s">
        <v>841</v>
      </c>
      <c r="K100" t="s">
        <v>841</v>
      </c>
    </row>
    <row r="101" spans="1:11" hidden="1" x14ac:dyDescent="0.3">
      <c r="A101">
        <v>1691</v>
      </c>
      <c r="B101" t="s">
        <v>1938</v>
      </c>
      <c r="C101" s="86" t="s">
        <v>149</v>
      </c>
      <c r="D101" t="s">
        <v>246</v>
      </c>
      <c r="E101">
        <v>7</v>
      </c>
      <c r="F101">
        <v>30</v>
      </c>
      <c r="G101">
        <v>17</v>
      </c>
      <c r="H101" t="s">
        <v>841</v>
      </c>
      <c r="I101" t="s">
        <v>841</v>
      </c>
      <c r="J101" t="s">
        <v>841</v>
      </c>
      <c r="K101" t="s">
        <v>841</v>
      </c>
    </row>
    <row r="102" spans="1:11" hidden="1" x14ac:dyDescent="0.3">
      <c r="A102">
        <v>1663</v>
      </c>
      <c r="B102" t="s">
        <v>1910</v>
      </c>
      <c r="C102" s="86" t="s">
        <v>86</v>
      </c>
      <c r="D102" t="s">
        <v>1748</v>
      </c>
      <c r="E102">
        <v>7</v>
      </c>
      <c r="F102">
        <v>30</v>
      </c>
      <c r="G102">
        <v>17</v>
      </c>
      <c r="H102" t="s">
        <v>841</v>
      </c>
      <c r="I102" t="s">
        <v>841</v>
      </c>
      <c r="J102" t="s">
        <v>841</v>
      </c>
      <c r="K102" t="s">
        <v>841</v>
      </c>
    </row>
    <row r="103" spans="1:11" hidden="1" x14ac:dyDescent="0.3">
      <c r="A103">
        <v>1659</v>
      </c>
      <c r="B103" t="s">
        <v>1906</v>
      </c>
      <c r="C103" s="86" t="s">
        <v>78</v>
      </c>
      <c r="D103" t="s">
        <v>1256</v>
      </c>
      <c r="E103">
        <v>7</v>
      </c>
      <c r="F103">
        <v>30</v>
      </c>
      <c r="G103">
        <v>34</v>
      </c>
      <c r="H103" t="s">
        <v>841</v>
      </c>
      <c r="I103" t="s">
        <v>841</v>
      </c>
      <c r="J103" t="s">
        <v>841</v>
      </c>
      <c r="K103" t="s">
        <v>841</v>
      </c>
    </row>
    <row r="104" spans="1:11" hidden="1" x14ac:dyDescent="0.3">
      <c r="A104">
        <v>1732</v>
      </c>
      <c r="B104" t="s">
        <v>1984</v>
      </c>
      <c r="C104" s="86" t="s">
        <v>979</v>
      </c>
      <c r="D104" t="s">
        <v>1355</v>
      </c>
      <c r="E104">
        <v>25</v>
      </c>
      <c r="F104">
        <v>31</v>
      </c>
      <c r="G104">
        <v>17</v>
      </c>
      <c r="H104" t="s">
        <v>841</v>
      </c>
      <c r="I104" t="s">
        <v>841</v>
      </c>
      <c r="J104" t="s">
        <v>841</v>
      </c>
      <c r="K104" t="s">
        <v>841</v>
      </c>
    </row>
    <row r="105" spans="1:11" hidden="1" x14ac:dyDescent="0.3">
      <c r="A105">
        <v>1852</v>
      </c>
      <c r="B105" t="s">
        <v>2171</v>
      </c>
      <c r="C105" s="86" t="s">
        <v>1969</v>
      </c>
      <c r="D105" t="s">
        <v>219</v>
      </c>
      <c r="E105">
        <v>7</v>
      </c>
      <c r="F105">
        <v>34</v>
      </c>
      <c r="G105">
        <v>34</v>
      </c>
      <c r="H105" t="s">
        <v>841</v>
      </c>
      <c r="I105" t="s">
        <v>841</v>
      </c>
      <c r="J105" t="s">
        <v>841</v>
      </c>
      <c r="K105" t="s">
        <v>841</v>
      </c>
    </row>
    <row r="106" spans="1:11" hidden="1" x14ac:dyDescent="0.3">
      <c r="A106">
        <v>1734</v>
      </c>
      <c r="B106" t="s">
        <v>1986</v>
      </c>
      <c r="C106" s="86" t="s">
        <v>875</v>
      </c>
      <c r="D106" t="s">
        <v>373</v>
      </c>
      <c r="E106">
        <v>25</v>
      </c>
      <c r="F106">
        <v>31</v>
      </c>
      <c r="G106">
        <v>17</v>
      </c>
      <c r="H106" t="s">
        <v>841</v>
      </c>
      <c r="I106" t="s">
        <v>841</v>
      </c>
      <c r="J106" t="s">
        <v>841</v>
      </c>
      <c r="K106" t="s">
        <v>841</v>
      </c>
    </row>
    <row r="107" spans="1:11" hidden="1" x14ac:dyDescent="0.3">
      <c r="A107">
        <v>1713</v>
      </c>
      <c r="B107" t="s">
        <v>1960</v>
      </c>
      <c r="C107" s="86" t="s">
        <v>969</v>
      </c>
      <c r="D107" t="s">
        <v>1300</v>
      </c>
      <c r="E107">
        <v>7</v>
      </c>
      <c r="F107">
        <v>30</v>
      </c>
      <c r="G107">
        <v>17</v>
      </c>
      <c r="H107" t="s">
        <v>841</v>
      </c>
      <c r="I107" t="s">
        <v>841</v>
      </c>
      <c r="J107" t="s">
        <v>841</v>
      </c>
      <c r="K107" t="s">
        <v>841</v>
      </c>
    </row>
    <row r="108" spans="1:11" hidden="1" x14ac:dyDescent="0.3">
      <c r="A108">
        <v>1680</v>
      </c>
      <c r="B108" t="s">
        <v>1927</v>
      </c>
      <c r="C108" s="86" t="s">
        <v>133</v>
      </c>
      <c r="D108" t="s">
        <v>1253</v>
      </c>
      <c r="E108">
        <v>7</v>
      </c>
      <c r="F108">
        <v>30</v>
      </c>
      <c r="G108">
        <v>34</v>
      </c>
      <c r="H108" t="s">
        <v>841</v>
      </c>
      <c r="I108" t="s">
        <v>841</v>
      </c>
      <c r="J108" t="s">
        <v>841</v>
      </c>
      <c r="K108" t="s">
        <v>841</v>
      </c>
    </row>
    <row r="109" spans="1:11" hidden="1" x14ac:dyDescent="0.3">
      <c r="A109">
        <v>1689</v>
      </c>
      <c r="B109" t="s">
        <v>1936</v>
      </c>
      <c r="C109" s="86" t="s">
        <v>147</v>
      </c>
      <c r="D109" t="s">
        <v>244</v>
      </c>
      <c r="E109">
        <v>7</v>
      </c>
      <c r="F109">
        <v>30</v>
      </c>
      <c r="G109">
        <v>34</v>
      </c>
      <c r="H109" t="s">
        <v>841</v>
      </c>
      <c r="I109" t="s">
        <v>841</v>
      </c>
      <c r="J109" t="s">
        <v>841</v>
      </c>
      <c r="K109" t="s">
        <v>841</v>
      </c>
    </row>
    <row r="110" spans="1:11" hidden="1" x14ac:dyDescent="0.3">
      <c r="A110">
        <v>1865</v>
      </c>
      <c r="B110" t="s">
        <v>2172</v>
      </c>
      <c r="C110" s="86" t="s">
        <v>2050</v>
      </c>
      <c r="D110" t="s">
        <v>579</v>
      </c>
      <c r="E110">
        <v>7</v>
      </c>
      <c r="F110">
        <v>34</v>
      </c>
      <c r="G110">
        <v>17</v>
      </c>
      <c r="H110" t="s">
        <v>841</v>
      </c>
      <c r="I110" t="s">
        <v>841</v>
      </c>
      <c r="J110" t="s">
        <v>841</v>
      </c>
      <c r="K110" t="s">
        <v>841</v>
      </c>
    </row>
    <row r="111" spans="1:11" hidden="1" x14ac:dyDescent="0.3">
      <c r="A111">
        <v>1833</v>
      </c>
      <c r="B111" t="s">
        <v>2120</v>
      </c>
      <c r="C111" s="86" t="s">
        <v>850</v>
      </c>
      <c r="D111" t="s">
        <v>1303</v>
      </c>
      <c r="E111">
        <v>7</v>
      </c>
      <c r="F111">
        <v>33</v>
      </c>
      <c r="G111">
        <v>17</v>
      </c>
      <c r="H111" t="s">
        <v>841</v>
      </c>
      <c r="I111" t="s">
        <v>841</v>
      </c>
      <c r="J111" t="s">
        <v>841</v>
      </c>
      <c r="K111" t="s">
        <v>841</v>
      </c>
    </row>
    <row r="112" spans="1:11" hidden="1" x14ac:dyDescent="0.3">
      <c r="A112">
        <v>1671</v>
      </c>
      <c r="B112" t="s">
        <v>1918</v>
      </c>
      <c r="C112" s="86" t="s">
        <v>108</v>
      </c>
      <c r="D112" t="s">
        <v>1746</v>
      </c>
      <c r="E112">
        <v>7</v>
      </c>
      <c r="F112">
        <v>30</v>
      </c>
      <c r="G112">
        <v>17</v>
      </c>
      <c r="H112" t="s">
        <v>841</v>
      </c>
      <c r="I112" t="s">
        <v>841</v>
      </c>
      <c r="J112" t="s">
        <v>841</v>
      </c>
      <c r="K112" t="s">
        <v>841</v>
      </c>
    </row>
    <row r="113" spans="1:11" hidden="1" x14ac:dyDescent="0.3">
      <c r="A113">
        <v>1702</v>
      </c>
      <c r="B113" t="s">
        <v>1949</v>
      </c>
      <c r="C113" s="86" t="s">
        <v>126</v>
      </c>
      <c r="D113" t="s">
        <v>342</v>
      </c>
      <c r="E113">
        <v>7</v>
      </c>
      <c r="F113">
        <v>30</v>
      </c>
      <c r="G113">
        <v>17</v>
      </c>
      <c r="H113" t="s">
        <v>841</v>
      </c>
      <c r="I113" t="s">
        <v>841</v>
      </c>
      <c r="J113" t="s">
        <v>841</v>
      </c>
      <c r="K113" t="s">
        <v>841</v>
      </c>
    </row>
    <row r="114" spans="1:11" hidden="1" x14ac:dyDescent="0.3">
      <c r="A114">
        <v>1679</v>
      </c>
      <c r="B114" t="s">
        <v>1926</v>
      </c>
      <c r="C114" s="86" t="s">
        <v>132</v>
      </c>
      <c r="D114" t="s">
        <v>1725</v>
      </c>
      <c r="E114">
        <v>7</v>
      </c>
      <c r="F114">
        <v>30</v>
      </c>
      <c r="G114">
        <v>17</v>
      </c>
      <c r="H114" t="s">
        <v>841</v>
      </c>
      <c r="I114" t="s">
        <v>841</v>
      </c>
      <c r="J114" t="s">
        <v>841</v>
      </c>
      <c r="K114" t="s">
        <v>841</v>
      </c>
    </row>
    <row r="115" spans="1:11" hidden="1" x14ac:dyDescent="0.3">
      <c r="A115">
        <v>1849</v>
      </c>
      <c r="B115" t="s">
        <v>2173</v>
      </c>
      <c r="C115" s="86" t="s">
        <v>1757</v>
      </c>
      <c r="D115" t="s">
        <v>1815</v>
      </c>
      <c r="E115">
        <v>7</v>
      </c>
      <c r="F115">
        <v>34</v>
      </c>
      <c r="G115">
        <v>17</v>
      </c>
      <c r="H115" t="s">
        <v>841</v>
      </c>
      <c r="I115" t="s">
        <v>841</v>
      </c>
      <c r="J115" t="s">
        <v>841</v>
      </c>
      <c r="K115" t="s">
        <v>841</v>
      </c>
    </row>
    <row r="116" spans="1:11" hidden="1" x14ac:dyDescent="0.3">
      <c r="A116">
        <v>1678</v>
      </c>
      <c r="B116" t="s">
        <v>1925</v>
      </c>
      <c r="C116" s="86" t="s">
        <v>125</v>
      </c>
      <c r="D116" t="s">
        <v>814</v>
      </c>
      <c r="E116">
        <v>7</v>
      </c>
      <c r="F116">
        <v>30</v>
      </c>
      <c r="G116">
        <v>17</v>
      </c>
      <c r="H116" t="s">
        <v>841</v>
      </c>
      <c r="I116" t="s">
        <v>841</v>
      </c>
      <c r="J116" t="s">
        <v>841</v>
      </c>
      <c r="K116" t="s">
        <v>842</v>
      </c>
    </row>
    <row r="117" spans="1:11" hidden="1" x14ac:dyDescent="0.3">
      <c r="A117">
        <v>1701</v>
      </c>
      <c r="B117" t="s">
        <v>1948</v>
      </c>
      <c r="C117" s="86" t="s">
        <v>207</v>
      </c>
      <c r="D117" t="s">
        <v>267</v>
      </c>
      <c r="E117">
        <v>7</v>
      </c>
      <c r="F117">
        <v>30</v>
      </c>
      <c r="G117">
        <v>17</v>
      </c>
      <c r="H117" t="s">
        <v>841</v>
      </c>
      <c r="I117" t="s">
        <v>841</v>
      </c>
      <c r="J117" t="s">
        <v>841</v>
      </c>
      <c r="K117" t="s">
        <v>841</v>
      </c>
    </row>
    <row r="118" spans="1:11" hidden="1" x14ac:dyDescent="0.3">
      <c r="A118">
        <v>1683</v>
      </c>
      <c r="B118" t="s">
        <v>1930</v>
      </c>
      <c r="C118" s="86" t="s">
        <v>139</v>
      </c>
      <c r="D118" t="s">
        <v>238</v>
      </c>
      <c r="E118">
        <v>7</v>
      </c>
      <c r="F118">
        <v>30</v>
      </c>
      <c r="G118">
        <v>34</v>
      </c>
      <c r="H118" t="s">
        <v>841</v>
      </c>
      <c r="I118" t="s">
        <v>841</v>
      </c>
      <c r="J118" t="s">
        <v>841</v>
      </c>
      <c r="K118" t="s">
        <v>841</v>
      </c>
    </row>
    <row r="119" spans="1:11" hidden="1" x14ac:dyDescent="0.3">
      <c r="A119">
        <v>1853</v>
      </c>
      <c r="B119" t="s">
        <v>2174</v>
      </c>
      <c r="C119" s="86" t="s">
        <v>1968</v>
      </c>
      <c r="D119" t="s">
        <v>1227</v>
      </c>
      <c r="E119">
        <v>7</v>
      </c>
      <c r="F119">
        <v>34</v>
      </c>
      <c r="G119">
        <v>34</v>
      </c>
      <c r="H119" t="s">
        <v>841</v>
      </c>
      <c r="I119" t="s">
        <v>841</v>
      </c>
      <c r="J119" t="s">
        <v>841</v>
      </c>
      <c r="K119" t="s">
        <v>841</v>
      </c>
    </row>
  </sheetData>
  <conditionalFormatting sqref="C1:C1048576">
    <cfRule type="duplicateValues" dxfId="13" priority="2"/>
  </conditionalFormatting>
  <conditionalFormatting sqref="D1:D1048576">
    <cfRule type="duplicateValues" dxfId="12" priority="3"/>
  </conditionalFormatting>
  <conditionalFormatting sqref="K1:K1048576">
    <cfRule type="cellIs" dxfId="11" priority="1" operator="equal">
      <formula>"passed"</formula>
    </cfRule>
  </conditionalFormatting>
  <pageMargins left="0.7" right="0.7" top="0.75" bottom="0.75" header="0.3" footer="0.3"/>
  <pageSetup paperSize="9" scale="91" fitToHeight="0" orientation="landscape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562B7-834F-4BD2-A629-C95740306FF3}">
  <sheetPr codeName="Sheet3"/>
  <dimension ref="A1:F6"/>
  <sheetViews>
    <sheetView workbookViewId="0">
      <selection activeCell="J20" sqref="J20"/>
    </sheetView>
  </sheetViews>
  <sheetFormatPr defaultRowHeight="14.4" x14ac:dyDescent="0.3"/>
  <cols>
    <col min="1" max="1" width="11.77734375" customWidth="1"/>
    <col min="2" max="2" width="24.33203125" bestFit="1" customWidth="1"/>
    <col min="3" max="3" width="12.21875" customWidth="1"/>
    <col min="4" max="4" width="11.88671875" customWidth="1"/>
    <col min="5" max="5" width="12.6640625" customWidth="1"/>
    <col min="6" max="6" width="12.33203125" customWidth="1"/>
  </cols>
  <sheetData>
    <row r="1" spans="1:6" x14ac:dyDescent="0.3">
      <c r="A1" t="s">
        <v>16</v>
      </c>
      <c r="B1" t="s">
        <v>17</v>
      </c>
      <c r="C1" t="s">
        <v>18</v>
      </c>
      <c r="D1" t="s">
        <v>13</v>
      </c>
      <c r="E1" t="s">
        <v>14</v>
      </c>
      <c r="F1" t="s">
        <v>15</v>
      </c>
    </row>
    <row r="2" spans="1:6" x14ac:dyDescent="0.3">
      <c r="A2" t="s">
        <v>279</v>
      </c>
      <c r="B2" t="s">
        <v>19</v>
      </c>
    </row>
    <row r="3" spans="1:6" x14ac:dyDescent="0.3">
      <c r="A3" t="s">
        <v>280</v>
      </c>
      <c r="B3" t="s">
        <v>20</v>
      </c>
    </row>
    <row r="4" spans="1:6" x14ac:dyDescent="0.3">
      <c r="A4" t="s">
        <v>281</v>
      </c>
      <c r="B4" t="s">
        <v>21</v>
      </c>
    </row>
    <row r="5" spans="1:6" x14ac:dyDescent="0.3">
      <c r="A5" t="s">
        <v>282</v>
      </c>
      <c r="B5" t="s">
        <v>283</v>
      </c>
    </row>
    <row r="6" spans="1:6" x14ac:dyDescent="0.3">
      <c r="A6" t="s">
        <v>1187</v>
      </c>
      <c r="B6" t="s">
        <v>1188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7073F-65BA-46AC-9290-78945423E0DB}">
  <sheetPr>
    <pageSetUpPr fitToPage="1"/>
  </sheetPr>
  <dimension ref="F10:N21"/>
  <sheetViews>
    <sheetView workbookViewId="0">
      <selection activeCell="L21" sqref="L21"/>
    </sheetView>
  </sheetViews>
  <sheetFormatPr defaultRowHeight="14.4" x14ac:dyDescent="0.3"/>
  <cols>
    <col min="7" max="7" width="9.88671875" bestFit="1" customWidth="1"/>
    <col min="9" max="9" width="9.88671875" bestFit="1" customWidth="1"/>
  </cols>
  <sheetData>
    <row r="10" spans="6:14" x14ac:dyDescent="0.3">
      <c r="F10" s="82" t="s">
        <v>1995</v>
      </c>
      <c r="G10" s="82"/>
      <c r="H10" s="82"/>
      <c r="I10" s="82" t="s">
        <v>1996</v>
      </c>
      <c r="J10" s="82"/>
      <c r="K10" s="82"/>
      <c r="L10" s="82" t="s">
        <v>1997</v>
      </c>
      <c r="M10" s="82"/>
      <c r="N10" s="82"/>
    </row>
    <row r="11" spans="6:14" x14ac:dyDescent="0.3">
      <c r="F11" s="49" t="s">
        <v>1211</v>
      </c>
      <c r="G11" s="49">
        <v>6</v>
      </c>
      <c r="H11" s="49">
        <f>G11*16</f>
        <v>96</v>
      </c>
      <c r="I11" s="49" t="s">
        <v>1998</v>
      </c>
      <c r="J11" s="49">
        <v>14</v>
      </c>
      <c r="K11" s="49">
        <f>J11*28</f>
        <v>392</v>
      </c>
      <c r="L11" s="69" t="s">
        <v>1998</v>
      </c>
      <c r="M11" s="49">
        <v>12</v>
      </c>
      <c r="N11" s="49">
        <f>M11*17</f>
        <v>204</v>
      </c>
    </row>
    <row r="12" spans="6:14" x14ac:dyDescent="0.3">
      <c r="F12" s="49" t="s">
        <v>1994</v>
      </c>
      <c r="G12" s="49">
        <v>15</v>
      </c>
      <c r="H12" s="49">
        <f>G12*16</f>
        <v>240</v>
      </c>
      <c r="I12" s="49" t="s">
        <v>1999</v>
      </c>
      <c r="J12" s="49">
        <v>2</v>
      </c>
      <c r="K12" s="49">
        <f>J12*28</f>
        <v>56</v>
      </c>
      <c r="L12" s="69" t="s">
        <v>1999</v>
      </c>
      <c r="M12" s="49">
        <v>2</v>
      </c>
      <c r="N12" s="49">
        <f>M12*17</f>
        <v>34</v>
      </c>
    </row>
    <row r="13" spans="6:14" x14ac:dyDescent="0.3">
      <c r="F13" s="49"/>
      <c r="G13" s="49"/>
      <c r="H13" s="49"/>
      <c r="I13" s="49" t="s">
        <v>1211</v>
      </c>
      <c r="J13" s="49">
        <v>4</v>
      </c>
      <c r="K13" s="49">
        <f>J13*28</f>
        <v>112</v>
      </c>
      <c r="L13" s="69" t="s">
        <v>1211</v>
      </c>
      <c r="M13" s="49">
        <v>5</v>
      </c>
      <c r="N13" s="49">
        <f>M13*17</f>
        <v>85</v>
      </c>
    </row>
    <row r="14" spans="6:14" x14ac:dyDescent="0.3">
      <c r="F14" s="49"/>
      <c r="G14" s="49"/>
      <c r="H14" s="49"/>
      <c r="I14" s="49" t="s">
        <v>1994</v>
      </c>
      <c r="J14" s="49">
        <v>2</v>
      </c>
      <c r="K14" s="49">
        <f>J14*28</f>
        <v>56</v>
      </c>
      <c r="L14" s="69" t="s">
        <v>1994</v>
      </c>
      <c r="M14" s="49">
        <v>2</v>
      </c>
      <c r="N14" s="49">
        <f>M14*17</f>
        <v>34</v>
      </c>
    </row>
    <row r="17" spans="7:8" x14ac:dyDescent="0.3">
      <c r="G17" s="70" t="s">
        <v>2000</v>
      </c>
    </row>
    <row r="18" spans="7:8" x14ac:dyDescent="0.3">
      <c r="G18" s="49" t="s">
        <v>1998</v>
      </c>
      <c r="H18" s="49">
        <v>596</v>
      </c>
    </row>
    <row r="19" spans="7:8" x14ac:dyDescent="0.3">
      <c r="G19" s="49" t="s">
        <v>1211</v>
      </c>
      <c r="H19" s="49">
        <v>293</v>
      </c>
    </row>
    <row r="20" spans="7:8" x14ac:dyDescent="0.3">
      <c r="G20" s="49" t="s">
        <v>1994</v>
      </c>
      <c r="H20" s="49">
        <v>330</v>
      </c>
    </row>
    <row r="21" spans="7:8" x14ac:dyDescent="0.3">
      <c r="G21" s="49" t="s">
        <v>1999</v>
      </c>
      <c r="H21" s="49">
        <v>90</v>
      </c>
    </row>
  </sheetData>
  <mergeCells count="3">
    <mergeCell ref="F10:H10"/>
    <mergeCell ref="I10:K10"/>
    <mergeCell ref="L10:N10"/>
  </mergeCells>
  <pageMargins left="0.7" right="0.7" top="0.75" bottom="0.75" header="0.3" footer="0.3"/>
  <pageSetup scale="96" orientation="landscape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872B84-8070-4117-898A-E74DE867410F}">
  <sheetPr codeName="Sheet4"/>
  <dimension ref="A1:D7"/>
  <sheetViews>
    <sheetView workbookViewId="0">
      <selection activeCell="E15" sqref="E15"/>
    </sheetView>
  </sheetViews>
  <sheetFormatPr defaultRowHeight="14.4" x14ac:dyDescent="0.3"/>
  <cols>
    <col min="1" max="1" width="14.77734375" bestFit="1" customWidth="1"/>
    <col min="2" max="2" width="20.77734375" customWidth="1"/>
    <col min="3" max="3" width="10.44140625" customWidth="1"/>
    <col min="4" max="4" width="12.6640625" bestFit="1" customWidth="1"/>
  </cols>
  <sheetData>
    <row r="1" spans="1:4" x14ac:dyDescent="0.3">
      <c r="A1" t="s">
        <v>12</v>
      </c>
      <c r="B1" t="s">
        <v>13</v>
      </c>
      <c r="C1" t="s">
        <v>14</v>
      </c>
      <c r="D1" t="s">
        <v>15</v>
      </c>
    </row>
    <row r="2" spans="1:4" x14ac:dyDescent="0.3">
      <c r="A2" t="s">
        <v>269</v>
      </c>
    </row>
    <row r="3" spans="1:4" x14ac:dyDescent="0.3">
      <c r="A3" t="s">
        <v>753</v>
      </c>
    </row>
    <row r="4" spans="1:4" x14ac:dyDescent="0.3">
      <c r="A4" t="s">
        <v>1296</v>
      </c>
    </row>
    <row r="5" spans="1:4" x14ac:dyDescent="0.3">
      <c r="A5" t="s">
        <v>1297</v>
      </c>
    </row>
    <row r="6" spans="1:4" x14ac:dyDescent="0.3">
      <c r="A6" t="s">
        <v>1710</v>
      </c>
    </row>
    <row r="7" spans="1:4" x14ac:dyDescent="0.3">
      <c r="A7" t="s">
        <v>1762</v>
      </c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1D32C-13AE-4999-A106-C2CB899069D5}">
  <sheetPr codeName="Sheet6"/>
  <dimension ref="A1:I9"/>
  <sheetViews>
    <sheetView workbookViewId="0">
      <selection activeCell="E14" sqref="E14"/>
    </sheetView>
  </sheetViews>
  <sheetFormatPr defaultRowHeight="14.4" x14ac:dyDescent="0.3"/>
  <cols>
    <col min="1" max="1" width="12.21875" customWidth="1"/>
    <col min="2" max="2" width="12.88671875" customWidth="1"/>
    <col min="3" max="3" width="16.44140625" bestFit="1" customWidth="1"/>
    <col min="4" max="4" width="11.21875" customWidth="1"/>
    <col min="5" max="5" width="15.109375" customWidth="1"/>
    <col min="6" max="6" width="10.109375" customWidth="1"/>
    <col min="7" max="7" width="11.88671875" customWidth="1"/>
    <col min="8" max="8" width="12.6640625" customWidth="1"/>
    <col min="9" max="9" width="12.33203125" customWidth="1"/>
  </cols>
  <sheetData>
    <row r="1" spans="1:9" x14ac:dyDescent="0.3">
      <c r="A1" t="s">
        <v>32</v>
      </c>
      <c r="B1" t="s">
        <v>33</v>
      </c>
      <c r="C1" t="s">
        <v>55</v>
      </c>
      <c r="D1" t="s">
        <v>34</v>
      </c>
      <c r="E1" t="s">
        <v>35</v>
      </c>
      <c r="F1" t="s">
        <v>31</v>
      </c>
      <c r="G1" t="s">
        <v>13</v>
      </c>
      <c r="H1" t="s">
        <v>14</v>
      </c>
      <c r="I1" t="s">
        <v>15</v>
      </c>
    </row>
    <row r="2" spans="1:9" x14ac:dyDescent="0.3">
      <c r="A2" t="s">
        <v>48</v>
      </c>
      <c r="B2" t="s">
        <v>36</v>
      </c>
      <c r="C2" t="s">
        <v>56</v>
      </c>
      <c r="F2" t="b">
        <v>1</v>
      </c>
    </row>
    <row r="3" spans="1:9" x14ac:dyDescent="0.3">
      <c r="A3" t="s">
        <v>49</v>
      </c>
      <c r="B3" t="s">
        <v>37</v>
      </c>
      <c r="C3" t="s">
        <v>57</v>
      </c>
      <c r="F3" t="b">
        <v>1</v>
      </c>
    </row>
    <row r="4" spans="1:9" x14ac:dyDescent="0.3">
      <c r="A4" t="s">
        <v>50</v>
      </c>
      <c r="B4" t="s">
        <v>43</v>
      </c>
      <c r="C4" t="s">
        <v>58</v>
      </c>
      <c r="F4" t="b">
        <v>1</v>
      </c>
    </row>
    <row r="5" spans="1:9" x14ac:dyDescent="0.3">
      <c r="A5" t="s">
        <v>51</v>
      </c>
      <c r="B5" t="s">
        <v>44</v>
      </c>
      <c r="C5" t="s">
        <v>59</v>
      </c>
      <c r="F5" t="b">
        <v>1</v>
      </c>
    </row>
    <row r="6" spans="1:9" x14ac:dyDescent="0.3">
      <c r="A6" t="s">
        <v>52</v>
      </c>
      <c r="B6" t="s">
        <v>45</v>
      </c>
      <c r="C6" t="s">
        <v>60</v>
      </c>
      <c r="F6" t="b">
        <v>1</v>
      </c>
    </row>
    <row r="7" spans="1:9" x14ac:dyDescent="0.3">
      <c r="A7" t="s">
        <v>53</v>
      </c>
      <c r="B7" t="s">
        <v>46</v>
      </c>
      <c r="C7" t="s">
        <v>61</v>
      </c>
      <c r="F7" t="b">
        <v>1</v>
      </c>
    </row>
    <row r="8" spans="1:9" x14ac:dyDescent="0.3">
      <c r="A8" t="s">
        <v>54</v>
      </c>
      <c r="B8" t="s">
        <v>47</v>
      </c>
      <c r="C8" t="s">
        <v>62</v>
      </c>
      <c r="F8" t="b">
        <v>1</v>
      </c>
    </row>
    <row r="9" spans="1:9" x14ac:dyDescent="0.3">
      <c r="A9" t="s">
        <v>1012</v>
      </c>
      <c r="B9" t="s">
        <v>1013</v>
      </c>
      <c r="C9" t="s">
        <v>1014</v>
      </c>
      <c r="F9" t="b">
        <v>1</v>
      </c>
    </row>
  </sheetData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37790C-BB2F-431D-BC71-3A4FB5BCFE42}">
  <sheetPr codeName="Sheet7"/>
  <dimension ref="A1:K6"/>
  <sheetViews>
    <sheetView workbookViewId="0">
      <selection activeCell="F14" sqref="F14"/>
    </sheetView>
  </sheetViews>
  <sheetFormatPr defaultRowHeight="14.4" x14ac:dyDescent="0.3"/>
  <cols>
    <col min="1" max="1" width="14.88671875" customWidth="1"/>
    <col min="2" max="3" width="15.5546875" customWidth="1"/>
    <col min="4" max="4" width="10.21875" customWidth="1"/>
    <col min="5" max="5" width="19.44140625" customWidth="1"/>
    <col min="6" max="6" width="21.109375" customWidth="1"/>
    <col min="7" max="7" width="13.109375" customWidth="1"/>
    <col min="8" max="8" width="10.109375" customWidth="1"/>
    <col min="9" max="9" width="11.88671875" customWidth="1"/>
    <col min="10" max="10" width="12.6640625" customWidth="1"/>
    <col min="11" max="11" width="12.33203125" customWidth="1"/>
  </cols>
  <sheetData>
    <row r="1" spans="1:11" x14ac:dyDescent="0.3">
      <c r="A1" t="s">
        <v>25</v>
      </c>
      <c r="B1" t="s">
        <v>26</v>
      </c>
      <c r="C1" t="s">
        <v>63</v>
      </c>
      <c r="D1" t="s">
        <v>27</v>
      </c>
      <c r="E1" t="s">
        <v>28</v>
      </c>
      <c r="F1" t="s">
        <v>29</v>
      </c>
      <c r="G1" t="s">
        <v>30</v>
      </c>
      <c r="H1" t="s">
        <v>31</v>
      </c>
      <c r="I1" t="s">
        <v>13</v>
      </c>
      <c r="J1" t="s">
        <v>14</v>
      </c>
      <c r="K1" t="s">
        <v>15</v>
      </c>
    </row>
    <row r="2" spans="1:11" x14ac:dyDescent="0.3">
      <c r="A2" t="s">
        <v>38</v>
      </c>
      <c r="B2" t="s">
        <v>10</v>
      </c>
      <c r="C2" t="s">
        <v>64</v>
      </c>
      <c r="H2" t="b">
        <v>1</v>
      </c>
    </row>
    <row r="3" spans="1:11" x14ac:dyDescent="0.3">
      <c r="A3" t="s">
        <v>24</v>
      </c>
      <c r="B3" t="s">
        <v>39</v>
      </c>
      <c r="C3" t="s">
        <v>416</v>
      </c>
      <c r="H3" t="b">
        <v>1</v>
      </c>
    </row>
    <row r="4" spans="1:11" x14ac:dyDescent="0.3">
      <c r="A4" t="s">
        <v>40</v>
      </c>
      <c r="B4" t="s">
        <v>41</v>
      </c>
      <c r="C4" t="s">
        <v>65</v>
      </c>
      <c r="H4" t="b">
        <v>1</v>
      </c>
    </row>
    <row r="5" spans="1:11" x14ac:dyDescent="0.3">
      <c r="A5" t="s">
        <v>66</v>
      </c>
      <c r="B5" t="s">
        <v>67</v>
      </c>
      <c r="C5" t="s">
        <v>68</v>
      </c>
      <c r="H5" t="b">
        <v>1</v>
      </c>
    </row>
    <row r="6" spans="1:11" x14ac:dyDescent="0.3">
      <c r="A6" t="s">
        <v>71</v>
      </c>
      <c r="B6" t="s">
        <v>70</v>
      </c>
      <c r="C6" t="s">
        <v>69</v>
      </c>
      <c r="H6" t="b">
        <v>1</v>
      </c>
    </row>
  </sheetData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655E61-9ADE-4063-8F8B-7E9C5F05F70B}">
  <sheetPr codeName="Sheet5"/>
  <dimension ref="B1:H97"/>
  <sheetViews>
    <sheetView view="pageBreakPreview" zoomScale="115" zoomScaleNormal="100" zoomScaleSheetLayoutView="115" workbookViewId="0">
      <selection activeCell="C5" sqref="C5"/>
    </sheetView>
  </sheetViews>
  <sheetFormatPr defaultRowHeight="14.4" x14ac:dyDescent="0.3"/>
  <cols>
    <col min="2" max="2" width="8.88671875" style="14"/>
    <col min="3" max="3" width="53.44140625" style="14" bestFit="1" customWidth="1"/>
  </cols>
  <sheetData>
    <row r="1" spans="2:8" ht="67.8" x14ac:dyDescent="0.3">
      <c r="B1" s="14">
        <v>0</v>
      </c>
      <c r="C1" s="16" t="str">
        <f t="shared" ref="C1:C66" si="0">"*"&amp;B1&amp;"*"</f>
        <v>*0*</v>
      </c>
    </row>
    <row r="2" spans="2:8" ht="67.8" x14ac:dyDescent="0.4">
      <c r="B2" s="15">
        <v>261493</v>
      </c>
      <c r="C2" s="16" t="str">
        <f t="shared" si="0"/>
        <v>*261493*</v>
      </c>
      <c r="H2" s="13"/>
    </row>
    <row r="3" spans="2:8" ht="67.8" x14ac:dyDescent="0.3">
      <c r="B3" s="15">
        <v>261494</v>
      </c>
      <c r="C3" s="16" t="str">
        <f t="shared" si="0"/>
        <v>*261494*</v>
      </c>
    </row>
    <row r="4" spans="2:8" ht="67.8" x14ac:dyDescent="0.3">
      <c r="B4" s="15" t="s">
        <v>312</v>
      </c>
      <c r="C4" s="16" t="str">
        <f t="shared" si="0"/>
        <v>*261495*</v>
      </c>
    </row>
    <row r="5" spans="2:8" ht="67.8" x14ac:dyDescent="0.3">
      <c r="B5" s="15" t="s">
        <v>313</v>
      </c>
      <c r="C5" s="16" t="str">
        <f t="shared" si="0"/>
        <v>*261496*</v>
      </c>
    </row>
    <row r="6" spans="2:8" ht="67.8" x14ac:dyDescent="0.3">
      <c r="B6" s="15" t="s">
        <v>314</v>
      </c>
      <c r="C6" s="16" t="str">
        <f t="shared" si="0"/>
        <v>*261497*</v>
      </c>
    </row>
    <row r="7" spans="2:8" ht="67.8" x14ac:dyDescent="0.3">
      <c r="B7" s="15" t="s">
        <v>315</v>
      </c>
      <c r="C7" s="16" t="str">
        <f t="shared" si="0"/>
        <v>*261498*</v>
      </c>
    </row>
    <row r="8" spans="2:8" ht="67.8" x14ac:dyDescent="0.3">
      <c r="B8" s="15" t="s">
        <v>316</v>
      </c>
      <c r="C8" s="16" t="str">
        <f t="shared" si="0"/>
        <v>*261499*</v>
      </c>
    </row>
    <row r="9" spans="2:8" ht="67.8" x14ac:dyDescent="0.3">
      <c r="B9" s="15" t="s">
        <v>317</v>
      </c>
      <c r="C9" s="16" t="str">
        <f t="shared" si="0"/>
        <v>*261500*</v>
      </c>
    </row>
    <row r="10" spans="2:8" ht="67.8" x14ac:dyDescent="0.3">
      <c r="B10" s="15" t="s">
        <v>319</v>
      </c>
      <c r="C10" s="16" t="str">
        <f t="shared" si="0"/>
        <v>*261501*</v>
      </c>
    </row>
    <row r="11" spans="2:8" ht="67.8" x14ac:dyDescent="0.3">
      <c r="B11" s="15" t="s">
        <v>320</v>
      </c>
      <c r="C11" s="16" t="str">
        <f t="shared" si="0"/>
        <v>*261502*</v>
      </c>
    </row>
    <row r="12" spans="2:8" ht="67.8" x14ac:dyDescent="0.3">
      <c r="B12" s="15" t="s">
        <v>321</v>
      </c>
      <c r="C12" s="16" t="str">
        <f t="shared" si="0"/>
        <v>*261503*</v>
      </c>
    </row>
    <row r="13" spans="2:8" ht="67.8" x14ac:dyDescent="0.3">
      <c r="B13" s="15" t="s">
        <v>322</v>
      </c>
      <c r="C13" s="16" t="str">
        <f t="shared" si="0"/>
        <v>*261504*</v>
      </c>
    </row>
    <row r="14" spans="2:8" ht="67.8" x14ac:dyDescent="0.3">
      <c r="B14" s="15" t="s">
        <v>324</v>
      </c>
      <c r="C14" s="16" t="str">
        <f t="shared" si="0"/>
        <v>*261505*</v>
      </c>
    </row>
    <row r="15" spans="2:8" ht="67.8" x14ac:dyDescent="0.3">
      <c r="B15" s="15" t="s">
        <v>325</v>
      </c>
      <c r="C15" s="16" t="str">
        <f t="shared" si="0"/>
        <v>*261506*</v>
      </c>
    </row>
    <row r="16" spans="2:8" ht="67.8" x14ac:dyDescent="0.3">
      <c r="B16" s="15" t="s">
        <v>326</v>
      </c>
      <c r="C16" s="16" t="str">
        <f t="shared" si="0"/>
        <v>*261507*</v>
      </c>
    </row>
    <row r="17" spans="2:3" ht="67.8" x14ac:dyDescent="0.3">
      <c r="B17" s="15" t="s">
        <v>327</v>
      </c>
      <c r="C17" s="16" t="str">
        <f t="shared" si="0"/>
        <v>*261508*</v>
      </c>
    </row>
    <row r="18" spans="2:3" ht="67.8" x14ac:dyDescent="0.3">
      <c r="B18" s="15" t="s">
        <v>328</v>
      </c>
      <c r="C18" s="16" t="str">
        <f t="shared" si="0"/>
        <v>*261509*</v>
      </c>
    </row>
    <row r="19" spans="2:3" ht="67.8" x14ac:dyDescent="0.3">
      <c r="B19" s="15" t="s">
        <v>329</v>
      </c>
      <c r="C19" s="16" t="str">
        <f t="shared" si="0"/>
        <v>*261510*</v>
      </c>
    </row>
    <row r="20" spans="2:3" ht="67.8" x14ac:dyDescent="0.3">
      <c r="B20" s="15" t="s">
        <v>330</v>
      </c>
      <c r="C20" s="16" t="str">
        <f t="shared" si="0"/>
        <v>*261511*</v>
      </c>
    </row>
    <row r="21" spans="2:3" ht="67.8" x14ac:dyDescent="0.3">
      <c r="B21" s="15" t="s">
        <v>331</v>
      </c>
      <c r="C21" s="16" t="str">
        <f t="shared" si="0"/>
        <v>*261512*</v>
      </c>
    </row>
    <row r="22" spans="2:3" ht="67.8" x14ac:dyDescent="0.3">
      <c r="B22" s="15" t="s">
        <v>332</v>
      </c>
      <c r="C22" s="16" t="str">
        <f t="shared" si="0"/>
        <v>*261513*</v>
      </c>
    </row>
    <row r="23" spans="2:3" ht="67.8" x14ac:dyDescent="0.3">
      <c r="B23" s="15" t="s">
        <v>333</v>
      </c>
      <c r="C23" s="16" t="str">
        <f t="shared" si="0"/>
        <v>*261514*</v>
      </c>
    </row>
    <row r="24" spans="2:3" ht="67.8" x14ac:dyDescent="0.3">
      <c r="B24" s="15" t="s">
        <v>334</v>
      </c>
      <c r="C24" s="16" t="str">
        <f t="shared" si="0"/>
        <v>*261515*</v>
      </c>
    </row>
    <row r="25" spans="2:3" ht="67.8" x14ac:dyDescent="0.3">
      <c r="B25" s="15" t="s">
        <v>336</v>
      </c>
      <c r="C25" s="16" t="str">
        <f t="shared" si="0"/>
        <v>*261516*</v>
      </c>
    </row>
    <row r="26" spans="2:3" ht="67.8" x14ac:dyDescent="0.3">
      <c r="B26" s="15" t="s">
        <v>337</v>
      </c>
      <c r="C26" s="16" t="str">
        <f t="shared" si="0"/>
        <v>*261517*</v>
      </c>
    </row>
    <row r="27" spans="2:3" ht="67.8" x14ac:dyDescent="0.3">
      <c r="B27" s="15" t="s">
        <v>338</v>
      </c>
      <c r="C27" s="16" t="str">
        <f t="shared" si="0"/>
        <v>*261518*</v>
      </c>
    </row>
    <row r="28" spans="2:3" ht="67.8" x14ac:dyDescent="0.3">
      <c r="B28" s="15" t="s">
        <v>339</v>
      </c>
      <c r="C28" s="16" t="str">
        <f t="shared" si="0"/>
        <v>*261519*</v>
      </c>
    </row>
    <row r="29" spans="2:3" ht="67.8" x14ac:dyDescent="0.3">
      <c r="B29" s="15" t="s">
        <v>340</v>
      </c>
      <c r="C29" s="16" t="str">
        <f t="shared" si="0"/>
        <v>*261520*</v>
      </c>
    </row>
    <row r="30" spans="2:3" ht="67.8" x14ac:dyDescent="0.3">
      <c r="B30" s="15" t="s">
        <v>341</v>
      </c>
      <c r="C30" s="16" t="str">
        <f t="shared" si="0"/>
        <v>*261521*</v>
      </c>
    </row>
    <row r="31" spans="2:3" ht="67.8" x14ac:dyDescent="0.3">
      <c r="B31" s="15" t="s">
        <v>343</v>
      </c>
      <c r="C31" s="16" t="str">
        <f t="shared" si="0"/>
        <v>*261522*</v>
      </c>
    </row>
    <row r="32" spans="2:3" ht="67.8" x14ac:dyDescent="0.3">
      <c r="B32" s="15" t="s">
        <v>344</v>
      </c>
      <c r="C32" s="16" t="str">
        <f t="shared" si="0"/>
        <v>*261523*</v>
      </c>
    </row>
    <row r="33" spans="2:3" ht="67.8" x14ac:dyDescent="0.3">
      <c r="B33" s="15" t="s">
        <v>345</v>
      </c>
      <c r="C33" s="16" t="str">
        <f t="shared" si="0"/>
        <v>*261524*</v>
      </c>
    </row>
    <row r="34" spans="2:3" ht="67.8" x14ac:dyDescent="0.3">
      <c r="B34" s="15" t="s">
        <v>346</v>
      </c>
      <c r="C34" s="16" t="str">
        <f t="shared" si="0"/>
        <v>*261525*</v>
      </c>
    </row>
    <row r="35" spans="2:3" ht="67.8" x14ac:dyDescent="0.3">
      <c r="B35" s="15" t="s">
        <v>347</v>
      </c>
      <c r="C35" s="16" t="str">
        <f t="shared" si="0"/>
        <v>*261526*</v>
      </c>
    </row>
    <row r="36" spans="2:3" ht="67.8" x14ac:dyDescent="0.3">
      <c r="B36" s="15" t="s">
        <v>348</v>
      </c>
      <c r="C36" s="16" t="str">
        <f t="shared" si="0"/>
        <v>*261527*</v>
      </c>
    </row>
    <row r="37" spans="2:3" ht="67.8" x14ac:dyDescent="0.3">
      <c r="B37" s="15" t="s">
        <v>349</v>
      </c>
      <c r="C37" s="16" t="str">
        <f t="shared" si="0"/>
        <v>*261528*</v>
      </c>
    </row>
    <row r="38" spans="2:3" ht="67.8" x14ac:dyDescent="0.3">
      <c r="B38" s="15" t="s">
        <v>350</v>
      </c>
      <c r="C38" s="16" t="str">
        <f t="shared" si="0"/>
        <v>*261529*</v>
      </c>
    </row>
    <row r="39" spans="2:3" ht="67.8" x14ac:dyDescent="0.3">
      <c r="B39" s="15" t="s">
        <v>351</v>
      </c>
      <c r="C39" s="16" t="str">
        <f t="shared" si="0"/>
        <v>*261530*</v>
      </c>
    </row>
    <row r="40" spans="2:3" ht="67.8" x14ac:dyDescent="0.3">
      <c r="B40" s="15" t="s">
        <v>352</v>
      </c>
      <c r="C40" s="16" t="str">
        <f t="shared" si="0"/>
        <v>*261531*</v>
      </c>
    </row>
    <row r="41" spans="2:3" ht="67.8" x14ac:dyDescent="0.3">
      <c r="B41" s="15" t="s">
        <v>353</v>
      </c>
      <c r="C41" s="16" t="str">
        <f t="shared" si="0"/>
        <v>*261532*</v>
      </c>
    </row>
    <row r="42" spans="2:3" ht="67.8" x14ac:dyDescent="0.3">
      <c r="B42" s="15" t="s">
        <v>354</v>
      </c>
      <c r="C42" s="16" t="str">
        <f t="shared" si="0"/>
        <v>*261533*</v>
      </c>
    </row>
    <row r="43" spans="2:3" ht="67.8" x14ac:dyDescent="0.3">
      <c r="B43" s="15" t="s">
        <v>355</v>
      </c>
      <c r="C43" s="16" t="str">
        <f t="shared" si="0"/>
        <v>*261534*</v>
      </c>
    </row>
    <row r="44" spans="2:3" ht="67.8" x14ac:dyDescent="0.3">
      <c r="B44" s="15" t="s">
        <v>356</v>
      </c>
      <c r="C44" s="16" t="str">
        <f t="shared" si="0"/>
        <v>*261535*</v>
      </c>
    </row>
    <row r="45" spans="2:3" ht="67.8" x14ac:dyDescent="0.3">
      <c r="B45" s="15" t="s">
        <v>357</v>
      </c>
      <c r="C45" s="16" t="str">
        <f t="shared" si="0"/>
        <v>*261536*</v>
      </c>
    </row>
    <row r="46" spans="2:3" ht="67.8" x14ac:dyDescent="0.3">
      <c r="B46" s="15" t="s">
        <v>358</v>
      </c>
      <c r="C46" s="16" t="str">
        <f t="shared" si="0"/>
        <v>*261537*</v>
      </c>
    </row>
    <row r="47" spans="2:3" ht="67.8" x14ac:dyDescent="0.3">
      <c r="B47" s="15" t="s">
        <v>359</v>
      </c>
      <c r="C47" s="16" t="str">
        <f t="shared" si="0"/>
        <v>*261538*</v>
      </c>
    </row>
    <row r="48" spans="2:3" ht="67.8" x14ac:dyDescent="0.3">
      <c r="B48" s="15" t="s">
        <v>360</v>
      </c>
      <c r="C48" s="16" t="str">
        <f t="shared" si="0"/>
        <v>*261539*</v>
      </c>
    </row>
    <row r="49" spans="2:3" ht="67.8" x14ac:dyDescent="0.3">
      <c r="B49" s="15" t="s">
        <v>361</v>
      </c>
      <c r="C49" s="16" t="str">
        <f t="shared" si="0"/>
        <v>*261540*</v>
      </c>
    </row>
    <row r="50" spans="2:3" ht="67.8" x14ac:dyDescent="0.3">
      <c r="B50" s="15" t="s">
        <v>362</v>
      </c>
      <c r="C50" s="16" t="str">
        <f t="shared" si="0"/>
        <v>*261541*</v>
      </c>
    </row>
    <row r="51" spans="2:3" ht="67.8" x14ac:dyDescent="0.3">
      <c r="B51" s="15" t="s">
        <v>363</v>
      </c>
      <c r="C51" s="16" t="str">
        <f t="shared" si="0"/>
        <v>*261542*</v>
      </c>
    </row>
    <row r="52" spans="2:3" ht="67.8" x14ac:dyDescent="0.3">
      <c r="B52" s="15" t="s">
        <v>365</v>
      </c>
      <c r="C52" s="16" t="str">
        <f t="shared" si="0"/>
        <v>*261543*</v>
      </c>
    </row>
    <row r="53" spans="2:3" ht="67.8" x14ac:dyDescent="0.3">
      <c r="B53" s="15" t="s">
        <v>367</v>
      </c>
      <c r="C53" s="16" t="str">
        <f t="shared" si="0"/>
        <v>*261544*</v>
      </c>
    </row>
    <row r="54" spans="2:3" ht="67.8" x14ac:dyDescent="0.3">
      <c r="B54" s="15" t="s">
        <v>368</v>
      </c>
      <c r="C54" s="16" t="str">
        <f t="shared" si="0"/>
        <v>*261545*</v>
      </c>
    </row>
    <row r="55" spans="2:3" ht="67.8" x14ac:dyDescent="0.3">
      <c r="B55" s="15" t="s">
        <v>369</v>
      </c>
      <c r="C55" s="16" t="str">
        <f t="shared" si="0"/>
        <v>*261546*</v>
      </c>
    </row>
    <row r="56" spans="2:3" ht="67.8" x14ac:dyDescent="0.3">
      <c r="B56" s="15" t="s">
        <v>371</v>
      </c>
      <c r="C56" s="16" t="str">
        <f t="shared" si="0"/>
        <v>*261547*</v>
      </c>
    </row>
    <row r="57" spans="2:3" ht="67.8" x14ac:dyDescent="0.3">
      <c r="B57" s="15" t="s">
        <v>372</v>
      </c>
      <c r="C57" s="16" t="str">
        <f t="shared" si="0"/>
        <v>*261548*</v>
      </c>
    </row>
    <row r="58" spans="2:3" ht="67.8" x14ac:dyDescent="0.3">
      <c r="B58" s="15" t="s">
        <v>374</v>
      </c>
      <c r="C58" s="16" t="str">
        <f t="shared" si="0"/>
        <v>*261549*</v>
      </c>
    </row>
    <row r="59" spans="2:3" ht="67.8" x14ac:dyDescent="0.3">
      <c r="B59" s="15" t="s">
        <v>375</v>
      </c>
      <c r="C59" s="16" t="str">
        <f t="shared" si="0"/>
        <v>*261550*</v>
      </c>
    </row>
    <row r="60" spans="2:3" ht="67.8" x14ac:dyDescent="0.3">
      <c r="B60" s="15" t="s">
        <v>376</v>
      </c>
      <c r="C60" s="16" t="str">
        <f t="shared" si="0"/>
        <v>*261551*</v>
      </c>
    </row>
    <row r="61" spans="2:3" ht="67.8" x14ac:dyDescent="0.3">
      <c r="B61" s="15" t="s">
        <v>377</v>
      </c>
      <c r="C61" s="16" t="str">
        <f t="shared" si="0"/>
        <v>*261552*</v>
      </c>
    </row>
    <row r="62" spans="2:3" ht="67.8" x14ac:dyDescent="0.3">
      <c r="B62" s="15" t="s">
        <v>378</v>
      </c>
      <c r="C62" s="16" t="str">
        <f t="shared" si="0"/>
        <v>*261553*</v>
      </c>
    </row>
    <row r="63" spans="2:3" ht="67.8" x14ac:dyDescent="0.3">
      <c r="B63" s="15" t="s">
        <v>380</v>
      </c>
      <c r="C63" s="16" t="str">
        <f t="shared" si="0"/>
        <v>*261554*</v>
      </c>
    </row>
    <row r="64" spans="2:3" ht="67.8" x14ac:dyDescent="0.3">
      <c r="B64" s="15" t="s">
        <v>382</v>
      </c>
      <c r="C64" s="16" t="str">
        <f t="shared" si="0"/>
        <v>*261555*</v>
      </c>
    </row>
    <row r="65" spans="2:3" ht="67.8" x14ac:dyDescent="0.3">
      <c r="B65" s="15" t="s">
        <v>383</v>
      </c>
      <c r="C65" s="16" t="str">
        <f t="shared" si="0"/>
        <v>*261556*</v>
      </c>
    </row>
    <row r="66" spans="2:3" ht="67.8" x14ac:dyDescent="0.3">
      <c r="B66" s="15" t="s">
        <v>385</v>
      </c>
      <c r="C66" s="16" t="str">
        <f t="shared" si="0"/>
        <v>*261557*</v>
      </c>
    </row>
    <row r="67" spans="2:3" ht="67.8" x14ac:dyDescent="0.3">
      <c r="B67" s="15" t="s">
        <v>387</v>
      </c>
      <c r="C67" s="16" t="str">
        <f t="shared" ref="C67:C97" si="1">"*"&amp;B67&amp;"*"</f>
        <v>*261558*</v>
      </c>
    </row>
    <row r="68" spans="2:3" ht="67.8" x14ac:dyDescent="0.3">
      <c r="B68" s="15" t="s">
        <v>388</v>
      </c>
      <c r="C68" s="16" t="str">
        <f t="shared" si="1"/>
        <v>*261559*</v>
      </c>
    </row>
    <row r="69" spans="2:3" ht="67.8" x14ac:dyDescent="0.3">
      <c r="B69" s="15" t="s">
        <v>390</v>
      </c>
      <c r="C69" s="16" t="str">
        <f t="shared" si="1"/>
        <v>*261560*</v>
      </c>
    </row>
    <row r="70" spans="2:3" ht="67.8" x14ac:dyDescent="0.3">
      <c r="B70" s="15" t="s">
        <v>392</v>
      </c>
      <c r="C70" s="16" t="str">
        <f t="shared" si="1"/>
        <v>*261561*</v>
      </c>
    </row>
    <row r="71" spans="2:3" ht="67.8" x14ac:dyDescent="0.3">
      <c r="B71" s="15" t="s">
        <v>394</v>
      </c>
      <c r="C71" s="16" t="str">
        <f t="shared" si="1"/>
        <v>*261562*</v>
      </c>
    </row>
    <row r="72" spans="2:3" ht="67.8" x14ac:dyDescent="0.3">
      <c r="B72" s="15" t="s">
        <v>396</v>
      </c>
      <c r="C72" s="16" t="str">
        <f t="shared" si="1"/>
        <v>*261563*</v>
      </c>
    </row>
    <row r="73" spans="2:3" ht="67.8" x14ac:dyDescent="0.3">
      <c r="B73" s="15" t="s">
        <v>398</v>
      </c>
      <c r="C73" s="16" t="str">
        <f t="shared" si="1"/>
        <v>*261564*</v>
      </c>
    </row>
    <row r="74" spans="2:3" ht="67.8" x14ac:dyDescent="0.3">
      <c r="B74" s="15" t="s">
        <v>400</v>
      </c>
      <c r="C74" s="16" t="str">
        <f t="shared" si="1"/>
        <v>*261565*</v>
      </c>
    </row>
    <row r="75" spans="2:3" ht="67.8" x14ac:dyDescent="0.3">
      <c r="B75" s="15" t="s">
        <v>401</v>
      </c>
      <c r="C75" s="16" t="str">
        <f t="shared" si="1"/>
        <v>*261566*</v>
      </c>
    </row>
    <row r="76" spans="2:3" ht="67.8" x14ac:dyDescent="0.3">
      <c r="B76" s="15" t="s">
        <v>402</v>
      </c>
      <c r="C76" s="16" t="str">
        <f t="shared" si="1"/>
        <v>*261567*</v>
      </c>
    </row>
    <row r="77" spans="2:3" ht="67.8" x14ac:dyDescent="0.3">
      <c r="B77" s="15" t="s">
        <v>403</v>
      </c>
      <c r="C77" s="16" t="str">
        <f t="shared" si="1"/>
        <v>*261568*</v>
      </c>
    </row>
    <row r="78" spans="2:3" ht="67.8" x14ac:dyDescent="0.3">
      <c r="B78" s="15" t="s">
        <v>404</v>
      </c>
      <c r="C78" s="16" t="str">
        <f t="shared" si="1"/>
        <v>*261569*</v>
      </c>
    </row>
    <row r="79" spans="2:3" ht="67.8" x14ac:dyDescent="0.3">
      <c r="B79" s="15" t="s">
        <v>405</v>
      </c>
      <c r="C79" s="16" t="str">
        <f t="shared" si="1"/>
        <v>*261570*</v>
      </c>
    </row>
    <row r="80" spans="2:3" ht="67.8" x14ac:dyDescent="0.3">
      <c r="B80" s="15" t="s">
        <v>406</v>
      </c>
      <c r="C80" s="16" t="str">
        <f t="shared" si="1"/>
        <v>*261571*</v>
      </c>
    </row>
    <row r="81" spans="2:3" ht="67.8" x14ac:dyDescent="0.3">
      <c r="B81" s="15" t="s">
        <v>407</v>
      </c>
      <c r="C81" s="16" t="str">
        <f t="shared" si="1"/>
        <v>*261572*</v>
      </c>
    </row>
    <row r="82" spans="2:3" ht="67.8" x14ac:dyDescent="0.3">
      <c r="B82" s="15" t="s">
        <v>408</v>
      </c>
      <c r="C82" s="16" t="str">
        <f t="shared" si="1"/>
        <v>*261573*</v>
      </c>
    </row>
    <row r="83" spans="2:3" ht="67.8" x14ac:dyDescent="0.3">
      <c r="B83" s="15" t="s">
        <v>409</v>
      </c>
      <c r="C83" s="16" t="str">
        <f t="shared" si="1"/>
        <v>*261574*</v>
      </c>
    </row>
    <row r="84" spans="2:3" ht="67.8" x14ac:dyDescent="0.3">
      <c r="B84" s="15" t="s">
        <v>410</v>
      </c>
      <c r="C84" s="16" t="str">
        <f t="shared" si="1"/>
        <v>*261575*</v>
      </c>
    </row>
    <row r="85" spans="2:3" ht="67.8" x14ac:dyDescent="0.3">
      <c r="B85" s="15" t="s">
        <v>411</v>
      </c>
      <c r="C85" s="16" t="str">
        <f t="shared" si="1"/>
        <v>*261576*</v>
      </c>
    </row>
    <row r="86" spans="2:3" ht="67.8" x14ac:dyDescent="0.3">
      <c r="B86" s="15" t="s">
        <v>412</v>
      </c>
      <c r="C86" s="16" t="str">
        <f t="shared" si="1"/>
        <v>*261577*</v>
      </c>
    </row>
    <row r="87" spans="2:3" ht="67.8" x14ac:dyDescent="0.3">
      <c r="B87" s="15" t="s">
        <v>413</v>
      </c>
      <c r="C87" s="16" t="str">
        <f t="shared" si="1"/>
        <v>*261578*</v>
      </c>
    </row>
    <row r="88" spans="2:3" ht="67.8" x14ac:dyDescent="0.3">
      <c r="B88" s="15" t="s">
        <v>414</v>
      </c>
      <c r="C88" s="16" t="str">
        <f t="shared" si="1"/>
        <v>*261579*</v>
      </c>
    </row>
    <row r="89" spans="2:3" ht="67.8" x14ac:dyDescent="0.3">
      <c r="B89" s="15" t="s">
        <v>815</v>
      </c>
      <c r="C89" s="16" t="str">
        <f t="shared" si="1"/>
        <v>*261580*</v>
      </c>
    </row>
    <row r="90" spans="2:3" ht="67.8" x14ac:dyDescent="0.3">
      <c r="B90" s="15" t="s">
        <v>816</v>
      </c>
      <c r="C90" s="16" t="str">
        <f t="shared" si="1"/>
        <v>*261581*</v>
      </c>
    </row>
    <row r="91" spans="2:3" ht="67.8" x14ac:dyDescent="0.3">
      <c r="B91" s="15" t="s">
        <v>817</v>
      </c>
      <c r="C91" s="16" t="str">
        <f t="shared" si="1"/>
        <v>*261582*</v>
      </c>
    </row>
    <row r="92" spans="2:3" ht="67.8" x14ac:dyDescent="0.3">
      <c r="B92" s="15" t="s">
        <v>818</v>
      </c>
      <c r="C92" s="16" t="str">
        <f t="shared" si="1"/>
        <v>*261583*</v>
      </c>
    </row>
    <row r="93" spans="2:3" ht="67.8" x14ac:dyDescent="0.3">
      <c r="B93" s="15" t="s">
        <v>819</v>
      </c>
      <c r="C93" s="16" t="str">
        <f t="shared" si="1"/>
        <v>*261584*</v>
      </c>
    </row>
    <row r="94" spans="2:3" ht="67.8" x14ac:dyDescent="0.3">
      <c r="B94" s="15" t="s">
        <v>820</v>
      </c>
      <c r="C94" s="16" t="str">
        <f t="shared" si="1"/>
        <v>*261585*</v>
      </c>
    </row>
    <row r="95" spans="2:3" ht="67.8" x14ac:dyDescent="0.3">
      <c r="B95" s="15" t="s">
        <v>821</v>
      </c>
      <c r="C95" s="16" t="str">
        <f t="shared" si="1"/>
        <v>*261586*</v>
      </c>
    </row>
    <row r="96" spans="2:3" ht="67.8" x14ac:dyDescent="0.3">
      <c r="B96" s="15" t="s">
        <v>822</v>
      </c>
      <c r="C96" s="16" t="str">
        <f t="shared" si="1"/>
        <v>*261587*</v>
      </c>
    </row>
    <row r="97" spans="2:3" ht="67.8" x14ac:dyDescent="0.3">
      <c r="B97" s="15" t="s">
        <v>823</v>
      </c>
      <c r="C97" s="16" t="str">
        <f t="shared" si="1"/>
        <v>*261588*</v>
      </c>
    </row>
  </sheetData>
  <pageMargins left="0.7" right="0.7" top="0.75" bottom="0.75" header="0.3" footer="0.3"/>
  <pageSetup paperSize="147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A0BD4-E61C-4E0B-A28C-FB3E9E9436CB}">
  <sheetPr codeName="Sheet17"/>
  <dimension ref="A1:AX320"/>
  <sheetViews>
    <sheetView workbookViewId="0">
      <selection activeCell="D10" sqref="D10"/>
    </sheetView>
  </sheetViews>
  <sheetFormatPr defaultRowHeight="14.4" x14ac:dyDescent="0.3"/>
  <cols>
    <col min="1" max="1" width="16.21875" bestFit="1" customWidth="1"/>
    <col min="4" max="4" width="9.88671875" customWidth="1"/>
    <col min="9" max="9" width="11" bestFit="1" customWidth="1"/>
    <col min="10" max="10" width="5" bestFit="1" customWidth="1"/>
    <col min="11" max="14" width="5.77734375" customWidth="1"/>
    <col min="15" max="15" width="9" bestFit="1" customWidth="1"/>
    <col min="16" max="41" width="5.77734375" customWidth="1"/>
  </cols>
  <sheetData>
    <row r="1" spans="1:35" x14ac:dyDescent="0.3">
      <c r="A1" t="s">
        <v>885</v>
      </c>
      <c r="B1" s="45">
        <f>J9+J10*2+J12</f>
        <v>63</v>
      </c>
    </row>
    <row r="2" spans="1:35" x14ac:dyDescent="0.3">
      <c r="A2" t="s">
        <v>886</v>
      </c>
      <c r="B2" s="45">
        <f>J9+J11*2+J10*2+J13</f>
        <v>79</v>
      </c>
    </row>
    <row r="3" spans="1:35" x14ac:dyDescent="0.3">
      <c r="A3" t="s">
        <v>887</v>
      </c>
      <c r="B3" s="45">
        <f>J14+J15+J16</f>
        <v>65</v>
      </c>
    </row>
    <row r="4" spans="1:35" x14ac:dyDescent="0.3">
      <c r="A4" t="s">
        <v>896</v>
      </c>
      <c r="B4">
        <f>B1*B2*B3/1000</f>
        <v>323.505</v>
      </c>
    </row>
    <row r="5" spans="1:35" ht="25.05" customHeight="1" x14ac:dyDescent="0.3"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 spans="1:35" ht="25.05" customHeight="1" thickBot="1" x14ac:dyDescent="0.35"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 spans="1:35" ht="25.05" customHeight="1" thickBot="1" x14ac:dyDescent="0.35">
      <c r="E7" t="str">
        <f>IF(B4&lt;100,"S",IF(B4&lt;225,"M",IF(B4&lt;550,"L",IF(B4&lt;1150,"XL",IF(B4&gt;1150,"XXL",FALSE)))))</f>
        <v>L</v>
      </c>
      <c r="K7" s="14"/>
      <c r="L7" s="14"/>
      <c r="M7" s="20"/>
      <c r="N7" s="21"/>
      <c r="O7" s="21"/>
      <c r="P7" s="21"/>
      <c r="Q7" s="21"/>
      <c r="R7" s="21"/>
      <c r="S7" s="21"/>
      <c r="T7" s="21" t="s">
        <v>881</v>
      </c>
      <c r="U7" s="21"/>
      <c r="V7" s="21"/>
      <c r="W7" s="21"/>
      <c r="X7" s="21"/>
      <c r="Y7" s="21"/>
      <c r="Z7" s="21"/>
      <c r="AA7" s="21"/>
      <c r="AB7" s="21"/>
      <c r="AC7" s="21"/>
      <c r="AD7" s="21"/>
      <c r="AE7" s="21"/>
      <c r="AF7" s="22"/>
      <c r="AG7" s="14"/>
      <c r="AH7" s="14"/>
      <c r="AI7" s="14"/>
    </row>
    <row r="8" spans="1:35" ht="25.05" customHeight="1" x14ac:dyDescent="0.3">
      <c r="E8" t="str">
        <f>IF(J14&lt;15, "SIMPLE", IF(J14&lt;30, "MEDIUM", "COMPLEX"))</f>
        <v>COMPLEX</v>
      </c>
      <c r="K8" s="14"/>
      <c r="L8" s="14"/>
      <c r="M8" s="23"/>
      <c r="N8" s="24"/>
      <c r="O8" s="25"/>
      <c r="P8" s="24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6"/>
      <c r="AD8" s="25"/>
      <c r="AE8" s="26"/>
      <c r="AF8" s="27"/>
      <c r="AG8" s="14"/>
      <c r="AH8" s="14"/>
      <c r="AI8" s="14"/>
    </row>
    <row r="9" spans="1:35" ht="25.05" customHeight="1" x14ac:dyDescent="0.3">
      <c r="E9" s="48" t="str">
        <f>IF(AND(E7="S", E8="SIMPLE"),"A",IF(AND(E7="S",E8="MEDIUM"), "F", IF(AND(E7="M",E8="SIMPLE"), "B", IF(AND(E7="M",E8="MEDIUM"), "G", IF(AND(E7="M",E8="COMPLEX"), "L", IF(AND(E7="L",E8="SIMPLE"), "C", IF(AND(E7="L",E8="MEDIUM"), "H", IF(AND(E7="L",E8="COMPLEX"), "M", IF(AND(E7="XL",E8="SIMPLE"), "D", IF(AND(E7="XL",E8="MEDIUM"), "I", IF(AND(E7="XL",E8="COMPLEX"), "N", IF(AND(E7="XXL",E8="SIMPLE"), "E", IF(AND(E7="XXL",E8="MEDIUM"), "G", IF(AND(E7="XXL",E8="COMPLEX"), "O", FALSE))))))))))))))</f>
        <v>M</v>
      </c>
      <c r="I9" t="s">
        <v>889</v>
      </c>
      <c r="J9">
        <v>5</v>
      </c>
      <c r="K9" s="14"/>
      <c r="L9" s="14"/>
      <c r="M9" s="23" t="s">
        <v>881</v>
      </c>
      <c r="N9" s="28" t="s">
        <v>883</v>
      </c>
      <c r="O9" s="29"/>
      <c r="P9" s="28"/>
      <c r="Q9" s="29"/>
      <c r="R9" s="29"/>
      <c r="S9" s="29"/>
      <c r="T9" s="46"/>
      <c r="U9" s="29"/>
      <c r="V9" s="29"/>
      <c r="W9" s="29"/>
      <c r="X9" s="29"/>
      <c r="Y9" s="29"/>
      <c r="Z9" s="29"/>
      <c r="AA9" s="29"/>
      <c r="AB9" s="29"/>
      <c r="AC9" s="19"/>
      <c r="AD9" s="29"/>
      <c r="AE9" s="19" t="s">
        <v>883</v>
      </c>
      <c r="AF9" s="27" t="s">
        <v>881</v>
      </c>
      <c r="AG9" s="14"/>
      <c r="AH9" s="14"/>
      <c r="AI9" s="14"/>
    </row>
    <row r="10" spans="1:35" ht="25.05" customHeight="1" thickBot="1" x14ac:dyDescent="0.35">
      <c r="I10" t="s">
        <v>890</v>
      </c>
      <c r="J10">
        <v>9</v>
      </c>
      <c r="K10" s="14"/>
      <c r="L10" s="14"/>
      <c r="M10" s="23"/>
      <c r="N10" s="28"/>
      <c r="O10" s="29"/>
      <c r="P10" s="28"/>
      <c r="Q10" s="29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19"/>
      <c r="AD10" s="29"/>
      <c r="AE10" s="19"/>
      <c r="AF10" s="27"/>
      <c r="AG10" s="14"/>
      <c r="AH10" s="14"/>
      <c r="AI10" s="14"/>
    </row>
    <row r="11" spans="1:35" ht="25.05" customHeight="1" x14ac:dyDescent="0.3">
      <c r="I11" t="s">
        <v>891</v>
      </c>
      <c r="J11">
        <v>13</v>
      </c>
      <c r="K11" s="14"/>
      <c r="L11" s="14"/>
      <c r="M11" s="23"/>
      <c r="N11" s="28"/>
      <c r="O11" s="29"/>
      <c r="P11" s="28"/>
      <c r="Q11" s="29"/>
      <c r="R11" s="29"/>
      <c r="S11" s="30"/>
      <c r="T11" s="31"/>
      <c r="U11" s="31"/>
      <c r="V11" s="31"/>
      <c r="W11" s="31"/>
      <c r="X11" s="31"/>
      <c r="Y11" s="31"/>
      <c r="Z11" s="32"/>
      <c r="AA11" s="29"/>
      <c r="AB11" s="29"/>
      <c r="AC11" s="19"/>
      <c r="AD11" s="29"/>
      <c r="AE11" s="19"/>
      <c r="AF11" s="27"/>
      <c r="AG11" s="14"/>
      <c r="AH11" s="14"/>
      <c r="AI11" s="14"/>
    </row>
    <row r="12" spans="1:35" ht="25.05" customHeight="1" x14ac:dyDescent="0.3">
      <c r="I12" t="s">
        <v>892</v>
      </c>
      <c r="J12" s="17">
        <v>40</v>
      </c>
      <c r="K12" s="14"/>
      <c r="L12" s="14"/>
      <c r="M12" s="23"/>
      <c r="N12" s="28"/>
      <c r="O12" s="29"/>
      <c r="P12" s="28"/>
      <c r="Q12" s="29"/>
      <c r="R12" s="29"/>
      <c r="S12" s="33"/>
      <c r="T12" s="34"/>
      <c r="U12" s="34"/>
      <c r="V12" s="34"/>
      <c r="W12" s="34"/>
      <c r="X12" s="34"/>
      <c r="Y12" s="34"/>
      <c r="Z12" s="35"/>
      <c r="AA12" s="29"/>
      <c r="AB12" s="29"/>
      <c r="AC12" s="19"/>
      <c r="AD12" s="29"/>
      <c r="AE12" s="19"/>
      <c r="AF12" s="27"/>
      <c r="AG12" s="14"/>
      <c r="AH12" s="14"/>
      <c r="AI12" s="14"/>
    </row>
    <row r="13" spans="1:35" ht="25.05" customHeight="1" x14ac:dyDescent="0.3">
      <c r="I13" t="s">
        <v>893</v>
      </c>
      <c r="J13" s="17">
        <v>30</v>
      </c>
      <c r="K13" s="14"/>
      <c r="L13" s="14"/>
      <c r="M13" s="23"/>
      <c r="N13" s="28"/>
      <c r="O13" s="29"/>
      <c r="P13" s="28"/>
      <c r="Q13" s="29"/>
      <c r="R13" s="29"/>
      <c r="S13" s="33"/>
      <c r="T13" s="34"/>
      <c r="U13" s="34"/>
      <c r="V13" s="34"/>
      <c r="W13" s="34"/>
      <c r="X13" s="34"/>
      <c r="Y13" s="34"/>
      <c r="Z13" s="35"/>
      <c r="AA13" s="28"/>
      <c r="AB13" s="47" t="s">
        <v>890</v>
      </c>
      <c r="AC13" s="19"/>
      <c r="AD13" s="29"/>
      <c r="AE13" s="19"/>
      <c r="AF13" s="27"/>
      <c r="AG13" s="14"/>
      <c r="AH13" s="14"/>
      <c r="AI13" s="14"/>
    </row>
    <row r="14" spans="1:35" ht="25.05" customHeight="1" x14ac:dyDescent="0.3">
      <c r="I14" t="s">
        <v>894</v>
      </c>
      <c r="J14" s="17">
        <v>30</v>
      </c>
      <c r="K14" s="14"/>
      <c r="L14" s="14"/>
      <c r="M14" s="23"/>
      <c r="N14" s="28"/>
      <c r="O14" s="29"/>
      <c r="P14" s="28"/>
      <c r="Q14" s="29"/>
      <c r="R14" s="29"/>
      <c r="S14" s="33"/>
      <c r="T14" s="34"/>
      <c r="U14" s="34"/>
      <c r="V14" s="34"/>
      <c r="W14" s="34"/>
      <c r="X14" s="34"/>
      <c r="Y14" s="34"/>
      <c r="Z14" s="35"/>
      <c r="AA14" s="29"/>
      <c r="AB14" s="29"/>
      <c r="AC14" s="19"/>
      <c r="AD14" s="29"/>
      <c r="AE14" s="19"/>
      <c r="AF14" s="27"/>
      <c r="AG14" s="14"/>
      <c r="AH14" s="14"/>
      <c r="AI14" s="14"/>
    </row>
    <row r="15" spans="1:35" ht="25.05" customHeight="1" x14ac:dyDescent="0.3">
      <c r="I15" t="s">
        <v>888</v>
      </c>
      <c r="J15">
        <v>10</v>
      </c>
      <c r="K15" s="14"/>
      <c r="L15" s="14"/>
      <c r="M15" s="23"/>
      <c r="N15" s="28"/>
      <c r="O15" s="29"/>
      <c r="P15" s="28"/>
      <c r="Q15" s="29"/>
      <c r="R15" s="29"/>
      <c r="S15" s="33"/>
      <c r="T15" s="34"/>
      <c r="U15" s="34"/>
      <c r="V15" s="34"/>
      <c r="W15" s="34"/>
      <c r="X15" s="34"/>
      <c r="Y15" s="34"/>
      <c r="Z15" s="35"/>
      <c r="AA15" s="29"/>
      <c r="AB15" s="29"/>
      <c r="AC15" s="19"/>
      <c r="AD15" s="29"/>
      <c r="AE15" s="19"/>
      <c r="AF15" s="27"/>
      <c r="AG15" s="14"/>
      <c r="AH15" s="14"/>
      <c r="AI15" s="14"/>
    </row>
    <row r="16" spans="1:35" ht="25.05" customHeight="1" thickBot="1" x14ac:dyDescent="0.35">
      <c r="I16" t="s">
        <v>895</v>
      </c>
      <c r="J16">
        <v>25</v>
      </c>
      <c r="K16" s="14"/>
      <c r="L16" s="14"/>
      <c r="M16" s="23"/>
      <c r="N16" s="28"/>
      <c r="O16" s="29"/>
      <c r="P16" s="28"/>
      <c r="Q16" s="29"/>
      <c r="R16" s="29"/>
      <c r="S16" s="36"/>
      <c r="T16" s="37"/>
      <c r="U16" s="37"/>
      <c r="V16" s="37" t="s">
        <v>882</v>
      </c>
      <c r="W16" s="37"/>
      <c r="X16" s="37"/>
      <c r="Y16" s="37"/>
      <c r="Z16" s="38"/>
      <c r="AA16" s="29"/>
      <c r="AB16" s="29"/>
      <c r="AC16" s="19"/>
      <c r="AD16" s="29"/>
      <c r="AE16" s="19"/>
      <c r="AF16" s="27"/>
      <c r="AG16" s="14"/>
      <c r="AH16" s="14"/>
      <c r="AI16" s="14"/>
    </row>
    <row r="17" spans="1:50" ht="25.05" customHeight="1" x14ac:dyDescent="0.3">
      <c r="K17" s="14"/>
      <c r="L17" s="14"/>
      <c r="M17" s="23"/>
      <c r="N17" s="28"/>
      <c r="O17" s="29"/>
      <c r="P17" s="28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19"/>
      <c r="AD17" s="29"/>
      <c r="AE17" s="19"/>
      <c r="AF17" s="27"/>
      <c r="AG17" s="14"/>
      <c r="AH17" s="14"/>
      <c r="AI17" s="14"/>
    </row>
    <row r="18" spans="1:50" ht="25.05" customHeight="1" x14ac:dyDescent="0.3">
      <c r="A18" t="s">
        <v>921</v>
      </c>
      <c r="B18" t="s">
        <v>922</v>
      </c>
      <c r="C18" t="s">
        <v>925</v>
      </c>
      <c r="K18" s="14"/>
      <c r="L18" s="14"/>
      <c r="M18" s="23"/>
      <c r="N18" s="28"/>
      <c r="O18" s="29"/>
      <c r="P18" s="28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19"/>
      <c r="AD18" s="29"/>
      <c r="AE18" s="19"/>
      <c r="AF18" s="27"/>
      <c r="AG18" s="14"/>
      <c r="AH18" s="14"/>
      <c r="AI18" s="14"/>
    </row>
    <row r="19" spans="1:50" ht="25.05" customHeight="1" thickBot="1" x14ac:dyDescent="0.35">
      <c r="A19">
        <v>7289724330</v>
      </c>
      <c r="B19" t="s">
        <v>912</v>
      </c>
      <c r="C19" t="s">
        <v>931</v>
      </c>
      <c r="K19" s="14"/>
      <c r="L19" s="14"/>
      <c r="M19" s="23"/>
      <c r="N19" s="39"/>
      <c r="O19" s="40"/>
      <c r="P19" s="39"/>
      <c r="Q19" s="40"/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1"/>
      <c r="AD19" s="40"/>
      <c r="AE19" s="41"/>
      <c r="AF19" s="27"/>
      <c r="AG19" s="14"/>
      <c r="AH19" s="14"/>
      <c r="AI19" s="14"/>
    </row>
    <row r="20" spans="1:50" ht="25.05" customHeight="1" thickBot="1" x14ac:dyDescent="0.35">
      <c r="A20">
        <v>7298186930</v>
      </c>
      <c r="B20" t="s">
        <v>912</v>
      </c>
      <c r="C20" t="s">
        <v>930</v>
      </c>
      <c r="H20" s="18"/>
      <c r="K20" s="14"/>
      <c r="L20" s="14"/>
      <c r="M20" s="42"/>
      <c r="N20" s="43"/>
      <c r="O20" s="43"/>
      <c r="P20" s="43"/>
      <c r="Q20" s="43"/>
      <c r="R20" s="43"/>
      <c r="S20" s="43"/>
      <c r="T20" s="43" t="s">
        <v>881</v>
      </c>
      <c r="U20" s="43"/>
      <c r="V20" s="43"/>
      <c r="W20" s="43"/>
      <c r="X20" s="43"/>
      <c r="Y20" s="43"/>
      <c r="Z20" s="43"/>
      <c r="AA20" s="43"/>
      <c r="AB20" s="43"/>
      <c r="AC20" s="43"/>
      <c r="AD20" s="43"/>
      <c r="AE20" s="43"/>
      <c r="AF20" s="44"/>
      <c r="AG20" s="14"/>
      <c r="AH20" s="14"/>
      <c r="AI20" s="14"/>
    </row>
    <row r="21" spans="1:50" ht="25.05" customHeight="1" x14ac:dyDescent="0.3">
      <c r="A21">
        <v>72888941</v>
      </c>
      <c r="B21" t="s">
        <v>912</v>
      </c>
      <c r="C21" t="s">
        <v>884</v>
      </c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 spans="1:50" ht="25.05" customHeight="1" x14ac:dyDescent="0.3">
      <c r="A22">
        <v>7278442030</v>
      </c>
      <c r="B22" t="s">
        <v>912</v>
      </c>
      <c r="C22" t="s">
        <v>930</v>
      </c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 spans="1:50" ht="25.05" customHeight="1" x14ac:dyDescent="0.3">
      <c r="A23">
        <v>72985208</v>
      </c>
      <c r="B23" t="s">
        <v>912</v>
      </c>
      <c r="C23" t="s">
        <v>931</v>
      </c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t="s">
        <v>897</v>
      </c>
      <c r="AJ23" t="s">
        <v>898</v>
      </c>
      <c r="AK23" t="s">
        <v>899</v>
      </c>
      <c r="AL23" t="s">
        <v>900</v>
      </c>
      <c r="AM23" t="s">
        <v>901</v>
      </c>
      <c r="AO23" t="s">
        <v>902</v>
      </c>
      <c r="AP23" t="s">
        <v>903</v>
      </c>
      <c r="AQ23" t="s">
        <v>904</v>
      </c>
      <c r="AR23" t="s">
        <v>905</v>
      </c>
      <c r="AS23" t="s">
        <v>906</v>
      </c>
      <c r="AT23" t="s">
        <v>907</v>
      </c>
      <c r="AU23" t="s">
        <v>908</v>
      </c>
      <c r="AV23" t="s">
        <v>909</v>
      </c>
      <c r="AW23" t="s">
        <v>910</v>
      </c>
      <c r="AX23" t="s">
        <v>911</v>
      </c>
    </row>
    <row r="24" spans="1:50" ht="25.05" customHeight="1" x14ac:dyDescent="0.3">
      <c r="A24">
        <v>7298150830</v>
      </c>
      <c r="B24" t="s">
        <v>912</v>
      </c>
      <c r="C24" t="s">
        <v>931</v>
      </c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 spans="1:50" ht="25.05" customHeight="1" x14ac:dyDescent="0.3">
      <c r="A25">
        <v>7198460730</v>
      </c>
      <c r="B25" t="s">
        <v>912</v>
      </c>
      <c r="C25" t="s">
        <v>930</v>
      </c>
    </row>
    <row r="26" spans="1:50" ht="25.05" customHeight="1" x14ac:dyDescent="0.3">
      <c r="A26">
        <v>7298108030</v>
      </c>
      <c r="B26" t="s">
        <v>912</v>
      </c>
      <c r="C26" t="s">
        <v>931</v>
      </c>
    </row>
    <row r="27" spans="1:50" ht="25.05" customHeight="1" x14ac:dyDescent="0.3">
      <c r="A27">
        <v>7298154930</v>
      </c>
      <c r="B27" t="s">
        <v>912</v>
      </c>
      <c r="C27" t="s">
        <v>884</v>
      </c>
    </row>
    <row r="28" spans="1:50" ht="25.05" customHeight="1" x14ac:dyDescent="0.3">
      <c r="B28" t="s">
        <v>912</v>
      </c>
    </row>
    <row r="29" spans="1:50" ht="25.05" customHeight="1" x14ac:dyDescent="0.3">
      <c r="A29">
        <v>7289724330</v>
      </c>
      <c r="B29" t="s">
        <v>912</v>
      </c>
      <c r="C29" t="s">
        <v>931</v>
      </c>
    </row>
    <row r="30" spans="1:50" ht="25.05" customHeight="1" x14ac:dyDescent="0.3">
      <c r="A30">
        <v>7278271940</v>
      </c>
      <c r="B30" t="s">
        <v>912</v>
      </c>
      <c r="C30" t="s">
        <v>931</v>
      </c>
    </row>
    <row r="31" spans="1:50" ht="25.05" customHeight="1" x14ac:dyDescent="0.3">
      <c r="A31">
        <v>7298186930</v>
      </c>
      <c r="B31" t="s">
        <v>912</v>
      </c>
      <c r="C31" t="s">
        <v>930</v>
      </c>
    </row>
    <row r="32" spans="1:50" x14ac:dyDescent="0.3">
      <c r="A32">
        <v>72888941</v>
      </c>
      <c r="B32" t="s">
        <v>912</v>
      </c>
      <c r="C32" t="s">
        <v>884</v>
      </c>
    </row>
    <row r="33" spans="1:3" x14ac:dyDescent="0.3">
      <c r="A33">
        <v>7278442030</v>
      </c>
      <c r="B33" t="s">
        <v>912</v>
      </c>
      <c r="C33" t="s">
        <v>930</v>
      </c>
    </row>
    <row r="34" spans="1:3" x14ac:dyDescent="0.3">
      <c r="A34">
        <v>72985208</v>
      </c>
      <c r="B34" t="s">
        <v>912</v>
      </c>
      <c r="C34" t="s">
        <v>931</v>
      </c>
    </row>
    <row r="35" spans="1:3" x14ac:dyDescent="0.3">
      <c r="A35">
        <v>7298108030</v>
      </c>
      <c r="B35" t="s">
        <v>912</v>
      </c>
      <c r="C35" t="s">
        <v>931</v>
      </c>
    </row>
    <row r="36" spans="1:3" x14ac:dyDescent="0.3">
      <c r="A36">
        <v>7198460730</v>
      </c>
      <c r="B36" t="s">
        <v>912</v>
      </c>
      <c r="C36" t="s">
        <v>930</v>
      </c>
    </row>
    <row r="37" spans="1:3" x14ac:dyDescent="0.3">
      <c r="A37">
        <v>7298154930</v>
      </c>
      <c r="B37" t="s">
        <v>912</v>
      </c>
      <c r="C37" t="s">
        <v>884</v>
      </c>
    </row>
    <row r="38" spans="1:3" x14ac:dyDescent="0.3">
      <c r="A38">
        <v>7298150830</v>
      </c>
      <c r="B38" t="s">
        <v>912</v>
      </c>
      <c r="C38" t="s">
        <v>931</v>
      </c>
    </row>
    <row r="39" spans="1:3" x14ac:dyDescent="0.3">
      <c r="A39">
        <v>71191147</v>
      </c>
      <c r="B39" t="s">
        <v>912</v>
      </c>
      <c r="C39" t="s">
        <v>931</v>
      </c>
    </row>
    <row r="40" spans="1:3" x14ac:dyDescent="0.3">
      <c r="B40" t="s">
        <v>912</v>
      </c>
    </row>
    <row r="41" spans="1:3" x14ac:dyDescent="0.3">
      <c r="A41">
        <v>7187090590</v>
      </c>
      <c r="B41" t="s">
        <v>912</v>
      </c>
      <c r="C41" t="s">
        <v>931</v>
      </c>
    </row>
    <row r="42" spans="1:3" x14ac:dyDescent="0.3">
      <c r="A42">
        <v>7277015590</v>
      </c>
      <c r="B42" t="s">
        <v>912</v>
      </c>
      <c r="C42" t="s">
        <v>929</v>
      </c>
    </row>
    <row r="43" spans="1:3" x14ac:dyDescent="0.3">
      <c r="A43">
        <v>7187090560</v>
      </c>
      <c r="B43" t="s">
        <v>912</v>
      </c>
      <c r="C43" t="s">
        <v>931</v>
      </c>
    </row>
    <row r="44" spans="1:3" x14ac:dyDescent="0.3">
      <c r="A44">
        <v>71870905</v>
      </c>
      <c r="B44" t="s">
        <v>912</v>
      </c>
      <c r="C44" t="s">
        <v>931</v>
      </c>
    </row>
    <row r="45" spans="1:3" x14ac:dyDescent="0.3">
      <c r="A45">
        <v>71983904</v>
      </c>
      <c r="B45" t="s">
        <v>912</v>
      </c>
      <c r="C45" t="s">
        <v>930</v>
      </c>
    </row>
    <row r="46" spans="1:3" x14ac:dyDescent="0.3">
      <c r="A46">
        <v>7287741830</v>
      </c>
      <c r="B46" t="s">
        <v>912</v>
      </c>
      <c r="C46" t="s">
        <v>929</v>
      </c>
    </row>
    <row r="47" spans="1:3" x14ac:dyDescent="0.3">
      <c r="A47">
        <v>7288907230</v>
      </c>
      <c r="B47" t="s">
        <v>912</v>
      </c>
      <c r="C47" t="s">
        <v>928</v>
      </c>
    </row>
    <row r="48" spans="1:3" x14ac:dyDescent="0.3">
      <c r="A48">
        <v>7298227830</v>
      </c>
      <c r="B48" t="s">
        <v>912</v>
      </c>
      <c r="C48" t="s">
        <v>931</v>
      </c>
    </row>
    <row r="49" spans="1:3" x14ac:dyDescent="0.3">
      <c r="A49">
        <v>7298227830</v>
      </c>
      <c r="B49" t="s">
        <v>912</v>
      </c>
      <c r="C49" t="s">
        <v>931</v>
      </c>
    </row>
    <row r="50" spans="1:3" x14ac:dyDescent="0.3">
      <c r="A50">
        <v>7298593130</v>
      </c>
      <c r="B50" t="s">
        <v>912</v>
      </c>
      <c r="C50" t="s">
        <v>929</v>
      </c>
    </row>
    <row r="51" spans="1:3" x14ac:dyDescent="0.3">
      <c r="A51">
        <v>7298593130</v>
      </c>
      <c r="B51" t="s">
        <v>912</v>
      </c>
      <c r="C51" t="s">
        <v>929</v>
      </c>
    </row>
    <row r="52" spans="1:3" x14ac:dyDescent="0.3">
      <c r="A52">
        <v>7285207290</v>
      </c>
      <c r="B52" t="s">
        <v>912</v>
      </c>
      <c r="C52" t="s">
        <v>929</v>
      </c>
    </row>
    <row r="53" spans="1:3" x14ac:dyDescent="0.3">
      <c r="A53">
        <v>7287720230</v>
      </c>
      <c r="B53" t="s">
        <v>912</v>
      </c>
      <c r="C53" t="s">
        <v>929</v>
      </c>
    </row>
    <row r="54" spans="1:3" x14ac:dyDescent="0.3">
      <c r="A54">
        <v>71870905</v>
      </c>
      <c r="B54" t="s">
        <v>912</v>
      </c>
      <c r="C54" t="s">
        <v>931</v>
      </c>
    </row>
    <row r="55" spans="1:3" x14ac:dyDescent="0.3">
      <c r="B55" t="s">
        <v>912</v>
      </c>
    </row>
    <row r="56" spans="1:3" x14ac:dyDescent="0.3">
      <c r="A56">
        <v>7298228030</v>
      </c>
      <c r="B56" t="s">
        <v>912</v>
      </c>
      <c r="C56" t="s">
        <v>931</v>
      </c>
    </row>
    <row r="57" spans="1:3" x14ac:dyDescent="0.3">
      <c r="A57">
        <v>7288907230</v>
      </c>
      <c r="B57" t="s">
        <v>912</v>
      </c>
      <c r="C57" t="s">
        <v>928</v>
      </c>
    </row>
    <row r="58" spans="1:3" x14ac:dyDescent="0.3">
      <c r="A58">
        <v>7298228030</v>
      </c>
      <c r="B58" t="s">
        <v>912</v>
      </c>
      <c r="C58" t="s">
        <v>931</v>
      </c>
    </row>
    <row r="59" spans="1:3" x14ac:dyDescent="0.3">
      <c r="A59">
        <v>7298593130</v>
      </c>
      <c r="B59" t="s">
        <v>912</v>
      </c>
      <c r="C59" t="s">
        <v>929</v>
      </c>
    </row>
    <row r="60" spans="1:3" x14ac:dyDescent="0.3">
      <c r="A60">
        <v>7298250730</v>
      </c>
      <c r="B60" t="s">
        <v>912</v>
      </c>
      <c r="C60" t="s">
        <v>931</v>
      </c>
    </row>
    <row r="61" spans="1:3" x14ac:dyDescent="0.3">
      <c r="A61">
        <v>7283368530</v>
      </c>
      <c r="B61" t="s">
        <v>912</v>
      </c>
      <c r="C61" t="s">
        <v>931</v>
      </c>
    </row>
    <row r="62" spans="1:3" x14ac:dyDescent="0.3">
      <c r="A62">
        <v>7287720230</v>
      </c>
      <c r="B62" t="s">
        <v>912</v>
      </c>
      <c r="C62" t="s">
        <v>929</v>
      </c>
    </row>
    <row r="63" spans="1:3" x14ac:dyDescent="0.3">
      <c r="A63">
        <v>7278121430</v>
      </c>
      <c r="B63" t="s">
        <v>912</v>
      </c>
      <c r="C63" t="s">
        <v>931</v>
      </c>
    </row>
    <row r="64" spans="1:3" x14ac:dyDescent="0.3">
      <c r="A64">
        <v>7298186530</v>
      </c>
      <c r="B64" t="s">
        <v>912</v>
      </c>
      <c r="C64" t="s">
        <v>931</v>
      </c>
    </row>
    <row r="65" spans="1:3" x14ac:dyDescent="0.3">
      <c r="A65">
        <v>7298186930</v>
      </c>
      <c r="B65" t="s">
        <v>912</v>
      </c>
      <c r="C65" t="s">
        <v>930</v>
      </c>
    </row>
    <row r="66" spans="1:3" x14ac:dyDescent="0.3">
      <c r="A66">
        <v>7222740630</v>
      </c>
      <c r="B66" t="s">
        <v>912</v>
      </c>
      <c r="C66" t="s">
        <v>929</v>
      </c>
    </row>
    <row r="67" spans="1:3" x14ac:dyDescent="0.3">
      <c r="A67">
        <v>7187090560</v>
      </c>
      <c r="B67" t="s">
        <v>912</v>
      </c>
      <c r="C67" t="s">
        <v>931</v>
      </c>
    </row>
    <row r="68" spans="1:3" x14ac:dyDescent="0.3">
      <c r="A68">
        <v>7298593130</v>
      </c>
      <c r="B68" t="s">
        <v>912</v>
      </c>
      <c r="C68" t="s">
        <v>929</v>
      </c>
    </row>
    <row r="69" spans="1:3" x14ac:dyDescent="0.3">
      <c r="A69">
        <v>7219176430</v>
      </c>
      <c r="B69" t="s">
        <v>913</v>
      </c>
      <c r="C69" t="s">
        <v>931</v>
      </c>
    </row>
    <row r="70" spans="1:3" x14ac:dyDescent="0.3">
      <c r="A70">
        <v>7286738630</v>
      </c>
      <c r="B70" t="s">
        <v>913</v>
      </c>
      <c r="C70" t="s">
        <v>929</v>
      </c>
    </row>
    <row r="71" spans="1:3" x14ac:dyDescent="0.3">
      <c r="A71">
        <v>7298173030</v>
      </c>
      <c r="B71" t="s">
        <v>913</v>
      </c>
      <c r="C71" t="s">
        <v>931</v>
      </c>
    </row>
    <row r="72" spans="1:3" x14ac:dyDescent="0.3">
      <c r="A72">
        <v>7278239430</v>
      </c>
      <c r="B72" t="s">
        <v>913</v>
      </c>
      <c r="C72" t="s">
        <v>931</v>
      </c>
    </row>
    <row r="73" spans="1:3" x14ac:dyDescent="0.3">
      <c r="A73">
        <v>7278197840</v>
      </c>
      <c r="B73" t="s">
        <v>913</v>
      </c>
      <c r="C73" t="s">
        <v>931</v>
      </c>
    </row>
    <row r="74" spans="1:3" x14ac:dyDescent="0.3">
      <c r="A74">
        <v>7298171330</v>
      </c>
      <c r="B74" t="s">
        <v>913</v>
      </c>
      <c r="C74" t="s">
        <v>931</v>
      </c>
    </row>
    <row r="75" spans="1:3" x14ac:dyDescent="0.3">
      <c r="B75" t="s">
        <v>913</v>
      </c>
    </row>
    <row r="76" spans="1:3" x14ac:dyDescent="0.3">
      <c r="A76">
        <v>7298790330</v>
      </c>
      <c r="B76" t="s">
        <v>913</v>
      </c>
      <c r="C76" t="s">
        <v>931</v>
      </c>
    </row>
    <row r="77" spans="1:3" x14ac:dyDescent="0.3">
      <c r="A77">
        <v>7298790330</v>
      </c>
      <c r="B77" t="s">
        <v>913</v>
      </c>
      <c r="C77" t="s">
        <v>931</v>
      </c>
    </row>
    <row r="78" spans="1:3" x14ac:dyDescent="0.3">
      <c r="A78">
        <v>7298186930</v>
      </c>
      <c r="B78" t="s">
        <v>913</v>
      </c>
      <c r="C78" t="s">
        <v>930</v>
      </c>
    </row>
    <row r="79" spans="1:3" x14ac:dyDescent="0.3">
      <c r="A79">
        <v>7288907230</v>
      </c>
      <c r="B79" t="s">
        <v>913</v>
      </c>
      <c r="C79" t="s">
        <v>928</v>
      </c>
    </row>
    <row r="80" spans="1:3" x14ac:dyDescent="0.3">
      <c r="A80">
        <v>7298186530</v>
      </c>
      <c r="B80" t="s">
        <v>913</v>
      </c>
      <c r="C80" t="s">
        <v>931</v>
      </c>
    </row>
    <row r="81" spans="1:3" x14ac:dyDescent="0.3">
      <c r="A81">
        <v>7289508430</v>
      </c>
      <c r="B81" t="s">
        <v>913</v>
      </c>
      <c r="C81" t="s">
        <v>929</v>
      </c>
    </row>
    <row r="82" spans="1:3" x14ac:dyDescent="0.3">
      <c r="A82">
        <v>7298186930</v>
      </c>
      <c r="B82" t="s">
        <v>913</v>
      </c>
      <c r="C82" t="s">
        <v>930</v>
      </c>
    </row>
    <row r="83" spans="1:3" x14ac:dyDescent="0.3">
      <c r="A83">
        <v>7298790830</v>
      </c>
      <c r="B83" t="s">
        <v>913</v>
      </c>
      <c r="C83" t="s">
        <v>931</v>
      </c>
    </row>
    <row r="84" spans="1:3" x14ac:dyDescent="0.3">
      <c r="A84">
        <v>7289508430</v>
      </c>
      <c r="B84" t="s">
        <v>913</v>
      </c>
      <c r="C84" t="s">
        <v>929</v>
      </c>
    </row>
    <row r="85" spans="1:3" x14ac:dyDescent="0.3">
      <c r="A85">
        <v>7286139730</v>
      </c>
      <c r="B85" t="s">
        <v>913</v>
      </c>
      <c r="C85" t="s">
        <v>929</v>
      </c>
    </row>
    <row r="86" spans="1:3" x14ac:dyDescent="0.3">
      <c r="A86">
        <v>7287821130</v>
      </c>
      <c r="B86" t="s">
        <v>913</v>
      </c>
      <c r="C86" t="s">
        <v>929</v>
      </c>
    </row>
    <row r="87" spans="1:3" x14ac:dyDescent="0.3">
      <c r="A87">
        <v>7298186530</v>
      </c>
      <c r="B87" t="s">
        <v>913</v>
      </c>
      <c r="C87" t="s">
        <v>931</v>
      </c>
    </row>
    <row r="88" spans="1:3" x14ac:dyDescent="0.3">
      <c r="B88" t="s">
        <v>913</v>
      </c>
    </row>
    <row r="89" spans="1:3" x14ac:dyDescent="0.3">
      <c r="A89">
        <v>7119153830</v>
      </c>
      <c r="B89" t="s">
        <v>913</v>
      </c>
      <c r="C89" t="s">
        <v>931</v>
      </c>
    </row>
    <row r="90" spans="1:3" x14ac:dyDescent="0.3">
      <c r="A90">
        <v>7119689030</v>
      </c>
      <c r="B90" t="s">
        <v>913</v>
      </c>
      <c r="C90" t="s">
        <v>931</v>
      </c>
    </row>
    <row r="91" spans="1:3" x14ac:dyDescent="0.3">
      <c r="A91">
        <v>7286145630</v>
      </c>
      <c r="B91" t="s">
        <v>913</v>
      </c>
      <c r="C91" t="s">
        <v>884</v>
      </c>
    </row>
    <row r="92" spans="1:3" x14ac:dyDescent="0.3">
      <c r="A92">
        <v>7287180440</v>
      </c>
      <c r="B92" t="s">
        <v>913</v>
      </c>
      <c r="C92" t="s">
        <v>931</v>
      </c>
    </row>
    <row r="93" spans="1:3" x14ac:dyDescent="0.3">
      <c r="A93">
        <v>72980788</v>
      </c>
      <c r="B93" t="s">
        <v>913</v>
      </c>
      <c r="C93" t="s">
        <v>931</v>
      </c>
    </row>
    <row r="94" spans="1:3" x14ac:dyDescent="0.3">
      <c r="A94" t="s">
        <v>916</v>
      </c>
      <c r="B94" t="s">
        <v>913</v>
      </c>
      <c r="C94" t="s">
        <v>931</v>
      </c>
    </row>
    <row r="95" spans="1:3" x14ac:dyDescent="0.3">
      <c r="A95">
        <v>7298237430</v>
      </c>
      <c r="B95" t="s">
        <v>913</v>
      </c>
      <c r="C95" t="s">
        <v>931</v>
      </c>
    </row>
    <row r="96" spans="1:3" x14ac:dyDescent="0.3">
      <c r="A96">
        <v>7298237430</v>
      </c>
      <c r="B96" t="s">
        <v>913</v>
      </c>
      <c r="C96" t="s">
        <v>931</v>
      </c>
    </row>
    <row r="97" spans="1:3" x14ac:dyDescent="0.3">
      <c r="A97">
        <v>7298237430</v>
      </c>
      <c r="B97" t="s">
        <v>913</v>
      </c>
      <c r="C97" t="s">
        <v>931</v>
      </c>
    </row>
    <row r="98" spans="1:3" x14ac:dyDescent="0.3">
      <c r="A98">
        <v>7298237430</v>
      </c>
      <c r="B98" t="s">
        <v>913</v>
      </c>
      <c r="C98" t="s">
        <v>931</v>
      </c>
    </row>
    <row r="99" spans="1:3" x14ac:dyDescent="0.3">
      <c r="A99" t="s">
        <v>917</v>
      </c>
      <c r="B99" t="s">
        <v>913</v>
      </c>
    </row>
    <row r="100" spans="1:3" x14ac:dyDescent="0.3">
      <c r="A100" t="s">
        <v>917</v>
      </c>
      <c r="B100" t="s">
        <v>913</v>
      </c>
    </row>
    <row r="101" spans="1:3" x14ac:dyDescent="0.3">
      <c r="B101" t="s">
        <v>913</v>
      </c>
    </row>
    <row r="102" spans="1:3" x14ac:dyDescent="0.3">
      <c r="A102">
        <v>7298790130</v>
      </c>
      <c r="B102" t="s">
        <v>913</v>
      </c>
      <c r="C102" t="s">
        <v>931</v>
      </c>
    </row>
    <row r="103" spans="1:3" x14ac:dyDescent="0.3">
      <c r="A103">
        <v>7288907230</v>
      </c>
      <c r="B103" t="s">
        <v>913</v>
      </c>
      <c r="C103" t="s">
        <v>928</v>
      </c>
    </row>
    <row r="104" spans="1:3" x14ac:dyDescent="0.3">
      <c r="A104">
        <v>7288907230</v>
      </c>
      <c r="B104" t="s">
        <v>913</v>
      </c>
      <c r="C104" t="s">
        <v>928</v>
      </c>
    </row>
    <row r="105" spans="1:3" x14ac:dyDescent="0.3">
      <c r="A105">
        <v>7282559510</v>
      </c>
      <c r="B105" t="s">
        <v>913</v>
      </c>
      <c r="C105" t="s">
        <v>929</v>
      </c>
    </row>
    <row r="106" spans="1:3" x14ac:dyDescent="0.3">
      <c r="A106">
        <v>7278451130</v>
      </c>
      <c r="B106" t="s">
        <v>913</v>
      </c>
      <c r="C106" t="s">
        <v>929</v>
      </c>
    </row>
    <row r="107" spans="1:3" x14ac:dyDescent="0.3">
      <c r="A107">
        <v>7298237430</v>
      </c>
      <c r="B107" t="s">
        <v>913</v>
      </c>
      <c r="C107" t="s">
        <v>931</v>
      </c>
    </row>
    <row r="108" spans="1:3" x14ac:dyDescent="0.3">
      <c r="A108">
        <v>7298237430</v>
      </c>
      <c r="B108" t="s">
        <v>913</v>
      </c>
      <c r="C108" t="s">
        <v>931</v>
      </c>
    </row>
    <row r="109" spans="1:3" x14ac:dyDescent="0.3">
      <c r="A109">
        <v>7298228210</v>
      </c>
      <c r="B109" t="s">
        <v>913</v>
      </c>
      <c r="C109" t="s">
        <v>931</v>
      </c>
    </row>
    <row r="110" spans="1:3" x14ac:dyDescent="0.3">
      <c r="A110">
        <v>7219631630</v>
      </c>
      <c r="B110" t="s">
        <v>914</v>
      </c>
      <c r="C110" t="s">
        <v>931</v>
      </c>
    </row>
    <row r="111" spans="1:3" x14ac:dyDescent="0.3">
      <c r="A111">
        <v>7219631630</v>
      </c>
      <c r="B111" t="s">
        <v>914</v>
      </c>
      <c r="C111" t="s">
        <v>931</v>
      </c>
    </row>
    <row r="112" spans="1:3" x14ac:dyDescent="0.3">
      <c r="A112">
        <v>7219631630</v>
      </c>
      <c r="B112" t="s">
        <v>914</v>
      </c>
      <c r="C112" t="s">
        <v>931</v>
      </c>
    </row>
    <row r="113" spans="1:3" x14ac:dyDescent="0.3">
      <c r="A113">
        <v>7219631630</v>
      </c>
      <c r="B113" t="s">
        <v>914</v>
      </c>
      <c r="C113" t="s">
        <v>931</v>
      </c>
    </row>
    <row r="114" spans="1:3" x14ac:dyDescent="0.3">
      <c r="A114">
        <v>7288907230</v>
      </c>
      <c r="B114" t="s">
        <v>914</v>
      </c>
      <c r="C114" t="s">
        <v>928</v>
      </c>
    </row>
    <row r="115" spans="1:3" x14ac:dyDescent="0.3">
      <c r="A115">
        <v>7298186530</v>
      </c>
      <c r="B115" t="s">
        <v>914</v>
      </c>
      <c r="C115" t="s">
        <v>931</v>
      </c>
    </row>
    <row r="116" spans="1:3" x14ac:dyDescent="0.3">
      <c r="A116">
        <v>7186066580</v>
      </c>
      <c r="B116" t="s">
        <v>914</v>
      </c>
      <c r="C116" t="s">
        <v>931</v>
      </c>
    </row>
    <row r="117" spans="1:3" x14ac:dyDescent="0.3">
      <c r="A117">
        <v>7283464030</v>
      </c>
      <c r="B117" t="s">
        <v>914</v>
      </c>
      <c r="C117" t="s">
        <v>929</v>
      </c>
    </row>
    <row r="118" spans="1:3" x14ac:dyDescent="0.3">
      <c r="A118">
        <v>71860665</v>
      </c>
      <c r="B118" t="s">
        <v>914</v>
      </c>
      <c r="C118" t="s">
        <v>931</v>
      </c>
    </row>
    <row r="119" spans="1:3" x14ac:dyDescent="0.3">
      <c r="A119">
        <v>7289567230</v>
      </c>
      <c r="B119" t="s">
        <v>914</v>
      </c>
      <c r="C119" t="s">
        <v>929</v>
      </c>
    </row>
    <row r="120" spans="1:3" x14ac:dyDescent="0.3">
      <c r="A120">
        <v>7186066560</v>
      </c>
      <c r="B120" t="s">
        <v>914</v>
      </c>
      <c r="C120" t="s">
        <v>931</v>
      </c>
    </row>
    <row r="121" spans="1:3" x14ac:dyDescent="0.3">
      <c r="A121">
        <v>7186066590</v>
      </c>
      <c r="B121" t="s">
        <v>914</v>
      </c>
      <c r="C121" t="s">
        <v>931</v>
      </c>
    </row>
    <row r="122" spans="1:3" x14ac:dyDescent="0.3">
      <c r="A122">
        <v>7298079230</v>
      </c>
      <c r="B122" t="s">
        <v>914</v>
      </c>
      <c r="C122" t="s">
        <v>929</v>
      </c>
    </row>
    <row r="123" spans="1:3" x14ac:dyDescent="0.3">
      <c r="A123">
        <v>72975392</v>
      </c>
      <c r="B123" t="s">
        <v>914</v>
      </c>
      <c r="C123" t="s">
        <v>926</v>
      </c>
    </row>
    <row r="124" spans="1:3" x14ac:dyDescent="0.3">
      <c r="A124">
        <v>7287149830</v>
      </c>
      <c r="B124" t="s">
        <v>914</v>
      </c>
      <c r="C124" t="s">
        <v>884</v>
      </c>
    </row>
    <row r="125" spans="1:3" x14ac:dyDescent="0.3">
      <c r="A125">
        <v>7171192330</v>
      </c>
      <c r="B125" t="s">
        <v>914</v>
      </c>
      <c r="C125" t="s">
        <v>931</v>
      </c>
    </row>
    <row r="126" spans="1:3" x14ac:dyDescent="0.3">
      <c r="A126">
        <v>7171297430</v>
      </c>
      <c r="B126" t="s">
        <v>914</v>
      </c>
      <c r="C126" t="s">
        <v>929</v>
      </c>
    </row>
    <row r="127" spans="1:3" x14ac:dyDescent="0.3">
      <c r="A127">
        <v>7171297430</v>
      </c>
      <c r="B127" t="s">
        <v>914</v>
      </c>
      <c r="C127" t="s">
        <v>929</v>
      </c>
    </row>
    <row r="128" spans="1:3" x14ac:dyDescent="0.3">
      <c r="A128">
        <v>7171297430</v>
      </c>
      <c r="B128" t="s">
        <v>914</v>
      </c>
      <c r="C128" t="s">
        <v>929</v>
      </c>
    </row>
    <row r="129" spans="1:3" x14ac:dyDescent="0.3">
      <c r="A129">
        <v>7298980540</v>
      </c>
      <c r="B129" t="s">
        <v>914</v>
      </c>
      <c r="C129" t="s">
        <v>930</v>
      </c>
    </row>
    <row r="130" spans="1:3" x14ac:dyDescent="0.3">
      <c r="A130">
        <v>7154058630</v>
      </c>
      <c r="B130" t="s">
        <v>914</v>
      </c>
      <c r="C130" t="s">
        <v>929</v>
      </c>
    </row>
    <row r="131" spans="1:3" x14ac:dyDescent="0.3">
      <c r="A131">
        <v>7171192330</v>
      </c>
      <c r="B131" t="s">
        <v>914</v>
      </c>
      <c r="C131" t="s">
        <v>931</v>
      </c>
    </row>
    <row r="132" spans="1:3" x14ac:dyDescent="0.3">
      <c r="A132">
        <v>7287150380</v>
      </c>
      <c r="B132" t="s">
        <v>914</v>
      </c>
      <c r="C132" t="s">
        <v>884</v>
      </c>
    </row>
    <row r="133" spans="1:3" x14ac:dyDescent="0.3">
      <c r="A133">
        <v>7171297430</v>
      </c>
      <c r="B133" t="s">
        <v>914</v>
      </c>
      <c r="C133" t="s">
        <v>929</v>
      </c>
    </row>
    <row r="134" spans="1:3" x14ac:dyDescent="0.3">
      <c r="A134">
        <v>7171297430</v>
      </c>
      <c r="B134" t="s">
        <v>914</v>
      </c>
      <c r="C134" t="s">
        <v>929</v>
      </c>
    </row>
    <row r="135" spans="1:3" x14ac:dyDescent="0.3">
      <c r="A135">
        <v>7298170230</v>
      </c>
      <c r="B135" t="s">
        <v>914</v>
      </c>
      <c r="C135" t="s">
        <v>929</v>
      </c>
    </row>
    <row r="136" spans="1:3" x14ac:dyDescent="0.3">
      <c r="A136">
        <v>7298186530</v>
      </c>
      <c r="B136" t="s">
        <v>914</v>
      </c>
      <c r="C136" t="s">
        <v>931</v>
      </c>
    </row>
    <row r="137" spans="1:3" x14ac:dyDescent="0.3">
      <c r="A137">
        <v>7287018730</v>
      </c>
      <c r="B137" t="s">
        <v>914</v>
      </c>
      <c r="C137" t="s">
        <v>931</v>
      </c>
    </row>
    <row r="138" spans="1:3" x14ac:dyDescent="0.3">
      <c r="A138">
        <v>7219631630</v>
      </c>
      <c r="B138" t="s">
        <v>914</v>
      </c>
      <c r="C138" t="s">
        <v>931</v>
      </c>
    </row>
    <row r="139" spans="1:3" x14ac:dyDescent="0.3">
      <c r="A139">
        <v>7298227830</v>
      </c>
      <c r="B139" t="s">
        <v>914</v>
      </c>
      <c r="C139" t="s">
        <v>931</v>
      </c>
    </row>
    <row r="140" spans="1:3" x14ac:dyDescent="0.3">
      <c r="A140">
        <v>7278451130</v>
      </c>
      <c r="B140" t="s">
        <v>914</v>
      </c>
      <c r="C140" t="s">
        <v>929</v>
      </c>
    </row>
    <row r="141" spans="1:3" x14ac:dyDescent="0.3">
      <c r="A141">
        <v>7288907230</v>
      </c>
      <c r="B141" t="s">
        <v>914</v>
      </c>
      <c r="C141" t="s">
        <v>928</v>
      </c>
    </row>
    <row r="142" spans="1:3" x14ac:dyDescent="0.3">
      <c r="A142">
        <v>7298186530</v>
      </c>
      <c r="B142" t="s">
        <v>914</v>
      </c>
      <c r="C142" t="s">
        <v>931</v>
      </c>
    </row>
    <row r="143" spans="1:3" x14ac:dyDescent="0.3">
      <c r="A143">
        <v>72987902</v>
      </c>
      <c r="B143" t="s">
        <v>914</v>
      </c>
      <c r="C143" t="s">
        <v>931</v>
      </c>
    </row>
    <row r="144" spans="1:3" x14ac:dyDescent="0.3">
      <c r="A144">
        <v>7289909030</v>
      </c>
      <c r="B144" t="s">
        <v>914</v>
      </c>
      <c r="C144" t="s">
        <v>929</v>
      </c>
    </row>
    <row r="145" spans="1:3" x14ac:dyDescent="0.3">
      <c r="A145">
        <v>7298593130</v>
      </c>
      <c r="B145" t="s">
        <v>914</v>
      </c>
      <c r="C145" t="s">
        <v>929</v>
      </c>
    </row>
    <row r="146" spans="1:3" x14ac:dyDescent="0.3">
      <c r="A146">
        <v>7298079230</v>
      </c>
      <c r="B146" t="s">
        <v>914</v>
      </c>
      <c r="C146" t="s">
        <v>929</v>
      </c>
    </row>
    <row r="147" spans="1:3" x14ac:dyDescent="0.3">
      <c r="A147">
        <v>7271295130</v>
      </c>
      <c r="B147" t="s">
        <v>914</v>
      </c>
      <c r="C147" t="s">
        <v>932</v>
      </c>
    </row>
    <row r="148" spans="1:3" x14ac:dyDescent="0.3">
      <c r="A148">
        <v>7287801830</v>
      </c>
      <c r="B148" t="s">
        <v>914</v>
      </c>
      <c r="C148" t="s">
        <v>926</v>
      </c>
    </row>
    <row r="149" spans="1:3" x14ac:dyDescent="0.3">
      <c r="A149">
        <v>7223160530</v>
      </c>
      <c r="B149" t="s">
        <v>914</v>
      </c>
      <c r="C149" t="s">
        <v>929</v>
      </c>
    </row>
    <row r="150" spans="1:3" x14ac:dyDescent="0.3">
      <c r="A150">
        <v>7283464030</v>
      </c>
      <c r="B150" t="s">
        <v>914</v>
      </c>
      <c r="C150" t="s">
        <v>929</v>
      </c>
    </row>
    <row r="151" spans="1:3" x14ac:dyDescent="0.3">
      <c r="A151">
        <v>7219113440</v>
      </c>
      <c r="B151" t="s">
        <v>914</v>
      </c>
      <c r="C151" t="s">
        <v>931</v>
      </c>
    </row>
    <row r="152" spans="1:3" x14ac:dyDescent="0.3">
      <c r="A152">
        <v>7298593130</v>
      </c>
      <c r="B152" t="s">
        <v>914</v>
      </c>
      <c r="C152" t="s">
        <v>929</v>
      </c>
    </row>
    <row r="153" spans="1:3" x14ac:dyDescent="0.3">
      <c r="A153">
        <v>72781797</v>
      </c>
      <c r="B153" t="s">
        <v>914</v>
      </c>
      <c r="C153" t="s">
        <v>930</v>
      </c>
    </row>
    <row r="154" spans="1:3" x14ac:dyDescent="0.3">
      <c r="A154">
        <v>7298237430</v>
      </c>
      <c r="B154" t="s">
        <v>914</v>
      </c>
      <c r="C154" t="s">
        <v>931</v>
      </c>
    </row>
    <row r="155" spans="1:3" x14ac:dyDescent="0.3">
      <c r="A155">
        <v>7298790830</v>
      </c>
      <c r="B155" t="s">
        <v>914</v>
      </c>
      <c r="C155" t="s">
        <v>931</v>
      </c>
    </row>
    <row r="156" spans="1:3" x14ac:dyDescent="0.3">
      <c r="A156">
        <v>7298790830</v>
      </c>
      <c r="B156" t="s">
        <v>914</v>
      </c>
      <c r="C156" t="s">
        <v>931</v>
      </c>
    </row>
    <row r="157" spans="1:3" x14ac:dyDescent="0.3">
      <c r="A157">
        <v>7298186930</v>
      </c>
      <c r="B157" t="s">
        <v>914</v>
      </c>
      <c r="C157" t="s">
        <v>930</v>
      </c>
    </row>
    <row r="158" spans="1:3" x14ac:dyDescent="0.3">
      <c r="A158">
        <v>7298790130</v>
      </c>
      <c r="B158" t="s">
        <v>914</v>
      </c>
      <c r="C158" t="s">
        <v>931</v>
      </c>
    </row>
    <row r="159" spans="1:3" x14ac:dyDescent="0.3">
      <c r="A159">
        <v>7298186530</v>
      </c>
      <c r="B159" t="s">
        <v>914</v>
      </c>
      <c r="C159" t="s">
        <v>931</v>
      </c>
    </row>
    <row r="160" spans="1:3" x14ac:dyDescent="0.3">
      <c r="A160">
        <v>7298186530</v>
      </c>
      <c r="B160" t="s">
        <v>914</v>
      </c>
      <c r="C160" t="s">
        <v>931</v>
      </c>
    </row>
    <row r="161" spans="1:3" x14ac:dyDescent="0.3">
      <c r="A161">
        <v>7298237430</v>
      </c>
      <c r="B161" t="s">
        <v>914</v>
      </c>
      <c r="C161" t="s">
        <v>931</v>
      </c>
    </row>
    <row r="162" spans="1:3" x14ac:dyDescent="0.3">
      <c r="A162">
        <v>7287150380</v>
      </c>
      <c r="B162" t="s">
        <v>914</v>
      </c>
      <c r="C162" t="s">
        <v>884</v>
      </c>
    </row>
    <row r="163" spans="1:3" x14ac:dyDescent="0.3">
      <c r="A163">
        <v>7278121240</v>
      </c>
      <c r="B163" t="s">
        <v>914</v>
      </c>
      <c r="C163" t="s">
        <v>931</v>
      </c>
    </row>
    <row r="164" spans="1:3" x14ac:dyDescent="0.3">
      <c r="A164">
        <v>72897496</v>
      </c>
      <c r="B164" t="s">
        <v>914</v>
      </c>
      <c r="C164" t="s">
        <v>884</v>
      </c>
    </row>
    <row r="165" spans="1:3" x14ac:dyDescent="0.3">
      <c r="A165">
        <v>7298108030</v>
      </c>
      <c r="B165" t="s">
        <v>914</v>
      </c>
      <c r="C165" t="s">
        <v>931</v>
      </c>
    </row>
    <row r="166" spans="1:3" x14ac:dyDescent="0.3">
      <c r="A166">
        <v>7298108030</v>
      </c>
      <c r="B166" t="s">
        <v>914</v>
      </c>
      <c r="C166" t="s">
        <v>931</v>
      </c>
    </row>
    <row r="167" spans="1:3" x14ac:dyDescent="0.3">
      <c r="A167">
        <v>7154075530</v>
      </c>
      <c r="B167" t="s">
        <v>914</v>
      </c>
      <c r="C167" t="s">
        <v>923</v>
      </c>
    </row>
    <row r="168" spans="1:3" x14ac:dyDescent="0.3">
      <c r="A168">
        <v>7154058630</v>
      </c>
      <c r="B168" t="s">
        <v>914</v>
      </c>
      <c r="C168" t="s">
        <v>929</v>
      </c>
    </row>
    <row r="169" spans="1:3" x14ac:dyDescent="0.3">
      <c r="A169">
        <v>7171297430</v>
      </c>
      <c r="B169" t="s">
        <v>914</v>
      </c>
      <c r="C169" t="s">
        <v>929</v>
      </c>
    </row>
    <row r="170" spans="1:3" x14ac:dyDescent="0.3">
      <c r="A170">
        <v>7154026130</v>
      </c>
      <c r="B170" t="s">
        <v>914</v>
      </c>
      <c r="C170" t="s">
        <v>884</v>
      </c>
    </row>
    <row r="171" spans="1:3" x14ac:dyDescent="0.3">
      <c r="A171">
        <v>7004128702</v>
      </c>
      <c r="B171" t="s">
        <v>914</v>
      </c>
      <c r="C171" t="s">
        <v>927</v>
      </c>
    </row>
    <row r="172" spans="1:3" x14ac:dyDescent="0.3">
      <c r="A172">
        <v>7004128702</v>
      </c>
      <c r="B172" t="s">
        <v>914</v>
      </c>
      <c r="C172" t="s">
        <v>927</v>
      </c>
    </row>
    <row r="173" spans="1:3" x14ac:dyDescent="0.3">
      <c r="A173">
        <v>7004128702</v>
      </c>
      <c r="B173" t="s">
        <v>914</v>
      </c>
      <c r="C173" t="s">
        <v>927</v>
      </c>
    </row>
    <row r="174" spans="1:3" x14ac:dyDescent="0.3">
      <c r="A174">
        <v>7004128702</v>
      </c>
      <c r="B174" t="s">
        <v>914</v>
      </c>
      <c r="C174" t="s">
        <v>927</v>
      </c>
    </row>
    <row r="175" spans="1:3" x14ac:dyDescent="0.3">
      <c r="A175">
        <v>7274349370</v>
      </c>
      <c r="B175" t="s">
        <v>915</v>
      </c>
      <c r="C175" t="s">
        <v>923</v>
      </c>
    </row>
    <row r="176" spans="1:3" x14ac:dyDescent="0.3">
      <c r="A176">
        <v>7075218330</v>
      </c>
      <c r="B176" t="s">
        <v>915</v>
      </c>
      <c r="C176" t="s">
        <v>924</v>
      </c>
    </row>
    <row r="177" spans="1:3" x14ac:dyDescent="0.3">
      <c r="A177">
        <v>72975207</v>
      </c>
      <c r="B177" t="s">
        <v>915</v>
      </c>
      <c r="C177" t="s">
        <v>931</v>
      </c>
    </row>
    <row r="178" spans="1:3" x14ac:dyDescent="0.3">
      <c r="A178">
        <v>7234488830</v>
      </c>
      <c r="B178" t="s">
        <v>915</v>
      </c>
      <c r="C178" t="s">
        <v>923</v>
      </c>
    </row>
    <row r="179" spans="1:3" x14ac:dyDescent="0.3">
      <c r="A179">
        <v>71983904</v>
      </c>
      <c r="B179" t="s">
        <v>915</v>
      </c>
      <c r="C179" t="s">
        <v>930</v>
      </c>
    </row>
    <row r="180" spans="1:3" x14ac:dyDescent="0.3">
      <c r="A180">
        <v>7187090580</v>
      </c>
      <c r="B180" t="s">
        <v>915</v>
      </c>
      <c r="C180" t="s">
        <v>931</v>
      </c>
    </row>
    <row r="181" spans="1:3" x14ac:dyDescent="0.3">
      <c r="A181">
        <v>7187090590</v>
      </c>
      <c r="B181" t="s">
        <v>915</v>
      </c>
      <c r="C181" t="s">
        <v>931</v>
      </c>
    </row>
    <row r="182" spans="1:3" x14ac:dyDescent="0.3">
      <c r="A182">
        <v>71870905</v>
      </c>
      <c r="B182" t="s">
        <v>915</v>
      </c>
      <c r="C182" t="s">
        <v>931</v>
      </c>
    </row>
    <row r="183" spans="1:3" x14ac:dyDescent="0.3">
      <c r="A183">
        <v>7187090560</v>
      </c>
      <c r="B183" t="s">
        <v>915</v>
      </c>
      <c r="C183" t="s">
        <v>931</v>
      </c>
    </row>
    <row r="184" spans="1:3" x14ac:dyDescent="0.3">
      <c r="A184" t="s">
        <v>918</v>
      </c>
      <c r="B184" t="s">
        <v>915</v>
      </c>
      <c r="C184" t="s">
        <v>930</v>
      </c>
    </row>
    <row r="185" spans="1:3" x14ac:dyDescent="0.3">
      <c r="A185">
        <v>7289773340</v>
      </c>
      <c r="B185" t="s">
        <v>915</v>
      </c>
      <c r="C185" t="s">
        <v>929</v>
      </c>
    </row>
    <row r="186" spans="1:3" x14ac:dyDescent="0.3">
      <c r="A186" t="s">
        <v>918</v>
      </c>
      <c r="B186" t="s">
        <v>915</v>
      </c>
      <c r="C186" t="s">
        <v>930</v>
      </c>
    </row>
    <row r="187" spans="1:3" x14ac:dyDescent="0.3">
      <c r="A187">
        <v>7154041130</v>
      </c>
      <c r="B187" t="s">
        <v>915</v>
      </c>
      <c r="C187" t="s">
        <v>929</v>
      </c>
    </row>
    <row r="188" spans="1:3" x14ac:dyDescent="0.3">
      <c r="A188">
        <v>7119674430</v>
      </c>
      <c r="B188" t="s">
        <v>915</v>
      </c>
      <c r="C188" t="s">
        <v>931</v>
      </c>
    </row>
    <row r="189" spans="1:3" x14ac:dyDescent="0.3">
      <c r="A189">
        <v>7282374040</v>
      </c>
      <c r="B189" t="s">
        <v>915</v>
      </c>
      <c r="C189" t="s">
        <v>929</v>
      </c>
    </row>
    <row r="190" spans="1:3" x14ac:dyDescent="0.3">
      <c r="A190">
        <v>7186066590</v>
      </c>
      <c r="B190" t="s">
        <v>915</v>
      </c>
      <c r="C190" t="s">
        <v>931</v>
      </c>
    </row>
    <row r="191" spans="1:3" x14ac:dyDescent="0.3">
      <c r="A191">
        <v>71860665</v>
      </c>
      <c r="B191" t="s">
        <v>915</v>
      </c>
      <c r="C191" t="s">
        <v>931</v>
      </c>
    </row>
    <row r="192" spans="1:3" x14ac:dyDescent="0.3">
      <c r="A192">
        <v>7186066560</v>
      </c>
      <c r="B192" t="s">
        <v>915</v>
      </c>
      <c r="C192" t="s">
        <v>931</v>
      </c>
    </row>
    <row r="193" spans="1:3" x14ac:dyDescent="0.3">
      <c r="A193">
        <v>72975392</v>
      </c>
      <c r="B193" t="s">
        <v>915</v>
      </c>
      <c r="C193" t="s">
        <v>926</v>
      </c>
    </row>
    <row r="194" spans="1:3" x14ac:dyDescent="0.3">
      <c r="A194">
        <v>7288907230</v>
      </c>
      <c r="B194" t="s">
        <v>915</v>
      </c>
      <c r="C194" t="s">
        <v>928</v>
      </c>
    </row>
    <row r="195" spans="1:3" x14ac:dyDescent="0.3">
      <c r="A195">
        <v>7119679430</v>
      </c>
      <c r="B195" t="s">
        <v>915</v>
      </c>
      <c r="C195" t="s">
        <v>931</v>
      </c>
    </row>
    <row r="196" spans="1:3" x14ac:dyDescent="0.3">
      <c r="A196">
        <v>7297565530</v>
      </c>
      <c r="B196" t="s">
        <v>915</v>
      </c>
      <c r="C196" t="s">
        <v>926</v>
      </c>
    </row>
    <row r="197" spans="1:3" x14ac:dyDescent="0.3">
      <c r="A197">
        <v>72899966</v>
      </c>
      <c r="B197" t="s">
        <v>915</v>
      </c>
      <c r="C197" t="s">
        <v>930</v>
      </c>
    </row>
    <row r="198" spans="1:3" x14ac:dyDescent="0.3">
      <c r="A198">
        <v>7298200830</v>
      </c>
      <c r="B198" t="s">
        <v>915</v>
      </c>
      <c r="C198" t="s">
        <v>884</v>
      </c>
    </row>
    <row r="199" spans="1:3" x14ac:dyDescent="0.3">
      <c r="A199">
        <v>72780597</v>
      </c>
      <c r="B199" t="s">
        <v>915</v>
      </c>
      <c r="C199" t="s">
        <v>931</v>
      </c>
    </row>
    <row r="200" spans="1:3" x14ac:dyDescent="0.3">
      <c r="A200">
        <v>71196834</v>
      </c>
      <c r="B200" t="s">
        <v>915</v>
      </c>
      <c r="C200" t="s">
        <v>931</v>
      </c>
    </row>
    <row r="201" spans="1:3" x14ac:dyDescent="0.3">
      <c r="A201">
        <v>7119683530</v>
      </c>
      <c r="B201" t="s">
        <v>915</v>
      </c>
      <c r="C201" t="s">
        <v>931</v>
      </c>
    </row>
    <row r="202" spans="1:3" x14ac:dyDescent="0.3">
      <c r="A202">
        <v>7287766270</v>
      </c>
      <c r="B202" t="s">
        <v>915</v>
      </c>
      <c r="C202" t="s">
        <v>931</v>
      </c>
    </row>
    <row r="203" spans="1:3" x14ac:dyDescent="0.3">
      <c r="A203">
        <v>7298150830</v>
      </c>
      <c r="B203" t="s">
        <v>915</v>
      </c>
      <c r="C203" t="s">
        <v>931</v>
      </c>
    </row>
    <row r="204" spans="1:3" x14ac:dyDescent="0.3">
      <c r="A204">
        <v>7223160530</v>
      </c>
      <c r="B204" t="s">
        <v>915</v>
      </c>
      <c r="C204" t="s">
        <v>929</v>
      </c>
    </row>
    <row r="205" spans="1:3" x14ac:dyDescent="0.3">
      <c r="A205">
        <v>7119679830</v>
      </c>
      <c r="B205" t="s">
        <v>915</v>
      </c>
      <c r="C205" t="s">
        <v>930</v>
      </c>
    </row>
    <row r="206" spans="1:3" x14ac:dyDescent="0.3">
      <c r="A206">
        <v>7287143930</v>
      </c>
      <c r="B206" t="s">
        <v>915</v>
      </c>
      <c r="C206" t="s">
        <v>929</v>
      </c>
    </row>
    <row r="207" spans="1:3" x14ac:dyDescent="0.3">
      <c r="A207">
        <v>7219683340</v>
      </c>
      <c r="B207" t="s">
        <v>915</v>
      </c>
      <c r="C207" t="s">
        <v>923</v>
      </c>
    </row>
    <row r="208" spans="1:3" x14ac:dyDescent="0.3">
      <c r="A208">
        <v>7287476780</v>
      </c>
      <c r="B208" t="s">
        <v>915</v>
      </c>
      <c r="C208" t="s">
        <v>931</v>
      </c>
    </row>
    <row r="209" spans="1:3" x14ac:dyDescent="0.3">
      <c r="A209">
        <v>7289862080</v>
      </c>
      <c r="B209" t="s">
        <v>915</v>
      </c>
      <c r="C209" t="s">
        <v>930</v>
      </c>
    </row>
    <row r="210" spans="1:3" x14ac:dyDescent="0.3">
      <c r="A210">
        <v>72782561</v>
      </c>
      <c r="B210" t="s">
        <v>915</v>
      </c>
      <c r="C210" t="s">
        <v>931</v>
      </c>
    </row>
    <row r="211" spans="1:3" x14ac:dyDescent="0.3">
      <c r="A211">
        <v>72975392</v>
      </c>
      <c r="B211" t="s">
        <v>915</v>
      </c>
      <c r="C211" t="s">
        <v>926</v>
      </c>
    </row>
    <row r="212" spans="1:3" x14ac:dyDescent="0.3">
      <c r="A212">
        <v>7222740630</v>
      </c>
      <c r="B212" t="s">
        <v>915</v>
      </c>
      <c r="C212" t="s">
        <v>929</v>
      </c>
    </row>
    <row r="213" spans="1:3" x14ac:dyDescent="0.3">
      <c r="A213">
        <v>7119185330</v>
      </c>
      <c r="B213" t="s">
        <v>915</v>
      </c>
      <c r="C213" t="s">
        <v>931</v>
      </c>
    </row>
    <row r="214" spans="1:3" x14ac:dyDescent="0.3">
      <c r="A214">
        <v>7119185640</v>
      </c>
      <c r="B214" t="s">
        <v>915</v>
      </c>
      <c r="C214" t="s">
        <v>931</v>
      </c>
    </row>
    <row r="215" spans="1:3" x14ac:dyDescent="0.3">
      <c r="A215">
        <v>71781755</v>
      </c>
      <c r="B215" t="s">
        <v>915</v>
      </c>
      <c r="C215" t="s">
        <v>931</v>
      </c>
    </row>
    <row r="216" spans="1:3" x14ac:dyDescent="0.3">
      <c r="A216">
        <v>7178170830</v>
      </c>
      <c r="B216" t="s">
        <v>915</v>
      </c>
      <c r="C216" t="s">
        <v>931</v>
      </c>
    </row>
    <row r="217" spans="1:3" x14ac:dyDescent="0.3">
      <c r="A217">
        <v>7186066560</v>
      </c>
      <c r="B217" t="s">
        <v>915</v>
      </c>
      <c r="C217" t="s">
        <v>931</v>
      </c>
    </row>
    <row r="218" spans="1:3" x14ac:dyDescent="0.3">
      <c r="A218">
        <v>71860665</v>
      </c>
      <c r="B218" t="s">
        <v>915</v>
      </c>
      <c r="C218" t="s">
        <v>931</v>
      </c>
    </row>
    <row r="219" spans="1:3" x14ac:dyDescent="0.3">
      <c r="A219">
        <v>72888940</v>
      </c>
      <c r="B219" t="s">
        <v>915</v>
      </c>
      <c r="C219" t="s">
        <v>929</v>
      </c>
    </row>
    <row r="220" spans="1:3" x14ac:dyDescent="0.3">
      <c r="A220">
        <v>7278197730</v>
      </c>
      <c r="B220" t="s">
        <v>915</v>
      </c>
      <c r="C220" t="s">
        <v>931</v>
      </c>
    </row>
    <row r="221" spans="1:3" x14ac:dyDescent="0.3">
      <c r="A221">
        <v>7289778240</v>
      </c>
      <c r="B221" t="s">
        <v>915</v>
      </c>
      <c r="C221" t="s">
        <v>931</v>
      </c>
    </row>
    <row r="222" spans="1:3" x14ac:dyDescent="0.3">
      <c r="A222">
        <v>7154041130</v>
      </c>
      <c r="B222" t="s">
        <v>915</v>
      </c>
      <c r="C222" t="s">
        <v>929</v>
      </c>
    </row>
    <row r="223" spans="1:3" x14ac:dyDescent="0.3">
      <c r="A223">
        <v>7154075530</v>
      </c>
      <c r="B223" t="s">
        <v>915</v>
      </c>
      <c r="C223" t="s">
        <v>923</v>
      </c>
    </row>
    <row r="224" spans="1:3" x14ac:dyDescent="0.3">
      <c r="A224">
        <v>7298186530</v>
      </c>
      <c r="B224" t="s">
        <v>915</v>
      </c>
      <c r="C224" t="s">
        <v>931</v>
      </c>
    </row>
    <row r="225" spans="1:3" x14ac:dyDescent="0.3">
      <c r="A225" t="s">
        <v>919</v>
      </c>
      <c r="B225" t="s">
        <v>915</v>
      </c>
      <c r="C225" t="s">
        <v>930</v>
      </c>
    </row>
    <row r="226" spans="1:3" x14ac:dyDescent="0.3">
      <c r="A226">
        <v>7278197730</v>
      </c>
      <c r="B226" t="s">
        <v>915</v>
      </c>
      <c r="C226" t="s">
        <v>931</v>
      </c>
    </row>
    <row r="227" spans="1:3" x14ac:dyDescent="0.3">
      <c r="A227">
        <v>7287011790</v>
      </c>
      <c r="B227" t="s">
        <v>915</v>
      </c>
      <c r="C227" t="s">
        <v>884</v>
      </c>
    </row>
    <row r="228" spans="1:3" x14ac:dyDescent="0.3">
      <c r="A228">
        <v>72780597</v>
      </c>
      <c r="B228" t="s">
        <v>915</v>
      </c>
      <c r="C228" t="s">
        <v>931</v>
      </c>
    </row>
    <row r="229" spans="1:3" x14ac:dyDescent="0.3">
      <c r="A229" t="s">
        <v>920</v>
      </c>
      <c r="B229" t="s">
        <v>915</v>
      </c>
    </row>
    <row r="230" spans="1:3" x14ac:dyDescent="0.3">
      <c r="A230">
        <v>7278179230</v>
      </c>
      <c r="B230" t="s">
        <v>915</v>
      </c>
      <c r="C230" t="s">
        <v>931</v>
      </c>
    </row>
    <row r="231" spans="1:3" x14ac:dyDescent="0.3">
      <c r="A231">
        <v>7287782930</v>
      </c>
      <c r="B231" t="s">
        <v>915</v>
      </c>
      <c r="C231" t="s">
        <v>931</v>
      </c>
    </row>
    <row r="232" spans="1:3" x14ac:dyDescent="0.3">
      <c r="A232">
        <v>72780597</v>
      </c>
      <c r="B232" t="s">
        <v>915</v>
      </c>
      <c r="C232" t="s">
        <v>931</v>
      </c>
    </row>
    <row r="233" spans="1:3" x14ac:dyDescent="0.3">
      <c r="A233">
        <v>7219116640</v>
      </c>
      <c r="B233" t="s">
        <v>915</v>
      </c>
      <c r="C233" t="s">
        <v>931</v>
      </c>
    </row>
    <row r="234" spans="1:3" x14ac:dyDescent="0.3">
      <c r="A234">
        <v>7119675830</v>
      </c>
      <c r="B234" t="s">
        <v>915</v>
      </c>
      <c r="C234" t="s">
        <v>931</v>
      </c>
    </row>
    <row r="235" spans="1:3" x14ac:dyDescent="0.3">
      <c r="A235">
        <v>71837758</v>
      </c>
      <c r="B235" t="s">
        <v>915</v>
      </c>
      <c r="C235" t="s">
        <v>931</v>
      </c>
    </row>
    <row r="236" spans="1:3" x14ac:dyDescent="0.3">
      <c r="A236">
        <v>7283907630</v>
      </c>
      <c r="B236" t="s">
        <v>915</v>
      </c>
      <c r="C236" t="s">
        <v>931</v>
      </c>
    </row>
    <row r="237" spans="1:3" x14ac:dyDescent="0.3">
      <c r="A237">
        <v>71837758</v>
      </c>
      <c r="B237" t="s">
        <v>915</v>
      </c>
      <c r="C237" t="s">
        <v>931</v>
      </c>
    </row>
    <row r="238" spans="1:3" x14ac:dyDescent="0.3">
      <c r="A238">
        <v>72878592</v>
      </c>
      <c r="B238" t="s">
        <v>915</v>
      </c>
      <c r="C238" t="s">
        <v>931</v>
      </c>
    </row>
    <row r="239" spans="1:3" x14ac:dyDescent="0.3">
      <c r="A239">
        <v>71191147</v>
      </c>
      <c r="B239" t="s">
        <v>915</v>
      </c>
      <c r="C239" t="s">
        <v>931</v>
      </c>
    </row>
    <row r="240" spans="1:3" x14ac:dyDescent="0.3">
      <c r="A240">
        <v>7274333840</v>
      </c>
      <c r="B240" t="s">
        <v>915</v>
      </c>
      <c r="C240" t="s">
        <v>923</v>
      </c>
    </row>
    <row r="241" spans="1:3" x14ac:dyDescent="0.3">
      <c r="A241">
        <v>7154075530</v>
      </c>
      <c r="B241" t="s">
        <v>915</v>
      </c>
      <c r="C241" t="s">
        <v>923</v>
      </c>
    </row>
    <row r="242" spans="1:3" x14ac:dyDescent="0.3">
      <c r="A242">
        <v>71237437</v>
      </c>
      <c r="B242" t="s">
        <v>915</v>
      </c>
      <c r="C242" t="s">
        <v>931</v>
      </c>
    </row>
    <row r="243" spans="1:3" x14ac:dyDescent="0.3">
      <c r="A243">
        <v>7278179230</v>
      </c>
      <c r="B243" t="s">
        <v>915</v>
      </c>
      <c r="C243" t="s">
        <v>931</v>
      </c>
    </row>
    <row r="244" spans="1:3" x14ac:dyDescent="0.3">
      <c r="A244">
        <v>7178170830</v>
      </c>
      <c r="B244" t="s">
        <v>915</v>
      </c>
      <c r="C244" t="s">
        <v>931</v>
      </c>
    </row>
    <row r="245" spans="1:3" x14ac:dyDescent="0.3">
      <c r="A245">
        <v>71781755</v>
      </c>
      <c r="B245" t="s">
        <v>915</v>
      </c>
      <c r="C245" t="s">
        <v>931</v>
      </c>
    </row>
    <row r="246" spans="1:3" x14ac:dyDescent="0.3">
      <c r="A246">
        <v>7278121430</v>
      </c>
      <c r="B246" t="s">
        <v>915</v>
      </c>
      <c r="C246" t="s">
        <v>931</v>
      </c>
    </row>
    <row r="247" spans="1:3" x14ac:dyDescent="0.3">
      <c r="A247">
        <v>7283220130</v>
      </c>
      <c r="B247" t="s">
        <v>915</v>
      </c>
      <c r="C247" t="s">
        <v>931</v>
      </c>
    </row>
    <row r="248" spans="1:3" x14ac:dyDescent="0.3">
      <c r="A248">
        <v>72894030</v>
      </c>
      <c r="B248" t="s">
        <v>915</v>
      </c>
      <c r="C248" t="s">
        <v>931</v>
      </c>
    </row>
    <row r="249" spans="1:3" x14ac:dyDescent="0.3">
      <c r="A249">
        <v>7278121430</v>
      </c>
      <c r="B249" t="s">
        <v>915</v>
      </c>
      <c r="C249" t="s">
        <v>931</v>
      </c>
    </row>
    <row r="250" spans="1:3" x14ac:dyDescent="0.3">
      <c r="A250">
        <v>7278059630</v>
      </c>
      <c r="B250" t="s">
        <v>915</v>
      </c>
      <c r="C250" t="s">
        <v>931</v>
      </c>
    </row>
    <row r="251" spans="1:3" x14ac:dyDescent="0.3">
      <c r="A251">
        <v>72781797</v>
      </c>
      <c r="B251" t="s">
        <v>915</v>
      </c>
      <c r="C251" t="s">
        <v>930</v>
      </c>
    </row>
    <row r="252" spans="1:3" x14ac:dyDescent="0.3">
      <c r="A252">
        <v>7219176430</v>
      </c>
      <c r="B252" t="s">
        <v>915</v>
      </c>
      <c r="C252" t="s">
        <v>931</v>
      </c>
    </row>
    <row r="253" spans="1:3" x14ac:dyDescent="0.3">
      <c r="A253">
        <v>7277186830</v>
      </c>
      <c r="B253" t="s">
        <v>915</v>
      </c>
      <c r="C253" t="s">
        <v>929</v>
      </c>
    </row>
    <row r="254" spans="1:3" x14ac:dyDescent="0.3">
      <c r="A254">
        <v>7283220090</v>
      </c>
      <c r="B254" t="s">
        <v>915</v>
      </c>
      <c r="C254" t="s">
        <v>923</v>
      </c>
    </row>
    <row r="255" spans="1:3" x14ac:dyDescent="0.3">
      <c r="A255">
        <v>7178197530</v>
      </c>
      <c r="B255" t="s">
        <v>915</v>
      </c>
      <c r="C255" t="s">
        <v>931</v>
      </c>
    </row>
    <row r="256" spans="1:3" x14ac:dyDescent="0.3">
      <c r="A256">
        <v>7297565530</v>
      </c>
      <c r="B256" t="s">
        <v>915</v>
      </c>
      <c r="C256" t="s">
        <v>926</v>
      </c>
    </row>
    <row r="257" spans="1:3" x14ac:dyDescent="0.3">
      <c r="A257">
        <v>72975207</v>
      </c>
      <c r="B257" t="s">
        <v>915</v>
      </c>
      <c r="C257" t="s">
        <v>931</v>
      </c>
    </row>
    <row r="258" spans="1:3" x14ac:dyDescent="0.3">
      <c r="A258">
        <v>7183384830</v>
      </c>
      <c r="B258" t="s">
        <v>915</v>
      </c>
      <c r="C258" t="s">
        <v>931</v>
      </c>
    </row>
    <row r="259" spans="1:3" x14ac:dyDescent="0.3">
      <c r="A259">
        <v>72782146</v>
      </c>
      <c r="B259" t="s">
        <v>915</v>
      </c>
      <c r="C259" t="s">
        <v>930</v>
      </c>
    </row>
    <row r="260" spans="1:3" x14ac:dyDescent="0.3">
      <c r="A260">
        <v>72838660</v>
      </c>
      <c r="B260" t="s">
        <v>915</v>
      </c>
      <c r="C260" t="s">
        <v>931</v>
      </c>
    </row>
    <row r="261" spans="1:3" x14ac:dyDescent="0.3">
      <c r="A261">
        <v>7298250930</v>
      </c>
      <c r="B261" t="s">
        <v>915</v>
      </c>
      <c r="C261" t="s">
        <v>931</v>
      </c>
    </row>
    <row r="262" spans="1:3" x14ac:dyDescent="0.3">
      <c r="A262">
        <v>72894030</v>
      </c>
      <c r="B262" t="s">
        <v>915</v>
      </c>
      <c r="C262" t="s">
        <v>931</v>
      </c>
    </row>
    <row r="263" spans="1:3" x14ac:dyDescent="0.3">
      <c r="A263">
        <v>72897732</v>
      </c>
      <c r="B263" t="s">
        <v>915</v>
      </c>
      <c r="C263" t="s">
        <v>930</v>
      </c>
    </row>
    <row r="264" spans="1:3" x14ac:dyDescent="0.3">
      <c r="A264">
        <v>71837758</v>
      </c>
      <c r="B264" t="s">
        <v>915</v>
      </c>
      <c r="C264" t="s">
        <v>931</v>
      </c>
    </row>
    <row r="265" spans="1:3" x14ac:dyDescent="0.3">
      <c r="A265">
        <v>77183384830</v>
      </c>
      <c r="B265" t="s">
        <v>915</v>
      </c>
      <c r="C265" t="s">
        <v>931</v>
      </c>
    </row>
    <row r="266" spans="1:3" x14ac:dyDescent="0.3">
      <c r="A266">
        <v>7278179230</v>
      </c>
      <c r="B266" t="s">
        <v>915</v>
      </c>
      <c r="C266" t="s">
        <v>931</v>
      </c>
    </row>
    <row r="267" spans="1:3" x14ac:dyDescent="0.3">
      <c r="A267">
        <v>72781797</v>
      </c>
      <c r="B267" t="s">
        <v>915</v>
      </c>
      <c r="C267" t="s">
        <v>930</v>
      </c>
    </row>
    <row r="268" spans="1:3" x14ac:dyDescent="0.3">
      <c r="A268">
        <v>7075218330</v>
      </c>
      <c r="B268" t="s">
        <v>915</v>
      </c>
      <c r="C268" t="s">
        <v>924</v>
      </c>
    </row>
    <row r="269" spans="1:3" x14ac:dyDescent="0.3">
      <c r="A269">
        <v>7298108030</v>
      </c>
      <c r="B269" t="s">
        <v>915</v>
      </c>
      <c r="C269" t="s">
        <v>931</v>
      </c>
    </row>
    <row r="270" spans="1:3" x14ac:dyDescent="0.3">
      <c r="A270">
        <v>7298108030</v>
      </c>
      <c r="B270" t="s">
        <v>915</v>
      </c>
      <c r="C270" t="s">
        <v>931</v>
      </c>
    </row>
    <row r="271" spans="1:3" x14ac:dyDescent="0.3">
      <c r="A271">
        <v>7289749530</v>
      </c>
      <c r="B271" t="s">
        <v>915</v>
      </c>
      <c r="C271" t="s">
        <v>884</v>
      </c>
    </row>
    <row r="272" spans="1:3" x14ac:dyDescent="0.3">
      <c r="A272">
        <v>7278059630</v>
      </c>
      <c r="B272" t="s">
        <v>915</v>
      </c>
      <c r="C272" t="s">
        <v>931</v>
      </c>
    </row>
    <row r="273" spans="1:3" x14ac:dyDescent="0.3">
      <c r="A273" t="s">
        <v>920</v>
      </c>
      <c r="B273" t="s">
        <v>915</v>
      </c>
    </row>
    <row r="274" spans="1:3" x14ac:dyDescent="0.3">
      <c r="A274" t="s">
        <v>920</v>
      </c>
      <c r="B274" t="s">
        <v>915</v>
      </c>
    </row>
    <row r="275" spans="1:3" x14ac:dyDescent="0.3">
      <c r="A275">
        <v>74752895</v>
      </c>
      <c r="B275" t="s">
        <v>915</v>
      </c>
      <c r="C275" t="s">
        <v>929</v>
      </c>
    </row>
    <row r="276" spans="1:3" x14ac:dyDescent="0.3">
      <c r="A276">
        <v>74752895</v>
      </c>
      <c r="B276" t="s">
        <v>915</v>
      </c>
      <c r="C276" t="s">
        <v>929</v>
      </c>
    </row>
    <row r="277" spans="1:3" x14ac:dyDescent="0.3">
      <c r="A277" t="s">
        <v>920</v>
      </c>
      <c r="B277" t="s">
        <v>915</v>
      </c>
    </row>
    <row r="278" spans="1:3" x14ac:dyDescent="0.3">
      <c r="A278">
        <v>7278121430</v>
      </c>
      <c r="B278" t="s">
        <v>915</v>
      </c>
      <c r="C278" t="s">
        <v>931</v>
      </c>
    </row>
    <row r="279" spans="1:3" x14ac:dyDescent="0.3">
      <c r="A279">
        <v>7289909030</v>
      </c>
      <c r="B279" t="s">
        <v>915</v>
      </c>
      <c r="C279" t="s">
        <v>929</v>
      </c>
    </row>
    <row r="280" spans="1:3" x14ac:dyDescent="0.3">
      <c r="A280">
        <v>7219192930</v>
      </c>
      <c r="B280" t="s">
        <v>915</v>
      </c>
      <c r="C280" t="s">
        <v>931</v>
      </c>
    </row>
    <row r="281" spans="1:3" x14ac:dyDescent="0.3">
      <c r="A281">
        <v>7219192930</v>
      </c>
      <c r="B281" t="s">
        <v>915</v>
      </c>
      <c r="C281" t="s">
        <v>931</v>
      </c>
    </row>
    <row r="282" spans="1:3" x14ac:dyDescent="0.3">
      <c r="A282">
        <v>72980784</v>
      </c>
      <c r="B282" t="s">
        <v>915</v>
      </c>
      <c r="C282" t="s">
        <v>931</v>
      </c>
    </row>
    <row r="283" spans="1:3" x14ac:dyDescent="0.3">
      <c r="A283" t="s">
        <v>920</v>
      </c>
      <c r="B283" t="s">
        <v>915</v>
      </c>
    </row>
    <row r="284" spans="1:3" x14ac:dyDescent="0.3">
      <c r="A284" t="s">
        <v>920</v>
      </c>
      <c r="B284" t="s">
        <v>915</v>
      </c>
    </row>
    <row r="285" spans="1:3" x14ac:dyDescent="0.3">
      <c r="A285">
        <v>72868813</v>
      </c>
      <c r="B285" t="s">
        <v>915</v>
      </c>
      <c r="C285" t="s">
        <v>929</v>
      </c>
    </row>
    <row r="286" spans="1:3" x14ac:dyDescent="0.3">
      <c r="A286">
        <v>7219176430</v>
      </c>
      <c r="B286" t="s">
        <v>934</v>
      </c>
      <c r="C286" t="s">
        <v>931</v>
      </c>
    </row>
    <row r="287" spans="1:3" x14ac:dyDescent="0.3">
      <c r="A287">
        <v>7219176430</v>
      </c>
      <c r="B287" t="s">
        <v>934</v>
      </c>
      <c r="C287" t="s">
        <v>931</v>
      </c>
    </row>
    <row r="288" spans="1:3" x14ac:dyDescent="0.3">
      <c r="A288">
        <v>7298593130</v>
      </c>
      <c r="B288" t="s">
        <v>934</v>
      </c>
      <c r="C288" t="s">
        <v>929</v>
      </c>
    </row>
    <row r="289" spans="1:3" x14ac:dyDescent="0.3">
      <c r="A289">
        <v>7298593130</v>
      </c>
      <c r="B289" t="s">
        <v>934</v>
      </c>
      <c r="C289" t="s">
        <v>929</v>
      </c>
    </row>
    <row r="290" spans="1:3" x14ac:dyDescent="0.3">
      <c r="A290">
        <v>7289401730</v>
      </c>
      <c r="B290" t="s">
        <v>934</v>
      </c>
      <c r="C290" t="s">
        <v>931</v>
      </c>
    </row>
    <row r="291" spans="1:3" x14ac:dyDescent="0.3">
      <c r="A291">
        <v>7298228030</v>
      </c>
      <c r="B291" t="s">
        <v>934</v>
      </c>
      <c r="C291" t="s">
        <v>931</v>
      </c>
    </row>
    <row r="292" spans="1:3" x14ac:dyDescent="0.3">
      <c r="A292">
        <v>7183755830</v>
      </c>
      <c r="B292" t="s">
        <v>934</v>
      </c>
      <c r="C292" t="s">
        <v>931</v>
      </c>
    </row>
    <row r="293" spans="1:3" x14ac:dyDescent="0.3">
      <c r="A293">
        <v>7278261830</v>
      </c>
      <c r="B293" t="s">
        <v>934</v>
      </c>
      <c r="C293" t="s">
        <v>931</v>
      </c>
    </row>
    <row r="294" spans="1:3" x14ac:dyDescent="0.3">
      <c r="A294">
        <v>7298228030</v>
      </c>
      <c r="B294" t="s">
        <v>934</v>
      </c>
      <c r="C294" t="s">
        <v>931</v>
      </c>
    </row>
    <row r="295" spans="1:3" x14ac:dyDescent="0.3">
      <c r="A295">
        <v>7298790330</v>
      </c>
      <c r="B295" t="s">
        <v>934</v>
      </c>
      <c r="C295" t="s">
        <v>931</v>
      </c>
    </row>
    <row r="296" spans="1:3" x14ac:dyDescent="0.3">
      <c r="A296">
        <v>7298790330</v>
      </c>
      <c r="B296" t="s">
        <v>934</v>
      </c>
      <c r="C296" t="s">
        <v>931</v>
      </c>
    </row>
    <row r="297" spans="1:3" x14ac:dyDescent="0.3">
      <c r="A297">
        <v>7298790330</v>
      </c>
      <c r="B297" t="s">
        <v>934</v>
      </c>
      <c r="C297" t="s">
        <v>931</v>
      </c>
    </row>
    <row r="298" spans="1:3" x14ac:dyDescent="0.3">
      <c r="A298">
        <v>7298790330</v>
      </c>
      <c r="B298" t="s">
        <v>934</v>
      </c>
      <c r="C298" t="s">
        <v>931</v>
      </c>
    </row>
    <row r="299" spans="1:3" x14ac:dyDescent="0.3">
      <c r="A299">
        <v>7298790330</v>
      </c>
      <c r="B299" t="s">
        <v>934</v>
      </c>
      <c r="C299" t="s">
        <v>931</v>
      </c>
    </row>
    <row r="300" spans="1:3" x14ac:dyDescent="0.3">
      <c r="A300">
        <v>7298790330</v>
      </c>
      <c r="B300" t="s">
        <v>934</v>
      </c>
      <c r="C300" t="s">
        <v>931</v>
      </c>
    </row>
    <row r="301" spans="1:3" x14ac:dyDescent="0.3">
      <c r="A301">
        <v>7287149830</v>
      </c>
      <c r="B301" t="s">
        <v>934</v>
      </c>
      <c r="C301" t="s">
        <v>884</v>
      </c>
    </row>
    <row r="302" spans="1:3" x14ac:dyDescent="0.3">
      <c r="A302">
        <v>7278261830</v>
      </c>
      <c r="B302" t="s">
        <v>934</v>
      </c>
      <c r="C302" t="s">
        <v>931</v>
      </c>
    </row>
    <row r="303" spans="1:3" x14ac:dyDescent="0.3">
      <c r="B303" t="s">
        <v>934</v>
      </c>
    </row>
    <row r="304" spans="1:3" x14ac:dyDescent="0.3">
      <c r="A304">
        <v>7298593130</v>
      </c>
      <c r="B304" t="s">
        <v>934</v>
      </c>
      <c r="C304" t="s">
        <v>929</v>
      </c>
    </row>
    <row r="305" spans="1:3" x14ac:dyDescent="0.3">
      <c r="A305">
        <v>7278261830</v>
      </c>
      <c r="B305" t="s">
        <v>934</v>
      </c>
      <c r="C305" t="s">
        <v>931</v>
      </c>
    </row>
    <row r="306" spans="1:3" x14ac:dyDescent="0.3">
      <c r="A306">
        <v>7298790330</v>
      </c>
      <c r="B306" t="s">
        <v>934</v>
      </c>
      <c r="C306" t="s">
        <v>931</v>
      </c>
    </row>
    <row r="307" spans="1:3" x14ac:dyDescent="0.3">
      <c r="A307">
        <v>7298790330</v>
      </c>
      <c r="B307" t="s">
        <v>934</v>
      </c>
      <c r="C307" t="s">
        <v>931</v>
      </c>
    </row>
    <row r="308" spans="1:3" x14ac:dyDescent="0.3">
      <c r="A308">
        <v>7298790330</v>
      </c>
      <c r="B308" t="s">
        <v>934</v>
      </c>
      <c r="C308" t="s">
        <v>931</v>
      </c>
    </row>
    <row r="309" spans="1:3" x14ac:dyDescent="0.3">
      <c r="A309">
        <v>7298790330</v>
      </c>
      <c r="B309" t="s">
        <v>934</v>
      </c>
      <c r="C309" t="s">
        <v>931</v>
      </c>
    </row>
    <row r="310" spans="1:3" x14ac:dyDescent="0.3">
      <c r="A310">
        <v>7278261830</v>
      </c>
      <c r="B310" t="s">
        <v>934</v>
      </c>
      <c r="C310" t="s">
        <v>931</v>
      </c>
    </row>
    <row r="311" spans="1:3" x14ac:dyDescent="0.3">
      <c r="A311">
        <v>7283526130</v>
      </c>
      <c r="B311" t="s">
        <v>934</v>
      </c>
      <c r="C311" t="s">
        <v>931</v>
      </c>
    </row>
    <row r="312" spans="1:3" x14ac:dyDescent="0.3">
      <c r="A312">
        <v>7298593130</v>
      </c>
      <c r="B312" t="s">
        <v>934</v>
      </c>
      <c r="C312" t="s">
        <v>929</v>
      </c>
    </row>
    <row r="313" spans="1:3" x14ac:dyDescent="0.3">
      <c r="A313">
        <v>7219176430</v>
      </c>
      <c r="B313" t="s">
        <v>934</v>
      </c>
      <c r="C313" t="s">
        <v>931</v>
      </c>
    </row>
    <row r="314" spans="1:3" x14ac:dyDescent="0.3">
      <c r="A314">
        <v>7219176430</v>
      </c>
      <c r="B314" t="s">
        <v>934</v>
      </c>
      <c r="C314" t="s">
        <v>931</v>
      </c>
    </row>
    <row r="315" spans="1:3" x14ac:dyDescent="0.3">
      <c r="A315">
        <v>7298186930</v>
      </c>
      <c r="B315" t="s">
        <v>934</v>
      </c>
      <c r="C315" t="s">
        <v>930</v>
      </c>
    </row>
    <row r="316" spans="1:3" x14ac:dyDescent="0.3">
      <c r="A316">
        <v>7298186530</v>
      </c>
      <c r="B316" t="s">
        <v>934</v>
      </c>
      <c r="C316" t="s">
        <v>931</v>
      </c>
    </row>
    <row r="317" spans="1:3" x14ac:dyDescent="0.3">
      <c r="A317">
        <v>7298186530</v>
      </c>
      <c r="B317" t="s">
        <v>934</v>
      </c>
      <c r="C317" t="s">
        <v>931</v>
      </c>
    </row>
    <row r="318" spans="1:3" x14ac:dyDescent="0.3">
      <c r="A318">
        <v>7298790830</v>
      </c>
      <c r="B318" t="s">
        <v>934</v>
      </c>
      <c r="C318" t="s">
        <v>931</v>
      </c>
    </row>
    <row r="319" spans="1:3" x14ac:dyDescent="0.3">
      <c r="A319">
        <v>7298790330</v>
      </c>
      <c r="B319" t="s">
        <v>934</v>
      </c>
      <c r="C319" t="s">
        <v>931</v>
      </c>
    </row>
    <row r="320" spans="1:3" x14ac:dyDescent="0.3">
      <c r="A320">
        <v>7298790330</v>
      </c>
      <c r="B320" t="s">
        <v>934</v>
      </c>
      <c r="C320" t="s">
        <v>931</v>
      </c>
    </row>
  </sheetData>
  <conditionalFormatting sqref="A18:A320">
    <cfRule type="duplicateValues" dxfId="10" priority="1"/>
  </conditionalFormatting>
  <pageMargins left="0.7" right="0.7" top="0.75" bottom="0.75" header="0.3" footer="0.3"/>
  <tableParts count="1">
    <tablePart r:id="rId1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D906E3-0E0E-46FD-9152-69AC40496459}">
  <sheetPr codeName="Sheet18"/>
  <dimension ref="A1:D268"/>
  <sheetViews>
    <sheetView topLeftCell="A128" zoomScale="160" zoomScaleNormal="160" workbookViewId="0">
      <selection activeCell="H266" sqref="H266"/>
    </sheetView>
  </sheetViews>
  <sheetFormatPr defaultRowHeight="14.4" x14ac:dyDescent="0.3"/>
  <cols>
    <col min="1" max="1" width="16.44140625" bestFit="1" customWidth="1"/>
    <col min="3" max="3" width="24.33203125" bestFit="1" customWidth="1"/>
  </cols>
  <sheetData>
    <row r="1" spans="1:4" x14ac:dyDescent="0.3">
      <c r="A1" t="s">
        <v>921</v>
      </c>
      <c r="B1" t="s">
        <v>922</v>
      </c>
      <c r="C1" t="s">
        <v>925</v>
      </c>
      <c r="D1" t="s">
        <v>873</v>
      </c>
    </row>
    <row r="2" spans="1:4" x14ac:dyDescent="0.3">
      <c r="A2">
        <v>7289724330</v>
      </c>
      <c r="B2" t="s">
        <v>912</v>
      </c>
    </row>
    <row r="3" spans="1:4" x14ac:dyDescent="0.3">
      <c r="A3">
        <v>7298186930</v>
      </c>
      <c r="B3" t="s">
        <v>912</v>
      </c>
    </row>
    <row r="4" spans="1:4" x14ac:dyDescent="0.3">
      <c r="A4">
        <v>72888941</v>
      </c>
      <c r="B4" t="s">
        <v>912</v>
      </c>
    </row>
    <row r="5" spans="1:4" x14ac:dyDescent="0.3">
      <c r="A5">
        <v>7278442030</v>
      </c>
      <c r="B5" t="s">
        <v>912</v>
      </c>
    </row>
    <row r="6" spans="1:4" x14ac:dyDescent="0.3">
      <c r="A6">
        <v>72985208</v>
      </c>
      <c r="B6" t="s">
        <v>912</v>
      </c>
    </row>
    <row r="7" spans="1:4" x14ac:dyDescent="0.3">
      <c r="A7">
        <v>7298150830</v>
      </c>
      <c r="B7" t="s">
        <v>912</v>
      </c>
    </row>
    <row r="8" spans="1:4" x14ac:dyDescent="0.3">
      <c r="A8">
        <v>7198460730</v>
      </c>
      <c r="B8" t="s">
        <v>912</v>
      </c>
    </row>
    <row r="9" spans="1:4" x14ac:dyDescent="0.3">
      <c r="A9">
        <v>7298108030</v>
      </c>
      <c r="B9" t="s">
        <v>912</v>
      </c>
    </row>
    <row r="10" spans="1:4" x14ac:dyDescent="0.3">
      <c r="A10">
        <v>7298154930</v>
      </c>
      <c r="B10" t="s">
        <v>912</v>
      </c>
    </row>
    <row r="11" spans="1:4" x14ac:dyDescent="0.3">
      <c r="B11" t="s">
        <v>912</v>
      </c>
    </row>
    <row r="12" spans="1:4" x14ac:dyDescent="0.3">
      <c r="A12">
        <v>7289724330</v>
      </c>
      <c r="B12" t="s">
        <v>912</v>
      </c>
    </row>
    <row r="13" spans="1:4" x14ac:dyDescent="0.3">
      <c r="A13">
        <v>7278271940</v>
      </c>
      <c r="B13" t="s">
        <v>912</v>
      </c>
    </row>
    <row r="14" spans="1:4" x14ac:dyDescent="0.3">
      <c r="A14">
        <v>7298186930</v>
      </c>
      <c r="B14" t="s">
        <v>912</v>
      </c>
    </row>
    <row r="15" spans="1:4" x14ac:dyDescent="0.3">
      <c r="A15">
        <v>72888941</v>
      </c>
      <c r="B15" t="s">
        <v>912</v>
      </c>
    </row>
    <row r="16" spans="1:4" x14ac:dyDescent="0.3">
      <c r="A16">
        <v>7278442030</v>
      </c>
      <c r="B16" t="s">
        <v>912</v>
      </c>
    </row>
    <row r="17" spans="1:2" x14ac:dyDescent="0.3">
      <c r="A17">
        <v>72985208</v>
      </c>
      <c r="B17" t="s">
        <v>912</v>
      </c>
    </row>
    <row r="18" spans="1:2" x14ac:dyDescent="0.3">
      <c r="A18">
        <v>7298108030</v>
      </c>
      <c r="B18" t="s">
        <v>912</v>
      </c>
    </row>
    <row r="19" spans="1:2" x14ac:dyDescent="0.3">
      <c r="A19">
        <v>7198460730</v>
      </c>
      <c r="B19" t="s">
        <v>912</v>
      </c>
    </row>
    <row r="20" spans="1:2" x14ac:dyDescent="0.3">
      <c r="A20">
        <v>7298154930</v>
      </c>
      <c r="B20" t="s">
        <v>912</v>
      </c>
    </row>
    <row r="21" spans="1:2" x14ac:dyDescent="0.3">
      <c r="A21">
        <v>7298150830</v>
      </c>
      <c r="B21" t="s">
        <v>912</v>
      </c>
    </row>
    <row r="22" spans="1:2" x14ac:dyDescent="0.3">
      <c r="A22">
        <v>71191147</v>
      </c>
      <c r="B22" t="s">
        <v>912</v>
      </c>
    </row>
    <row r="23" spans="1:2" x14ac:dyDescent="0.3">
      <c r="B23" t="s">
        <v>912</v>
      </c>
    </row>
    <row r="24" spans="1:2" x14ac:dyDescent="0.3">
      <c r="A24">
        <v>7187090590</v>
      </c>
      <c r="B24" t="s">
        <v>912</v>
      </c>
    </row>
    <row r="25" spans="1:2" x14ac:dyDescent="0.3">
      <c r="A25">
        <v>7277015590</v>
      </c>
      <c r="B25" t="s">
        <v>912</v>
      </c>
    </row>
    <row r="26" spans="1:2" x14ac:dyDescent="0.3">
      <c r="A26">
        <v>7187090560</v>
      </c>
      <c r="B26" t="s">
        <v>912</v>
      </c>
    </row>
    <row r="27" spans="1:2" x14ac:dyDescent="0.3">
      <c r="A27">
        <v>71870905</v>
      </c>
      <c r="B27" t="s">
        <v>912</v>
      </c>
    </row>
    <row r="28" spans="1:2" x14ac:dyDescent="0.3">
      <c r="A28">
        <v>71983904</v>
      </c>
      <c r="B28" t="s">
        <v>912</v>
      </c>
    </row>
    <row r="29" spans="1:2" x14ac:dyDescent="0.3">
      <c r="A29">
        <v>7287741830</v>
      </c>
      <c r="B29" t="s">
        <v>912</v>
      </c>
    </row>
    <row r="30" spans="1:2" x14ac:dyDescent="0.3">
      <c r="A30">
        <v>7288907230</v>
      </c>
      <c r="B30" t="s">
        <v>912</v>
      </c>
    </row>
    <row r="31" spans="1:2" x14ac:dyDescent="0.3">
      <c r="A31">
        <v>7298227830</v>
      </c>
      <c r="B31" t="s">
        <v>912</v>
      </c>
    </row>
    <row r="32" spans="1:2" x14ac:dyDescent="0.3">
      <c r="A32">
        <v>7298227830</v>
      </c>
      <c r="B32" t="s">
        <v>912</v>
      </c>
    </row>
    <row r="33" spans="1:2" x14ac:dyDescent="0.3">
      <c r="A33">
        <v>7298593130</v>
      </c>
      <c r="B33" t="s">
        <v>912</v>
      </c>
    </row>
    <row r="34" spans="1:2" x14ac:dyDescent="0.3">
      <c r="A34">
        <v>7298593130</v>
      </c>
      <c r="B34" t="s">
        <v>912</v>
      </c>
    </row>
    <row r="35" spans="1:2" x14ac:dyDescent="0.3">
      <c r="A35">
        <v>7285207290</v>
      </c>
      <c r="B35" t="s">
        <v>912</v>
      </c>
    </row>
    <row r="36" spans="1:2" x14ac:dyDescent="0.3">
      <c r="A36">
        <v>7287720230</v>
      </c>
      <c r="B36" t="s">
        <v>912</v>
      </c>
    </row>
    <row r="37" spans="1:2" x14ac:dyDescent="0.3">
      <c r="A37">
        <v>71870905</v>
      </c>
      <c r="B37" t="s">
        <v>912</v>
      </c>
    </row>
    <row r="38" spans="1:2" x14ac:dyDescent="0.3">
      <c r="B38" t="s">
        <v>912</v>
      </c>
    </row>
    <row r="39" spans="1:2" x14ac:dyDescent="0.3">
      <c r="A39">
        <v>7298228030</v>
      </c>
      <c r="B39" t="s">
        <v>912</v>
      </c>
    </row>
    <row r="40" spans="1:2" x14ac:dyDescent="0.3">
      <c r="A40">
        <v>7288907230</v>
      </c>
      <c r="B40" t="s">
        <v>912</v>
      </c>
    </row>
    <row r="41" spans="1:2" x14ac:dyDescent="0.3">
      <c r="A41">
        <v>7298228030</v>
      </c>
      <c r="B41" t="s">
        <v>912</v>
      </c>
    </row>
    <row r="42" spans="1:2" x14ac:dyDescent="0.3">
      <c r="A42">
        <v>7298593130</v>
      </c>
      <c r="B42" t="s">
        <v>912</v>
      </c>
    </row>
    <row r="43" spans="1:2" x14ac:dyDescent="0.3">
      <c r="A43">
        <v>7298250730</v>
      </c>
      <c r="B43" t="s">
        <v>912</v>
      </c>
    </row>
    <row r="44" spans="1:2" x14ac:dyDescent="0.3">
      <c r="A44">
        <v>7283368530</v>
      </c>
      <c r="B44" t="s">
        <v>912</v>
      </c>
    </row>
    <row r="45" spans="1:2" x14ac:dyDescent="0.3">
      <c r="A45">
        <v>7287720230</v>
      </c>
      <c r="B45" t="s">
        <v>912</v>
      </c>
    </row>
    <row r="46" spans="1:2" x14ac:dyDescent="0.3">
      <c r="A46">
        <v>7278121430</v>
      </c>
      <c r="B46" t="s">
        <v>912</v>
      </c>
    </row>
    <row r="47" spans="1:2" x14ac:dyDescent="0.3">
      <c r="A47">
        <v>7298186530</v>
      </c>
      <c r="B47" t="s">
        <v>912</v>
      </c>
    </row>
    <row r="48" spans="1:2" x14ac:dyDescent="0.3">
      <c r="A48">
        <v>7298186930</v>
      </c>
      <c r="B48" t="s">
        <v>912</v>
      </c>
    </row>
    <row r="49" spans="1:2" x14ac:dyDescent="0.3">
      <c r="A49">
        <v>7222740630</v>
      </c>
      <c r="B49" t="s">
        <v>912</v>
      </c>
    </row>
    <row r="50" spans="1:2" x14ac:dyDescent="0.3">
      <c r="A50">
        <v>7187090560</v>
      </c>
      <c r="B50" t="s">
        <v>912</v>
      </c>
    </row>
    <row r="51" spans="1:2" x14ac:dyDescent="0.3">
      <c r="A51">
        <v>7298593130</v>
      </c>
      <c r="B51" t="s">
        <v>912</v>
      </c>
    </row>
    <row r="52" spans="1:2" x14ac:dyDescent="0.3">
      <c r="A52">
        <v>7219176430</v>
      </c>
      <c r="B52" t="s">
        <v>913</v>
      </c>
    </row>
    <row r="53" spans="1:2" x14ac:dyDescent="0.3">
      <c r="A53">
        <v>7286738630</v>
      </c>
      <c r="B53" t="s">
        <v>913</v>
      </c>
    </row>
    <row r="54" spans="1:2" x14ac:dyDescent="0.3">
      <c r="A54">
        <v>7298173030</v>
      </c>
      <c r="B54" t="s">
        <v>913</v>
      </c>
    </row>
    <row r="55" spans="1:2" x14ac:dyDescent="0.3">
      <c r="A55">
        <v>7278239430</v>
      </c>
      <c r="B55" t="s">
        <v>913</v>
      </c>
    </row>
    <row r="56" spans="1:2" x14ac:dyDescent="0.3">
      <c r="A56">
        <v>7278197840</v>
      </c>
      <c r="B56" t="s">
        <v>913</v>
      </c>
    </row>
    <row r="57" spans="1:2" x14ac:dyDescent="0.3">
      <c r="A57">
        <v>7298171330</v>
      </c>
      <c r="B57" t="s">
        <v>913</v>
      </c>
    </row>
    <row r="58" spans="1:2" x14ac:dyDescent="0.3">
      <c r="B58" t="s">
        <v>913</v>
      </c>
    </row>
    <row r="59" spans="1:2" x14ac:dyDescent="0.3">
      <c r="A59">
        <v>7298790330</v>
      </c>
      <c r="B59" t="s">
        <v>913</v>
      </c>
    </row>
    <row r="60" spans="1:2" x14ac:dyDescent="0.3">
      <c r="A60">
        <v>7298790330</v>
      </c>
      <c r="B60" t="s">
        <v>913</v>
      </c>
    </row>
    <row r="61" spans="1:2" x14ac:dyDescent="0.3">
      <c r="A61">
        <v>7298186930</v>
      </c>
      <c r="B61" t="s">
        <v>913</v>
      </c>
    </row>
    <row r="62" spans="1:2" x14ac:dyDescent="0.3">
      <c r="A62">
        <v>7288907230</v>
      </c>
      <c r="B62" t="s">
        <v>913</v>
      </c>
    </row>
    <row r="63" spans="1:2" x14ac:dyDescent="0.3">
      <c r="A63">
        <v>7298186530</v>
      </c>
      <c r="B63" t="s">
        <v>913</v>
      </c>
    </row>
    <row r="64" spans="1:2" x14ac:dyDescent="0.3">
      <c r="A64">
        <v>7289508430</v>
      </c>
      <c r="B64" t="s">
        <v>913</v>
      </c>
    </row>
    <row r="65" spans="1:2" x14ac:dyDescent="0.3">
      <c r="A65">
        <v>7298186930</v>
      </c>
      <c r="B65" t="s">
        <v>913</v>
      </c>
    </row>
    <row r="66" spans="1:2" x14ac:dyDescent="0.3">
      <c r="A66">
        <v>7298790830</v>
      </c>
      <c r="B66" t="s">
        <v>913</v>
      </c>
    </row>
    <row r="67" spans="1:2" x14ac:dyDescent="0.3">
      <c r="A67">
        <v>7289508430</v>
      </c>
      <c r="B67" t="s">
        <v>913</v>
      </c>
    </row>
    <row r="68" spans="1:2" x14ac:dyDescent="0.3">
      <c r="A68">
        <v>7286139730</v>
      </c>
      <c r="B68" t="s">
        <v>913</v>
      </c>
    </row>
    <row r="69" spans="1:2" x14ac:dyDescent="0.3">
      <c r="A69">
        <v>7287821130</v>
      </c>
      <c r="B69" t="s">
        <v>913</v>
      </c>
    </row>
    <row r="70" spans="1:2" x14ac:dyDescent="0.3">
      <c r="A70">
        <v>7298186530</v>
      </c>
      <c r="B70" t="s">
        <v>913</v>
      </c>
    </row>
    <row r="71" spans="1:2" x14ac:dyDescent="0.3">
      <c r="B71" t="s">
        <v>913</v>
      </c>
    </row>
    <row r="72" spans="1:2" x14ac:dyDescent="0.3">
      <c r="A72">
        <v>7119153830</v>
      </c>
      <c r="B72" t="s">
        <v>913</v>
      </c>
    </row>
    <row r="73" spans="1:2" x14ac:dyDescent="0.3">
      <c r="A73">
        <v>7119689030</v>
      </c>
      <c r="B73" t="s">
        <v>913</v>
      </c>
    </row>
    <row r="74" spans="1:2" x14ac:dyDescent="0.3">
      <c r="A74">
        <v>7286145630</v>
      </c>
      <c r="B74" t="s">
        <v>913</v>
      </c>
    </row>
    <row r="75" spans="1:2" x14ac:dyDescent="0.3">
      <c r="A75">
        <v>7287180440</v>
      </c>
      <c r="B75" t="s">
        <v>913</v>
      </c>
    </row>
    <row r="76" spans="1:2" x14ac:dyDescent="0.3">
      <c r="A76">
        <v>72980788</v>
      </c>
      <c r="B76" t="s">
        <v>913</v>
      </c>
    </row>
    <row r="77" spans="1:2" x14ac:dyDescent="0.3">
      <c r="A77" t="s">
        <v>916</v>
      </c>
      <c r="B77" t="s">
        <v>913</v>
      </c>
    </row>
    <row r="78" spans="1:2" x14ac:dyDescent="0.3">
      <c r="A78">
        <v>7298237430</v>
      </c>
      <c r="B78" t="s">
        <v>913</v>
      </c>
    </row>
    <row r="79" spans="1:2" x14ac:dyDescent="0.3">
      <c r="A79">
        <v>7298237430</v>
      </c>
      <c r="B79" t="s">
        <v>913</v>
      </c>
    </row>
    <row r="80" spans="1:2" x14ac:dyDescent="0.3">
      <c r="A80">
        <v>7298237430</v>
      </c>
      <c r="B80" t="s">
        <v>913</v>
      </c>
    </row>
    <row r="81" spans="1:2" x14ac:dyDescent="0.3">
      <c r="A81">
        <v>7298237430</v>
      </c>
      <c r="B81" t="s">
        <v>913</v>
      </c>
    </row>
    <row r="82" spans="1:2" x14ac:dyDescent="0.3">
      <c r="A82" t="s">
        <v>917</v>
      </c>
      <c r="B82" t="s">
        <v>913</v>
      </c>
    </row>
    <row r="83" spans="1:2" x14ac:dyDescent="0.3">
      <c r="A83" t="s">
        <v>917</v>
      </c>
      <c r="B83" t="s">
        <v>913</v>
      </c>
    </row>
    <row r="84" spans="1:2" x14ac:dyDescent="0.3">
      <c r="B84" t="s">
        <v>913</v>
      </c>
    </row>
    <row r="85" spans="1:2" x14ac:dyDescent="0.3">
      <c r="A85">
        <v>7298790130</v>
      </c>
      <c r="B85" t="s">
        <v>913</v>
      </c>
    </row>
    <row r="86" spans="1:2" x14ac:dyDescent="0.3">
      <c r="A86">
        <v>7288907230</v>
      </c>
      <c r="B86" t="s">
        <v>913</v>
      </c>
    </row>
    <row r="87" spans="1:2" x14ac:dyDescent="0.3">
      <c r="A87">
        <v>7288907230</v>
      </c>
      <c r="B87" t="s">
        <v>913</v>
      </c>
    </row>
    <row r="88" spans="1:2" x14ac:dyDescent="0.3">
      <c r="A88">
        <v>7282559510</v>
      </c>
      <c r="B88" t="s">
        <v>913</v>
      </c>
    </row>
    <row r="89" spans="1:2" x14ac:dyDescent="0.3">
      <c r="A89">
        <v>7278451130</v>
      </c>
      <c r="B89" t="s">
        <v>913</v>
      </c>
    </row>
    <row r="90" spans="1:2" x14ac:dyDescent="0.3">
      <c r="A90">
        <v>7298237430</v>
      </c>
      <c r="B90" t="s">
        <v>913</v>
      </c>
    </row>
    <row r="91" spans="1:2" x14ac:dyDescent="0.3">
      <c r="A91">
        <v>7298237430</v>
      </c>
      <c r="B91" t="s">
        <v>913</v>
      </c>
    </row>
    <row r="92" spans="1:2" x14ac:dyDescent="0.3">
      <c r="A92">
        <v>7298228210</v>
      </c>
      <c r="B92" t="s">
        <v>913</v>
      </c>
    </row>
    <row r="93" spans="1:2" x14ac:dyDescent="0.3">
      <c r="A93">
        <v>7219631630</v>
      </c>
      <c r="B93" t="s">
        <v>914</v>
      </c>
    </row>
    <row r="94" spans="1:2" x14ac:dyDescent="0.3">
      <c r="A94">
        <v>7219631630</v>
      </c>
      <c r="B94" t="s">
        <v>914</v>
      </c>
    </row>
    <row r="95" spans="1:2" x14ac:dyDescent="0.3">
      <c r="A95">
        <v>7219631630</v>
      </c>
      <c r="B95" t="s">
        <v>914</v>
      </c>
    </row>
    <row r="96" spans="1:2" x14ac:dyDescent="0.3">
      <c r="A96">
        <v>7219631630</v>
      </c>
      <c r="B96" t="s">
        <v>914</v>
      </c>
    </row>
    <row r="97" spans="1:2" x14ac:dyDescent="0.3">
      <c r="A97">
        <v>7288907230</v>
      </c>
      <c r="B97" t="s">
        <v>914</v>
      </c>
    </row>
    <row r="98" spans="1:2" x14ac:dyDescent="0.3">
      <c r="A98">
        <v>7298186530</v>
      </c>
      <c r="B98" t="s">
        <v>914</v>
      </c>
    </row>
    <row r="99" spans="1:2" x14ac:dyDescent="0.3">
      <c r="A99">
        <v>7186066580</v>
      </c>
      <c r="B99" t="s">
        <v>914</v>
      </c>
    </row>
    <row r="100" spans="1:2" x14ac:dyDescent="0.3">
      <c r="A100">
        <v>7283464030</v>
      </c>
      <c r="B100" t="s">
        <v>914</v>
      </c>
    </row>
    <row r="101" spans="1:2" x14ac:dyDescent="0.3">
      <c r="A101">
        <v>71860665</v>
      </c>
      <c r="B101" t="s">
        <v>914</v>
      </c>
    </row>
    <row r="102" spans="1:2" x14ac:dyDescent="0.3">
      <c r="A102">
        <v>7289567230</v>
      </c>
      <c r="B102" t="s">
        <v>914</v>
      </c>
    </row>
    <row r="103" spans="1:2" x14ac:dyDescent="0.3">
      <c r="A103">
        <v>7186066560</v>
      </c>
      <c r="B103" t="s">
        <v>914</v>
      </c>
    </row>
    <row r="104" spans="1:2" x14ac:dyDescent="0.3">
      <c r="A104">
        <v>7186066590</v>
      </c>
      <c r="B104" t="s">
        <v>914</v>
      </c>
    </row>
    <row r="105" spans="1:2" x14ac:dyDescent="0.3">
      <c r="A105">
        <v>7298079230</v>
      </c>
      <c r="B105" t="s">
        <v>914</v>
      </c>
    </row>
    <row r="106" spans="1:2" x14ac:dyDescent="0.3">
      <c r="A106">
        <v>72975392</v>
      </c>
      <c r="B106" t="s">
        <v>914</v>
      </c>
    </row>
    <row r="107" spans="1:2" x14ac:dyDescent="0.3">
      <c r="A107">
        <v>7287149830</v>
      </c>
      <c r="B107" t="s">
        <v>914</v>
      </c>
    </row>
    <row r="108" spans="1:2" x14ac:dyDescent="0.3">
      <c r="A108">
        <v>7171192330</v>
      </c>
      <c r="B108" t="s">
        <v>914</v>
      </c>
    </row>
    <row r="109" spans="1:2" x14ac:dyDescent="0.3">
      <c r="A109">
        <v>7171297430</v>
      </c>
      <c r="B109" t="s">
        <v>914</v>
      </c>
    </row>
    <row r="110" spans="1:2" x14ac:dyDescent="0.3">
      <c r="A110">
        <v>7171297430</v>
      </c>
      <c r="B110" t="s">
        <v>914</v>
      </c>
    </row>
    <row r="111" spans="1:2" x14ac:dyDescent="0.3">
      <c r="A111">
        <v>7171297430</v>
      </c>
      <c r="B111" t="s">
        <v>914</v>
      </c>
    </row>
    <row r="112" spans="1:2" x14ac:dyDescent="0.3">
      <c r="A112">
        <v>7298980540</v>
      </c>
      <c r="B112" t="s">
        <v>914</v>
      </c>
    </row>
    <row r="113" spans="1:2" x14ac:dyDescent="0.3">
      <c r="A113">
        <v>7154058630</v>
      </c>
      <c r="B113" t="s">
        <v>914</v>
      </c>
    </row>
    <row r="114" spans="1:2" x14ac:dyDescent="0.3">
      <c r="A114">
        <v>7171192330</v>
      </c>
      <c r="B114" t="s">
        <v>914</v>
      </c>
    </row>
    <row r="115" spans="1:2" x14ac:dyDescent="0.3">
      <c r="A115">
        <v>7287150380</v>
      </c>
      <c r="B115" t="s">
        <v>914</v>
      </c>
    </row>
    <row r="116" spans="1:2" x14ac:dyDescent="0.3">
      <c r="A116">
        <v>7171297430</v>
      </c>
      <c r="B116" t="s">
        <v>914</v>
      </c>
    </row>
    <row r="117" spans="1:2" x14ac:dyDescent="0.3">
      <c r="A117">
        <v>7171297430</v>
      </c>
      <c r="B117" t="s">
        <v>914</v>
      </c>
    </row>
    <row r="118" spans="1:2" x14ac:dyDescent="0.3">
      <c r="A118">
        <v>7298170230</v>
      </c>
      <c r="B118" t="s">
        <v>914</v>
      </c>
    </row>
    <row r="119" spans="1:2" x14ac:dyDescent="0.3">
      <c r="A119">
        <v>7298186530</v>
      </c>
      <c r="B119" t="s">
        <v>914</v>
      </c>
    </row>
    <row r="120" spans="1:2" x14ac:dyDescent="0.3">
      <c r="A120">
        <v>7287018730</v>
      </c>
      <c r="B120" t="s">
        <v>914</v>
      </c>
    </row>
    <row r="121" spans="1:2" x14ac:dyDescent="0.3">
      <c r="A121">
        <v>7219631630</v>
      </c>
      <c r="B121" t="s">
        <v>914</v>
      </c>
    </row>
    <row r="122" spans="1:2" x14ac:dyDescent="0.3">
      <c r="A122">
        <v>7298227830</v>
      </c>
      <c r="B122" t="s">
        <v>914</v>
      </c>
    </row>
    <row r="123" spans="1:2" x14ac:dyDescent="0.3">
      <c r="A123">
        <v>7278451130</v>
      </c>
      <c r="B123" t="s">
        <v>914</v>
      </c>
    </row>
    <row r="124" spans="1:2" x14ac:dyDescent="0.3">
      <c r="A124">
        <v>7288907230</v>
      </c>
      <c r="B124" t="s">
        <v>914</v>
      </c>
    </row>
    <row r="125" spans="1:2" x14ac:dyDescent="0.3">
      <c r="A125">
        <v>7298186530</v>
      </c>
      <c r="B125" t="s">
        <v>914</v>
      </c>
    </row>
    <row r="126" spans="1:2" x14ac:dyDescent="0.3">
      <c r="A126">
        <v>72987902</v>
      </c>
      <c r="B126" t="s">
        <v>914</v>
      </c>
    </row>
    <row r="127" spans="1:2" x14ac:dyDescent="0.3">
      <c r="A127">
        <v>7289909030</v>
      </c>
      <c r="B127" t="s">
        <v>914</v>
      </c>
    </row>
    <row r="128" spans="1:2" x14ac:dyDescent="0.3">
      <c r="A128">
        <v>7298593130</v>
      </c>
      <c r="B128" t="s">
        <v>914</v>
      </c>
    </row>
    <row r="129" spans="1:2" x14ac:dyDescent="0.3">
      <c r="A129">
        <v>7298079230</v>
      </c>
      <c r="B129" t="s">
        <v>914</v>
      </c>
    </row>
    <row r="130" spans="1:2" x14ac:dyDescent="0.3">
      <c r="A130">
        <v>7271295130</v>
      </c>
      <c r="B130" t="s">
        <v>914</v>
      </c>
    </row>
    <row r="131" spans="1:2" x14ac:dyDescent="0.3">
      <c r="A131">
        <v>7287801830</v>
      </c>
      <c r="B131" t="s">
        <v>914</v>
      </c>
    </row>
    <row r="132" spans="1:2" x14ac:dyDescent="0.3">
      <c r="A132">
        <v>7223160530</v>
      </c>
      <c r="B132" t="s">
        <v>914</v>
      </c>
    </row>
    <row r="133" spans="1:2" x14ac:dyDescent="0.3">
      <c r="A133">
        <v>7283464030</v>
      </c>
      <c r="B133" t="s">
        <v>914</v>
      </c>
    </row>
    <row r="134" spans="1:2" x14ac:dyDescent="0.3">
      <c r="A134">
        <v>7219113440</v>
      </c>
      <c r="B134" t="s">
        <v>914</v>
      </c>
    </row>
    <row r="135" spans="1:2" x14ac:dyDescent="0.3">
      <c r="A135">
        <v>7298593130</v>
      </c>
      <c r="B135" t="s">
        <v>914</v>
      </c>
    </row>
    <row r="136" spans="1:2" x14ac:dyDescent="0.3">
      <c r="A136">
        <v>72781797</v>
      </c>
      <c r="B136" t="s">
        <v>914</v>
      </c>
    </row>
    <row r="137" spans="1:2" x14ac:dyDescent="0.3">
      <c r="A137">
        <v>7298237430</v>
      </c>
      <c r="B137" t="s">
        <v>914</v>
      </c>
    </row>
    <row r="138" spans="1:2" x14ac:dyDescent="0.3">
      <c r="A138">
        <v>7298790830</v>
      </c>
      <c r="B138" t="s">
        <v>914</v>
      </c>
    </row>
    <row r="139" spans="1:2" x14ac:dyDescent="0.3">
      <c r="A139">
        <v>7298790830</v>
      </c>
      <c r="B139" t="s">
        <v>914</v>
      </c>
    </row>
    <row r="140" spans="1:2" x14ac:dyDescent="0.3">
      <c r="A140">
        <v>7298186930</v>
      </c>
      <c r="B140" t="s">
        <v>914</v>
      </c>
    </row>
    <row r="141" spans="1:2" x14ac:dyDescent="0.3">
      <c r="A141">
        <v>7298790130</v>
      </c>
      <c r="B141" t="s">
        <v>914</v>
      </c>
    </row>
    <row r="142" spans="1:2" x14ac:dyDescent="0.3">
      <c r="A142">
        <v>7298186530</v>
      </c>
      <c r="B142" t="s">
        <v>914</v>
      </c>
    </row>
    <row r="143" spans="1:2" x14ac:dyDescent="0.3">
      <c r="A143">
        <v>7298186530</v>
      </c>
      <c r="B143" t="s">
        <v>914</v>
      </c>
    </row>
    <row r="144" spans="1:2" x14ac:dyDescent="0.3">
      <c r="A144">
        <v>7298237430</v>
      </c>
      <c r="B144" t="s">
        <v>914</v>
      </c>
    </row>
    <row r="145" spans="1:2" x14ac:dyDescent="0.3">
      <c r="A145">
        <v>7287150380</v>
      </c>
      <c r="B145" t="s">
        <v>914</v>
      </c>
    </row>
    <row r="146" spans="1:2" x14ac:dyDescent="0.3">
      <c r="A146">
        <v>7278121240</v>
      </c>
      <c r="B146" t="s">
        <v>914</v>
      </c>
    </row>
    <row r="147" spans="1:2" x14ac:dyDescent="0.3">
      <c r="A147">
        <v>72897496</v>
      </c>
      <c r="B147" t="s">
        <v>914</v>
      </c>
    </row>
    <row r="148" spans="1:2" x14ac:dyDescent="0.3">
      <c r="A148">
        <v>7298108030</v>
      </c>
      <c r="B148" t="s">
        <v>914</v>
      </c>
    </row>
    <row r="149" spans="1:2" x14ac:dyDescent="0.3">
      <c r="A149">
        <v>7298108030</v>
      </c>
      <c r="B149" t="s">
        <v>914</v>
      </c>
    </row>
    <row r="150" spans="1:2" x14ac:dyDescent="0.3">
      <c r="A150">
        <v>7154075530</v>
      </c>
      <c r="B150" t="s">
        <v>914</v>
      </c>
    </row>
    <row r="151" spans="1:2" x14ac:dyDescent="0.3">
      <c r="A151">
        <v>7154058630</v>
      </c>
      <c r="B151" t="s">
        <v>914</v>
      </c>
    </row>
    <row r="152" spans="1:2" x14ac:dyDescent="0.3">
      <c r="A152">
        <v>7171297430</v>
      </c>
      <c r="B152" t="s">
        <v>914</v>
      </c>
    </row>
    <row r="153" spans="1:2" x14ac:dyDescent="0.3">
      <c r="A153">
        <v>7154026130</v>
      </c>
      <c r="B153" t="s">
        <v>914</v>
      </c>
    </row>
    <row r="154" spans="1:2" x14ac:dyDescent="0.3">
      <c r="A154">
        <v>7004128702</v>
      </c>
      <c r="B154" t="s">
        <v>914</v>
      </c>
    </row>
    <row r="155" spans="1:2" x14ac:dyDescent="0.3">
      <c r="A155">
        <v>7004128702</v>
      </c>
      <c r="B155" t="s">
        <v>914</v>
      </c>
    </row>
    <row r="156" spans="1:2" x14ac:dyDescent="0.3">
      <c r="A156">
        <v>7004128702</v>
      </c>
      <c r="B156" t="s">
        <v>914</v>
      </c>
    </row>
    <row r="157" spans="1:2" x14ac:dyDescent="0.3">
      <c r="A157">
        <v>7004128702</v>
      </c>
      <c r="B157" t="s">
        <v>914</v>
      </c>
    </row>
    <row r="158" spans="1:2" x14ac:dyDescent="0.3">
      <c r="A158">
        <v>7274349370</v>
      </c>
      <c r="B158" t="s">
        <v>915</v>
      </c>
    </row>
    <row r="159" spans="1:2" x14ac:dyDescent="0.3">
      <c r="A159">
        <v>7075218330</v>
      </c>
      <c r="B159" t="s">
        <v>915</v>
      </c>
    </row>
    <row r="160" spans="1:2" x14ac:dyDescent="0.3">
      <c r="A160">
        <v>72975207</v>
      </c>
      <c r="B160" t="s">
        <v>915</v>
      </c>
    </row>
    <row r="161" spans="1:2" x14ac:dyDescent="0.3">
      <c r="A161">
        <v>7234488830</v>
      </c>
      <c r="B161" t="s">
        <v>915</v>
      </c>
    </row>
    <row r="162" spans="1:2" x14ac:dyDescent="0.3">
      <c r="A162">
        <v>71983904</v>
      </c>
      <c r="B162" t="s">
        <v>915</v>
      </c>
    </row>
    <row r="163" spans="1:2" x14ac:dyDescent="0.3">
      <c r="A163">
        <v>7187090580</v>
      </c>
      <c r="B163" t="s">
        <v>915</v>
      </c>
    </row>
    <row r="164" spans="1:2" x14ac:dyDescent="0.3">
      <c r="A164">
        <v>7187090590</v>
      </c>
      <c r="B164" t="s">
        <v>915</v>
      </c>
    </row>
    <row r="165" spans="1:2" x14ac:dyDescent="0.3">
      <c r="A165">
        <v>71870905</v>
      </c>
      <c r="B165" t="s">
        <v>915</v>
      </c>
    </row>
    <row r="166" spans="1:2" x14ac:dyDescent="0.3">
      <c r="A166">
        <v>7187090560</v>
      </c>
      <c r="B166" t="s">
        <v>915</v>
      </c>
    </row>
    <row r="167" spans="1:2" x14ac:dyDescent="0.3">
      <c r="A167" t="s">
        <v>918</v>
      </c>
      <c r="B167" t="s">
        <v>915</v>
      </c>
    </row>
    <row r="168" spans="1:2" x14ac:dyDescent="0.3">
      <c r="A168">
        <v>7289773340</v>
      </c>
      <c r="B168" t="s">
        <v>915</v>
      </c>
    </row>
    <row r="169" spans="1:2" x14ac:dyDescent="0.3">
      <c r="A169" t="s">
        <v>918</v>
      </c>
      <c r="B169" t="s">
        <v>915</v>
      </c>
    </row>
    <row r="170" spans="1:2" x14ac:dyDescent="0.3">
      <c r="A170">
        <v>7154041130</v>
      </c>
      <c r="B170" t="s">
        <v>915</v>
      </c>
    </row>
    <row r="171" spans="1:2" x14ac:dyDescent="0.3">
      <c r="A171">
        <v>7119674430</v>
      </c>
      <c r="B171" t="s">
        <v>915</v>
      </c>
    </row>
    <row r="172" spans="1:2" x14ac:dyDescent="0.3">
      <c r="A172">
        <v>7282374040</v>
      </c>
      <c r="B172" t="s">
        <v>915</v>
      </c>
    </row>
    <row r="173" spans="1:2" x14ac:dyDescent="0.3">
      <c r="A173">
        <v>7186066590</v>
      </c>
      <c r="B173" t="s">
        <v>915</v>
      </c>
    </row>
    <row r="174" spans="1:2" x14ac:dyDescent="0.3">
      <c r="A174">
        <v>71860665</v>
      </c>
      <c r="B174" t="s">
        <v>915</v>
      </c>
    </row>
    <row r="175" spans="1:2" x14ac:dyDescent="0.3">
      <c r="A175">
        <v>7186066560</v>
      </c>
      <c r="B175" t="s">
        <v>915</v>
      </c>
    </row>
    <row r="176" spans="1:2" x14ac:dyDescent="0.3">
      <c r="A176">
        <v>72975392</v>
      </c>
      <c r="B176" t="s">
        <v>915</v>
      </c>
    </row>
    <row r="177" spans="1:2" x14ac:dyDescent="0.3">
      <c r="A177">
        <v>7288907230</v>
      </c>
      <c r="B177" t="s">
        <v>915</v>
      </c>
    </row>
    <row r="178" spans="1:2" x14ac:dyDescent="0.3">
      <c r="A178">
        <v>7119679430</v>
      </c>
      <c r="B178" t="s">
        <v>915</v>
      </c>
    </row>
    <row r="179" spans="1:2" x14ac:dyDescent="0.3">
      <c r="A179">
        <v>7297565530</v>
      </c>
      <c r="B179" t="s">
        <v>915</v>
      </c>
    </row>
    <row r="180" spans="1:2" x14ac:dyDescent="0.3">
      <c r="A180">
        <v>72899966</v>
      </c>
      <c r="B180" t="s">
        <v>915</v>
      </c>
    </row>
    <row r="181" spans="1:2" x14ac:dyDescent="0.3">
      <c r="A181">
        <v>7298200830</v>
      </c>
      <c r="B181" t="s">
        <v>915</v>
      </c>
    </row>
    <row r="182" spans="1:2" x14ac:dyDescent="0.3">
      <c r="A182">
        <v>72780597</v>
      </c>
      <c r="B182" t="s">
        <v>915</v>
      </c>
    </row>
    <row r="183" spans="1:2" x14ac:dyDescent="0.3">
      <c r="A183">
        <v>71196834</v>
      </c>
      <c r="B183" t="s">
        <v>915</v>
      </c>
    </row>
    <row r="184" spans="1:2" x14ac:dyDescent="0.3">
      <c r="A184">
        <v>7119683530</v>
      </c>
      <c r="B184" t="s">
        <v>915</v>
      </c>
    </row>
    <row r="185" spans="1:2" x14ac:dyDescent="0.3">
      <c r="A185">
        <v>7287766270</v>
      </c>
      <c r="B185" t="s">
        <v>915</v>
      </c>
    </row>
    <row r="186" spans="1:2" x14ac:dyDescent="0.3">
      <c r="A186">
        <v>7298150830</v>
      </c>
      <c r="B186" t="s">
        <v>915</v>
      </c>
    </row>
    <row r="187" spans="1:2" x14ac:dyDescent="0.3">
      <c r="A187">
        <v>7223160530</v>
      </c>
      <c r="B187" t="s">
        <v>915</v>
      </c>
    </row>
    <row r="188" spans="1:2" x14ac:dyDescent="0.3">
      <c r="A188">
        <v>7119679830</v>
      </c>
      <c r="B188" t="s">
        <v>915</v>
      </c>
    </row>
    <row r="189" spans="1:2" x14ac:dyDescent="0.3">
      <c r="A189">
        <v>7287143930</v>
      </c>
      <c r="B189" t="s">
        <v>915</v>
      </c>
    </row>
    <row r="190" spans="1:2" x14ac:dyDescent="0.3">
      <c r="A190">
        <v>7219683340</v>
      </c>
      <c r="B190" t="s">
        <v>915</v>
      </c>
    </row>
    <row r="191" spans="1:2" x14ac:dyDescent="0.3">
      <c r="A191">
        <v>7287476780</v>
      </c>
      <c r="B191" t="s">
        <v>915</v>
      </c>
    </row>
    <row r="192" spans="1:2" x14ac:dyDescent="0.3">
      <c r="A192">
        <v>7289862080</v>
      </c>
      <c r="B192" t="s">
        <v>915</v>
      </c>
    </row>
    <row r="193" spans="1:2" x14ac:dyDescent="0.3">
      <c r="A193">
        <v>72782561</v>
      </c>
      <c r="B193" t="s">
        <v>915</v>
      </c>
    </row>
    <row r="194" spans="1:2" x14ac:dyDescent="0.3">
      <c r="A194">
        <v>72975392</v>
      </c>
      <c r="B194" t="s">
        <v>915</v>
      </c>
    </row>
    <row r="195" spans="1:2" x14ac:dyDescent="0.3">
      <c r="A195">
        <v>7222740630</v>
      </c>
      <c r="B195" t="s">
        <v>915</v>
      </c>
    </row>
    <row r="196" spans="1:2" x14ac:dyDescent="0.3">
      <c r="A196">
        <v>7119185330</v>
      </c>
      <c r="B196" t="s">
        <v>915</v>
      </c>
    </row>
    <row r="197" spans="1:2" x14ac:dyDescent="0.3">
      <c r="A197">
        <v>7119185640</v>
      </c>
      <c r="B197" t="s">
        <v>915</v>
      </c>
    </row>
    <row r="198" spans="1:2" x14ac:dyDescent="0.3">
      <c r="A198">
        <v>71781755</v>
      </c>
      <c r="B198" t="s">
        <v>915</v>
      </c>
    </row>
    <row r="199" spans="1:2" x14ac:dyDescent="0.3">
      <c r="A199">
        <v>7178170830</v>
      </c>
      <c r="B199" t="s">
        <v>915</v>
      </c>
    </row>
    <row r="200" spans="1:2" x14ac:dyDescent="0.3">
      <c r="A200">
        <v>7186066560</v>
      </c>
      <c r="B200" t="s">
        <v>915</v>
      </c>
    </row>
    <row r="201" spans="1:2" x14ac:dyDescent="0.3">
      <c r="A201">
        <v>71860665</v>
      </c>
      <c r="B201" t="s">
        <v>915</v>
      </c>
    </row>
    <row r="202" spans="1:2" x14ac:dyDescent="0.3">
      <c r="A202">
        <v>72888940</v>
      </c>
      <c r="B202" t="s">
        <v>915</v>
      </c>
    </row>
    <row r="203" spans="1:2" x14ac:dyDescent="0.3">
      <c r="A203">
        <v>7278197730</v>
      </c>
      <c r="B203" t="s">
        <v>915</v>
      </c>
    </row>
    <row r="204" spans="1:2" x14ac:dyDescent="0.3">
      <c r="A204">
        <v>7289778240</v>
      </c>
      <c r="B204" t="s">
        <v>915</v>
      </c>
    </row>
    <row r="205" spans="1:2" x14ac:dyDescent="0.3">
      <c r="A205">
        <v>7154041130</v>
      </c>
      <c r="B205" t="s">
        <v>915</v>
      </c>
    </row>
    <row r="206" spans="1:2" x14ac:dyDescent="0.3">
      <c r="A206">
        <v>7154075530</v>
      </c>
      <c r="B206" t="s">
        <v>915</v>
      </c>
    </row>
    <row r="207" spans="1:2" x14ac:dyDescent="0.3">
      <c r="A207">
        <v>7298186530</v>
      </c>
      <c r="B207" t="s">
        <v>915</v>
      </c>
    </row>
    <row r="208" spans="1:2" x14ac:dyDescent="0.3">
      <c r="A208" t="s">
        <v>919</v>
      </c>
      <c r="B208" t="s">
        <v>915</v>
      </c>
    </row>
    <row r="209" spans="1:2" x14ac:dyDescent="0.3">
      <c r="A209">
        <v>7278197730</v>
      </c>
      <c r="B209" t="s">
        <v>915</v>
      </c>
    </row>
    <row r="210" spans="1:2" x14ac:dyDescent="0.3">
      <c r="A210">
        <v>7287011790</v>
      </c>
      <c r="B210" t="s">
        <v>915</v>
      </c>
    </row>
    <row r="211" spans="1:2" x14ac:dyDescent="0.3">
      <c r="A211">
        <v>72780597</v>
      </c>
      <c r="B211" t="s">
        <v>915</v>
      </c>
    </row>
    <row r="212" spans="1:2" x14ac:dyDescent="0.3">
      <c r="A212" t="s">
        <v>920</v>
      </c>
      <c r="B212" t="s">
        <v>915</v>
      </c>
    </row>
    <row r="213" spans="1:2" x14ac:dyDescent="0.3">
      <c r="A213">
        <v>7278179230</v>
      </c>
      <c r="B213" t="s">
        <v>915</v>
      </c>
    </row>
    <row r="214" spans="1:2" x14ac:dyDescent="0.3">
      <c r="A214">
        <v>7287782930</v>
      </c>
      <c r="B214" t="s">
        <v>915</v>
      </c>
    </row>
    <row r="215" spans="1:2" x14ac:dyDescent="0.3">
      <c r="A215">
        <v>72780597</v>
      </c>
      <c r="B215" t="s">
        <v>915</v>
      </c>
    </row>
    <row r="216" spans="1:2" x14ac:dyDescent="0.3">
      <c r="A216">
        <v>7219116640</v>
      </c>
      <c r="B216" t="s">
        <v>915</v>
      </c>
    </row>
    <row r="217" spans="1:2" x14ac:dyDescent="0.3">
      <c r="A217">
        <v>7119675830</v>
      </c>
      <c r="B217" t="s">
        <v>915</v>
      </c>
    </row>
    <row r="218" spans="1:2" x14ac:dyDescent="0.3">
      <c r="A218">
        <v>71837758</v>
      </c>
      <c r="B218" t="s">
        <v>915</v>
      </c>
    </row>
    <row r="219" spans="1:2" x14ac:dyDescent="0.3">
      <c r="A219">
        <v>7283907630</v>
      </c>
      <c r="B219" t="s">
        <v>915</v>
      </c>
    </row>
    <row r="220" spans="1:2" x14ac:dyDescent="0.3">
      <c r="A220">
        <v>71837758</v>
      </c>
      <c r="B220" t="s">
        <v>915</v>
      </c>
    </row>
    <row r="221" spans="1:2" x14ac:dyDescent="0.3">
      <c r="A221">
        <v>72878592</v>
      </c>
      <c r="B221" t="s">
        <v>915</v>
      </c>
    </row>
    <row r="222" spans="1:2" x14ac:dyDescent="0.3">
      <c r="A222">
        <v>71191147</v>
      </c>
      <c r="B222" t="s">
        <v>915</v>
      </c>
    </row>
    <row r="223" spans="1:2" x14ac:dyDescent="0.3">
      <c r="A223">
        <v>7274333840</v>
      </c>
      <c r="B223" t="s">
        <v>915</v>
      </c>
    </row>
    <row r="224" spans="1:2" x14ac:dyDescent="0.3">
      <c r="A224">
        <v>7154075530</v>
      </c>
      <c r="B224" t="s">
        <v>915</v>
      </c>
    </row>
    <row r="225" spans="1:2" x14ac:dyDescent="0.3">
      <c r="A225">
        <v>71237437</v>
      </c>
      <c r="B225" t="s">
        <v>915</v>
      </c>
    </row>
    <row r="226" spans="1:2" x14ac:dyDescent="0.3">
      <c r="A226">
        <v>7278179230</v>
      </c>
      <c r="B226" t="s">
        <v>915</v>
      </c>
    </row>
    <row r="227" spans="1:2" x14ac:dyDescent="0.3">
      <c r="A227">
        <v>7178170830</v>
      </c>
      <c r="B227" t="s">
        <v>915</v>
      </c>
    </row>
    <row r="228" spans="1:2" x14ac:dyDescent="0.3">
      <c r="A228">
        <v>71781755</v>
      </c>
      <c r="B228" t="s">
        <v>915</v>
      </c>
    </row>
    <row r="229" spans="1:2" x14ac:dyDescent="0.3">
      <c r="A229">
        <v>7278121430</v>
      </c>
      <c r="B229" t="s">
        <v>915</v>
      </c>
    </row>
    <row r="230" spans="1:2" x14ac:dyDescent="0.3">
      <c r="A230">
        <v>7283220130</v>
      </c>
      <c r="B230" t="s">
        <v>915</v>
      </c>
    </row>
    <row r="231" spans="1:2" x14ac:dyDescent="0.3">
      <c r="A231">
        <v>72894030</v>
      </c>
      <c r="B231" t="s">
        <v>915</v>
      </c>
    </row>
    <row r="232" spans="1:2" x14ac:dyDescent="0.3">
      <c r="A232">
        <v>7278121430</v>
      </c>
      <c r="B232" t="s">
        <v>915</v>
      </c>
    </row>
    <row r="233" spans="1:2" x14ac:dyDescent="0.3">
      <c r="A233">
        <v>7278059630</v>
      </c>
      <c r="B233" t="s">
        <v>915</v>
      </c>
    </row>
    <row r="234" spans="1:2" x14ac:dyDescent="0.3">
      <c r="A234">
        <v>72781797</v>
      </c>
      <c r="B234" t="s">
        <v>915</v>
      </c>
    </row>
    <row r="235" spans="1:2" x14ac:dyDescent="0.3">
      <c r="A235">
        <v>7219176430</v>
      </c>
      <c r="B235" t="s">
        <v>915</v>
      </c>
    </row>
    <row r="236" spans="1:2" x14ac:dyDescent="0.3">
      <c r="A236">
        <v>7277186830</v>
      </c>
      <c r="B236" t="s">
        <v>915</v>
      </c>
    </row>
    <row r="237" spans="1:2" x14ac:dyDescent="0.3">
      <c r="A237">
        <v>7283220090</v>
      </c>
      <c r="B237" t="s">
        <v>915</v>
      </c>
    </row>
    <row r="238" spans="1:2" x14ac:dyDescent="0.3">
      <c r="A238">
        <v>7178197530</v>
      </c>
      <c r="B238" t="s">
        <v>915</v>
      </c>
    </row>
    <row r="239" spans="1:2" x14ac:dyDescent="0.3">
      <c r="A239">
        <v>7297565530</v>
      </c>
      <c r="B239" t="s">
        <v>915</v>
      </c>
    </row>
    <row r="240" spans="1:2" x14ac:dyDescent="0.3">
      <c r="A240">
        <v>72975207</v>
      </c>
      <c r="B240" t="s">
        <v>915</v>
      </c>
    </row>
    <row r="241" spans="1:2" x14ac:dyDescent="0.3">
      <c r="A241">
        <v>7183384830</v>
      </c>
      <c r="B241" t="s">
        <v>915</v>
      </c>
    </row>
    <row r="242" spans="1:2" x14ac:dyDescent="0.3">
      <c r="A242">
        <v>72782146</v>
      </c>
      <c r="B242" t="s">
        <v>915</v>
      </c>
    </row>
    <row r="243" spans="1:2" x14ac:dyDescent="0.3">
      <c r="A243">
        <v>72838660</v>
      </c>
      <c r="B243" t="s">
        <v>915</v>
      </c>
    </row>
    <row r="244" spans="1:2" x14ac:dyDescent="0.3">
      <c r="A244">
        <v>7298250930</v>
      </c>
      <c r="B244" t="s">
        <v>915</v>
      </c>
    </row>
    <row r="245" spans="1:2" x14ac:dyDescent="0.3">
      <c r="A245">
        <v>72894030</v>
      </c>
      <c r="B245" t="s">
        <v>915</v>
      </c>
    </row>
    <row r="246" spans="1:2" x14ac:dyDescent="0.3">
      <c r="A246">
        <v>72897732</v>
      </c>
      <c r="B246" t="s">
        <v>915</v>
      </c>
    </row>
    <row r="247" spans="1:2" x14ac:dyDescent="0.3">
      <c r="A247">
        <v>71837758</v>
      </c>
      <c r="B247" t="s">
        <v>915</v>
      </c>
    </row>
    <row r="248" spans="1:2" x14ac:dyDescent="0.3">
      <c r="A248">
        <v>77183384830</v>
      </c>
      <c r="B248" t="s">
        <v>915</v>
      </c>
    </row>
    <row r="249" spans="1:2" x14ac:dyDescent="0.3">
      <c r="A249">
        <v>7278179230</v>
      </c>
      <c r="B249" t="s">
        <v>915</v>
      </c>
    </row>
    <row r="250" spans="1:2" x14ac:dyDescent="0.3">
      <c r="A250">
        <v>72781797</v>
      </c>
      <c r="B250" t="s">
        <v>915</v>
      </c>
    </row>
    <row r="251" spans="1:2" x14ac:dyDescent="0.3">
      <c r="A251">
        <v>7075218330</v>
      </c>
      <c r="B251" t="s">
        <v>915</v>
      </c>
    </row>
    <row r="252" spans="1:2" x14ac:dyDescent="0.3">
      <c r="A252">
        <v>7298108030</v>
      </c>
      <c r="B252" t="s">
        <v>915</v>
      </c>
    </row>
    <row r="253" spans="1:2" x14ac:dyDescent="0.3">
      <c r="A253">
        <v>7298108030</v>
      </c>
      <c r="B253" t="s">
        <v>915</v>
      </c>
    </row>
    <row r="254" spans="1:2" x14ac:dyDescent="0.3">
      <c r="A254">
        <v>7289749530</v>
      </c>
      <c r="B254" t="s">
        <v>915</v>
      </c>
    </row>
    <row r="255" spans="1:2" x14ac:dyDescent="0.3">
      <c r="A255">
        <v>7278059630</v>
      </c>
      <c r="B255" t="s">
        <v>915</v>
      </c>
    </row>
    <row r="256" spans="1:2" x14ac:dyDescent="0.3">
      <c r="A256" t="s">
        <v>920</v>
      </c>
      <c r="B256" t="s">
        <v>915</v>
      </c>
    </row>
    <row r="257" spans="1:2" x14ac:dyDescent="0.3">
      <c r="A257" t="s">
        <v>920</v>
      </c>
      <c r="B257" t="s">
        <v>915</v>
      </c>
    </row>
    <row r="258" spans="1:2" x14ac:dyDescent="0.3">
      <c r="A258">
        <v>74752895</v>
      </c>
      <c r="B258" t="s">
        <v>915</v>
      </c>
    </row>
    <row r="259" spans="1:2" x14ac:dyDescent="0.3">
      <c r="A259">
        <v>74752895</v>
      </c>
      <c r="B259" t="s">
        <v>915</v>
      </c>
    </row>
    <row r="260" spans="1:2" x14ac:dyDescent="0.3">
      <c r="A260" t="s">
        <v>920</v>
      </c>
      <c r="B260" t="s">
        <v>915</v>
      </c>
    </row>
    <row r="261" spans="1:2" x14ac:dyDescent="0.3">
      <c r="A261">
        <v>7278121430</v>
      </c>
      <c r="B261" t="s">
        <v>915</v>
      </c>
    </row>
    <row r="262" spans="1:2" x14ac:dyDescent="0.3">
      <c r="A262">
        <v>7289909030</v>
      </c>
      <c r="B262" t="s">
        <v>915</v>
      </c>
    </row>
    <row r="263" spans="1:2" x14ac:dyDescent="0.3">
      <c r="A263">
        <v>7219192930</v>
      </c>
      <c r="B263" t="s">
        <v>915</v>
      </c>
    </row>
    <row r="264" spans="1:2" x14ac:dyDescent="0.3">
      <c r="A264">
        <v>7219192930</v>
      </c>
      <c r="B264" t="s">
        <v>915</v>
      </c>
    </row>
    <row r="265" spans="1:2" x14ac:dyDescent="0.3">
      <c r="A265">
        <v>72980784</v>
      </c>
      <c r="B265" t="s">
        <v>915</v>
      </c>
    </row>
    <row r="266" spans="1:2" x14ac:dyDescent="0.3">
      <c r="A266" t="s">
        <v>920</v>
      </c>
      <c r="B266" t="s">
        <v>915</v>
      </c>
    </row>
    <row r="267" spans="1:2" x14ac:dyDescent="0.3">
      <c r="A267" t="s">
        <v>920</v>
      </c>
      <c r="B267" t="s">
        <v>915</v>
      </c>
    </row>
    <row r="268" spans="1:2" x14ac:dyDescent="0.3">
      <c r="A268">
        <v>72868813</v>
      </c>
      <c r="B268" t="s">
        <v>915</v>
      </c>
    </row>
  </sheetData>
  <phoneticPr fontId="1" type="noConversion"/>
  <conditionalFormatting sqref="A1:A1048576">
    <cfRule type="duplicateValues" dxfId="9" priority="1"/>
  </conditionalFormatting>
  <pageMargins left="0.7" right="0.7" top="0.75" bottom="0.75" header="0.3" footer="0.3"/>
  <tableParts count="1">
    <tablePart r:id="rId1"/>
  </tablePart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CE94CD-CF1F-4699-9E36-7660E2DBDA9F}">
  <sheetPr codeName="Sheet11"/>
  <dimension ref="A1:G489"/>
  <sheetViews>
    <sheetView topLeftCell="A61" workbookViewId="0">
      <selection activeCell="J69" sqref="J69"/>
    </sheetView>
  </sheetViews>
  <sheetFormatPr defaultRowHeight="15.6" x14ac:dyDescent="0.3"/>
  <cols>
    <col min="1" max="1" width="67.88671875" style="7" customWidth="1"/>
    <col min="2" max="2" width="29.21875" style="7" customWidth="1"/>
    <col min="3" max="3" width="23.21875" style="7" customWidth="1"/>
    <col min="4" max="4" width="21" style="7" customWidth="1"/>
    <col min="5" max="5" width="7.33203125" style="7" bestFit="1" customWidth="1"/>
    <col min="6" max="6" width="20.33203125" bestFit="1" customWidth="1"/>
  </cols>
  <sheetData>
    <row r="1" spans="1:7" x14ac:dyDescent="0.3">
      <c r="A1" s="5" t="s">
        <v>422</v>
      </c>
      <c r="B1" s="8" t="s">
        <v>736</v>
      </c>
      <c r="C1" s="8" t="s">
        <v>738</v>
      </c>
      <c r="D1" s="8" t="s">
        <v>737</v>
      </c>
      <c r="E1" s="8" t="s">
        <v>274</v>
      </c>
      <c r="F1" t="s">
        <v>739</v>
      </c>
      <c r="G1" t="s">
        <v>951</v>
      </c>
    </row>
    <row r="2" spans="1:7" ht="14.4" x14ac:dyDescent="0.3">
      <c r="A2" s="4">
        <v>70521459</v>
      </c>
      <c r="B2" s="4" t="str">
        <f>TRIM(Table4[[#This Row],[ypn]])</f>
        <v>70521459</v>
      </c>
      <c r="C2" s="4" t="b">
        <f>Table4[[#This Row],[ypn]]=Table4[[#This Row],[trim]]</f>
        <v>0</v>
      </c>
      <c r="D2" s="4">
        <f>Table4[[#This Row],[ypn]]*1</f>
        <v>70521459</v>
      </c>
      <c r="E2" s="4">
        <f>TYPE(Table4[[#This Row],[ypn]])</f>
        <v>1</v>
      </c>
      <c r="F2" t="s">
        <v>671</v>
      </c>
      <c r="G2" s="4"/>
    </row>
    <row r="3" spans="1:7" ht="14.4" x14ac:dyDescent="0.3">
      <c r="A3" s="4">
        <v>71186354</v>
      </c>
      <c r="B3" s="4" t="str">
        <f>TRIM(Table4[[#This Row],[ypn]])</f>
        <v>71186354</v>
      </c>
      <c r="C3" s="4" t="b">
        <f>Table4[[#This Row],[ypn]]=Table4[[#This Row],[trim]]</f>
        <v>0</v>
      </c>
      <c r="D3" s="4">
        <f>Table4[[#This Row],[ypn]]*1</f>
        <v>71186354</v>
      </c>
      <c r="E3" s="4">
        <f>TYPE(Table4[[#This Row],[ypn]])</f>
        <v>1</v>
      </c>
      <c r="F3" t="s">
        <v>423</v>
      </c>
      <c r="G3" s="4"/>
    </row>
    <row r="4" spans="1:7" ht="14.4" x14ac:dyDescent="0.3">
      <c r="A4" s="4">
        <v>71191993</v>
      </c>
      <c r="B4" s="4" t="str">
        <f>TRIM(Table4[[#This Row],[ypn]])</f>
        <v>71191993</v>
      </c>
      <c r="C4" s="4" t="b">
        <f>Table4[[#This Row],[ypn]]=Table4[[#This Row],[trim]]</f>
        <v>0</v>
      </c>
      <c r="D4" s="4">
        <f>Table4[[#This Row],[ypn]]*1</f>
        <v>71191993</v>
      </c>
      <c r="E4" s="4">
        <f>TYPE(Table4[[#This Row],[ypn]])</f>
        <v>1</v>
      </c>
      <c r="F4" t="s">
        <v>424</v>
      </c>
      <c r="G4" s="4"/>
    </row>
    <row r="5" spans="1:7" ht="14.4" x14ac:dyDescent="0.3">
      <c r="A5" s="4">
        <v>71196180</v>
      </c>
      <c r="B5" s="4" t="str">
        <f>TRIM(Table4[[#This Row],[ypn]])</f>
        <v>71196180</v>
      </c>
      <c r="C5" s="4" t="b">
        <f>Table4[[#This Row],[ypn]]=Table4[[#This Row],[trim]]</f>
        <v>0</v>
      </c>
      <c r="D5" s="4">
        <f>Table4[[#This Row],[ypn]]*1</f>
        <v>71196180</v>
      </c>
      <c r="E5" s="4">
        <f>TYPE(Table4[[#This Row],[ypn]])</f>
        <v>1</v>
      </c>
      <c r="F5" t="s">
        <v>425</v>
      </c>
      <c r="G5" s="4"/>
    </row>
    <row r="6" spans="1:7" ht="14.4" x14ac:dyDescent="0.3">
      <c r="A6" s="4">
        <v>71196350</v>
      </c>
      <c r="B6" s="4" t="str">
        <f>TRIM(Table4[[#This Row],[ypn]])</f>
        <v>71196350</v>
      </c>
      <c r="C6" s="4" t="b">
        <f>Table4[[#This Row],[ypn]]=Table4[[#This Row],[trim]]</f>
        <v>0</v>
      </c>
      <c r="D6" s="4">
        <f>Table4[[#This Row],[ypn]]*1</f>
        <v>71196350</v>
      </c>
      <c r="E6" s="4">
        <f>TYPE(Table4[[#This Row],[ypn]])</f>
        <v>1</v>
      </c>
      <c r="F6" t="s">
        <v>426</v>
      </c>
      <c r="G6" s="4"/>
    </row>
    <row r="7" spans="1:7" ht="14.4" x14ac:dyDescent="0.3">
      <c r="A7" s="4">
        <v>71196401</v>
      </c>
      <c r="B7" s="4" t="str">
        <f>TRIM(Table4[[#This Row],[ypn]])</f>
        <v>71196401</v>
      </c>
      <c r="C7" s="4" t="b">
        <f>Table4[[#This Row],[ypn]]=Table4[[#This Row],[trim]]</f>
        <v>0</v>
      </c>
      <c r="D7" s="4">
        <f>Table4[[#This Row],[ypn]]*1</f>
        <v>71196401</v>
      </c>
      <c r="E7" s="4">
        <f>TYPE(Table4[[#This Row],[ypn]])</f>
        <v>1</v>
      </c>
      <c r="F7" t="s">
        <v>427</v>
      </c>
      <c r="G7" s="4"/>
    </row>
    <row r="8" spans="1:7" ht="14.4" x14ac:dyDescent="0.3">
      <c r="A8" s="4">
        <v>71196506</v>
      </c>
      <c r="B8" s="4" t="str">
        <f>TRIM(Table4[[#This Row],[ypn]])</f>
        <v>71196506</v>
      </c>
      <c r="C8" s="4" t="b">
        <f>Table4[[#This Row],[ypn]]=Table4[[#This Row],[trim]]</f>
        <v>0</v>
      </c>
      <c r="D8" s="4">
        <f>Table4[[#This Row],[ypn]]*1</f>
        <v>71196506</v>
      </c>
      <c r="E8" s="4">
        <f>TYPE(Table4[[#This Row],[ypn]])</f>
        <v>1</v>
      </c>
      <c r="F8" t="s">
        <v>428</v>
      </c>
      <c r="G8" s="4"/>
    </row>
    <row r="9" spans="1:7" ht="14.4" x14ac:dyDescent="0.3">
      <c r="A9" s="4">
        <v>71196714</v>
      </c>
      <c r="B9" s="4" t="str">
        <f>TRIM(Table4[[#This Row],[ypn]])</f>
        <v>71196714</v>
      </c>
      <c r="C9" s="4" t="b">
        <f>Table4[[#This Row],[ypn]]=Table4[[#This Row],[trim]]</f>
        <v>0</v>
      </c>
      <c r="D9" s="4">
        <f>Table4[[#This Row],[ypn]]*1</f>
        <v>71196714</v>
      </c>
      <c r="E9" s="4">
        <f>TYPE(Table4[[#This Row],[ypn]])</f>
        <v>1</v>
      </c>
      <c r="F9" t="s">
        <v>429</v>
      </c>
      <c r="G9" s="4"/>
    </row>
    <row r="10" spans="1:7" ht="14.4" x14ac:dyDescent="0.3">
      <c r="A10" s="4">
        <v>71781227</v>
      </c>
      <c r="B10" s="4" t="str">
        <f>TRIM(Table4[[#This Row],[ypn]])</f>
        <v>71781227</v>
      </c>
      <c r="C10" s="4" t="b">
        <f>Table4[[#This Row],[ypn]]=Table4[[#This Row],[trim]]</f>
        <v>0</v>
      </c>
      <c r="D10" s="4">
        <f>Table4[[#This Row],[ypn]]*1</f>
        <v>71781227</v>
      </c>
      <c r="E10" s="4">
        <f>TYPE(Table4[[#This Row],[ypn]])</f>
        <v>1</v>
      </c>
      <c r="F10" t="s">
        <v>430</v>
      </c>
      <c r="G10" s="4"/>
    </row>
    <row r="11" spans="1:7" ht="14.4" x14ac:dyDescent="0.3">
      <c r="A11" s="4">
        <v>71781405</v>
      </c>
      <c r="B11" s="4" t="str">
        <f>TRIM(Table4[[#This Row],[ypn]])</f>
        <v>71781405</v>
      </c>
      <c r="C11" s="4" t="b">
        <f>Table4[[#This Row],[ypn]]=Table4[[#This Row],[trim]]</f>
        <v>0</v>
      </c>
      <c r="D11" s="4">
        <f>Table4[[#This Row],[ypn]]*1</f>
        <v>71781405</v>
      </c>
      <c r="E11" s="4">
        <f>TYPE(Table4[[#This Row],[ypn]])</f>
        <v>1</v>
      </c>
      <c r="F11" t="s">
        <v>431</v>
      </c>
      <c r="G11" s="4"/>
    </row>
    <row r="12" spans="1:7" ht="14.4" x14ac:dyDescent="0.3">
      <c r="A12" s="4">
        <v>71782472</v>
      </c>
      <c r="B12" s="4" t="str">
        <f>TRIM(Table4[[#This Row],[ypn]])</f>
        <v>71782472</v>
      </c>
      <c r="C12" s="4" t="b">
        <f>Table4[[#This Row],[ypn]]=Table4[[#This Row],[trim]]</f>
        <v>0</v>
      </c>
      <c r="D12" s="4">
        <f>Table4[[#This Row],[ypn]]*1</f>
        <v>71782472</v>
      </c>
      <c r="E12" s="4">
        <f>TYPE(Table4[[#This Row],[ypn]])</f>
        <v>1</v>
      </c>
      <c r="F12" t="s">
        <v>432</v>
      </c>
      <c r="G12" s="4"/>
    </row>
    <row r="13" spans="1:7" ht="14.4" x14ac:dyDescent="0.3">
      <c r="A13" s="4">
        <v>71834835</v>
      </c>
      <c r="B13" s="4" t="str">
        <f>TRIM(Table4[[#This Row],[ypn]])</f>
        <v>71834835</v>
      </c>
      <c r="C13" s="4" t="b">
        <f>Table4[[#This Row],[ypn]]=Table4[[#This Row],[trim]]</f>
        <v>0</v>
      </c>
      <c r="D13" s="4">
        <f>Table4[[#This Row],[ypn]]*1</f>
        <v>71834835</v>
      </c>
      <c r="E13" s="4">
        <f>TYPE(Table4[[#This Row],[ypn]])</f>
        <v>1</v>
      </c>
      <c r="F13" t="s">
        <v>433</v>
      </c>
      <c r="G13" s="4"/>
    </row>
    <row r="14" spans="1:7" ht="14.4" x14ac:dyDescent="0.3">
      <c r="A14" s="4">
        <v>71897277</v>
      </c>
      <c r="B14" s="4" t="str">
        <f>TRIM(Table4[[#This Row],[ypn]])</f>
        <v>71897277</v>
      </c>
      <c r="C14" s="4" t="b">
        <f>Table4[[#This Row],[ypn]]=Table4[[#This Row],[trim]]</f>
        <v>0</v>
      </c>
      <c r="D14" s="4">
        <f>Table4[[#This Row],[ypn]]*1</f>
        <v>71897277</v>
      </c>
      <c r="E14" s="4">
        <f>TYPE(Table4[[#This Row],[ypn]])</f>
        <v>1</v>
      </c>
      <c r="F14" t="s">
        <v>434</v>
      </c>
      <c r="G14" s="4"/>
    </row>
    <row r="15" spans="1:7" ht="14.4" x14ac:dyDescent="0.3">
      <c r="A15" s="4">
        <v>71899503</v>
      </c>
      <c r="B15" s="4" t="str">
        <f>TRIM(Table4[[#This Row],[ypn]])</f>
        <v>71899503</v>
      </c>
      <c r="C15" s="4" t="b">
        <f>Table4[[#This Row],[ypn]]=Table4[[#This Row],[trim]]</f>
        <v>0</v>
      </c>
      <c r="D15" s="4">
        <f>Table4[[#This Row],[ypn]]*1</f>
        <v>71899503</v>
      </c>
      <c r="E15" s="4">
        <f>TYPE(Table4[[#This Row],[ypn]])</f>
        <v>1</v>
      </c>
      <c r="F15" t="s">
        <v>435</v>
      </c>
      <c r="G15" s="4"/>
    </row>
    <row r="16" spans="1:7" ht="14.4" x14ac:dyDescent="0.3">
      <c r="A16" s="4">
        <v>71986562</v>
      </c>
      <c r="B16" s="4" t="str">
        <f>TRIM(Table4[[#This Row],[ypn]])</f>
        <v>71986562</v>
      </c>
      <c r="C16" s="4" t="b">
        <f>Table4[[#This Row],[ypn]]=Table4[[#This Row],[trim]]</f>
        <v>0</v>
      </c>
      <c r="D16" s="4">
        <f>Table4[[#This Row],[ypn]]*1</f>
        <v>71986562</v>
      </c>
      <c r="E16" s="4">
        <f>TYPE(Table4[[#This Row],[ypn]])</f>
        <v>1</v>
      </c>
      <c r="F16" t="s">
        <v>436</v>
      </c>
      <c r="G16" s="4" t="s">
        <v>740</v>
      </c>
    </row>
    <row r="17" spans="1:7" ht="14.4" x14ac:dyDescent="0.3">
      <c r="A17" s="4">
        <v>71987958</v>
      </c>
      <c r="B17" s="4" t="str">
        <f>TRIM(Table4[[#This Row],[ypn]])</f>
        <v>71987958</v>
      </c>
      <c r="C17" s="4" t="b">
        <f>Table4[[#This Row],[ypn]]=Table4[[#This Row],[trim]]</f>
        <v>0</v>
      </c>
      <c r="D17" s="4">
        <f>Table4[[#This Row],[ypn]]*1</f>
        <v>71987958</v>
      </c>
      <c r="E17" s="4">
        <f>TYPE(Table4[[#This Row],[ypn]])</f>
        <v>1</v>
      </c>
      <c r="F17" t="s">
        <v>437</v>
      </c>
      <c r="G17" s="4"/>
    </row>
    <row r="18" spans="1:7" ht="14.4" x14ac:dyDescent="0.3">
      <c r="A18" s="4">
        <v>71988082</v>
      </c>
      <c r="B18" s="4" t="str">
        <f>TRIM(Table4[[#This Row],[ypn]])</f>
        <v>71988082</v>
      </c>
      <c r="C18" s="4" t="b">
        <f>Table4[[#This Row],[ypn]]=Table4[[#This Row],[trim]]</f>
        <v>0</v>
      </c>
      <c r="D18" s="4">
        <f>Table4[[#This Row],[ypn]]*1</f>
        <v>71988082</v>
      </c>
      <c r="E18" s="4">
        <f>TYPE(Table4[[#This Row],[ypn]])</f>
        <v>1</v>
      </c>
      <c r="F18" t="s">
        <v>438</v>
      </c>
      <c r="G18" s="4"/>
    </row>
    <row r="19" spans="1:7" ht="14.4" x14ac:dyDescent="0.3">
      <c r="A19" s="4">
        <v>71989162</v>
      </c>
      <c r="B19" s="4" t="str">
        <f>TRIM(Table4[[#This Row],[ypn]])</f>
        <v>71989162</v>
      </c>
      <c r="C19" s="4" t="b">
        <f>Table4[[#This Row],[ypn]]=Table4[[#This Row],[trim]]</f>
        <v>0</v>
      </c>
      <c r="D19" s="4">
        <f>Table4[[#This Row],[ypn]]*1</f>
        <v>71989162</v>
      </c>
      <c r="E19" s="4">
        <f>TYPE(Table4[[#This Row],[ypn]])</f>
        <v>1</v>
      </c>
      <c r="F19" t="s">
        <v>439</v>
      </c>
      <c r="G19" s="4"/>
    </row>
    <row r="20" spans="1:7" ht="14.4" x14ac:dyDescent="0.3">
      <c r="A20" s="4">
        <v>72191763</v>
      </c>
      <c r="B20" s="4" t="str">
        <f>TRIM(Table4[[#This Row],[ypn]])</f>
        <v>72191763</v>
      </c>
      <c r="C20" s="4" t="b">
        <f>Table4[[#This Row],[ypn]]=Table4[[#This Row],[trim]]</f>
        <v>0</v>
      </c>
      <c r="D20" s="4">
        <f>Table4[[#This Row],[ypn]]*1</f>
        <v>72191763</v>
      </c>
      <c r="E20" s="4">
        <f>TYPE(Table4[[#This Row],[ypn]])</f>
        <v>1</v>
      </c>
      <c r="F20" t="s">
        <v>440</v>
      </c>
      <c r="G20" s="4"/>
    </row>
    <row r="21" spans="1:7" ht="14.4" x14ac:dyDescent="0.3">
      <c r="A21" s="4">
        <v>72893837</v>
      </c>
      <c r="B21" s="4" t="str">
        <f>TRIM(Table4[[#This Row],[ypn]])</f>
        <v>72893837</v>
      </c>
      <c r="C21" s="4" t="b">
        <f>Table4[[#This Row],[ypn]]=Table4[[#This Row],[trim]]</f>
        <v>0</v>
      </c>
      <c r="D21" s="4">
        <f>Table4[[#This Row],[ypn]]*1</f>
        <v>72893837</v>
      </c>
      <c r="E21" s="4">
        <f>TYPE(Table4[[#This Row],[ypn]])</f>
        <v>1</v>
      </c>
      <c r="F21" t="s">
        <v>701</v>
      </c>
      <c r="G21" s="4"/>
    </row>
    <row r="22" spans="1:7" ht="14.4" x14ac:dyDescent="0.3">
      <c r="A22" s="4">
        <v>72895381</v>
      </c>
      <c r="B22" s="4" t="str">
        <f>TRIM(Table4[[#This Row],[ypn]])</f>
        <v>72895381</v>
      </c>
      <c r="C22" s="4" t="b">
        <f>Table4[[#This Row],[ypn]]=Table4[[#This Row],[trim]]</f>
        <v>0</v>
      </c>
      <c r="D22" s="4">
        <f>Table4[[#This Row],[ypn]]*1</f>
        <v>72895381</v>
      </c>
      <c r="E22" s="4">
        <f>TYPE(Table4[[#This Row],[ypn]])</f>
        <v>1</v>
      </c>
      <c r="F22" t="s">
        <v>441</v>
      </c>
      <c r="G22" s="4"/>
    </row>
    <row r="23" spans="1:7" ht="14.4" x14ac:dyDescent="0.3">
      <c r="A23" s="4">
        <v>72980475</v>
      </c>
      <c r="B23" s="4" t="str">
        <f>TRIM(Table4[[#This Row],[ypn]])</f>
        <v>72980475</v>
      </c>
      <c r="C23" s="4" t="b">
        <f>Table4[[#This Row],[ypn]]=Table4[[#This Row],[trim]]</f>
        <v>0</v>
      </c>
      <c r="D23" s="4">
        <f>Table4[[#This Row],[ypn]]*1</f>
        <v>72980475</v>
      </c>
      <c r="E23" s="4">
        <f>TYPE(Table4[[#This Row],[ypn]])</f>
        <v>1</v>
      </c>
      <c r="F23" t="s">
        <v>442</v>
      </c>
      <c r="G23" s="4"/>
    </row>
    <row r="24" spans="1:7" ht="14.4" x14ac:dyDescent="0.3">
      <c r="A24" s="4">
        <v>72988085</v>
      </c>
      <c r="B24" s="4" t="str">
        <f>TRIM(Table4[[#This Row],[ypn]])</f>
        <v>72988085</v>
      </c>
      <c r="C24" s="4" t="b">
        <f>Table4[[#This Row],[ypn]]=Table4[[#This Row],[trim]]</f>
        <v>0</v>
      </c>
      <c r="D24" s="4">
        <f>Table4[[#This Row],[ypn]]*1</f>
        <v>72988085</v>
      </c>
      <c r="E24" s="4">
        <f>TYPE(Table4[[#This Row],[ypn]])</f>
        <v>1</v>
      </c>
      <c r="F24" t="s">
        <v>443</v>
      </c>
      <c r="G24" s="4"/>
    </row>
    <row r="25" spans="1:7" ht="14.4" x14ac:dyDescent="0.3">
      <c r="A25" s="4">
        <v>7003293002</v>
      </c>
      <c r="B25" s="4" t="str">
        <f>TRIM(Table4[[#This Row],[ypn]])</f>
        <v>7003293002</v>
      </c>
      <c r="C25" s="4" t="b">
        <f>Table4[[#This Row],[ypn]]=Table4[[#This Row],[trim]]</f>
        <v>0</v>
      </c>
      <c r="D25" s="4">
        <f>Table4[[#This Row],[ypn]]*1</f>
        <v>7003293002</v>
      </c>
      <c r="E25" s="4">
        <f>TYPE(Table4[[#This Row],[ypn]])</f>
        <v>1</v>
      </c>
      <c r="F25" t="s">
        <v>444</v>
      </c>
      <c r="G25" s="4"/>
    </row>
    <row r="26" spans="1:7" ht="14.4" x14ac:dyDescent="0.3">
      <c r="A26" s="4">
        <v>7003803702</v>
      </c>
      <c r="B26" s="4" t="str">
        <f>TRIM(Table4[[#This Row],[ypn]])</f>
        <v>7003803702</v>
      </c>
      <c r="C26" s="4" t="b">
        <f>Table4[[#This Row],[ypn]]=Table4[[#This Row],[trim]]</f>
        <v>0</v>
      </c>
      <c r="D26" s="4">
        <f>Table4[[#This Row],[ypn]]*1</f>
        <v>7003803702</v>
      </c>
      <c r="E26" s="4">
        <f>TYPE(Table4[[#This Row],[ypn]])</f>
        <v>1</v>
      </c>
      <c r="F26" t="s">
        <v>671</v>
      </c>
      <c r="G26" s="4"/>
    </row>
    <row r="27" spans="1:7" ht="14.4" x14ac:dyDescent="0.3">
      <c r="A27" s="4">
        <v>7009741502</v>
      </c>
      <c r="B27" s="4" t="str">
        <f>TRIM(Table4[[#This Row],[ypn]])</f>
        <v>7009741502</v>
      </c>
      <c r="C27" s="4" t="b">
        <f>Table4[[#This Row],[ypn]]=Table4[[#This Row],[trim]]</f>
        <v>0</v>
      </c>
      <c r="D27" s="4">
        <f>Table4[[#This Row],[ypn]]*1</f>
        <v>7009741502</v>
      </c>
      <c r="E27" s="4">
        <f>TYPE(Table4[[#This Row],[ypn]])</f>
        <v>1</v>
      </c>
      <c r="F27" t="s">
        <v>671</v>
      </c>
      <c r="G27" s="4"/>
    </row>
    <row r="28" spans="1:7" ht="14.4" x14ac:dyDescent="0.3">
      <c r="A28" s="4">
        <v>7047135830</v>
      </c>
      <c r="B28" s="4" t="str">
        <f>TRIM(Table4[[#This Row],[ypn]])</f>
        <v>7047135830</v>
      </c>
      <c r="C28" s="4" t="b">
        <f>Table4[[#This Row],[ypn]]=Table4[[#This Row],[trim]]</f>
        <v>0</v>
      </c>
      <c r="D28" s="4">
        <f>Table4[[#This Row],[ypn]]*1</f>
        <v>7047135830</v>
      </c>
      <c r="E28" s="4">
        <f>TYPE(Table4[[#This Row],[ypn]])</f>
        <v>1</v>
      </c>
      <c r="F28" t="s">
        <v>671</v>
      </c>
      <c r="G28" s="4"/>
    </row>
    <row r="29" spans="1:7" ht="14.4" x14ac:dyDescent="0.3">
      <c r="A29" s="4">
        <v>7047186030</v>
      </c>
      <c r="B29" s="4" t="str">
        <f>TRIM(Table4[[#This Row],[ypn]])</f>
        <v>7047186030</v>
      </c>
      <c r="C29" s="4" t="b">
        <f>Table4[[#This Row],[ypn]]=Table4[[#This Row],[trim]]</f>
        <v>0</v>
      </c>
      <c r="D29" s="4">
        <f>Table4[[#This Row],[ypn]]*1</f>
        <v>7047186030</v>
      </c>
      <c r="E29" s="4">
        <f>TYPE(Table4[[#This Row],[ypn]])</f>
        <v>1</v>
      </c>
      <c r="F29" t="s">
        <v>445</v>
      </c>
      <c r="G29" s="4" t="s">
        <v>1009</v>
      </c>
    </row>
    <row r="30" spans="1:7" ht="14.4" x14ac:dyDescent="0.3">
      <c r="A30" s="4">
        <v>7047273930</v>
      </c>
      <c r="B30" s="4" t="str">
        <f>TRIM(Table4[[#This Row],[ypn]])</f>
        <v>7047273930</v>
      </c>
      <c r="C30" s="4" t="b">
        <f>Table4[[#This Row],[ypn]]=Table4[[#This Row],[trim]]</f>
        <v>0</v>
      </c>
      <c r="D30" s="4">
        <f>Table4[[#This Row],[ypn]]*1</f>
        <v>7047273930</v>
      </c>
      <c r="E30" s="4">
        <f>TYPE(Table4[[#This Row],[ypn]])</f>
        <v>1</v>
      </c>
      <c r="F30" t="s">
        <v>671</v>
      </c>
      <c r="G30" s="4"/>
    </row>
    <row r="31" spans="1:7" ht="14.4" x14ac:dyDescent="0.3">
      <c r="A31" s="4">
        <v>7047305630</v>
      </c>
      <c r="B31" s="4" t="str">
        <f>TRIM(Table4[[#This Row],[ypn]])</f>
        <v>7047305630</v>
      </c>
      <c r="C31" s="4" t="b">
        <f>Table4[[#This Row],[ypn]]=Table4[[#This Row],[trim]]</f>
        <v>0</v>
      </c>
      <c r="D31" s="4">
        <f>Table4[[#This Row],[ypn]]*1</f>
        <v>7047305630</v>
      </c>
      <c r="E31" s="4">
        <f>TYPE(Table4[[#This Row],[ypn]])</f>
        <v>1</v>
      </c>
      <c r="F31" t="s">
        <v>671</v>
      </c>
      <c r="G31" s="4"/>
    </row>
    <row r="32" spans="1:7" ht="14.4" x14ac:dyDescent="0.3">
      <c r="A32" s="4">
        <v>7052753130</v>
      </c>
      <c r="B32" s="4" t="str">
        <f>TRIM(Table4[[#This Row],[ypn]])</f>
        <v>7052753130</v>
      </c>
      <c r="C32" s="4" t="b">
        <f>Table4[[#This Row],[ypn]]=Table4[[#This Row],[trim]]</f>
        <v>0</v>
      </c>
      <c r="D32" s="4">
        <f>Table4[[#This Row],[ypn]]*1</f>
        <v>7052753130</v>
      </c>
      <c r="E32" s="4">
        <f>TYPE(Table4[[#This Row],[ypn]])</f>
        <v>1</v>
      </c>
      <c r="F32" t="s">
        <v>671</v>
      </c>
      <c r="G32" s="4"/>
    </row>
    <row r="33" spans="1:7" ht="14.4" x14ac:dyDescent="0.3">
      <c r="A33" s="4">
        <v>7075244730</v>
      </c>
      <c r="B33" s="4" t="str">
        <f>TRIM(Table4[[#This Row],[ypn]])</f>
        <v>7075244730</v>
      </c>
      <c r="C33" s="4" t="b">
        <f>Table4[[#This Row],[ypn]]=Table4[[#This Row],[trim]]</f>
        <v>0</v>
      </c>
      <c r="D33" s="4">
        <f>Table4[[#This Row],[ypn]]*1</f>
        <v>7075244730</v>
      </c>
      <c r="E33" s="4">
        <f>TYPE(Table4[[#This Row],[ypn]])</f>
        <v>1</v>
      </c>
      <c r="F33" t="s">
        <v>446</v>
      </c>
      <c r="G33" s="4"/>
    </row>
    <row r="34" spans="1:7" ht="14.4" x14ac:dyDescent="0.3">
      <c r="A34" s="4">
        <v>7118605030</v>
      </c>
      <c r="B34" s="4" t="str">
        <f>TRIM(Table4[[#This Row],[ypn]])</f>
        <v>7118605030</v>
      </c>
      <c r="C34" s="4" t="b">
        <f>Table4[[#This Row],[ypn]]=Table4[[#This Row],[trim]]</f>
        <v>0</v>
      </c>
      <c r="D34" s="4">
        <f>Table4[[#This Row],[ypn]]*1</f>
        <v>7118605030</v>
      </c>
      <c r="E34" s="4">
        <f>TYPE(Table4[[#This Row],[ypn]])</f>
        <v>1</v>
      </c>
      <c r="F34" t="s">
        <v>447</v>
      </c>
      <c r="G34" s="4"/>
    </row>
    <row r="35" spans="1:7" ht="14.4" x14ac:dyDescent="0.3">
      <c r="A35" s="4">
        <v>7119131260</v>
      </c>
      <c r="B35" s="4" t="str">
        <f>TRIM(Table4[[#This Row],[ypn]])</f>
        <v>7119131260</v>
      </c>
      <c r="C35" s="4" t="b">
        <f>Table4[[#This Row],[ypn]]=Table4[[#This Row],[trim]]</f>
        <v>0</v>
      </c>
      <c r="D35" s="4">
        <f>Table4[[#This Row],[ypn]]*1</f>
        <v>7119131260</v>
      </c>
      <c r="E35" s="4">
        <f>TYPE(Table4[[#This Row],[ypn]])</f>
        <v>1</v>
      </c>
      <c r="F35" t="s">
        <v>448</v>
      </c>
      <c r="G35" s="4"/>
    </row>
    <row r="36" spans="1:7" ht="14.4" x14ac:dyDescent="0.3">
      <c r="A36" s="4">
        <v>7119131530</v>
      </c>
      <c r="B36" s="4" t="str">
        <f>TRIM(Table4[[#This Row],[ypn]])</f>
        <v>7119131530</v>
      </c>
      <c r="C36" s="4" t="b">
        <f>Table4[[#This Row],[ypn]]=Table4[[#This Row],[trim]]</f>
        <v>0</v>
      </c>
      <c r="D36" s="4">
        <f>Table4[[#This Row],[ypn]]*1</f>
        <v>7119131530</v>
      </c>
      <c r="E36" s="4">
        <f>TYPE(Table4[[#This Row],[ypn]])</f>
        <v>1</v>
      </c>
      <c r="F36" t="s">
        <v>449</v>
      </c>
      <c r="G36" s="4"/>
    </row>
    <row r="37" spans="1:7" ht="14.4" x14ac:dyDescent="0.3">
      <c r="A37" s="4">
        <v>7119141030</v>
      </c>
      <c r="B37" s="4" t="str">
        <f>TRIM(Table4[[#This Row],[ypn]])</f>
        <v>7119141030</v>
      </c>
      <c r="C37" s="4" t="b">
        <f>Table4[[#This Row],[ypn]]=Table4[[#This Row],[trim]]</f>
        <v>0</v>
      </c>
      <c r="D37" s="4">
        <f>Table4[[#This Row],[ypn]]*1</f>
        <v>7119141030</v>
      </c>
      <c r="E37" s="4">
        <f>TYPE(Table4[[#This Row],[ypn]])</f>
        <v>1</v>
      </c>
      <c r="F37" t="s">
        <v>450</v>
      </c>
      <c r="G37" s="4"/>
    </row>
    <row r="38" spans="1:7" ht="14.4" x14ac:dyDescent="0.3">
      <c r="A38" s="4">
        <v>7119146730</v>
      </c>
      <c r="B38" s="4" t="str">
        <f>TRIM(Table4[[#This Row],[ypn]])</f>
        <v>7119146730</v>
      </c>
      <c r="C38" s="4" t="b">
        <f>Table4[[#This Row],[ypn]]=Table4[[#This Row],[trim]]</f>
        <v>0</v>
      </c>
      <c r="D38" s="4">
        <f>Table4[[#This Row],[ypn]]*1</f>
        <v>7119146730</v>
      </c>
      <c r="E38" s="4">
        <f>TYPE(Table4[[#This Row],[ypn]])</f>
        <v>1</v>
      </c>
      <c r="F38" t="s">
        <v>451</v>
      </c>
      <c r="G38" s="4"/>
    </row>
    <row r="39" spans="1:7" ht="14.4" x14ac:dyDescent="0.3">
      <c r="A39" s="4">
        <v>7119163630</v>
      </c>
      <c r="B39" s="4" t="str">
        <f>TRIM(Table4[[#This Row],[ypn]])</f>
        <v>7119163630</v>
      </c>
      <c r="C39" s="4" t="b">
        <f>Table4[[#This Row],[ypn]]=Table4[[#This Row],[trim]]</f>
        <v>0</v>
      </c>
      <c r="D39" s="4">
        <f>Table4[[#This Row],[ypn]]*1</f>
        <v>7119163630</v>
      </c>
      <c r="E39" s="4">
        <f>TYPE(Table4[[#This Row],[ypn]])</f>
        <v>1</v>
      </c>
      <c r="F39" t="s">
        <v>452</v>
      </c>
      <c r="G39" s="4"/>
    </row>
    <row r="40" spans="1:7" ht="14.4" x14ac:dyDescent="0.3">
      <c r="A40" s="4">
        <v>7119172930</v>
      </c>
      <c r="B40" s="4" t="str">
        <f>TRIM(Table4[[#This Row],[ypn]])</f>
        <v>7119172930</v>
      </c>
      <c r="C40" s="4" t="b">
        <f>Table4[[#This Row],[ypn]]=Table4[[#This Row],[trim]]</f>
        <v>0</v>
      </c>
      <c r="D40" s="4">
        <f>Table4[[#This Row],[ypn]]*1</f>
        <v>7119172930</v>
      </c>
      <c r="E40" s="4">
        <f>TYPE(Table4[[#This Row],[ypn]])</f>
        <v>1</v>
      </c>
      <c r="F40" t="s">
        <v>453</v>
      </c>
      <c r="G40" s="4"/>
    </row>
    <row r="41" spans="1:7" ht="14.4" x14ac:dyDescent="0.3">
      <c r="A41" s="4">
        <v>7119626030</v>
      </c>
      <c r="B41" s="4" t="str">
        <f>TRIM(Table4[[#This Row],[ypn]])</f>
        <v>7119626030</v>
      </c>
      <c r="C41" s="4" t="b">
        <f>Table4[[#This Row],[ypn]]=Table4[[#This Row],[trim]]</f>
        <v>0</v>
      </c>
      <c r="D41" s="4">
        <f>Table4[[#This Row],[ypn]]*1</f>
        <v>7119626030</v>
      </c>
      <c r="E41" s="4">
        <f>TYPE(Table4[[#This Row],[ypn]])</f>
        <v>1</v>
      </c>
      <c r="F41" t="s">
        <v>454</v>
      </c>
      <c r="G41" s="4"/>
    </row>
    <row r="42" spans="1:7" ht="14.4" x14ac:dyDescent="0.3">
      <c r="A42" s="4">
        <v>7119641970</v>
      </c>
      <c r="B42" s="4" t="str">
        <f>TRIM(Table4[[#This Row],[ypn]])</f>
        <v>7119641970</v>
      </c>
      <c r="C42" s="4" t="b">
        <f>Table4[[#This Row],[ypn]]=Table4[[#This Row],[trim]]</f>
        <v>0</v>
      </c>
      <c r="D42" s="4">
        <f>Table4[[#This Row],[ypn]]*1</f>
        <v>7119641970</v>
      </c>
      <c r="E42" s="4">
        <f>TYPE(Table4[[#This Row],[ypn]])</f>
        <v>1</v>
      </c>
      <c r="F42" t="s">
        <v>455</v>
      </c>
      <c r="G42" s="4"/>
    </row>
    <row r="43" spans="1:7" ht="14.4" x14ac:dyDescent="0.3">
      <c r="A43" s="4">
        <v>7119668820</v>
      </c>
      <c r="B43" s="4" t="str">
        <f>TRIM(Table4[[#This Row],[ypn]])</f>
        <v>7119668820</v>
      </c>
      <c r="C43" s="4" t="b">
        <f>Table4[[#This Row],[ypn]]=Table4[[#This Row],[trim]]</f>
        <v>0</v>
      </c>
      <c r="D43" s="4">
        <f>Table4[[#This Row],[ypn]]*1</f>
        <v>7119668820</v>
      </c>
      <c r="E43" s="4">
        <f>TYPE(Table4[[#This Row],[ypn]])</f>
        <v>1</v>
      </c>
      <c r="F43" t="s">
        <v>456</v>
      </c>
      <c r="G43" s="4"/>
    </row>
    <row r="44" spans="1:7" ht="14.4" x14ac:dyDescent="0.3">
      <c r="A44" s="4">
        <v>7176919530</v>
      </c>
      <c r="B44" s="4" t="str">
        <f>TRIM(Table4[[#This Row],[ypn]])</f>
        <v>7176919530</v>
      </c>
      <c r="C44" s="4" t="b">
        <f>Table4[[#This Row],[ypn]]=Table4[[#This Row],[trim]]</f>
        <v>0</v>
      </c>
      <c r="D44" s="4">
        <f>Table4[[#This Row],[ypn]]*1</f>
        <v>7176919530</v>
      </c>
      <c r="E44" s="4">
        <f>TYPE(Table4[[#This Row],[ypn]])</f>
        <v>1</v>
      </c>
      <c r="F44" t="s">
        <v>457</v>
      </c>
      <c r="G44" s="4"/>
    </row>
    <row r="45" spans="1:7" ht="14.4" x14ac:dyDescent="0.3">
      <c r="A45" s="4">
        <v>7176919730</v>
      </c>
      <c r="B45" s="4" t="str">
        <f>TRIM(Table4[[#This Row],[ypn]])</f>
        <v>7176919730</v>
      </c>
      <c r="C45" s="4" t="b">
        <f>Table4[[#This Row],[ypn]]=Table4[[#This Row],[trim]]</f>
        <v>0</v>
      </c>
      <c r="D45" s="4">
        <f>Table4[[#This Row],[ypn]]*1</f>
        <v>7176919730</v>
      </c>
      <c r="E45" s="4">
        <f>TYPE(Table4[[#This Row],[ypn]])</f>
        <v>1</v>
      </c>
      <c r="F45" t="s">
        <v>458</v>
      </c>
      <c r="G45" s="4"/>
    </row>
    <row r="46" spans="1:7" ht="14.4" x14ac:dyDescent="0.3">
      <c r="A46" s="4">
        <v>7183753630</v>
      </c>
      <c r="B46" s="4" t="str">
        <f>TRIM(Table4[[#This Row],[ypn]])</f>
        <v>7183753630</v>
      </c>
      <c r="C46" s="4" t="b">
        <f>Table4[[#This Row],[ypn]]=Table4[[#This Row],[trim]]</f>
        <v>0</v>
      </c>
      <c r="D46" s="4">
        <f>Table4[[#This Row],[ypn]]*1</f>
        <v>7183753630</v>
      </c>
      <c r="E46" s="4">
        <f>TYPE(Table4[[#This Row],[ypn]])</f>
        <v>1</v>
      </c>
      <c r="F46" t="s">
        <v>459</v>
      </c>
      <c r="G46" s="4"/>
    </row>
    <row r="47" spans="1:7" ht="14.4" x14ac:dyDescent="0.3">
      <c r="A47" s="4">
        <v>7189663170</v>
      </c>
      <c r="B47" s="4" t="str">
        <f>TRIM(Table4[[#This Row],[ypn]])</f>
        <v>7189663170</v>
      </c>
      <c r="C47" s="4" t="b">
        <f>Table4[[#This Row],[ypn]]=Table4[[#This Row],[trim]]</f>
        <v>0</v>
      </c>
      <c r="D47" s="4">
        <f>Table4[[#This Row],[ypn]]*1</f>
        <v>7189663170</v>
      </c>
      <c r="E47" s="4">
        <f>TYPE(Table4[[#This Row],[ypn]])</f>
        <v>1</v>
      </c>
      <c r="F47" t="s">
        <v>460</v>
      </c>
      <c r="G47" s="4"/>
    </row>
    <row r="48" spans="1:7" ht="14.4" x14ac:dyDescent="0.3">
      <c r="A48" s="4">
        <v>7189982830</v>
      </c>
      <c r="B48" s="4" t="str">
        <f>TRIM(Table4[[#This Row],[ypn]])</f>
        <v>7189982830</v>
      </c>
      <c r="C48" s="4" t="b">
        <f>Table4[[#This Row],[ypn]]=Table4[[#This Row],[trim]]</f>
        <v>0</v>
      </c>
      <c r="D48" s="4">
        <f>Table4[[#This Row],[ypn]]*1</f>
        <v>7189982830</v>
      </c>
      <c r="E48" s="4">
        <f>TYPE(Table4[[#This Row],[ypn]])</f>
        <v>1</v>
      </c>
      <c r="F48" t="s">
        <v>461</v>
      </c>
      <c r="G48" s="4"/>
    </row>
    <row r="49" spans="1:7" ht="14.4" x14ac:dyDescent="0.3">
      <c r="A49" s="4">
        <v>7198796290</v>
      </c>
      <c r="B49" s="4" t="str">
        <f>TRIM(Table4[[#This Row],[ypn]])</f>
        <v>7198796290</v>
      </c>
      <c r="C49" s="4" t="b">
        <f>Table4[[#This Row],[ypn]]=Table4[[#This Row],[trim]]</f>
        <v>0</v>
      </c>
      <c r="D49" s="4">
        <f>Table4[[#This Row],[ypn]]*1</f>
        <v>7198796290</v>
      </c>
      <c r="E49" s="4">
        <f>TYPE(Table4[[#This Row],[ypn]])</f>
        <v>1</v>
      </c>
      <c r="F49" t="s">
        <v>462</v>
      </c>
      <c r="G49" s="4"/>
    </row>
    <row r="50" spans="1:7" ht="14.4" x14ac:dyDescent="0.3">
      <c r="A50" s="4">
        <v>7198916130</v>
      </c>
      <c r="B50" s="4" t="str">
        <f>TRIM(Table4[[#This Row],[ypn]])</f>
        <v>7198916130</v>
      </c>
      <c r="C50" s="4" t="b">
        <f>Table4[[#This Row],[ypn]]=Table4[[#This Row],[trim]]</f>
        <v>0</v>
      </c>
      <c r="D50" s="4">
        <f>Table4[[#This Row],[ypn]]*1</f>
        <v>7198916130</v>
      </c>
      <c r="E50" s="4">
        <f>TYPE(Table4[[#This Row],[ypn]])</f>
        <v>1</v>
      </c>
      <c r="F50" t="s">
        <v>121</v>
      </c>
      <c r="G50" s="4"/>
    </row>
    <row r="51" spans="1:7" ht="14.4" x14ac:dyDescent="0.3">
      <c r="A51" s="4">
        <v>7198948560</v>
      </c>
      <c r="B51" s="4" t="str">
        <f>TRIM(Table4[[#This Row],[ypn]])</f>
        <v>7198948560</v>
      </c>
      <c r="C51" s="4" t="b">
        <f>Table4[[#This Row],[ypn]]=Table4[[#This Row],[trim]]</f>
        <v>0</v>
      </c>
      <c r="D51" s="4">
        <f>Table4[[#This Row],[ypn]]*1</f>
        <v>7198948560</v>
      </c>
      <c r="E51" s="4">
        <f>TYPE(Table4[[#This Row],[ypn]])</f>
        <v>1</v>
      </c>
      <c r="F51" t="s">
        <v>463</v>
      </c>
      <c r="G51" s="4"/>
    </row>
    <row r="52" spans="1:7" ht="14.4" x14ac:dyDescent="0.3">
      <c r="A52" s="4">
        <v>7219182630</v>
      </c>
      <c r="B52" s="4" t="str">
        <f>TRIM(Table4[[#This Row],[ypn]])</f>
        <v>7219182630</v>
      </c>
      <c r="C52" s="4" t="b">
        <f>Table4[[#This Row],[ypn]]=Table4[[#This Row],[trim]]</f>
        <v>0</v>
      </c>
      <c r="D52" s="4">
        <f>Table4[[#This Row],[ypn]]*1</f>
        <v>7219182630</v>
      </c>
      <c r="E52" s="4">
        <f>TYPE(Table4[[#This Row],[ypn]])</f>
        <v>1</v>
      </c>
      <c r="F52" t="s">
        <v>464</v>
      </c>
      <c r="G52" s="4"/>
    </row>
    <row r="53" spans="1:7" ht="14.4" x14ac:dyDescent="0.3">
      <c r="A53" s="4">
        <v>7219622130</v>
      </c>
      <c r="B53" s="4" t="str">
        <f>TRIM(Table4[[#This Row],[ypn]])</f>
        <v>7219622130</v>
      </c>
      <c r="C53" s="4" t="b">
        <f>Table4[[#This Row],[ypn]]=Table4[[#This Row],[trim]]</f>
        <v>0</v>
      </c>
      <c r="D53" s="4">
        <f>Table4[[#This Row],[ypn]]*1</f>
        <v>7219622130</v>
      </c>
      <c r="E53" s="4">
        <f>TYPE(Table4[[#This Row],[ypn]])</f>
        <v>1</v>
      </c>
      <c r="F53" t="s">
        <v>465</v>
      </c>
      <c r="G53" s="4"/>
    </row>
    <row r="54" spans="1:7" ht="14.4" x14ac:dyDescent="0.3">
      <c r="A54" s="4">
        <v>7219632030</v>
      </c>
      <c r="B54" s="4" t="str">
        <f>TRIM(Table4[[#This Row],[ypn]])</f>
        <v>7219632030</v>
      </c>
      <c r="C54" s="4" t="b">
        <f>Table4[[#This Row],[ypn]]=Table4[[#This Row],[trim]]</f>
        <v>0</v>
      </c>
      <c r="D54" s="4">
        <f>Table4[[#This Row],[ypn]]*1</f>
        <v>7219632030</v>
      </c>
      <c r="E54" s="4">
        <f>TYPE(Table4[[#This Row],[ypn]])</f>
        <v>1</v>
      </c>
      <c r="F54" t="s">
        <v>466</v>
      </c>
      <c r="G54" s="4"/>
    </row>
    <row r="55" spans="1:7" ht="14.4" x14ac:dyDescent="0.3">
      <c r="A55" s="4">
        <v>7219632230</v>
      </c>
      <c r="B55" s="4" t="str">
        <f>TRIM(Table4[[#This Row],[ypn]])</f>
        <v>7219632230</v>
      </c>
      <c r="C55" s="4" t="b">
        <f>Table4[[#This Row],[ypn]]=Table4[[#This Row],[trim]]</f>
        <v>0</v>
      </c>
      <c r="D55" s="4">
        <f>Table4[[#This Row],[ypn]]*1</f>
        <v>7219632230</v>
      </c>
      <c r="E55" s="4">
        <f>TYPE(Table4[[#This Row],[ypn]])</f>
        <v>1</v>
      </c>
      <c r="F55" t="s">
        <v>467</v>
      </c>
      <c r="G55" s="4"/>
    </row>
    <row r="56" spans="1:7" ht="14.4" x14ac:dyDescent="0.3">
      <c r="A56" s="4">
        <v>7219648530</v>
      </c>
      <c r="B56" s="4" t="str">
        <f>TRIM(Table4[[#This Row],[ypn]])</f>
        <v>7219648530</v>
      </c>
      <c r="C56" s="4" t="b">
        <f>Table4[[#This Row],[ypn]]=Table4[[#This Row],[trim]]</f>
        <v>0</v>
      </c>
      <c r="D56" s="4">
        <f>Table4[[#This Row],[ypn]]*1</f>
        <v>7219648530</v>
      </c>
      <c r="E56" s="4">
        <f>TYPE(Table4[[#This Row],[ypn]])</f>
        <v>1</v>
      </c>
      <c r="F56" t="s">
        <v>468</v>
      </c>
      <c r="G56" s="4"/>
    </row>
    <row r="57" spans="1:7" ht="14.4" x14ac:dyDescent="0.3">
      <c r="A57" s="4">
        <v>7219652330</v>
      </c>
      <c r="B57" s="4" t="str">
        <f>TRIM(Table4[[#This Row],[ypn]])</f>
        <v>7219652330</v>
      </c>
      <c r="C57" s="4" t="b">
        <f>Table4[[#This Row],[ypn]]=Table4[[#This Row],[trim]]</f>
        <v>0</v>
      </c>
      <c r="D57" s="4">
        <f>Table4[[#This Row],[ypn]]*1</f>
        <v>7219652330</v>
      </c>
      <c r="E57" s="4">
        <f>TYPE(Table4[[#This Row],[ypn]])</f>
        <v>1</v>
      </c>
      <c r="F57" t="s">
        <v>469</v>
      </c>
      <c r="G57" s="4"/>
    </row>
    <row r="58" spans="1:7" ht="14.4" x14ac:dyDescent="0.3">
      <c r="A58" s="4">
        <v>7223686530</v>
      </c>
      <c r="B58" s="4" t="str">
        <f>TRIM(Table4[[#This Row],[ypn]])</f>
        <v>7223686530</v>
      </c>
      <c r="C58" s="4" t="b">
        <f>Table4[[#This Row],[ypn]]=Table4[[#This Row],[trim]]</f>
        <v>0</v>
      </c>
      <c r="D58" s="4">
        <f>Table4[[#This Row],[ypn]]*1</f>
        <v>7223686530</v>
      </c>
      <c r="E58" s="4">
        <f>TYPE(Table4[[#This Row],[ypn]])</f>
        <v>1</v>
      </c>
      <c r="F58" t="s">
        <v>470</v>
      </c>
      <c r="G58" s="4"/>
    </row>
    <row r="59" spans="1:7" ht="14.4" x14ac:dyDescent="0.3">
      <c r="A59" s="4">
        <v>7247081430</v>
      </c>
      <c r="B59" s="4" t="str">
        <f>TRIM(Table4[[#This Row],[ypn]])</f>
        <v>7247081430</v>
      </c>
      <c r="C59" s="4" t="b">
        <f>Table4[[#This Row],[ypn]]=Table4[[#This Row],[trim]]</f>
        <v>0</v>
      </c>
      <c r="D59" s="4">
        <f>Table4[[#This Row],[ypn]]*1</f>
        <v>7247081430</v>
      </c>
      <c r="E59" s="4">
        <f>TYPE(Table4[[#This Row],[ypn]])</f>
        <v>1</v>
      </c>
      <c r="F59" t="s">
        <v>671</v>
      </c>
      <c r="G59" s="4"/>
    </row>
    <row r="60" spans="1:7" ht="14.4" x14ac:dyDescent="0.3">
      <c r="A60" s="4">
        <v>7247374530</v>
      </c>
      <c r="B60" s="4" t="str">
        <f>TRIM(Table4[[#This Row],[ypn]])</f>
        <v>7247374530</v>
      </c>
      <c r="C60" s="4" t="b">
        <f>Table4[[#This Row],[ypn]]=Table4[[#This Row],[trim]]</f>
        <v>0</v>
      </c>
      <c r="D60" s="4">
        <f>Table4[[#This Row],[ypn]]*1</f>
        <v>7247374530</v>
      </c>
      <c r="E60" s="4">
        <f>TYPE(Table4[[#This Row],[ypn]])</f>
        <v>1</v>
      </c>
      <c r="F60" t="s">
        <v>1010</v>
      </c>
      <c r="G60" s="4" t="s">
        <v>1009</v>
      </c>
    </row>
    <row r="61" spans="1:7" ht="14.4" x14ac:dyDescent="0.3">
      <c r="A61" s="4">
        <v>7247374930</v>
      </c>
      <c r="B61" s="4" t="str">
        <f>TRIM(Table4[[#This Row],[ypn]])</f>
        <v>7247374930</v>
      </c>
      <c r="C61" s="4" t="b">
        <f>Table4[[#This Row],[ypn]]=Table4[[#This Row],[trim]]</f>
        <v>0</v>
      </c>
      <c r="D61" s="4">
        <f>Table4[[#This Row],[ypn]]*1</f>
        <v>7247374930</v>
      </c>
      <c r="E61" s="4">
        <f>TYPE(Table4[[#This Row],[ypn]])</f>
        <v>1</v>
      </c>
      <c r="F61" t="s">
        <v>671</v>
      </c>
      <c r="G61" s="4"/>
    </row>
    <row r="62" spans="1:7" ht="14.4" x14ac:dyDescent="0.3">
      <c r="A62" s="4">
        <v>7247760930</v>
      </c>
      <c r="B62" s="4" t="str">
        <f>TRIM(Table4[[#This Row],[ypn]])</f>
        <v>7247760930</v>
      </c>
      <c r="C62" s="4" t="b">
        <f>Table4[[#This Row],[ypn]]=Table4[[#This Row],[trim]]</f>
        <v>0</v>
      </c>
      <c r="D62" s="4">
        <f>Table4[[#This Row],[ypn]]*1</f>
        <v>7247760930</v>
      </c>
      <c r="E62" s="4">
        <f>TYPE(Table4[[#This Row],[ypn]])</f>
        <v>1</v>
      </c>
      <c r="F62" t="s">
        <v>671</v>
      </c>
      <c r="G62" s="4"/>
    </row>
    <row r="63" spans="1:7" ht="14.4" x14ac:dyDescent="0.3">
      <c r="A63" s="4">
        <v>7247761330</v>
      </c>
      <c r="B63" s="4" t="str">
        <f>TRIM(Table4[[#This Row],[ypn]])</f>
        <v>7247761330</v>
      </c>
      <c r="C63" s="4" t="b">
        <f>Table4[[#This Row],[ypn]]=Table4[[#This Row],[trim]]</f>
        <v>0</v>
      </c>
      <c r="D63" s="4">
        <f>Table4[[#This Row],[ypn]]*1</f>
        <v>7247761330</v>
      </c>
      <c r="E63" s="4">
        <f>TYPE(Table4[[#This Row],[ypn]])</f>
        <v>1</v>
      </c>
      <c r="F63" t="s">
        <v>471</v>
      </c>
      <c r="G63" s="4"/>
    </row>
    <row r="64" spans="1:7" ht="14.4" x14ac:dyDescent="0.3">
      <c r="A64" s="4">
        <v>7247781530</v>
      </c>
      <c r="B64" s="4" t="str">
        <f>TRIM(Table4[[#This Row],[ypn]])</f>
        <v>7247781530</v>
      </c>
      <c r="C64" s="4" t="b">
        <f>Table4[[#This Row],[ypn]]=Table4[[#This Row],[trim]]</f>
        <v>0</v>
      </c>
      <c r="D64" s="4">
        <f>Table4[[#This Row],[ypn]]*1</f>
        <v>7247781530</v>
      </c>
      <c r="E64" s="4">
        <f>TYPE(Table4[[#This Row],[ypn]])</f>
        <v>1</v>
      </c>
      <c r="F64" t="s">
        <v>671</v>
      </c>
      <c r="G64" s="4"/>
    </row>
    <row r="65" spans="1:7" ht="14.4" x14ac:dyDescent="0.3">
      <c r="A65" s="4">
        <v>7247781630</v>
      </c>
      <c r="B65" s="4" t="str">
        <f>TRIM(Table4[[#This Row],[ypn]])</f>
        <v>7247781630</v>
      </c>
      <c r="C65" s="4" t="b">
        <f>Table4[[#This Row],[ypn]]=Table4[[#This Row],[trim]]</f>
        <v>0</v>
      </c>
      <c r="D65" s="4">
        <f>Table4[[#This Row],[ypn]]*1</f>
        <v>7247781630</v>
      </c>
      <c r="E65" s="4">
        <f>TYPE(Table4[[#This Row],[ypn]])</f>
        <v>1</v>
      </c>
      <c r="F65" t="s">
        <v>472</v>
      </c>
      <c r="G65" s="4"/>
    </row>
    <row r="66" spans="1:7" ht="14.4" x14ac:dyDescent="0.3">
      <c r="A66" s="4">
        <v>7247781730</v>
      </c>
      <c r="B66" s="4" t="str">
        <f>TRIM(Table4[[#This Row],[ypn]])</f>
        <v>7247781730</v>
      </c>
      <c r="C66" s="4" t="b">
        <f>Table4[[#This Row],[ypn]]=Table4[[#This Row],[trim]]</f>
        <v>0</v>
      </c>
      <c r="D66" s="4">
        <f>Table4[[#This Row],[ypn]]*1</f>
        <v>7247781730</v>
      </c>
      <c r="E66" s="4">
        <f>TYPE(Table4[[#This Row],[ypn]])</f>
        <v>1</v>
      </c>
      <c r="F66" t="s">
        <v>671</v>
      </c>
      <c r="G66" s="4"/>
    </row>
    <row r="67" spans="1:7" ht="14.4" x14ac:dyDescent="0.3">
      <c r="A67" s="4">
        <v>7247792930</v>
      </c>
      <c r="B67" s="4" t="str">
        <f>TRIM(Table4[[#This Row],[ypn]])</f>
        <v>7247792930</v>
      </c>
      <c r="C67" s="4" t="b">
        <f>Table4[[#This Row],[ypn]]=Table4[[#This Row],[trim]]</f>
        <v>0</v>
      </c>
      <c r="D67" s="4">
        <f>Table4[[#This Row],[ypn]]*1</f>
        <v>7247792930</v>
      </c>
      <c r="E67" s="4">
        <f>TYPE(Table4[[#This Row],[ypn]])</f>
        <v>1</v>
      </c>
      <c r="F67" t="s">
        <v>671</v>
      </c>
      <c r="G67" s="4"/>
    </row>
    <row r="68" spans="1:7" ht="14.4" x14ac:dyDescent="0.3">
      <c r="A68" s="4">
        <v>7252726530</v>
      </c>
      <c r="B68" s="4" t="str">
        <f>TRIM(Table4[[#This Row],[ypn]])</f>
        <v>7252726530</v>
      </c>
      <c r="C68" s="4" t="b">
        <f>Table4[[#This Row],[ypn]]=Table4[[#This Row],[trim]]</f>
        <v>0</v>
      </c>
      <c r="D68" s="4">
        <f>Table4[[#This Row],[ypn]]*1</f>
        <v>7252726530</v>
      </c>
      <c r="E68" s="4">
        <f>TYPE(Table4[[#This Row],[ypn]])</f>
        <v>1</v>
      </c>
      <c r="F68" t="s">
        <v>671</v>
      </c>
      <c r="G68" s="4"/>
    </row>
    <row r="69" spans="1:7" ht="14.4" x14ac:dyDescent="0.3">
      <c r="A69" s="4">
        <v>7252735930</v>
      </c>
      <c r="B69" s="4" t="str">
        <f>TRIM(Table4[[#This Row],[ypn]])</f>
        <v>7252735930</v>
      </c>
      <c r="C69" s="4" t="b">
        <f>Table4[[#This Row],[ypn]]=Table4[[#This Row],[trim]]</f>
        <v>0</v>
      </c>
      <c r="D69" s="4">
        <f>Table4[[#This Row],[ypn]]*1</f>
        <v>7252735930</v>
      </c>
      <c r="E69" s="4">
        <f>TYPE(Table4[[#This Row],[ypn]])</f>
        <v>1</v>
      </c>
      <c r="F69" t="s">
        <v>671</v>
      </c>
      <c r="G69" s="4"/>
    </row>
    <row r="70" spans="1:7" ht="14.4" x14ac:dyDescent="0.3">
      <c r="A70" s="4">
        <v>7252779130</v>
      </c>
      <c r="B70" s="4" t="str">
        <f>TRIM(Table4[[#This Row],[ypn]])</f>
        <v>7252779130</v>
      </c>
      <c r="C70" s="4" t="b">
        <f>Table4[[#This Row],[ypn]]=Table4[[#This Row],[trim]]</f>
        <v>0</v>
      </c>
      <c r="D70" s="4">
        <f>Table4[[#This Row],[ypn]]*1</f>
        <v>7252779130</v>
      </c>
      <c r="E70" s="4">
        <f>TYPE(Table4[[#This Row],[ypn]])</f>
        <v>1</v>
      </c>
      <c r="F70" t="s">
        <v>671</v>
      </c>
      <c r="G70" s="4"/>
    </row>
    <row r="71" spans="1:7" ht="14.4" x14ac:dyDescent="0.3">
      <c r="A71" s="4">
        <v>7252785330</v>
      </c>
      <c r="B71" s="4" t="str">
        <f>TRIM(Table4[[#This Row],[ypn]])</f>
        <v>7252785330</v>
      </c>
      <c r="C71" s="4" t="b">
        <f>Table4[[#This Row],[ypn]]=Table4[[#This Row],[trim]]</f>
        <v>0</v>
      </c>
      <c r="D71" s="4">
        <f>Table4[[#This Row],[ypn]]*1</f>
        <v>7252785330</v>
      </c>
      <c r="E71" s="4">
        <f>TYPE(Table4[[#This Row],[ypn]])</f>
        <v>1</v>
      </c>
      <c r="F71" t="s">
        <v>671</v>
      </c>
      <c r="G71" s="4"/>
    </row>
    <row r="72" spans="1:7" ht="14.4" x14ac:dyDescent="0.3">
      <c r="A72" s="4">
        <v>7252809330</v>
      </c>
      <c r="B72" s="4" t="str">
        <f>TRIM(Table4[[#This Row],[ypn]])</f>
        <v>7252809330</v>
      </c>
      <c r="C72" s="4" t="b">
        <f>Table4[[#This Row],[ypn]]=Table4[[#This Row],[trim]]</f>
        <v>0</v>
      </c>
      <c r="D72" s="4">
        <f>Table4[[#This Row],[ypn]]*1</f>
        <v>7252809330</v>
      </c>
      <c r="E72" s="4">
        <f>TYPE(Table4[[#This Row],[ypn]])</f>
        <v>1</v>
      </c>
      <c r="F72" t="s">
        <v>671</v>
      </c>
      <c r="G72" s="4"/>
    </row>
    <row r="73" spans="1:7" ht="14.4" x14ac:dyDescent="0.3">
      <c r="A73" s="4">
        <v>7252815130</v>
      </c>
      <c r="B73" s="4" t="str">
        <f>TRIM(Table4[[#This Row],[ypn]])</f>
        <v>7252815130</v>
      </c>
      <c r="C73" s="4" t="b">
        <f>Table4[[#This Row],[ypn]]=Table4[[#This Row],[trim]]</f>
        <v>0</v>
      </c>
      <c r="D73" s="4">
        <f>Table4[[#This Row],[ypn]]*1</f>
        <v>7252815130</v>
      </c>
      <c r="E73" s="4">
        <f>TYPE(Table4[[#This Row],[ypn]])</f>
        <v>1</v>
      </c>
      <c r="F73" t="s">
        <v>671</v>
      </c>
      <c r="G73" s="4"/>
    </row>
    <row r="74" spans="1:7" ht="14.4" x14ac:dyDescent="0.3">
      <c r="A74" s="4">
        <v>7252832130</v>
      </c>
      <c r="B74" s="4" t="str">
        <f>TRIM(Table4[[#This Row],[ypn]])</f>
        <v>7252832130</v>
      </c>
      <c r="C74" s="4" t="b">
        <f>Table4[[#This Row],[ypn]]=Table4[[#This Row],[trim]]</f>
        <v>0</v>
      </c>
      <c r="D74" s="4">
        <f>Table4[[#This Row],[ypn]]*1</f>
        <v>7252832130</v>
      </c>
      <c r="E74" s="4">
        <f>TYPE(Table4[[#This Row],[ypn]])</f>
        <v>1</v>
      </c>
      <c r="F74" t="s">
        <v>671</v>
      </c>
      <c r="G74" s="4"/>
    </row>
    <row r="75" spans="1:7" ht="14.4" x14ac:dyDescent="0.3">
      <c r="A75" s="4">
        <v>7278246930</v>
      </c>
      <c r="B75" s="4" t="str">
        <f>TRIM(Table4[[#This Row],[ypn]])</f>
        <v>7278246930</v>
      </c>
      <c r="C75" s="4" t="b">
        <f>Table4[[#This Row],[ypn]]=Table4[[#This Row],[trim]]</f>
        <v>0</v>
      </c>
      <c r="D75" s="4">
        <f>Table4[[#This Row],[ypn]]*1</f>
        <v>7278246930</v>
      </c>
      <c r="E75" s="4">
        <f>TYPE(Table4[[#This Row],[ypn]])</f>
        <v>1</v>
      </c>
      <c r="F75" t="s">
        <v>303</v>
      </c>
      <c r="G75" s="4"/>
    </row>
    <row r="76" spans="1:7" ht="14.4" x14ac:dyDescent="0.3">
      <c r="A76" s="4">
        <v>7278258230</v>
      </c>
      <c r="B76" s="4" t="str">
        <f>TRIM(Table4[[#This Row],[ypn]])</f>
        <v>7278258230</v>
      </c>
      <c r="C76" s="4" t="b">
        <f>Table4[[#This Row],[ypn]]=Table4[[#This Row],[trim]]</f>
        <v>0</v>
      </c>
      <c r="D76" s="4">
        <f>Table4[[#This Row],[ypn]]*1</f>
        <v>7278258230</v>
      </c>
      <c r="E76" s="4">
        <f>TYPE(Table4[[#This Row],[ypn]])</f>
        <v>1</v>
      </c>
      <c r="F76" t="s">
        <v>473</v>
      </c>
      <c r="G76" s="4"/>
    </row>
    <row r="77" spans="1:7" ht="14.4" x14ac:dyDescent="0.3">
      <c r="A77" s="4">
        <v>7278258330</v>
      </c>
      <c r="B77" s="4" t="str">
        <f>TRIM(Table4[[#This Row],[ypn]])</f>
        <v>7278258330</v>
      </c>
      <c r="C77" s="4" t="b">
        <f>Table4[[#This Row],[ypn]]=Table4[[#This Row],[trim]]</f>
        <v>0</v>
      </c>
      <c r="D77" s="4">
        <f>Table4[[#This Row],[ypn]]*1</f>
        <v>7278258330</v>
      </c>
      <c r="E77" s="4">
        <f>TYPE(Table4[[#This Row],[ypn]])</f>
        <v>1</v>
      </c>
      <c r="F77" t="s">
        <v>474</v>
      </c>
      <c r="G77" s="4"/>
    </row>
    <row r="78" spans="1:7" ht="14.4" x14ac:dyDescent="0.3">
      <c r="A78" s="4">
        <v>7283837230</v>
      </c>
      <c r="B78" s="4" t="str">
        <f>TRIM(Table4[[#This Row],[ypn]])</f>
        <v>7283837230</v>
      </c>
      <c r="C78" s="4" t="b">
        <f>Table4[[#This Row],[ypn]]=Table4[[#This Row],[trim]]</f>
        <v>0</v>
      </c>
      <c r="D78" s="4">
        <f>Table4[[#This Row],[ypn]]*1</f>
        <v>7283837230</v>
      </c>
      <c r="E78" s="4">
        <f>TYPE(Table4[[#This Row],[ypn]])</f>
        <v>1</v>
      </c>
      <c r="F78" t="s">
        <v>700</v>
      </c>
      <c r="G78" s="4"/>
    </row>
    <row r="79" spans="1:7" ht="14.4" x14ac:dyDescent="0.3">
      <c r="A79" s="4">
        <v>7289042870</v>
      </c>
      <c r="B79" s="4" t="str">
        <f>TRIM(Table4[[#This Row],[ypn]])</f>
        <v>7289042870</v>
      </c>
      <c r="C79" s="4" t="b">
        <f>Table4[[#This Row],[ypn]]=Table4[[#This Row],[trim]]</f>
        <v>0</v>
      </c>
      <c r="D79" s="4">
        <f>Table4[[#This Row],[ypn]]*1</f>
        <v>7289042870</v>
      </c>
      <c r="E79" s="4">
        <f>TYPE(Table4[[#This Row],[ypn]])</f>
        <v>1</v>
      </c>
      <c r="F79" t="s">
        <v>475</v>
      </c>
      <c r="G79" s="4"/>
    </row>
    <row r="80" spans="1:7" ht="14.4" x14ac:dyDescent="0.3">
      <c r="A80" s="4">
        <v>7289059730</v>
      </c>
      <c r="B80" s="4" t="str">
        <f>TRIM(Table4[[#This Row],[ypn]])</f>
        <v>7289059730</v>
      </c>
      <c r="C80" s="4" t="b">
        <f>Table4[[#This Row],[ypn]]=Table4[[#This Row],[trim]]</f>
        <v>0</v>
      </c>
      <c r="D80" s="4">
        <f>Table4[[#This Row],[ypn]]*1</f>
        <v>7289059730</v>
      </c>
      <c r="E80" s="4">
        <f>TYPE(Table4[[#This Row],[ypn]])</f>
        <v>1</v>
      </c>
      <c r="F80" t="s">
        <v>476</v>
      </c>
      <c r="G80" s="4"/>
    </row>
    <row r="81" spans="1:7" ht="14.4" x14ac:dyDescent="0.3">
      <c r="A81" s="4">
        <v>7289063430</v>
      </c>
      <c r="B81" s="4" t="str">
        <f>TRIM(Table4[[#This Row],[ypn]])</f>
        <v>7289063430</v>
      </c>
      <c r="C81" s="4" t="b">
        <f>Table4[[#This Row],[ypn]]=Table4[[#This Row],[trim]]</f>
        <v>0</v>
      </c>
      <c r="D81" s="4">
        <f>Table4[[#This Row],[ypn]]*1</f>
        <v>7289063430</v>
      </c>
      <c r="E81" s="4">
        <f>TYPE(Table4[[#This Row],[ypn]])</f>
        <v>1</v>
      </c>
      <c r="F81" t="s">
        <v>477</v>
      </c>
      <c r="G81" s="4"/>
    </row>
    <row r="82" spans="1:7" ht="14.4" x14ac:dyDescent="0.3">
      <c r="A82" s="4">
        <v>7289063730</v>
      </c>
      <c r="B82" s="4" t="str">
        <f>TRIM(Table4[[#This Row],[ypn]])</f>
        <v>7289063730</v>
      </c>
      <c r="C82" s="4" t="b">
        <f>Table4[[#This Row],[ypn]]=Table4[[#This Row],[trim]]</f>
        <v>0</v>
      </c>
      <c r="D82" s="4">
        <f>Table4[[#This Row],[ypn]]*1</f>
        <v>7289063730</v>
      </c>
      <c r="E82" s="4">
        <f>TYPE(Table4[[#This Row],[ypn]])</f>
        <v>1</v>
      </c>
      <c r="F82" t="s">
        <v>478</v>
      </c>
      <c r="G82" s="4"/>
    </row>
    <row r="83" spans="1:7" ht="14.4" x14ac:dyDescent="0.3">
      <c r="A83" s="4">
        <v>7289405130</v>
      </c>
      <c r="B83" s="4" t="str">
        <f>TRIM(Table4[[#This Row],[ypn]])</f>
        <v>7289405130</v>
      </c>
      <c r="C83" s="4" t="b">
        <f>Table4[[#This Row],[ypn]]=Table4[[#This Row],[trim]]</f>
        <v>0</v>
      </c>
      <c r="D83" s="4">
        <f>Table4[[#This Row],[ypn]]*1</f>
        <v>7289405130</v>
      </c>
      <c r="E83" s="4">
        <f>TYPE(Table4[[#This Row],[ypn]])</f>
        <v>1</v>
      </c>
      <c r="F83" t="s">
        <v>479</v>
      </c>
      <c r="G83" s="4"/>
    </row>
    <row r="84" spans="1:7" ht="14.4" x14ac:dyDescent="0.3">
      <c r="A84" s="4">
        <v>7289405830</v>
      </c>
      <c r="B84" s="4" t="str">
        <f>TRIM(Table4[[#This Row],[ypn]])</f>
        <v>7289405830</v>
      </c>
      <c r="C84" s="4" t="b">
        <f>Table4[[#This Row],[ypn]]=Table4[[#This Row],[trim]]</f>
        <v>0</v>
      </c>
      <c r="D84" s="4">
        <f>Table4[[#This Row],[ypn]]*1</f>
        <v>7289405830</v>
      </c>
      <c r="E84" s="4">
        <f>TYPE(Table4[[#This Row],[ypn]])</f>
        <v>1</v>
      </c>
      <c r="F84" t="s">
        <v>480</v>
      </c>
      <c r="G84" s="4"/>
    </row>
    <row r="85" spans="1:7" ht="14.4" x14ac:dyDescent="0.3">
      <c r="A85" s="4">
        <v>7289464330</v>
      </c>
      <c r="B85" s="4" t="str">
        <f>TRIM(Table4[[#This Row],[ypn]])</f>
        <v>7289464330</v>
      </c>
      <c r="C85" s="4" t="b">
        <f>Table4[[#This Row],[ypn]]=Table4[[#This Row],[trim]]</f>
        <v>0</v>
      </c>
      <c r="D85" s="4">
        <f>Table4[[#This Row],[ypn]]*1</f>
        <v>7289464330</v>
      </c>
      <c r="E85" s="4">
        <f>TYPE(Table4[[#This Row],[ypn]])</f>
        <v>1</v>
      </c>
      <c r="F85" t="s">
        <v>481</v>
      </c>
      <c r="G85" s="4"/>
    </row>
    <row r="86" spans="1:7" ht="14.4" x14ac:dyDescent="0.3">
      <c r="A86" s="4">
        <v>7289690230</v>
      </c>
      <c r="B86" s="4" t="str">
        <f>TRIM(Table4[[#This Row],[ypn]])</f>
        <v>7289690230</v>
      </c>
      <c r="C86" s="4" t="b">
        <f>Table4[[#This Row],[ypn]]=Table4[[#This Row],[trim]]</f>
        <v>0</v>
      </c>
      <c r="D86" s="4">
        <f>Table4[[#This Row],[ypn]]*1</f>
        <v>7289690230</v>
      </c>
      <c r="E86" s="4">
        <f>TYPE(Table4[[#This Row],[ypn]])</f>
        <v>1</v>
      </c>
      <c r="F86" t="s">
        <v>482</v>
      </c>
      <c r="G86" s="4"/>
    </row>
    <row r="87" spans="1:7" ht="14.4" x14ac:dyDescent="0.3">
      <c r="A87" s="4">
        <v>7289734390</v>
      </c>
      <c r="B87" s="4" t="str">
        <f>TRIM(Table4[[#This Row],[ypn]])</f>
        <v>7289734390</v>
      </c>
      <c r="C87" s="4" t="b">
        <f>Table4[[#This Row],[ypn]]=Table4[[#This Row],[trim]]</f>
        <v>0</v>
      </c>
      <c r="D87" s="4">
        <f>Table4[[#This Row],[ypn]]*1</f>
        <v>7289734390</v>
      </c>
      <c r="E87" s="4">
        <f>TYPE(Table4[[#This Row],[ypn]])</f>
        <v>1</v>
      </c>
      <c r="F87" t="s">
        <v>483</v>
      </c>
      <c r="G87" s="4"/>
    </row>
    <row r="88" spans="1:7" ht="14.4" x14ac:dyDescent="0.3">
      <c r="A88" s="4">
        <v>7289896430</v>
      </c>
      <c r="B88" s="4" t="str">
        <f>TRIM(Table4[[#This Row],[ypn]])</f>
        <v>7289896430</v>
      </c>
      <c r="C88" s="4" t="b">
        <f>Table4[[#This Row],[ypn]]=Table4[[#This Row],[trim]]</f>
        <v>0</v>
      </c>
      <c r="D88" s="4">
        <f>Table4[[#This Row],[ypn]]*1</f>
        <v>7289896430</v>
      </c>
      <c r="E88" s="4">
        <f>TYPE(Table4[[#This Row],[ypn]])</f>
        <v>1</v>
      </c>
      <c r="F88" t="s">
        <v>484</v>
      </c>
      <c r="G88" s="4"/>
    </row>
    <row r="89" spans="1:7" ht="14.4" x14ac:dyDescent="0.3">
      <c r="A89" s="4">
        <v>7289921730</v>
      </c>
      <c r="B89" s="4" t="str">
        <f>TRIM(Table4[[#This Row],[ypn]])</f>
        <v>7289921730</v>
      </c>
      <c r="C89" s="4" t="b">
        <f>Table4[[#This Row],[ypn]]=Table4[[#This Row],[trim]]</f>
        <v>0</v>
      </c>
      <c r="D89" s="4">
        <f>Table4[[#This Row],[ypn]]*1</f>
        <v>7289921730</v>
      </c>
      <c r="E89" s="4">
        <f>TYPE(Table4[[#This Row],[ypn]])</f>
        <v>1</v>
      </c>
      <c r="F89" t="s">
        <v>485</v>
      </c>
      <c r="G89" s="4"/>
    </row>
    <row r="90" spans="1:7" ht="14.4" x14ac:dyDescent="0.3">
      <c r="A90" s="4">
        <v>7289982670</v>
      </c>
      <c r="B90" s="4" t="str">
        <f>TRIM(Table4[[#This Row],[ypn]])</f>
        <v>7289982670</v>
      </c>
      <c r="C90" s="4" t="b">
        <f>Table4[[#This Row],[ypn]]=Table4[[#This Row],[trim]]</f>
        <v>0</v>
      </c>
      <c r="D90" s="4">
        <f>Table4[[#This Row],[ypn]]*1</f>
        <v>7289982670</v>
      </c>
      <c r="E90" s="4">
        <f>TYPE(Table4[[#This Row],[ypn]])</f>
        <v>1</v>
      </c>
      <c r="F90" t="s">
        <v>486</v>
      </c>
      <c r="G90" s="4"/>
    </row>
    <row r="91" spans="1:7" ht="14.4" x14ac:dyDescent="0.3">
      <c r="A91" s="4">
        <v>7289982670</v>
      </c>
      <c r="B91" s="4" t="str">
        <f>TRIM(Table4[[#This Row],[ypn]])</f>
        <v>7289982670</v>
      </c>
      <c r="C91" s="4" t="b">
        <f>Table4[[#This Row],[ypn]]=Table4[[#This Row],[trim]]</f>
        <v>0</v>
      </c>
      <c r="D91" s="4">
        <f>Table4[[#This Row],[ypn]]*1</f>
        <v>7289982670</v>
      </c>
      <c r="E91" s="4">
        <f>TYPE(Table4[[#This Row],[ypn]])</f>
        <v>1</v>
      </c>
      <c r="F91" t="s">
        <v>487</v>
      </c>
      <c r="G91" s="4"/>
    </row>
    <row r="92" spans="1:7" ht="14.4" x14ac:dyDescent="0.3">
      <c r="A92" s="4">
        <v>7297913630</v>
      </c>
      <c r="B92" s="4" t="str">
        <f>TRIM(Table4[[#This Row],[ypn]])</f>
        <v>7297913630</v>
      </c>
      <c r="C92" s="4" t="b">
        <f>Table4[[#This Row],[ypn]]=Table4[[#This Row],[trim]]</f>
        <v>0</v>
      </c>
      <c r="D92" s="4">
        <f>Table4[[#This Row],[ypn]]*1</f>
        <v>7297913630</v>
      </c>
      <c r="E92" s="4">
        <f>TYPE(Table4[[#This Row],[ypn]])</f>
        <v>1</v>
      </c>
      <c r="F92" t="s">
        <v>488</v>
      </c>
      <c r="G92" s="4"/>
    </row>
    <row r="93" spans="1:7" ht="14.4" x14ac:dyDescent="0.3">
      <c r="A93" s="4">
        <v>7297914930</v>
      </c>
      <c r="B93" s="4" t="str">
        <f>TRIM(Table4[[#This Row],[ypn]])</f>
        <v>7297914930</v>
      </c>
      <c r="C93" s="4" t="b">
        <f>Table4[[#This Row],[ypn]]=Table4[[#This Row],[trim]]</f>
        <v>0</v>
      </c>
      <c r="D93" s="4">
        <f>Table4[[#This Row],[ypn]]*1</f>
        <v>7297914930</v>
      </c>
      <c r="E93" s="4">
        <f>TYPE(Table4[[#This Row],[ypn]])</f>
        <v>1</v>
      </c>
      <c r="F93" t="s">
        <v>489</v>
      </c>
      <c r="G93" s="4"/>
    </row>
    <row r="94" spans="1:7" ht="14.4" x14ac:dyDescent="0.3">
      <c r="A94" s="4">
        <v>7297944190</v>
      </c>
      <c r="B94" s="4" t="str">
        <f>TRIM(Table4[[#This Row],[ypn]])</f>
        <v>7297944190</v>
      </c>
      <c r="C94" s="4" t="b">
        <f>Table4[[#This Row],[ypn]]=Table4[[#This Row],[trim]]</f>
        <v>0</v>
      </c>
      <c r="D94" s="4">
        <f>Table4[[#This Row],[ypn]]*1</f>
        <v>7297944190</v>
      </c>
      <c r="E94" s="4">
        <f>TYPE(Table4[[#This Row],[ypn]])</f>
        <v>1</v>
      </c>
      <c r="F94" t="s">
        <v>490</v>
      </c>
      <c r="G94" s="4"/>
    </row>
    <row r="95" spans="1:7" ht="14.4" x14ac:dyDescent="0.3">
      <c r="A95" s="4">
        <v>7298331130</v>
      </c>
      <c r="B95" s="4" t="str">
        <f>TRIM(Table4[[#This Row],[ypn]])</f>
        <v>7298331130</v>
      </c>
      <c r="C95" s="4" t="b">
        <f>Table4[[#This Row],[ypn]]=Table4[[#This Row],[trim]]</f>
        <v>0</v>
      </c>
      <c r="D95" s="4">
        <f>Table4[[#This Row],[ypn]]*1</f>
        <v>7298331130</v>
      </c>
      <c r="E95" s="4">
        <f>TYPE(Table4[[#This Row],[ypn]])</f>
        <v>1</v>
      </c>
      <c r="F95" t="s">
        <v>491</v>
      </c>
      <c r="G95" s="4"/>
    </row>
    <row r="96" spans="1:7" ht="14.4" x14ac:dyDescent="0.3">
      <c r="A96" s="4">
        <v>7298677930</v>
      </c>
      <c r="B96" s="4" t="str">
        <f>TRIM(Table4[[#This Row],[ypn]])</f>
        <v>7298677930</v>
      </c>
      <c r="C96" s="4" t="b">
        <f>Table4[[#This Row],[ypn]]=Table4[[#This Row],[trim]]</f>
        <v>0</v>
      </c>
      <c r="D96" s="4">
        <f>Table4[[#This Row],[ypn]]*1</f>
        <v>7298677930</v>
      </c>
      <c r="E96" s="4">
        <f>TYPE(Table4[[#This Row],[ypn]])</f>
        <v>1</v>
      </c>
      <c r="F96" t="s">
        <v>492</v>
      </c>
      <c r="G96" s="4"/>
    </row>
    <row r="97" spans="1:7" ht="14.4" x14ac:dyDescent="0.3">
      <c r="A97" s="4">
        <v>7298761730</v>
      </c>
      <c r="B97" s="4" t="str">
        <f>TRIM(Table4[[#This Row],[ypn]])</f>
        <v>7298761730</v>
      </c>
      <c r="C97" s="4" t="b">
        <f>Table4[[#This Row],[ypn]]=Table4[[#This Row],[trim]]</f>
        <v>0</v>
      </c>
      <c r="D97" s="4">
        <f>Table4[[#This Row],[ypn]]*1</f>
        <v>7298761730</v>
      </c>
      <c r="E97" s="4">
        <f>TYPE(Table4[[#This Row],[ypn]])</f>
        <v>1</v>
      </c>
      <c r="F97" t="s">
        <v>493</v>
      </c>
      <c r="G97" s="4"/>
    </row>
    <row r="98" spans="1:7" ht="14.4" x14ac:dyDescent="0.3">
      <c r="A98" s="4">
        <v>7298808930</v>
      </c>
      <c r="B98" s="4" t="str">
        <f>TRIM(Table4[[#This Row],[ypn]])</f>
        <v>7298808930</v>
      </c>
      <c r="C98" s="4" t="b">
        <f>Table4[[#This Row],[ypn]]=Table4[[#This Row],[trim]]</f>
        <v>0</v>
      </c>
      <c r="D98" s="4">
        <f>Table4[[#This Row],[ypn]]*1</f>
        <v>7298808930</v>
      </c>
      <c r="E98" s="4">
        <f>TYPE(Table4[[#This Row],[ypn]])</f>
        <v>1</v>
      </c>
      <c r="F98" t="s">
        <v>494</v>
      </c>
      <c r="G98" s="4"/>
    </row>
    <row r="99" spans="1:7" ht="14.4" x14ac:dyDescent="0.3">
      <c r="A99" s="4">
        <v>7298912930</v>
      </c>
      <c r="B99" s="4" t="str">
        <f>TRIM(Table4[[#This Row],[ypn]])</f>
        <v>7298912930</v>
      </c>
      <c r="C99" s="4" t="b">
        <f>Table4[[#This Row],[ypn]]=Table4[[#This Row],[trim]]</f>
        <v>0</v>
      </c>
      <c r="D99" s="4">
        <f>Table4[[#This Row],[ypn]]*1</f>
        <v>7298912930</v>
      </c>
      <c r="E99" s="4">
        <f>TYPE(Table4[[#This Row],[ypn]])</f>
        <v>1</v>
      </c>
      <c r="F99" t="s">
        <v>495</v>
      </c>
      <c r="G99" s="4"/>
    </row>
    <row r="100" spans="1:7" ht="14.4" x14ac:dyDescent="0.3">
      <c r="A100" s="9">
        <v>7298913330</v>
      </c>
      <c r="B100" s="4" t="str">
        <f>TRIM(Table4[[#This Row],[ypn]])</f>
        <v>7298913330</v>
      </c>
      <c r="C100" s="4" t="b">
        <f>Table4[[#This Row],[ypn]]=Table4[[#This Row],[trim]]</f>
        <v>0</v>
      </c>
      <c r="D100" s="4">
        <f>Table4[[#This Row],[ypn]]*1</f>
        <v>7298913330</v>
      </c>
      <c r="E100" s="4">
        <f>TYPE(Table4[[#This Row],[ypn]])</f>
        <v>1</v>
      </c>
      <c r="F100" t="s">
        <v>496</v>
      </c>
      <c r="G100" s="4"/>
    </row>
    <row r="101" spans="1:7" ht="14.4" x14ac:dyDescent="0.3">
      <c r="A101" s="4">
        <v>7298913530</v>
      </c>
      <c r="B101" s="4" t="str">
        <f>TRIM(Table4[[#This Row],[ypn]])</f>
        <v>7298913530</v>
      </c>
      <c r="C101" s="4" t="b">
        <f>Table4[[#This Row],[ypn]]=Table4[[#This Row],[trim]]</f>
        <v>0</v>
      </c>
      <c r="D101" s="4">
        <f>Table4[[#This Row],[ypn]]*1</f>
        <v>7298913530</v>
      </c>
      <c r="E101" s="4">
        <f>TYPE(Table4[[#This Row],[ypn]])</f>
        <v>1</v>
      </c>
      <c r="F101" t="s">
        <v>497</v>
      </c>
      <c r="G101" s="4"/>
    </row>
    <row r="102" spans="1:7" ht="14.4" x14ac:dyDescent="0.3">
      <c r="A102" s="4">
        <v>7298913730</v>
      </c>
      <c r="B102" s="4" t="str">
        <f>TRIM(Table4[[#This Row],[ypn]])</f>
        <v>7298913730</v>
      </c>
      <c r="C102" s="4" t="b">
        <f>Table4[[#This Row],[ypn]]=Table4[[#This Row],[trim]]</f>
        <v>0</v>
      </c>
      <c r="D102" s="4">
        <f>Table4[[#This Row],[ypn]]*1</f>
        <v>7298913730</v>
      </c>
      <c r="E102" s="4">
        <f>TYPE(Table4[[#This Row],[ypn]])</f>
        <v>1</v>
      </c>
      <c r="F102" t="s">
        <v>498</v>
      </c>
      <c r="G102" s="4"/>
    </row>
    <row r="103" spans="1:7" ht="14.4" x14ac:dyDescent="0.3">
      <c r="A103" s="4">
        <v>7298948930</v>
      </c>
      <c r="B103" s="4" t="str">
        <f>TRIM(Table4[[#This Row],[ypn]])</f>
        <v>7298948930</v>
      </c>
      <c r="C103" s="4" t="b">
        <f>Table4[[#This Row],[ypn]]=Table4[[#This Row],[trim]]</f>
        <v>0</v>
      </c>
      <c r="D103" s="4">
        <f>Table4[[#This Row],[ypn]]*1</f>
        <v>7298948930</v>
      </c>
      <c r="E103" s="4">
        <f>TYPE(Table4[[#This Row],[ypn]])</f>
        <v>1</v>
      </c>
      <c r="F103" t="s">
        <v>499</v>
      </c>
      <c r="G103" s="4"/>
    </row>
    <row r="104" spans="1:7" ht="14.4" x14ac:dyDescent="0.3">
      <c r="A104" s="4">
        <v>7298949030</v>
      </c>
      <c r="B104" s="4" t="str">
        <f>TRIM(Table4[[#This Row],[ypn]])</f>
        <v>7298949030</v>
      </c>
      <c r="C104" s="4" t="b">
        <f>Table4[[#This Row],[ypn]]=Table4[[#This Row],[trim]]</f>
        <v>0</v>
      </c>
      <c r="D104" s="4">
        <f>Table4[[#This Row],[ypn]]*1</f>
        <v>7298949030</v>
      </c>
      <c r="E104" s="4">
        <f>TYPE(Table4[[#This Row],[ypn]])</f>
        <v>1</v>
      </c>
      <c r="F104" t="s">
        <v>500</v>
      </c>
      <c r="G104" s="4"/>
    </row>
    <row r="105" spans="1:7" ht="14.4" x14ac:dyDescent="0.3">
      <c r="A105" s="4">
        <v>7003292202</v>
      </c>
      <c r="B105" s="4" t="str">
        <f>TRIM(Table4[[#This Row],[ypn]])</f>
        <v>7003292202</v>
      </c>
      <c r="C105" s="4" t="b">
        <f>Table4[[#This Row],[ypn]]=Table4[[#This Row],[trim]]</f>
        <v>0</v>
      </c>
      <c r="D105" s="4">
        <f>Table4[[#This Row],[ypn]]*1</f>
        <v>7003292202</v>
      </c>
      <c r="E105" s="4">
        <f>TYPE(Table4[[#This Row],[ypn]])</f>
        <v>1</v>
      </c>
      <c r="F105" t="s">
        <v>501</v>
      </c>
      <c r="G105" s="4"/>
    </row>
    <row r="106" spans="1:7" ht="14.4" x14ac:dyDescent="0.3">
      <c r="A106" s="4" t="s">
        <v>502</v>
      </c>
      <c r="B106" s="4" t="str">
        <f>TRIM(Table4[[#This Row],[ypn]])</f>
        <v>7003293002(RINGTERMINAL)</v>
      </c>
      <c r="C106" s="4" t="b">
        <f>Table4[[#This Row],[ypn]]=Table4[[#This Row],[trim]]</f>
        <v>1</v>
      </c>
      <c r="D106" s="4" t="e">
        <f>Table4[[#This Row],[ypn]]*1</f>
        <v>#VALUE!</v>
      </c>
      <c r="E106" s="4">
        <f>TYPE(Table4[[#This Row],[ypn]])</f>
        <v>2</v>
      </c>
      <c r="F106" t="s">
        <v>503</v>
      </c>
      <c r="G106" s="4"/>
    </row>
    <row r="107" spans="1:7" ht="14.4" x14ac:dyDescent="0.3">
      <c r="A107" s="4" t="s">
        <v>504</v>
      </c>
      <c r="B107" s="4" t="str">
        <f>TRIM(Table4[[#This Row],[ypn]])</f>
        <v>7003803202(RINGTERMINAL)</v>
      </c>
      <c r="C107" s="4" t="b">
        <f>Table4[[#This Row],[ypn]]=Table4[[#This Row],[trim]]</f>
        <v>1</v>
      </c>
      <c r="D107" s="4" t="e">
        <f>Table4[[#This Row],[ypn]]*1</f>
        <v>#VALUE!</v>
      </c>
      <c r="E107" s="4">
        <f>TYPE(Table4[[#This Row],[ypn]])</f>
        <v>2</v>
      </c>
      <c r="F107" t="s">
        <v>505</v>
      </c>
      <c r="G107" s="4"/>
    </row>
    <row r="108" spans="1:7" ht="14.4" x14ac:dyDescent="0.3">
      <c r="A108" s="4">
        <v>7003803502</v>
      </c>
      <c r="B108" s="4" t="str">
        <f>TRIM(Table4[[#This Row],[ypn]])</f>
        <v>7003803502</v>
      </c>
      <c r="C108" s="4" t="b">
        <f>Table4[[#This Row],[ypn]]=Table4[[#This Row],[trim]]</f>
        <v>0</v>
      </c>
      <c r="D108" s="4">
        <f>Table4[[#This Row],[ypn]]*1</f>
        <v>7003803502</v>
      </c>
      <c r="E108" s="4">
        <f>TYPE(Table4[[#This Row],[ypn]])</f>
        <v>1</v>
      </c>
      <c r="F108" t="s">
        <v>506</v>
      </c>
      <c r="G108" s="4"/>
    </row>
    <row r="109" spans="1:7" ht="14.4" x14ac:dyDescent="0.3">
      <c r="A109" s="4">
        <v>7009630402</v>
      </c>
      <c r="B109" s="4" t="str">
        <f>TRIM(Table4[[#This Row],[ypn]])</f>
        <v>7009630402</v>
      </c>
      <c r="C109" s="4" t="b">
        <f>Table4[[#This Row],[ypn]]=Table4[[#This Row],[trim]]</f>
        <v>0</v>
      </c>
      <c r="D109" s="4">
        <f>Table4[[#This Row],[ypn]]*1</f>
        <v>7009630402</v>
      </c>
      <c r="E109" s="4">
        <f>TYPE(Table4[[#This Row],[ypn]])</f>
        <v>1</v>
      </c>
      <c r="F109" t="s">
        <v>507</v>
      </c>
      <c r="G109" s="4"/>
    </row>
    <row r="110" spans="1:7" ht="14.4" x14ac:dyDescent="0.3">
      <c r="A110" s="4">
        <v>7009639402</v>
      </c>
      <c r="B110" s="4" t="str">
        <f>TRIM(Table4[[#This Row],[ypn]])</f>
        <v>7009639402</v>
      </c>
      <c r="C110" s="4" t="b">
        <f>Table4[[#This Row],[ypn]]=Table4[[#This Row],[trim]]</f>
        <v>0</v>
      </c>
      <c r="D110" s="4">
        <f>Table4[[#This Row],[ypn]]*1</f>
        <v>7009639402</v>
      </c>
      <c r="E110" s="4">
        <f>TYPE(Table4[[#This Row],[ypn]])</f>
        <v>1</v>
      </c>
      <c r="F110" t="s">
        <v>508</v>
      </c>
      <c r="G110" s="4"/>
    </row>
    <row r="111" spans="1:7" ht="14.4" x14ac:dyDescent="0.3">
      <c r="A111" s="4" t="s">
        <v>253</v>
      </c>
      <c r="B111" s="4" t="str">
        <f>TRIM(Table4[[#This Row],[ypn]])</f>
        <v>7075226730(X1PP5707)</v>
      </c>
      <c r="C111" s="4" t="b">
        <f>Table4[[#This Row],[ypn]]=Table4[[#This Row],[trim]]</f>
        <v>1</v>
      </c>
      <c r="D111" s="4" t="e">
        <f>Table4[[#This Row],[ypn]]*1</f>
        <v>#VALUE!</v>
      </c>
      <c r="E111" s="4">
        <f>TYPE(Table4[[#This Row],[ypn]])</f>
        <v>2</v>
      </c>
      <c r="F111" t="s">
        <v>509</v>
      </c>
      <c r="G111" s="4"/>
    </row>
    <row r="112" spans="1:7" ht="14.4" x14ac:dyDescent="0.3">
      <c r="A112" s="4" t="s">
        <v>510</v>
      </c>
      <c r="B112" s="4" t="str">
        <f>TRIM(Table4[[#This Row],[ypn]])</f>
        <v>7075231830(X1PO2395)</v>
      </c>
      <c r="C112" s="4" t="b">
        <f>Table4[[#This Row],[ypn]]=Table4[[#This Row],[trim]]</f>
        <v>1</v>
      </c>
      <c r="D112" s="4" t="e">
        <f>Table4[[#This Row],[ypn]]*1</f>
        <v>#VALUE!</v>
      </c>
      <c r="E112" s="4">
        <f>TYPE(Table4[[#This Row],[ypn]])</f>
        <v>2</v>
      </c>
      <c r="F112" t="s">
        <v>511</v>
      </c>
      <c r="G112" s="4"/>
    </row>
    <row r="113" spans="1:7" ht="14.4" x14ac:dyDescent="0.3">
      <c r="A113" s="4" t="s">
        <v>512</v>
      </c>
      <c r="B113" s="4" t="str">
        <f>TRIM(Table4[[#This Row],[ypn]])</f>
        <v>7075231930(X1PO2518)</v>
      </c>
      <c r="C113" s="4" t="b">
        <f>Table4[[#This Row],[ypn]]=Table4[[#This Row],[trim]]</f>
        <v>1</v>
      </c>
      <c r="D113" s="4" t="e">
        <f>Table4[[#This Row],[ypn]]*1</f>
        <v>#VALUE!</v>
      </c>
      <c r="E113" s="4">
        <f>TYPE(Table4[[#This Row],[ypn]])</f>
        <v>2</v>
      </c>
      <c r="F113" t="s">
        <v>513</v>
      </c>
      <c r="G113" s="4"/>
    </row>
    <row r="114" spans="1:7" ht="14.4" x14ac:dyDescent="0.3">
      <c r="A114" s="4" t="s">
        <v>211</v>
      </c>
      <c r="B114" s="4" t="str">
        <f>TRIM(Table4[[#This Row],[ypn]])</f>
        <v>7075236930(X1PO2363)</v>
      </c>
      <c r="C114" s="4" t="b">
        <f>Table4[[#This Row],[ypn]]=Table4[[#This Row],[trim]]</f>
        <v>1</v>
      </c>
      <c r="D114" s="4" t="e">
        <f>Table4[[#This Row],[ypn]]*1</f>
        <v>#VALUE!</v>
      </c>
      <c r="E114" s="4">
        <f>TYPE(Table4[[#This Row],[ypn]])</f>
        <v>2</v>
      </c>
      <c r="F114" t="s">
        <v>514</v>
      </c>
      <c r="G114" s="4"/>
    </row>
    <row r="115" spans="1:7" ht="14.4" x14ac:dyDescent="0.3">
      <c r="A115" s="4" t="s">
        <v>212</v>
      </c>
      <c r="B115" s="4" t="str">
        <f>TRIM(Table4[[#This Row],[ypn]])</f>
        <v>7118641830+7173344320</v>
      </c>
      <c r="C115" s="4" t="b">
        <f>Table4[[#This Row],[ypn]]=Table4[[#This Row],[trim]]</f>
        <v>1</v>
      </c>
      <c r="D115" s="4" t="e">
        <f>Table4[[#This Row],[ypn]]*1</f>
        <v>#VALUE!</v>
      </c>
      <c r="E115" s="4">
        <f>TYPE(Table4[[#This Row],[ypn]])</f>
        <v>2</v>
      </c>
      <c r="F115" t="s">
        <v>741</v>
      </c>
      <c r="G115" s="4"/>
    </row>
    <row r="116" spans="1:7" ht="14.4" x14ac:dyDescent="0.3">
      <c r="A116" s="4" t="s">
        <v>515</v>
      </c>
      <c r="B116" s="4" t="str">
        <f>TRIM(Table4[[#This Row],[ypn]])</f>
        <v>71186683+7173344320</v>
      </c>
      <c r="C116" s="4" t="b">
        <f>Table4[[#This Row],[ypn]]=Table4[[#This Row],[trim]]</f>
        <v>1</v>
      </c>
      <c r="D116" s="4" t="e">
        <f>Table4[[#This Row],[ypn]]*1</f>
        <v>#VALUE!</v>
      </c>
      <c r="E116" s="4">
        <f>TYPE(Table4[[#This Row],[ypn]])</f>
        <v>2</v>
      </c>
      <c r="F116" t="s">
        <v>516</v>
      </c>
      <c r="G116" s="4"/>
    </row>
    <row r="117" spans="1:7" ht="14.4" x14ac:dyDescent="0.3">
      <c r="A117" s="4">
        <v>7118670020</v>
      </c>
      <c r="B117" s="4" t="str">
        <f>TRIM(Table4[[#This Row],[ypn]])</f>
        <v>7118670020</v>
      </c>
      <c r="C117" s="4" t="b">
        <f>Table4[[#This Row],[ypn]]=Table4[[#This Row],[trim]]</f>
        <v>0</v>
      </c>
      <c r="D117" s="4">
        <f>Table4[[#This Row],[ypn]]*1</f>
        <v>7118670020</v>
      </c>
      <c r="E117" s="4">
        <f>TYPE(Table4[[#This Row],[ypn]])</f>
        <v>1</v>
      </c>
      <c r="F117" t="s">
        <v>517</v>
      </c>
      <c r="G117" s="4"/>
    </row>
    <row r="118" spans="1:7" ht="14.4" x14ac:dyDescent="0.3">
      <c r="A118" s="4" t="s">
        <v>519</v>
      </c>
      <c r="B118" s="4" t="str">
        <f>TRIM(Table4[[#This Row],[ypn]])</f>
        <v>7119127830+7234894130</v>
      </c>
      <c r="C118" s="4" t="b">
        <f>Table4[[#This Row],[ypn]]=Table4[[#This Row],[trim]]</f>
        <v>1</v>
      </c>
      <c r="D118" s="4" t="e">
        <f>Table4[[#This Row],[ypn]]*1</f>
        <v>#VALUE!</v>
      </c>
      <c r="E118" s="4">
        <f>TYPE(Table4[[#This Row],[ypn]])</f>
        <v>2</v>
      </c>
      <c r="F118" t="s">
        <v>520</v>
      </c>
      <c r="G118" s="4"/>
    </row>
    <row r="119" spans="1:7" ht="14.4" x14ac:dyDescent="0.3">
      <c r="A119" s="4" t="s">
        <v>521</v>
      </c>
      <c r="B119" s="4" t="str">
        <f>TRIM(Table4[[#This Row],[ypn]])</f>
        <v>7119140530+7119140640+72741359</v>
      </c>
      <c r="C119" s="4" t="b">
        <f>Table4[[#This Row],[ypn]]=Table4[[#This Row],[trim]]</f>
        <v>1</v>
      </c>
      <c r="D119" s="4" t="e">
        <f>Table4[[#This Row],[ypn]]*1</f>
        <v>#VALUE!</v>
      </c>
      <c r="E119" s="4">
        <f>TYPE(Table4[[#This Row],[ypn]])</f>
        <v>2</v>
      </c>
      <c r="F119" t="s">
        <v>522</v>
      </c>
      <c r="G119" s="4"/>
    </row>
    <row r="120" spans="1:7" ht="14.4" x14ac:dyDescent="0.3">
      <c r="A120" s="4">
        <v>71196310</v>
      </c>
      <c r="B120" s="4" t="str">
        <f>TRIM(Table4[[#This Row],[ypn]])</f>
        <v>71196310</v>
      </c>
      <c r="C120" s="4" t="b">
        <f>Table4[[#This Row],[ypn]]=Table4[[#This Row],[trim]]</f>
        <v>0</v>
      </c>
      <c r="D120" s="4">
        <f>Table4[[#This Row],[ypn]]*1</f>
        <v>71196310</v>
      </c>
      <c r="E120" s="4">
        <f>TYPE(Table4[[#This Row],[ypn]])</f>
        <v>1</v>
      </c>
      <c r="F120" t="s">
        <v>523</v>
      </c>
      <c r="G120" s="4"/>
    </row>
    <row r="121" spans="1:7" ht="14.4" x14ac:dyDescent="0.3">
      <c r="A121" s="4">
        <v>7119639830</v>
      </c>
      <c r="B121" s="4" t="str">
        <f>TRIM(Table4[[#This Row],[ypn]])</f>
        <v>7119639830</v>
      </c>
      <c r="C121" s="4" t="b">
        <f>Table4[[#This Row],[ypn]]=Table4[[#This Row],[trim]]</f>
        <v>0</v>
      </c>
      <c r="D121" s="4">
        <f>Table4[[#This Row],[ypn]]*1</f>
        <v>7119639830</v>
      </c>
      <c r="E121" s="4">
        <f>TYPE(Table4[[#This Row],[ypn]])</f>
        <v>1</v>
      </c>
      <c r="F121" t="s">
        <v>525</v>
      </c>
      <c r="G121" s="4"/>
    </row>
    <row r="122" spans="1:7" ht="14.4" x14ac:dyDescent="0.3">
      <c r="A122" s="4" t="s">
        <v>526</v>
      </c>
      <c r="B122" s="4" t="str">
        <f>TRIM(Table4[[#This Row],[ypn]])</f>
        <v>7119648630+7274171430</v>
      </c>
      <c r="C122" s="4" t="b">
        <f>Table4[[#This Row],[ypn]]=Table4[[#This Row],[trim]]</f>
        <v>1</v>
      </c>
      <c r="D122" s="4" t="e">
        <f>Table4[[#This Row],[ypn]]*1</f>
        <v>#VALUE!</v>
      </c>
      <c r="E122" s="4">
        <f>TYPE(Table4[[#This Row],[ypn]])</f>
        <v>2</v>
      </c>
      <c r="F122" t="s">
        <v>527</v>
      </c>
      <c r="G122" s="4"/>
    </row>
    <row r="123" spans="1:7" ht="14.4" x14ac:dyDescent="0.3">
      <c r="A123" s="4" t="s">
        <v>529</v>
      </c>
      <c r="B123" s="4" t="str">
        <f>TRIM(Table4[[#This Row],[ypn]])</f>
        <v>7176861930(X1PO2578)</v>
      </c>
      <c r="C123" s="4" t="b">
        <f>Table4[[#This Row],[ypn]]=Table4[[#This Row],[trim]]</f>
        <v>1</v>
      </c>
      <c r="D123" s="4" t="e">
        <f>Table4[[#This Row],[ypn]]*1</f>
        <v>#VALUE!</v>
      </c>
      <c r="E123" s="4">
        <f>TYPE(Table4[[#This Row],[ypn]])</f>
        <v>2</v>
      </c>
      <c r="F123" t="s">
        <v>530</v>
      </c>
      <c r="G123" s="4"/>
    </row>
    <row r="124" spans="1:7" ht="14.4" x14ac:dyDescent="0.3">
      <c r="A124" s="4" t="s">
        <v>531</v>
      </c>
      <c r="B124" s="4" t="str">
        <f>TRIM(Table4[[#This Row],[ypn]])</f>
        <v>7176862030(X1PO2580)</v>
      </c>
      <c r="C124" s="4" t="b">
        <f>Table4[[#This Row],[ypn]]=Table4[[#This Row],[trim]]</f>
        <v>1</v>
      </c>
      <c r="D124" s="4" t="e">
        <f>Table4[[#This Row],[ypn]]*1</f>
        <v>#VALUE!</v>
      </c>
      <c r="E124" s="4">
        <f>TYPE(Table4[[#This Row],[ypn]])</f>
        <v>2</v>
      </c>
      <c r="F124" t="s">
        <v>532</v>
      </c>
      <c r="G124" s="4"/>
    </row>
    <row r="125" spans="1:7" ht="14.4" x14ac:dyDescent="0.3">
      <c r="A125" s="4" t="s">
        <v>533</v>
      </c>
      <c r="B125" s="4" t="str">
        <f>TRIM(Table4[[#This Row],[ypn]])</f>
        <v>7176862130(X1PO2557)</v>
      </c>
      <c r="C125" s="4" t="b">
        <f>Table4[[#This Row],[ypn]]=Table4[[#This Row],[trim]]</f>
        <v>1</v>
      </c>
      <c r="D125" s="4" t="e">
        <f>Table4[[#This Row],[ypn]]*1</f>
        <v>#VALUE!</v>
      </c>
      <c r="E125" s="4">
        <f>TYPE(Table4[[#This Row],[ypn]])</f>
        <v>2</v>
      </c>
      <c r="F125" t="s">
        <v>534</v>
      </c>
      <c r="G125" s="4"/>
    </row>
    <row r="126" spans="1:7" ht="14.4" x14ac:dyDescent="0.3">
      <c r="A126" s="4" t="s">
        <v>535</v>
      </c>
      <c r="B126" s="4" t="str">
        <f>TRIM(Table4[[#This Row],[ypn]])</f>
        <v>7176862330(X1PO2559)</v>
      </c>
      <c r="C126" s="4" t="b">
        <f>Table4[[#This Row],[ypn]]=Table4[[#This Row],[trim]]</f>
        <v>1</v>
      </c>
      <c r="D126" s="4" t="e">
        <f>Table4[[#This Row],[ypn]]*1</f>
        <v>#VALUE!</v>
      </c>
      <c r="E126" s="4">
        <f>TYPE(Table4[[#This Row],[ypn]])</f>
        <v>2</v>
      </c>
      <c r="F126" t="s">
        <v>536</v>
      </c>
      <c r="G126" s="4"/>
    </row>
    <row r="127" spans="1:7" ht="14.4" x14ac:dyDescent="0.3">
      <c r="A127" s="4" t="s">
        <v>537</v>
      </c>
      <c r="B127" s="4" t="str">
        <f>TRIM(Table4[[#This Row],[ypn]])</f>
        <v>7176862730(X1PO2563)</v>
      </c>
      <c r="C127" s="4" t="b">
        <f>Table4[[#This Row],[ypn]]=Table4[[#This Row],[trim]]</f>
        <v>1</v>
      </c>
      <c r="D127" s="4" t="e">
        <f>Table4[[#This Row],[ypn]]*1</f>
        <v>#VALUE!</v>
      </c>
      <c r="E127" s="4">
        <f>TYPE(Table4[[#This Row],[ypn]])</f>
        <v>2</v>
      </c>
      <c r="F127" t="s">
        <v>538</v>
      </c>
      <c r="G127" s="4"/>
    </row>
    <row r="128" spans="1:7" ht="14.4" x14ac:dyDescent="0.3">
      <c r="A128" s="4" t="s">
        <v>539</v>
      </c>
      <c r="B128" s="4" t="str">
        <f>TRIM(Table4[[#This Row],[ypn]])</f>
        <v>7176862930(X1PO2407)</v>
      </c>
      <c r="C128" s="4" t="b">
        <f>Table4[[#This Row],[ypn]]=Table4[[#This Row],[trim]]</f>
        <v>1</v>
      </c>
      <c r="D128" s="4" t="e">
        <f>Table4[[#This Row],[ypn]]*1</f>
        <v>#VALUE!</v>
      </c>
      <c r="E128" s="4">
        <f>TYPE(Table4[[#This Row],[ypn]])</f>
        <v>2</v>
      </c>
      <c r="F128" t="s">
        <v>540</v>
      </c>
      <c r="G128" s="4"/>
    </row>
    <row r="129" spans="1:7" ht="14.4" x14ac:dyDescent="0.3">
      <c r="A129" s="4" t="s">
        <v>541</v>
      </c>
      <c r="B129" s="4" t="str">
        <f>TRIM(Table4[[#This Row],[ypn]])</f>
        <v>7176863030(X1PO2408)</v>
      </c>
      <c r="C129" s="4" t="b">
        <f>Table4[[#This Row],[ypn]]=Table4[[#This Row],[trim]]</f>
        <v>1</v>
      </c>
      <c r="D129" s="4" t="e">
        <f>Table4[[#This Row],[ypn]]*1</f>
        <v>#VALUE!</v>
      </c>
      <c r="E129" s="4">
        <f>TYPE(Table4[[#This Row],[ypn]])</f>
        <v>2</v>
      </c>
      <c r="F129" t="s">
        <v>542</v>
      </c>
      <c r="G129" s="4"/>
    </row>
    <row r="130" spans="1:7" ht="14.4" x14ac:dyDescent="0.3">
      <c r="A130" s="4" t="s">
        <v>543</v>
      </c>
      <c r="B130" s="4" t="str">
        <f>TRIM(Table4[[#This Row],[ypn]])</f>
        <v>7176874730(X1PO2553)</v>
      </c>
      <c r="C130" s="4" t="b">
        <f>Table4[[#This Row],[ypn]]=Table4[[#This Row],[trim]]</f>
        <v>1</v>
      </c>
      <c r="D130" s="4" t="e">
        <f>Table4[[#This Row],[ypn]]*1</f>
        <v>#VALUE!</v>
      </c>
      <c r="E130" s="4">
        <f>TYPE(Table4[[#This Row],[ypn]])</f>
        <v>2</v>
      </c>
      <c r="F130" t="s">
        <v>544</v>
      </c>
      <c r="G130" s="4"/>
    </row>
    <row r="131" spans="1:7" ht="14.4" x14ac:dyDescent="0.3">
      <c r="A131" s="4">
        <v>7177097330</v>
      </c>
      <c r="B131" s="4" t="str">
        <f>TRIM(Table4[[#This Row],[ypn]])</f>
        <v>7177097330</v>
      </c>
      <c r="C131" s="4" t="b">
        <f>Table4[[#This Row],[ypn]]=Table4[[#This Row],[trim]]</f>
        <v>0</v>
      </c>
      <c r="D131" s="4">
        <f>Table4[[#This Row],[ypn]]*1</f>
        <v>7177097330</v>
      </c>
      <c r="E131" s="4">
        <f>TYPE(Table4[[#This Row],[ypn]])</f>
        <v>1</v>
      </c>
      <c r="F131" t="s">
        <v>545</v>
      </c>
      <c r="G131" s="4"/>
    </row>
    <row r="132" spans="1:7" ht="14.4" x14ac:dyDescent="0.3">
      <c r="A132" s="4" t="s">
        <v>266</v>
      </c>
      <c r="B132" s="4" t="str">
        <f>TRIM(Table4[[#This Row],[ypn]])</f>
        <v>7177363290+7173344320</v>
      </c>
      <c r="C132" s="4" t="b">
        <f>Table4[[#This Row],[ypn]]=Table4[[#This Row],[trim]]</f>
        <v>1</v>
      </c>
      <c r="D132" s="4" t="e">
        <f>Table4[[#This Row],[ypn]]*1</f>
        <v>#VALUE!</v>
      </c>
      <c r="E132" s="4">
        <f>TYPE(Table4[[#This Row],[ypn]])</f>
        <v>2</v>
      </c>
      <c r="F132" t="s">
        <v>671</v>
      </c>
      <c r="G132" s="4"/>
    </row>
    <row r="133" spans="1:7" ht="14.4" x14ac:dyDescent="0.3">
      <c r="A133" s="4" t="s">
        <v>547</v>
      </c>
      <c r="B133" s="4" t="str">
        <f>TRIM(Table4[[#This Row],[ypn]])</f>
        <v>7185173030+7185173130+72742608</v>
      </c>
      <c r="C133" s="4" t="b">
        <f>Table4[[#This Row],[ypn]]=Table4[[#This Row],[trim]]</f>
        <v>1</v>
      </c>
      <c r="D133" s="4" t="e">
        <f>Table4[[#This Row],[ypn]]*1</f>
        <v>#VALUE!</v>
      </c>
      <c r="E133" s="4">
        <f>TYPE(Table4[[#This Row],[ypn]])</f>
        <v>2</v>
      </c>
      <c r="F133" t="s">
        <v>548</v>
      </c>
      <c r="G133" s="4"/>
    </row>
    <row r="134" spans="1:7" ht="14.4" x14ac:dyDescent="0.3">
      <c r="A134" s="4" t="s">
        <v>551</v>
      </c>
      <c r="B134" s="4" t="str">
        <f>TRIM(Table4[[#This Row],[ypn]])</f>
        <v>7189730210+7274146260</v>
      </c>
      <c r="C134" s="4" t="b">
        <f>Table4[[#This Row],[ypn]]=Table4[[#This Row],[trim]]</f>
        <v>1</v>
      </c>
      <c r="D134" s="4" t="e">
        <f>Table4[[#This Row],[ypn]]*1</f>
        <v>#VALUE!</v>
      </c>
      <c r="E134" s="4">
        <f>TYPE(Table4[[#This Row],[ypn]])</f>
        <v>2</v>
      </c>
      <c r="F134" t="s">
        <v>552</v>
      </c>
      <c r="G134" s="4"/>
    </row>
    <row r="135" spans="1:7" ht="14.4" x14ac:dyDescent="0.3">
      <c r="A135" s="4">
        <v>71980943</v>
      </c>
      <c r="B135" s="4" t="str">
        <f>TRIM(Table4[[#This Row],[ypn]])</f>
        <v>71980943</v>
      </c>
      <c r="C135" s="4" t="b">
        <f>Table4[[#This Row],[ypn]]=Table4[[#This Row],[trim]]</f>
        <v>0</v>
      </c>
      <c r="D135" s="4">
        <f>Table4[[#This Row],[ypn]]*1</f>
        <v>71980943</v>
      </c>
      <c r="E135" s="4">
        <f>TYPE(Table4[[#This Row],[ypn]])</f>
        <v>1</v>
      </c>
      <c r="F135" t="s">
        <v>554</v>
      </c>
      <c r="G135" s="4"/>
    </row>
    <row r="136" spans="1:7" ht="14.4" x14ac:dyDescent="0.3">
      <c r="A136" s="4" t="s">
        <v>556</v>
      </c>
      <c r="B136" s="4" t="str">
        <f>TRIM(Table4[[#This Row],[ypn]])</f>
        <v>7198762530+7198600430+7274261190</v>
      </c>
      <c r="C136" s="4" t="b">
        <f>Table4[[#This Row],[ypn]]=Table4[[#This Row],[trim]]</f>
        <v>1</v>
      </c>
      <c r="D136" s="4" t="e">
        <f>Table4[[#This Row],[ypn]]*1</f>
        <v>#VALUE!</v>
      </c>
      <c r="E136" s="4">
        <f>TYPE(Table4[[#This Row],[ypn]])</f>
        <v>2</v>
      </c>
      <c r="F136" t="s">
        <v>557</v>
      </c>
      <c r="G136" s="4"/>
    </row>
    <row r="137" spans="1:7" ht="14.4" x14ac:dyDescent="0.3">
      <c r="A137" s="4" t="s">
        <v>558</v>
      </c>
      <c r="B137" s="4" t="str">
        <f>TRIM(Table4[[#This Row],[ypn]])</f>
        <v>7198762530+7198600430+72743034</v>
      </c>
      <c r="C137" s="4" t="b">
        <f>Table4[[#This Row],[ypn]]=Table4[[#This Row],[trim]]</f>
        <v>1</v>
      </c>
      <c r="D137" s="4" t="e">
        <f>Table4[[#This Row],[ypn]]*1</f>
        <v>#VALUE!</v>
      </c>
      <c r="E137" s="4">
        <f>TYPE(Table4[[#This Row],[ypn]])</f>
        <v>2</v>
      </c>
      <c r="F137" t="s">
        <v>559</v>
      </c>
      <c r="G137" s="4" t="s">
        <v>740</v>
      </c>
    </row>
    <row r="138" spans="1:7" ht="14.4" x14ac:dyDescent="0.3">
      <c r="A138" s="4" t="s">
        <v>230</v>
      </c>
      <c r="B138" s="4" t="str">
        <f>TRIM(Table4[[#This Row],[ypn]])</f>
        <v>7198914830+7234497030</v>
      </c>
      <c r="C138" s="4" t="b">
        <f>Table4[[#This Row],[ypn]]=Table4[[#This Row],[trim]]</f>
        <v>1</v>
      </c>
      <c r="D138" s="4" t="e">
        <f>Table4[[#This Row],[ypn]]*1</f>
        <v>#VALUE!</v>
      </c>
      <c r="E138" s="4">
        <f>TYPE(Table4[[#This Row],[ypn]])</f>
        <v>2</v>
      </c>
      <c r="F138" t="s">
        <v>562</v>
      </c>
      <c r="G138" s="4"/>
    </row>
    <row r="139" spans="1:7" ht="14.4" x14ac:dyDescent="0.3">
      <c r="A139" s="4">
        <v>71989158</v>
      </c>
      <c r="B139" s="4" t="str">
        <f>TRIM(Table4[[#This Row],[ypn]])</f>
        <v>71989158</v>
      </c>
      <c r="C139" s="4" t="b">
        <f>Table4[[#This Row],[ypn]]=Table4[[#This Row],[trim]]</f>
        <v>0</v>
      </c>
      <c r="D139" s="4">
        <f>Table4[[#This Row],[ypn]]*1</f>
        <v>71989158</v>
      </c>
      <c r="E139" s="4">
        <f>TYPE(Table4[[#This Row],[ypn]])</f>
        <v>1</v>
      </c>
      <c r="F139" t="s">
        <v>563</v>
      </c>
      <c r="G139" s="4"/>
    </row>
    <row r="140" spans="1:7" ht="14.4" x14ac:dyDescent="0.3">
      <c r="A140" s="4">
        <v>7218645330</v>
      </c>
      <c r="B140" s="4" t="str">
        <f>TRIM(Table4[[#This Row],[ypn]])</f>
        <v>7218645330</v>
      </c>
      <c r="C140" s="4" t="b">
        <f>Table4[[#This Row],[ypn]]=Table4[[#This Row],[trim]]</f>
        <v>0</v>
      </c>
      <c r="D140" s="4">
        <f>Table4[[#This Row],[ypn]]*1</f>
        <v>7218645330</v>
      </c>
      <c r="E140" s="4">
        <f>TYPE(Table4[[#This Row],[ypn]])</f>
        <v>1</v>
      </c>
      <c r="F140" t="s">
        <v>302</v>
      </c>
      <c r="G140" s="4"/>
    </row>
    <row r="141" spans="1:7" ht="14.4" x14ac:dyDescent="0.3">
      <c r="A141" s="4" t="s">
        <v>564</v>
      </c>
      <c r="B141" s="4" t="str">
        <f>TRIM(Table4[[#This Row],[ypn]])</f>
        <v>7219678730+7134811530</v>
      </c>
      <c r="C141" s="4" t="b">
        <f>Table4[[#This Row],[ypn]]=Table4[[#This Row],[trim]]</f>
        <v>1</v>
      </c>
      <c r="D141" s="4" t="e">
        <f>Table4[[#This Row],[ypn]]*1</f>
        <v>#VALUE!</v>
      </c>
      <c r="E141" s="4">
        <f>TYPE(Table4[[#This Row],[ypn]])</f>
        <v>2</v>
      </c>
      <c r="F141" t="s">
        <v>671</v>
      </c>
      <c r="G141" s="4"/>
    </row>
    <row r="142" spans="1:7" ht="14.4" x14ac:dyDescent="0.3">
      <c r="A142" s="4" t="s">
        <v>565</v>
      </c>
      <c r="B142" s="4" t="str">
        <f>TRIM(Table4[[#This Row],[ypn]])</f>
        <v>7271007030(X1PO2536+X1PO2299)</v>
      </c>
      <c r="C142" s="4" t="b">
        <f>Table4[[#This Row],[ypn]]=Table4[[#This Row],[trim]]</f>
        <v>1</v>
      </c>
      <c r="D142" s="4" t="e">
        <f>Table4[[#This Row],[ypn]]*1</f>
        <v>#VALUE!</v>
      </c>
      <c r="E142" s="4">
        <f>TYPE(Table4[[#This Row],[ypn]])</f>
        <v>2</v>
      </c>
      <c r="F142" t="s">
        <v>566</v>
      </c>
      <c r="G142" s="4"/>
    </row>
    <row r="143" spans="1:7" ht="14.4" x14ac:dyDescent="0.3">
      <c r="A143" s="4">
        <v>7278099530</v>
      </c>
      <c r="B143" s="4" t="str">
        <f>TRIM(Table4[[#This Row],[ypn]])</f>
        <v>7278099530</v>
      </c>
      <c r="C143" s="4" t="b">
        <f>Table4[[#This Row],[ypn]]=Table4[[#This Row],[trim]]</f>
        <v>0</v>
      </c>
      <c r="D143" s="4">
        <f>Table4[[#This Row],[ypn]]*1</f>
        <v>7278099530</v>
      </c>
      <c r="E143" s="4">
        <f>TYPE(Table4[[#This Row],[ypn]])</f>
        <v>1</v>
      </c>
      <c r="F143" t="s">
        <v>567</v>
      </c>
      <c r="G143" s="4"/>
    </row>
    <row r="144" spans="1:7" ht="14.4" x14ac:dyDescent="0.3">
      <c r="A144" s="4" t="s">
        <v>568</v>
      </c>
      <c r="B144" s="4" t="str">
        <f>TRIM(Table4[[#This Row],[ypn]])</f>
        <v>7278242730+7173825540+7174342530</v>
      </c>
      <c r="C144" s="4" t="b">
        <f>Table4[[#This Row],[ypn]]=Table4[[#This Row],[trim]]</f>
        <v>1</v>
      </c>
      <c r="D144" s="4" t="e">
        <f>Table4[[#This Row],[ypn]]*1</f>
        <v>#VALUE!</v>
      </c>
      <c r="E144" s="4">
        <f>TYPE(Table4[[#This Row],[ypn]])</f>
        <v>2</v>
      </c>
      <c r="F144" t="s">
        <v>569</v>
      </c>
      <c r="G144" s="4" t="s">
        <v>740</v>
      </c>
    </row>
    <row r="145" spans="1:7" ht="14.4" x14ac:dyDescent="0.3">
      <c r="A145" s="4">
        <v>7289059730</v>
      </c>
      <c r="B145" s="4" t="str">
        <f>TRIM(Table4[[#This Row],[ypn]])</f>
        <v>7289059730</v>
      </c>
      <c r="C145" s="4" t="b">
        <f>Table4[[#This Row],[ypn]]=Table4[[#This Row],[trim]]</f>
        <v>0</v>
      </c>
      <c r="D145" s="4">
        <f>Table4[[#This Row],[ypn]]*1</f>
        <v>7289059730</v>
      </c>
      <c r="E145" s="4">
        <f>TYPE(Table4[[#This Row],[ypn]])</f>
        <v>1</v>
      </c>
      <c r="F145" t="s">
        <v>570</v>
      </c>
      <c r="G145" s="4"/>
    </row>
    <row r="146" spans="1:7" ht="14.4" x14ac:dyDescent="0.3">
      <c r="A146" s="4" t="s">
        <v>571</v>
      </c>
      <c r="B146" s="4" t="str">
        <f>TRIM(Table4[[#This Row],[ypn]])</f>
        <v>7289256230+7174167930A</v>
      </c>
      <c r="C146" s="4" t="b">
        <f>Table4[[#This Row],[ypn]]=Table4[[#This Row],[trim]]</f>
        <v>1</v>
      </c>
      <c r="D146" s="4" t="e">
        <f>Table4[[#This Row],[ypn]]*1</f>
        <v>#VALUE!</v>
      </c>
      <c r="E146" s="4">
        <f>TYPE(Table4[[#This Row],[ypn]])</f>
        <v>2</v>
      </c>
      <c r="F146" t="s">
        <v>572</v>
      </c>
      <c r="G146" s="4"/>
    </row>
    <row r="147" spans="1:7" ht="14.4" x14ac:dyDescent="0.3">
      <c r="A147" s="4" t="s">
        <v>573</v>
      </c>
      <c r="B147" s="4" t="str">
        <f>TRIM(Table4[[#This Row],[ypn]])</f>
        <v>7289488430+7274297830</v>
      </c>
      <c r="C147" s="4" t="b">
        <f>Table4[[#This Row],[ypn]]=Table4[[#This Row],[trim]]</f>
        <v>1</v>
      </c>
      <c r="D147" s="4" t="e">
        <f>Table4[[#This Row],[ypn]]*1</f>
        <v>#VALUE!</v>
      </c>
      <c r="E147" s="4">
        <f>TYPE(Table4[[#This Row],[ypn]])</f>
        <v>2</v>
      </c>
      <c r="F147" t="s">
        <v>574</v>
      </c>
      <c r="G147" s="4"/>
    </row>
    <row r="148" spans="1:7" ht="14.4" x14ac:dyDescent="0.3">
      <c r="A148" s="4" t="s">
        <v>233</v>
      </c>
      <c r="B148" s="4" t="str">
        <f>TRIM(Table4[[#This Row],[ypn]])</f>
        <v>72897304+72895207</v>
      </c>
      <c r="C148" s="4" t="b">
        <f>Table4[[#This Row],[ypn]]=Table4[[#This Row],[trim]]</f>
        <v>1</v>
      </c>
      <c r="D148" s="4" t="e">
        <f>Table4[[#This Row],[ypn]]*1</f>
        <v>#VALUE!</v>
      </c>
      <c r="E148" s="4">
        <f>TYPE(Table4[[#This Row],[ypn]])</f>
        <v>2</v>
      </c>
      <c r="F148" t="s">
        <v>575</v>
      </c>
      <c r="G148" s="4"/>
    </row>
    <row r="149" spans="1:7" ht="14.4" x14ac:dyDescent="0.3">
      <c r="A149" s="4" t="s">
        <v>259</v>
      </c>
      <c r="B149" s="4" t="str">
        <f>TRIM(Table4[[#This Row],[ypn]])</f>
        <v>7289808930+7274153930</v>
      </c>
      <c r="C149" s="4" t="b">
        <f>Table4[[#This Row],[ypn]]=Table4[[#This Row],[trim]]</f>
        <v>1</v>
      </c>
      <c r="D149" s="4" t="e">
        <f>Table4[[#This Row],[ypn]]*1</f>
        <v>#VALUE!</v>
      </c>
      <c r="E149" s="4">
        <f>TYPE(Table4[[#This Row],[ypn]])</f>
        <v>2</v>
      </c>
      <c r="F149" t="s">
        <v>576</v>
      </c>
      <c r="G149" s="4"/>
    </row>
    <row r="150" spans="1:7" ht="14.4" x14ac:dyDescent="0.3">
      <c r="A150" s="4" t="s">
        <v>579</v>
      </c>
      <c r="B150" s="4" t="str">
        <f>TRIM(Table4[[#This Row],[ypn]])</f>
        <v>7289811630+7289811730+7274166590</v>
      </c>
      <c r="C150" s="4" t="b">
        <f>Table4[[#This Row],[ypn]]=Table4[[#This Row],[trim]]</f>
        <v>1</v>
      </c>
      <c r="D150" s="4" t="e">
        <f>Table4[[#This Row],[ypn]]*1</f>
        <v>#VALUE!</v>
      </c>
      <c r="E150" s="4">
        <f>TYPE(Table4[[#This Row],[ypn]])</f>
        <v>2</v>
      </c>
      <c r="F150" t="s">
        <v>580</v>
      </c>
      <c r="G150" s="4"/>
    </row>
    <row r="151" spans="1:7" ht="14.4" x14ac:dyDescent="0.3">
      <c r="A151" s="4" t="s">
        <v>581</v>
      </c>
      <c r="B151" s="4" t="str">
        <f>TRIM(Table4[[#This Row],[ypn]])</f>
        <v>7298341860+7297341730+7247502430</v>
      </c>
      <c r="C151" s="4" t="b">
        <f>Table4[[#This Row],[ypn]]=Table4[[#This Row],[trim]]</f>
        <v>1</v>
      </c>
      <c r="D151" s="4" t="e">
        <f>Table4[[#This Row],[ypn]]*1</f>
        <v>#VALUE!</v>
      </c>
      <c r="E151" s="4">
        <f>TYPE(Table4[[#This Row],[ypn]])</f>
        <v>2</v>
      </c>
      <c r="F151" t="s">
        <v>582</v>
      </c>
      <c r="G151" s="4" t="s">
        <v>740</v>
      </c>
    </row>
    <row r="152" spans="1:7" ht="14.4" x14ac:dyDescent="0.3">
      <c r="A152" s="4">
        <v>7298458730</v>
      </c>
      <c r="B152" s="4" t="str">
        <f>TRIM(Table4[[#This Row],[ypn]])</f>
        <v>7298458730</v>
      </c>
      <c r="C152" s="4" t="b">
        <f>Table4[[#This Row],[ypn]]=Table4[[#This Row],[trim]]</f>
        <v>0</v>
      </c>
      <c r="D152" s="4">
        <f>Table4[[#This Row],[ypn]]*1</f>
        <v>7298458730</v>
      </c>
      <c r="E152" s="4">
        <f>TYPE(Table4[[#This Row],[ypn]])</f>
        <v>1</v>
      </c>
      <c r="F152" t="s">
        <v>304</v>
      </c>
      <c r="G152" s="4"/>
    </row>
    <row r="153" spans="1:7" ht="14.4" x14ac:dyDescent="0.3">
      <c r="A153" s="4" t="s">
        <v>291</v>
      </c>
      <c r="B153" s="4" t="str">
        <f>TRIM(Table4[[#This Row],[ypn]])</f>
        <v>A1729821302_EYELETV1</v>
      </c>
      <c r="C153" s="4" t="b">
        <f>Table4[[#This Row],[ypn]]=Table4[[#This Row],[trim]]</f>
        <v>1</v>
      </c>
      <c r="D153" s="4" t="e">
        <f>Table4[[#This Row],[ypn]]*1</f>
        <v>#VALUE!</v>
      </c>
      <c r="E153" s="4">
        <f>TYPE(Table4[[#This Row],[ypn]])</f>
        <v>2</v>
      </c>
      <c r="F153" t="s">
        <v>583</v>
      </c>
      <c r="G153" s="4"/>
    </row>
    <row r="154" spans="1:7" ht="14.4" x14ac:dyDescent="0.3">
      <c r="A154" s="4" t="s">
        <v>584</v>
      </c>
      <c r="B154" s="4" t="str">
        <f>TRIM(Table4[[#This Row],[ypn]])</f>
        <v>A1729821302_EYELETV2</v>
      </c>
      <c r="C154" s="4" t="b">
        <f>Table4[[#This Row],[ypn]]=Table4[[#This Row],[trim]]</f>
        <v>1</v>
      </c>
      <c r="D154" s="4" t="e">
        <f>Table4[[#This Row],[ypn]]*1</f>
        <v>#VALUE!</v>
      </c>
      <c r="E154" s="4">
        <f>TYPE(Table4[[#This Row],[ypn]])</f>
        <v>2</v>
      </c>
      <c r="F154" t="s">
        <v>671</v>
      </c>
      <c r="G154" s="4"/>
    </row>
    <row r="155" spans="1:7" ht="14.4" x14ac:dyDescent="0.3">
      <c r="A155" s="4" t="s">
        <v>585</v>
      </c>
      <c r="B155" s="4" t="str">
        <f>TRIM(Table4[[#This Row],[ypn]])</f>
        <v>A1729821302_EYELETV3</v>
      </c>
      <c r="C155" s="4" t="b">
        <f>Table4[[#This Row],[ypn]]=Table4[[#This Row],[trim]]</f>
        <v>1</v>
      </c>
      <c r="D155" s="4" t="e">
        <f>Table4[[#This Row],[ypn]]*1</f>
        <v>#VALUE!</v>
      </c>
      <c r="E155" s="4">
        <f>TYPE(Table4[[#This Row],[ypn]])</f>
        <v>2</v>
      </c>
      <c r="F155" t="s">
        <v>586</v>
      </c>
      <c r="G155" s="4"/>
    </row>
    <row r="156" spans="1:7" ht="14.4" x14ac:dyDescent="0.3">
      <c r="A156" s="4" t="s">
        <v>587</v>
      </c>
      <c r="B156" s="4" t="str">
        <f>TRIM(Table4[[#This Row],[ypn]])</f>
        <v>A1729821302_EYELETV4_1</v>
      </c>
      <c r="C156" s="4" t="b">
        <f>Table4[[#This Row],[ypn]]=Table4[[#This Row],[trim]]</f>
        <v>1</v>
      </c>
      <c r="D156" s="4" t="e">
        <f>Table4[[#This Row],[ypn]]*1</f>
        <v>#VALUE!</v>
      </c>
      <c r="E156" s="4">
        <f>TYPE(Table4[[#This Row],[ypn]])</f>
        <v>2</v>
      </c>
      <c r="F156" t="s">
        <v>671</v>
      </c>
      <c r="G156" s="4"/>
    </row>
    <row r="157" spans="1:7" ht="14.4" x14ac:dyDescent="0.3">
      <c r="A157" s="4" t="s">
        <v>588</v>
      </c>
      <c r="B157" s="4" t="str">
        <f>TRIM(Table4[[#This Row],[ypn]])</f>
        <v>A1729821302_EYELETV4_3</v>
      </c>
      <c r="C157" s="4" t="b">
        <f>Table4[[#This Row],[ypn]]=Table4[[#This Row],[trim]]</f>
        <v>1</v>
      </c>
      <c r="D157" s="4" t="e">
        <f>Table4[[#This Row],[ypn]]*1</f>
        <v>#VALUE!</v>
      </c>
      <c r="E157" s="4">
        <f>TYPE(Table4[[#This Row],[ypn]])</f>
        <v>2</v>
      </c>
      <c r="F157" t="s">
        <v>671</v>
      </c>
      <c r="G157" s="4"/>
    </row>
    <row r="158" spans="1:7" ht="14.4" x14ac:dyDescent="0.3">
      <c r="A158" s="4" t="s">
        <v>589</v>
      </c>
      <c r="B158" s="4" t="str">
        <f>TRIM(Table4[[#This Row],[ypn]])</f>
        <v>ASSY_118021051</v>
      </c>
      <c r="C158" s="4" t="b">
        <f>Table4[[#This Row],[ypn]]=Table4[[#This Row],[trim]]</f>
        <v>1</v>
      </c>
      <c r="D158" s="4" t="e">
        <f>Table4[[#This Row],[ypn]]*1</f>
        <v>#VALUE!</v>
      </c>
      <c r="E158" s="4">
        <f>TYPE(Table4[[#This Row],[ypn]])</f>
        <v>2</v>
      </c>
      <c r="F158" t="s">
        <v>590</v>
      </c>
      <c r="G158" s="4"/>
    </row>
    <row r="159" spans="1:7" ht="14.4" x14ac:dyDescent="0.3">
      <c r="A159" s="4" t="s">
        <v>238</v>
      </c>
      <c r="B159" s="4" t="str">
        <f>TRIM(Table4[[#This Row],[ypn]])</f>
        <v>ASSY_123024541</v>
      </c>
      <c r="C159" s="4" t="b">
        <f>Table4[[#This Row],[ypn]]=Table4[[#This Row],[trim]]</f>
        <v>1</v>
      </c>
      <c r="D159" s="4" t="e">
        <f>Table4[[#This Row],[ypn]]*1</f>
        <v>#VALUE!</v>
      </c>
      <c r="E159" s="4">
        <f>TYPE(Table4[[#This Row],[ypn]])</f>
        <v>2</v>
      </c>
      <c r="F159" t="s">
        <v>591</v>
      </c>
      <c r="G159" s="4"/>
    </row>
    <row r="160" spans="1:7" ht="14.4" x14ac:dyDescent="0.3">
      <c r="A160" s="4" t="s">
        <v>592</v>
      </c>
      <c r="B160" s="4" t="str">
        <f>TRIM(Table4[[#This Row],[ypn]])</f>
        <v>ASSY_123024542</v>
      </c>
      <c r="C160" s="4" t="b">
        <f>Table4[[#This Row],[ypn]]=Table4[[#This Row],[trim]]</f>
        <v>1</v>
      </c>
      <c r="D160" s="4" t="e">
        <f>Table4[[#This Row],[ypn]]*1</f>
        <v>#VALUE!</v>
      </c>
      <c r="E160" s="4">
        <f>TYPE(Table4[[#This Row],[ypn]])</f>
        <v>2</v>
      </c>
      <c r="F160" t="s">
        <v>593</v>
      </c>
      <c r="G160" s="4"/>
    </row>
    <row r="161" spans="1:7" ht="14.4" x14ac:dyDescent="0.3">
      <c r="A161" s="4" t="s">
        <v>594</v>
      </c>
      <c r="B161" s="4" t="str">
        <f>TRIM(Table4[[#This Row],[ypn]])</f>
        <v>ASSY_59Z006T00B</v>
      </c>
      <c r="C161" s="4" t="b">
        <f>Table4[[#This Row],[ypn]]=Table4[[#This Row],[trim]]</f>
        <v>1</v>
      </c>
      <c r="D161" s="4" t="e">
        <f>Table4[[#This Row],[ypn]]*1</f>
        <v>#VALUE!</v>
      </c>
      <c r="E161" s="4">
        <f>TYPE(Table4[[#This Row],[ypn]])</f>
        <v>2</v>
      </c>
      <c r="F161" t="s">
        <v>595</v>
      </c>
      <c r="G161" s="4"/>
    </row>
    <row r="162" spans="1:7" ht="14.4" x14ac:dyDescent="0.3">
      <c r="A162" s="4" t="s">
        <v>596</v>
      </c>
      <c r="B162" s="4" t="str">
        <f>TRIM(Table4[[#This Row],[ypn]])</f>
        <v>ASSY_59Z006T00D</v>
      </c>
      <c r="C162" s="4" t="b">
        <f>Table4[[#This Row],[ypn]]=Table4[[#This Row],[trim]]</f>
        <v>1</v>
      </c>
      <c r="D162" s="4" t="e">
        <f>Table4[[#This Row],[ypn]]*1</f>
        <v>#VALUE!</v>
      </c>
      <c r="E162" s="4">
        <f>TYPE(Table4[[#This Row],[ypn]])</f>
        <v>2</v>
      </c>
      <c r="F162" t="s">
        <v>597</v>
      </c>
      <c r="G162" s="4"/>
    </row>
    <row r="163" spans="1:7" ht="14.4" x14ac:dyDescent="0.3">
      <c r="A163" s="4" t="s">
        <v>260</v>
      </c>
      <c r="B163" s="4" t="str">
        <f>TRIM(Table4[[#This Row],[ypn]])</f>
        <v>ASSY_59Z006T00E</v>
      </c>
      <c r="C163" s="4" t="b">
        <f>Table4[[#This Row],[ypn]]=Table4[[#This Row],[trim]]</f>
        <v>1</v>
      </c>
      <c r="D163" s="4" t="e">
        <f>Table4[[#This Row],[ypn]]*1</f>
        <v>#VALUE!</v>
      </c>
      <c r="E163" s="4">
        <f>TYPE(Table4[[#This Row],[ypn]])</f>
        <v>2</v>
      </c>
      <c r="F163" t="s">
        <v>598</v>
      </c>
      <c r="G163" s="4"/>
    </row>
    <row r="164" spans="1:7" ht="14.4" x14ac:dyDescent="0.3">
      <c r="A164" s="4" t="s">
        <v>599</v>
      </c>
      <c r="B164" s="4" t="str">
        <f>TRIM(Table4[[#This Row],[ypn]])</f>
        <v>ASSY_59Z063DC0A</v>
      </c>
      <c r="C164" s="4" t="b">
        <f>Table4[[#This Row],[ypn]]=Table4[[#This Row],[trim]]</f>
        <v>1</v>
      </c>
      <c r="D164" s="4" t="e">
        <f>Table4[[#This Row],[ypn]]*1</f>
        <v>#VALUE!</v>
      </c>
      <c r="E164" s="4">
        <f>TYPE(Table4[[#This Row],[ypn]])</f>
        <v>2</v>
      </c>
      <c r="F164" t="s">
        <v>600</v>
      </c>
      <c r="G164" s="4"/>
    </row>
    <row r="165" spans="1:7" ht="14.4" x14ac:dyDescent="0.3">
      <c r="A165" s="4" t="s">
        <v>239</v>
      </c>
      <c r="B165" s="4" t="str">
        <f>TRIM(Table4[[#This Row],[ypn]])</f>
        <v>ASSY_59Z063DC0B</v>
      </c>
      <c r="C165" s="4" t="b">
        <f>Table4[[#This Row],[ypn]]=Table4[[#This Row],[trim]]</f>
        <v>1</v>
      </c>
      <c r="D165" s="4" t="e">
        <f>Table4[[#This Row],[ypn]]*1</f>
        <v>#VALUE!</v>
      </c>
      <c r="E165" s="4">
        <f>TYPE(Table4[[#This Row],[ypn]])</f>
        <v>2</v>
      </c>
      <c r="F165" t="s">
        <v>601</v>
      </c>
      <c r="G165" s="4"/>
    </row>
    <row r="166" spans="1:7" ht="14.4" x14ac:dyDescent="0.3">
      <c r="A166" s="4" t="s">
        <v>240</v>
      </c>
      <c r="B166" s="4" t="str">
        <f>TRIM(Table4[[#This Row],[ypn]])</f>
        <v>ASSY_59Z063DC0C</v>
      </c>
      <c r="C166" s="4" t="b">
        <f>Table4[[#This Row],[ypn]]=Table4[[#This Row],[trim]]</f>
        <v>1</v>
      </c>
      <c r="D166" s="4" t="e">
        <f>Table4[[#This Row],[ypn]]*1</f>
        <v>#VALUE!</v>
      </c>
      <c r="E166" s="4">
        <f>TYPE(Table4[[#This Row],[ypn]])</f>
        <v>2</v>
      </c>
      <c r="F166" t="s">
        <v>602</v>
      </c>
      <c r="G166" s="4"/>
    </row>
    <row r="167" spans="1:7" ht="14.4" x14ac:dyDescent="0.3">
      <c r="A167" s="4" t="s">
        <v>603</v>
      </c>
      <c r="B167" s="4" t="str">
        <f>TRIM(Table4[[#This Row],[ypn]])</f>
        <v>ASSY_59Z063DC0F</v>
      </c>
      <c r="C167" s="4" t="b">
        <f>Table4[[#This Row],[ypn]]=Table4[[#This Row],[trim]]</f>
        <v>1</v>
      </c>
      <c r="D167" s="4" t="e">
        <f>Table4[[#This Row],[ypn]]*1</f>
        <v>#VALUE!</v>
      </c>
      <c r="E167" s="4">
        <f>TYPE(Table4[[#This Row],[ypn]])</f>
        <v>2</v>
      </c>
      <c r="F167" t="s">
        <v>604</v>
      </c>
      <c r="G167" s="4"/>
    </row>
    <row r="168" spans="1:7" ht="14.4" x14ac:dyDescent="0.3">
      <c r="A168" s="4" t="s">
        <v>605</v>
      </c>
      <c r="B168" s="4" t="str">
        <f>TRIM(Table4[[#This Row],[ypn]])</f>
        <v>ASSY_59Z145DC0F</v>
      </c>
      <c r="C168" s="4" t="b">
        <f>Table4[[#This Row],[ypn]]=Table4[[#This Row],[trim]]</f>
        <v>1</v>
      </c>
      <c r="D168" s="4" t="e">
        <f>Table4[[#This Row],[ypn]]*1</f>
        <v>#VALUE!</v>
      </c>
      <c r="E168" s="4">
        <f>TYPE(Table4[[#This Row],[ypn]])</f>
        <v>2</v>
      </c>
      <c r="F168" t="s">
        <v>606</v>
      </c>
      <c r="G168" s="4"/>
    </row>
    <row r="169" spans="1:7" ht="14.4" x14ac:dyDescent="0.3">
      <c r="A169" s="4" t="s">
        <v>607</v>
      </c>
      <c r="B169" s="4" t="str">
        <f>TRIM(Table4[[#This Row],[ypn]])</f>
        <v>ASSY_59Z163003F</v>
      </c>
      <c r="C169" s="4" t="b">
        <f>Table4[[#This Row],[ypn]]=Table4[[#This Row],[trim]]</f>
        <v>1</v>
      </c>
      <c r="D169" s="4" t="e">
        <f>Table4[[#This Row],[ypn]]*1</f>
        <v>#VALUE!</v>
      </c>
      <c r="E169" s="4">
        <f>TYPE(Table4[[#This Row],[ypn]])</f>
        <v>2</v>
      </c>
      <c r="F169" t="s">
        <v>608</v>
      </c>
      <c r="G169" s="4"/>
    </row>
    <row r="170" spans="1:7" ht="14.4" x14ac:dyDescent="0.3">
      <c r="A170" s="4" t="s">
        <v>609</v>
      </c>
      <c r="B170" s="4" t="str">
        <f>TRIM(Table4[[#This Row],[ypn]])</f>
        <v>ASSY_AMZ005000B</v>
      </c>
      <c r="C170" s="4" t="b">
        <f>Table4[[#This Row],[ypn]]=Table4[[#This Row],[trim]]</f>
        <v>1</v>
      </c>
      <c r="D170" s="4" t="e">
        <f>Table4[[#This Row],[ypn]]*1</f>
        <v>#VALUE!</v>
      </c>
      <c r="E170" s="4">
        <f>TYPE(Table4[[#This Row],[ypn]])</f>
        <v>2</v>
      </c>
      <c r="F170" t="s">
        <v>610</v>
      </c>
      <c r="G170" s="4"/>
    </row>
    <row r="171" spans="1:7" ht="14.4" x14ac:dyDescent="0.3">
      <c r="A171" s="4" t="s">
        <v>241</v>
      </c>
      <c r="B171" s="4" t="str">
        <f>TRIM(Table4[[#This Row],[ypn]])</f>
        <v>ASSY_AMZ005DC0C</v>
      </c>
      <c r="C171" s="4" t="b">
        <f>Table4[[#This Row],[ypn]]=Table4[[#This Row],[trim]]</f>
        <v>1</v>
      </c>
      <c r="D171" s="4" t="e">
        <f>Table4[[#This Row],[ypn]]*1</f>
        <v>#VALUE!</v>
      </c>
      <c r="E171" s="4">
        <f>TYPE(Table4[[#This Row],[ypn]])</f>
        <v>2</v>
      </c>
      <c r="F171" t="s">
        <v>1165</v>
      </c>
      <c r="G171" s="4"/>
    </row>
    <row r="172" spans="1:7" ht="14.4" x14ac:dyDescent="0.3">
      <c r="A172" s="4" t="s">
        <v>242</v>
      </c>
      <c r="B172" s="4" t="str">
        <f>TRIM(Table4[[#This Row],[ypn]])</f>
        <v>ASSY_AMZ005DC0D</v>
      </c>
      <c r="C172" s="4" t="b">
        <f>Table4[[#This Row],[ypn]]=Table4[[#This Row],[trim]]</f>
        <v>1</v>
      </c>
      <c r="D172" s="4" t="e">
        <f>Table4[[#This Row],[ypn]]*1</f>
        <v>#VALUE!</v>
      </c>
      <c r="E172" s="4">
        <f>TYPE(Table4[[#This Row],[ypn]])</f>
        <v>2</v>
      </c>
      <c r="F172" t="s">
        <v>611</v>
      </c>
      <c r="G172" s="4"/>
    </row>
    <row r="173" spans="1:7" ht="14.4" x14ac:dyDescent="0.3">
      <c r="A173" s="4" t="s">
        <v>612</v>
      </c>
      <c r="B173" s="4" t="str">
        <f>TRIM(Table4[[#This Row],[ypn]])</f>
        <v>ASSY_AMZ005DC0E</v>
      </c>
      <c r="C173" s="4" t="b">
        <f>Table4[[#This Row],[ypn]]=Table4[[#This Row],[trim]]</f>
        <v>1</v>
      </c>
      <c r="D173" s="4" t="e">
        <f>Table4[[#This Row],[ypn]]*1</f>
        <v>#VALUE!</v>
      </c>
      <c r="E173" s="4">
        <f>TYPE(Table4[[#This Row],[ypn]])</f>
        <v>2</v>
      </c>
      <c r="F173" t="s">
        <v>613</v>
      </c>
      <c r="G173" s="4"/>
    </row>
    <row r="174" spans="1:7" ht="14.4" x14ac:dyDescent="0.3">
      <c r="A174" s="4" t="s">
        <v>614</v>
      </c>
      <c r="B174" s="4" t="str">
        <f>TRIM(Table4[[#This Row],[ypn]])</f>
        <v>ASSY_AMZ005DC0F</v>
      </c>
      <c r="C174" s="4" t="b">
        <f>Table4[[#This Row],[ypn]]=Table4[[#This Row],[trim]]</f>
        <v>1</v>
      </c>
      <c r="D174" s="4" t="e">
        <f>Table4[[#This Row],[ypn]]*1</f>
        <v>#VALUE!</v>
      </c>
      <c r="E174" s="4">
        <f>TYPE(Table4[[#This Row],[ypn]])</f>
        <v>2</v>
      </c>
      <c r="F174" t="s">
        <v>615</v>
      </c>
      <c r="G174" s="4"/>
    </row>
    <row r="175" spans="1:7" ht="14.4" x14ac:dyDescent="0.3">
      <c r="A175" s="4" t="s">
        <v>244</v>
      </c>
      <c r="B175" s="4" t="str">
        <f>TRIM(Table4[[#This Row],[ypn]])</f>
        <v>ASSY_AMZ040C00B</v>
      </c>
      <c r="C175" s="4" t="b">
        <f>Table4[[#This Row],[ypn]]=Table4[[#This Row],[trim]]</f>
        <v>1</v>
      </c>
      <c r="D175" s="4" t="e">
        <f>Table4[[#This Row],[ypn]]*1</f>
        <v>#VALUE!</v>
      </c>
      <c r="E175" s="4">
        <f>TYPE(Table4[[#This Row],[ypn]])</f>
        <v>2</v>
      </c>
      <c r="F175" t="s">
        <v>616</v>
      </c>
      <c r="G175" s="4"/>
    </row>
    <row r="176" spans="1:7" ht="14.4" x14ac:dyDescent="0.3">
      <c r="A176" s="4" t="s">
        <v>245</v>
      </c>
      <c r="B176" s="4" t="str">
        <f>TRIM(Table4[[#This Row],[ypn]])</f>
        <v>ASSY_AMZ040C00C</v>
      </c>
      <c r="C176" s="4" t="b">
        <f>Table4[[#This Row],[ypn]]=Table4[[#This Row],[trim]]</f>
        <v>1</v>
      </c>
      <c r="D176" s="4" t="e">
        <f>Table4[[#This Row],[ypn]]*1</f>
        <v>#VALUE!</v>
      </c>
      <c r="E176" s="4">
        <f>TYPE(Table4[[#This Row],[ypn]])</f>
        <v>2</v>
      </c>
      <c r="F176" t="s">
        <v>617</v>
      </c>
      <c r="G176" s="4"/>
    </row>
    <row r="177" spans="1:7" ht="14.4" x14ac:dyDescent="0.3">
      <c r="A177" s="4" t="s">
        <v>246</v>
      </c>
      <c r="B177" s="4" t="str">
        <f>TRIM(Table4[[#This Row],[ypn]])</f>
        <v>ASSY_AMZ040C00D</v>
      </c>
      <c r="C177" s="4" t="b">
        <f>Table4[[#This Row],[ypn]]=Table4[[#This Row],[trim]]</f>
        <v>1</v>
      </c>
      <c r="D177" s="4" t="e">
        <f>Table4[[#This Row],[ypn]]*1</f>
        <v>#VALUE!</v>
      </c>
      <c r="E177" s="4">
        <f>TYPE(Table4[[#This Row],[ypn]])</f>
        <v>2</v>
      </c>
      <c r="F177" t="s">
        <v>618</v>
      </c>
      <c r="G177" s="4"/>
    </row>
    <row r="178" spans="1:7" ht="14.4" x14ac:dyDescent="0.3">
      <c r="A178" s="4" t="s">
        <v>247</v>
      </c>
      <c r="B178" s="4" t="str">
        <f>TRIM(Table4[[#This Row],[ypn]])</f>
        <v>ASSY_AMZ040C00E</v>
      </c>
      <c r="C178" s="4" t="b">
        <f>Table4[[#This Row],[ypn]]=Table4[[#This Row],[trim]]</f>
        <v>1</v>
      </c>
      <c r="D178" s="4" t="e">
        <f>Table4[[#This Row],[ypn]]*1</f>
        <v>#VALUE!</v>
      </c>
      <c r="E178" s="4">
        <f>TYPE(Table4[[#This Row],[ypn]])</f>
        <v>2</v>
      </c>
      <c r="F178" t="s">
        <v>619</v>
      </c>
      <c r="G178" s="4"/>
    </row>
    <row r="179" spans="1:7" ht="14.4" x14ac:dyDescent="0.3">
      <c r="A179" s="4" t="s">
        <v>248</v>
      </c>
      <c r="B179" s="4" t="str">
        <f>TRIM(Table4[[#This Row],[ypn]])</f>
        <v>ASSY_CA288A15199XXX</v>
      </c>
      <c r="C179" s="4" t="b">
        <f>Table4[[#This Row],[ypn]]=Table4[[#This Row],[trim]]</f>
        <v>1</v>
      </c>
      <c r="D179" s="4" t="e">
        <f>Table4[[#This Row],[ypn]]*1</f>
        <v>#VALUE!</v>
      </c>
      <c r="E179" s="4">
        <f>TYPE(Table4[[#This Row],[ypn]])</f>
        <v>2</v>
      </c>
      <c r="F179" t="s">
        <v>620</v>
      </c>
      <c r="G179" s="4"/>
    </row>
    <row r="180" spans="1:7" ht="14.4" x14ac:dyDescent="0.3">
      <c r="A180" s="4" t="s">
        <v>249</v>
      </c>
      <c r="B180" s="4" t="str">
        <f>TRIM(Table4[[#This Row],[ypn]])</f>
        <v>ASSY_CA288A25199XXX</v>
      </c>
      <c r="C180" s="4" t="b">
        <f>Table4[[#This Row],[ypn]]=Table4[[#This Row],[trim]]</f>
        <v>1</v>
      </c>
      <c r="D180" s="4" t="e">
        <f>Table4[[#This Row],[ypn]]*1</f>
        <v>#VALUE!</v>
      </c>
      <c r="E180" s="4">
        <f>TYPE(Table4[[#This Row],[ypn]])</f>
        <v>2</v>
      </c>
      <c r="F180" t="s">
        <v>621</v>
      </c>
      <c r="G180" s="4"/>
    </row>
    <row r="181" spans="1:7" ht="14.4" x14ac:dyDescent="0.3">
      <c r="A181" s="4" t="s">
        <v>250</v>
      </c>
      <c r="B181" s="4" t="str">
        <f>TRIM(Table4[[#This Row],[ypn]])</f>
        <v>ASSY_CA288A35199XXX</v>
      </c>
      <c r="C181" s="4" t="b">
        <f>Table4[[#This Row],[ypn]]=Table4[[#This Row],[trim]]</f>
        <v>1</v>
      </c>
      <c r="D181" s="4" t="e">
        <f>Table4[[#This Row],[ypn]]*1</f>
        <v>#VALUE!</v>
      </c>
      <c r="E181" s="4">
        <f>TYPE(Table4[[#This Row],[ypn]])</f>
        <v>2</v>
      </c>
      <c r="F181" t="s">
        <v>622</v>
      </c>
      <c r="G181" s="4"/>
    </row>
    <row r="182" spans="1:7" ht="14.4" x14ac:dyDescent="0.3">
      <c r="A182" s="4" t="s">
        <v>251</v>
      </c>
      <c r="B182" s="4" t="str">
        <f>TRIM(Table4[[#This Row],[ypn]])</f>
        <v>ASSY_CA288B1519XXXX</v>
      </c>
      <c r="C182" s="4" t="b">
        <f>Table4[[#This Row],[ypn]]=Table4[[#This Row],[trim]]</f>
        <v>1</v>
      </c>
      <c r="D182" s="4" t="e">
        <f>Table4[[#This Row],[ypn]]*1</f>
        <v>#VALUE!</v>
      </c>
      <c r="E182" s="4">
        <f>TYPE(Table4[[#This Row],[ypn]])</f>
        <v>2</v>
      </c>
      <c r="F182" t="s">
        <v>623</v>
      </c>
      <c r="G182" s="4"/>
    </row>
    <row r="183" spans="1:7" ht="14.4" x14ac:dyDescent="0.3">
      <c r="A183" s="4" t="s">
        <v>624</v>
      </c>
      <c r="B183" s="4" t="str">
        <f>TRIM(Table4[[#This Row],[ypn]])</f>
        <v>ASSY_D4K2RE1D5A5BDC</v>
      </c>
      <c r="C183" s="4" t="b">
        <f>Table4[[#This Row],[ypn]]=Table4[[#This Row],[trim]]</f>
        <v>1</v>
      </c>
      <c r="D183" s="4" t="e">
        <f>Table4[[#This Row],[ypn]]*1</f>
        <v>#VALUE!</v>
      </c>
      <c r="E183" s="4">
        <f>TYPE(Table4[[#This Row],[ypn]])</f>
        <v>2</v>
      </c>
      <c r="F183" t="s">
        <v>625</v>
      </c>
      <c r="G183" s="4"/>
    </row>
    <row r="184" spans="1:7" ht="14.4" x14ac:dyDescent="0.3">
      <c r="A184" s="4" t="s">
        <v>252</v>
      </c>
      <c r="B184" s="4" t="str">
        <f>TRIM(Table4[[#This Row],[ypn]])</f>
        <v>ASSY_D4Z001DC0C</v>
      </c>
      <c r="C184" s="4" t="b">
        <f>Table4[[#This Row],[ypn]]=Table4[[#This Row],[trim]]</f>
        <v>1</v>
      </c>
      <c r="D184" s="4" t="e">
        <f>Table4[[#This Row],[ypn]]*1</f>
        <v>#VALUE!</v>
      </c>
      <c r="E184" s="4">
        <f>TYPE(Table4[[#This Row],[ypn]])</f>
        <v>2</v>
      </c>
      <c r="F184" t="s">
        <v>626</v>
      </c>
      <c r="G184" s="4"/>
    </row>
    <row r="185" spans="1:7" ht="14.4" x14ac:dyDescent="0.3">
      <c r="A185" s="4" t="s">
        <v>627</v>
      </c>
      <c r="B185" s="4" t="str">
        <f>TRIM(Table4[[#This Row],[ypn]])</f>
        <v>ASSY_D4Z001DC0D</v>
      </c>
      <c r="C185" s="4" t="b">
        <f>Table4[[#This Row],[ypn]]=Table4[[#This Row],[trim]]</f>
        <v>1</v>
      </c>
      <c r="D185" s="4" t="e">
        <f>Table4[[#This Row],[ypn]]*1</f>
        <v>#VALUE!</v>
      </c>
      <c r="E185" s="4">
        <f>TYPE(Table4[[#This Row],[ypn]])</f>
        <v>2</v>
      </c>
      <c r="F185" t="s">
        <v>628</v>
      </c>
      <c r="G185" s="4"/>
    </row>
    <row r="186" spans="1:7" ht="14.4" x14ac:dyDescent="0.3">
      <c r="A186" s="4" t="s">
        <v>261</v>
      </c>
      <c r="B186" s="4" t="str">
        <f>TRIM(Table4[[#This Row],[ypn]])</f>
        <v>ASSY_D4Z002DC0D</v>
      </c>
      <c r="C186" s="4" t="b">
        <f>Table4[[#This Row],[ypn]]=Table4[[#This Row],[trim]]</f>
        <v>1</v>
      </c>
      <c r="D186" s="4" t="e">
        <f>Table4[[#This Row],[ypn]]*1</f>
        <v>#VALUE!</v>
      </c>
      <c r="E186" s="4">
        <f>TYPE(Table4[[#This Row],[ypn]])</f>
        <v>2</v>
      </c>
      <c r="F186" t="s">
        <v>629</v>
      </c>
      <c r="G186" s="4"/>
    </row>
    <row r="187" spans="1:7" ht="14.4" x14ac:dyDescent="0.3">
      <c r="A187" s="4" t="s">
        <v>630</v>
      </c>
      <c r="B187" s="4" t="str">
        <f>TRIM(Table4[[#This Row],[ypn]])</f>
        <v>PDCBOX</v>
      </c>
      <c r="C187" s="4" t="b">
        <f>Table4[[#This Row],[ypn]]=Table4[[#This Row],[trim]]</f>
        <v>1</v>
      </c>
      <c r="D187" s="4" t="e">
        <f>Table4[[#This Row],[ypn]]*1</f>
        <v>#VALUE!</v>
      </c>
      <c r="E187" s="4">
        <f>TYPE(Table4[[#This Row],[ypn]])</f>
        <v>2</v>
      </c>
      <c r="F187" t="s">
        <v>631</v>
      </c>
      <c r="G187" s="4"/>
    </row>
    <row r="188" spans="1:7" ht="14.4" x14ac:dyDescent="0.3">
      <c r="A188" s="4" t="s">
        <v>664</v>
      </c>
      <c r="B188" s="4" t="str">
        <f>TRIM(Table4[[#This Row],[ypn]])</f>
        <v>X1PO2562</v>
      </c>
      <c r="C188" s="4" t="b">
        <f>Table4[[#This Row],[ypn]]=Table4[[#This Row],[trim]]</f>
        <v>1</v>
      </c>
      <c r="D188" s="4" t="e">
        <f>Table4[[#This Row],[ypn]]*1</f>
        <v>#VALUE!</v>
      </c>
      <c r="E188" s="4">
        <f>TYPE(Table4[[#This Row],[ypn]])</f>
        <v>2</v>
      </c>
      <c r="F188" t="s">
        <v>632</v>
      </c>
      <c r="G188" s="4"/>
    </row>
    <row r="189" spans="1:7" ht="14.4" x14ac:dyDescent="0.3">
      <c r="A189" s="4" t="s">
        <v>633</v>
      </c>
      <c r="B189" s="4" t="str">
        <f>TRIM(Table4[[#This Row],[ypn]])</f>
        <v>X1PO2395</v>
      </c>
      <c r="C189" s="4" t="b">
        <f>Table4[[#This Row],[ypn]]=Table4[[#This Row],[trim]]</f>
        <v>1</v>
      </c>
      <c r="D189" s="4" t="e">
        <f>Table4[[#This Row],[ypn]]*1</f>
        <v>#VALUE!</v>
      </c>
      <c r="E189" s="4">
        <f>TYPE(Table4[[#This Row],[ypn]])</f>
        <v>2</v>
      </c>
      <c r="F189" t="s">
        <v>634</v>
      </c>
      <c r="G189" s="4"/>
    </row>
    <row r="190" spans="1:7" ht="14.4" x14ac:dyDescent="0.3">
      <c r="A190" s="4" t="s">
        <v>635</v>
      </c>
      <c r="B190" s="4" t="str">
        <f>TRIM(Table4[[#This Row],[ypn]])</f>
        <v>X1PO2519</v>
      </c>
      <c r="C190" s="4" t="b">
        <f>Table4[[#This Row],[ypn]]=Table4[[#This Row],[trim]]</f>
        <v>1</v>
      </c>
      <c r="D190" s="4" t="e">
        <f>Table4[[#This Row],[ypn]]*1</f>
        <v>#VALUE!</v>
      </c>
      <c r="E190" s="4">
        <f>TYPE(Table4[[#This Row],[ypn]])</f>
        <v>2</v>
      </c>
      <c r="F190" t="s">
        <v>636</v>
      </c>
      <c r="G190" s="4"/>
    </row>
    <row r="191" spans="1:7" ht="14.4" x14ac:dyDescent="0.3">
      <c r="A191" s="4" t="s">
        <v>637</v>
      </c>
      <c r="B191" s="4" t="str">
        <f>TRIM(Table4[[#This Row],[ypn]])</f>
        <v>X1PO2538</v>
      </c>
      <c r="C191" s="4" t="b">
        <f>Table4[[#This Row],[ypn]]=Table4[[#This Row],[trim]]</f>
        <v>1</v>
      </c>
      <c r="D191" s="4" t="e">
        <f>Table4[[#This Row],[ypn]]*1</f>
        <v>#VALUE!</v>
      </c>
      <c r="E191" s="4">
        <f>TYPE(Table4[[#This Row],[ypn]])</f>
        <v>2</v>
      </c>
      <c r="F191" t="s">
        <v>638</v>
      </c>
      <c r="G191" s="4"/>
    </row>
    <row r="192" spans="1:7" ht="14.4" x14ac:dyDescent="0.3">
      <c r="A192" s="4" t="s">
        <v>306</v>
      </c>
      <c r="B192" s="4" t="str">
        <f>TRIM(Table4[[#This Row],[ypn]])</f>
        <v>X1PO4566+7247502430</v>
      </c>
      <c r="C192" s="4" t="b">
        <f>Table4[[#This Row],[ypn]]=Table4[[#This Row],[trim]]</f>
        <v>1</v>
      </c>
      <c r="D192" s="4" t="e">
        <f>Table4[[#This Row],[ypn]]*1</f>
        <v>#VALUE!</v>
      </c>
      <c r="E192" s="4">
        <f>TYPE(Table4[[#This Row],[ypn]])</f>
        <v>2</v>
      </c>
      <c r="F192" t="s">
        <v>671</v>
      </c>
      <c r="G192" s="4"/>
    </row>
    <row r="193" spans="1:7" ht="14.4" x14ac:dyDescent="0.3">
      <c r="A193" s="4">
        <v>7047009730</v>
      </c>
      <c r="B193" s="4" t="str">
        <f>TRIM(Table4[[#This Row],[ypn]])</f>
        <v>7047009730</v>
      </c>
      <c r="C193" s="4" t="b">
        <f>Table4[[#This Row],[ypn]]=Table4[[#This Row],[trim]]</f>
        <v>0</v>
      </c>
      <c r="D193" s="4">
        <f>Table4[[#This Row],[ypn]]*1</f>
        <v>7047009730</v>
      </c>
      <c r="E193" s="4">
        <f>TYPE(Table4[[#This Row],[ypn]])</f>
        <v>1</v>
      </c>
      <c r="F193" t="s">
        <v>672</v>
      </c>
      <c r="G193" s="4" t="s">
        <v>1008</v>
      </c>
    </row>
    <row r="194" spans="1:7" ht="14.4" x14ac:dyDescent="0.3">
      <c r="A194" s="4">
        <v>7047052330</v>
      </c>
      <c r="B194" s="4" t="str">
        <f>TRIM(Table4[[#This Row],[ypn]])</f>
        <v>7047052330</v>
      </c>
      <c r="C194" s="4" t="b">
        <f>Table4[[#This Row],[ypn]]=Table4[[#This Row],[trim]]</f>
        <v>0</v>
      </c>
      <c r="D194" s="4">
        <f>Table4[[#This Row],[ypn]]*1</f>
        <v>7047052330</v>
      </c>
      <c r="E194" s="4">
        <f>TYPE(Table4[[#This Row],[ypn]])</f>
        <v>1</v>
      </c>
      <c r="F194" t="s">
        <v>673</v>
      </c>
      <c r="G194" s="4"/>
    </row>
    <row r="195" spans="1:7" ht="14.4" x14ac:dyDescent="0.3">
      <c r="A195" s="4">
        <v>7047178330</v>
      </c>
      <c r="B195" s="4" t="str">
        <f>TRIM(Table4[[#This Row],[ypn]])</f>
        <v>7047178330</v>
      </c>
      <c r="C195" s="4" t="b">
        <f>Table4[[#This Row],[ypn]]=Table4[[#This Row],[trim]]</f>
        <v>0</v>
      </c>
      <c r="D195" s="4">
        <f>Table4[[#This Row],[ypn]]*1</f>
        <v>7047178330</v>
      </c>
      <c r="E195" s="4">
        <f>TYPE(Table4[[#This Row],[ypn]])</f>
        <v>1</v>
      </c>
      <c r="F195" t="s">
        <v>671</v>
      </c>
      <c r="G195" s="4"/>
    </row>
    <row r="196" spans="1:7" ht="14.4" x14ac:dyDescent="0.3">
      <c r="A196" s="4">
        <v>7047186030</v>
      </c>
      <c r="B196" s="4" t="str">
        <f>TRIM(Table4[[#This Row],[ypn]])</f>
        <v>7047186030</v>
      </c>
      <c r="C196" s="4" t="b">
        <f>Table4[[#This Row],[ypn]]=Table4[[#This Row],[trim]]</f>
        <v>0</v>
      </c>
      <c r="D196" s="4">
        <f>Table4[[#This Row],[ypn]]*1</f>
        <v>7047186030</v>
      </c>
      <c r="E196" s="4">
        <f>TYPE(Table4[[#This Row],[ypn]])</f>
        <v>1</v>
      </c>
      <c r="F196" t="s">
        <v>674</v>
      </c>
      <c r="G196" s="4"/>
    </row>
    <row r="197" spans="1:7" ht="14.4" x14ac:dyDescent="0.3">
      <c r="A197" s="4">
        <v>7047251030</v>
      </c>
      <c r="B197" s="4" t="str">
        <f>TRIM(Table4[[#This Row],[ypn]])</f>
        <v>7047251030</v>
      </c>
      <c r="C197" s="4" t="b">
        <f>Table4[[#This Row],[ypn]]=Table4[[#This Row],[trim]]</f>
        <v>0</v>
      </c>
      <c r="D197" s="4">
        <f>Table4[[#This Row],[ypn]]*1</f>
        <v>7047251030</v>
      </c>
      <c r="E197" s="4">
        <f>TYPE(Table4[[#This Row],[ypn]])</f>
        <v>1</v>
      </c>
      <c r="F197" t="s">
        <v>671</v>
      </c>
      <c r="G197" s="4"/>
    </row>
    <row r="198" spans="1:7" ht="14.4" x14ac:dyDescent="0.3">
      <c r="A198" s="4">
        <v>7047275330</v>
      </c>
      <c r="B198" s="4" t="str">
        <f>TRIM(Table4[[#This Row],[ypn]])</f>
        <v>7047275330</v>
      </c>
      <c r="C198" s="4" t="b">
        <f>Table4[[#This Row],[ypn]]=Table4[[#This Row],[trim]]</f>
        <v>0</v>
      </c>
      <c r="D198" s="4">
        <f>Table4[[#This Row],[ypn]]*1</f>
        <v>7047275330</v>
      </c>
      <c r="E198" s="4">
        <f>TYPE(Table4[[#This Row],[ypn]])</f>
        <v>1</v>
      </c>
      <c r="F198" t="s">
        <v>671</v>
      </c>
      <c r="G198" s="4"/>
    </row>
    <row r="199" spans="1:7" ht="14.4" x14ac:dyDescent="0.3">
      <c r="A199" s="4">
        <v>70475017</v>
      </c>
      <c r="B199" s="4" t="str">
        <f>TRIM(Table4[[#This Row],[ypn]])</f>
        <v>70475017</v>
      </c>
      <c r="C199" s="4" t="b">
        <f>Table4[[#This Row],[ypn]]=Table4[[#This Row],[trim]]</f>
        <v>0</v>
      </c>
      <c r="D199" s="4">
        <f>Table4[[#This Row],[ypn]]*1</f>
        <v>70475017</v>
      </c>
      <c r="E199" s="4">
        <f>TYPE(Table4[[#This Row],[ypn]])</f>
        <v>1</v>
      </c>
      <c r="F199" t="s">
        <v>671</v>
      </c>
      <c r="G199" s="4"/>
    </row>
    <row r="200" spans="1:7" ht="14.4" x14ac:dyDescent="0.3">
      <c r="A200" s="4">
        <v>7047798230</v>
      </c>
      <c r="B200" s="4" t="str">
        <f>TRIM(Table4[[#This Row],[ypn]])</f>
        <v>7047798230</v>
      </c>
      <c r="C200" s="4" t="b">
        <f>Table4[[#This Row],[ypn]]=Table4[[#This Row],[trim]]</f>
        <v>0</v>
      </c>
      <c r="D200" s="4">
        <f>Table4[[#This Row],[ypn]]*1</f>
        <v>7047798230</v>
      </c>
      <c r="E200" s="4">
        <f>TYPE(Table4[[#This Row],[ypn]])</f>
        <v>1</v>
      </c>
      <c r="F200" t="s">
        <v>301</v>
      </c>
      <c r="G200" s="4"/>
    </row>
    <row r="201" spans="1:7" ht="14.4" x14ac:dyDescent="0.3">
      <c r="A201" s="4">
        <v>7047798330</v>
      </c>
      <c r="B201" s="4" t="str">
        <f>TRIM(Table4[[#This Row],[ypn]])</f>
        <v>7047798330</v>
      </c>
      <c r="C201" s="4" t="b">
        <f>Table4[[#This Row],[ypn]]=Table4[[#This Row],[trim]]</f>
        <v>0</v>
      </c>
      <c r="D201" s="4">
        <f>Table4[[#This Row],[ypn]]*1</f>
        <v>7047798330</v>
      </c>
      <c r="E201" s="4">
        <f>TYPE(Table4[[#This Row],[ypn]])</f>
        <v>1</v>
      </c>
      <c r="F201" t="s">
        <v>671</v>
      </c>
      <c r="G201" s="4"/>
    </row>
    <row r="202" spans="1:7" ht="14.4" x14ac:dyDescent="0.3">
      <c r="A202" s="4" t="s">
        <v>639</v>
      </c>
      <c r="B202" s="4" t="str">
        <f>TRIM(Table4[[#This Row],[ypn]])</f>
        <v>7075226830X1PP5350</v>
      </c>
      <c r="C202" s="4" t="b">
        <f>Table4[[#This Row],[ypn]]=Table4[[#This Row],[trim]]</f>
        <v>1</v>
      </c>
      <c r="D202" s="4" t="e">
        <f>Table4[[#This Row],[ypn]]*1</f>
        <v>#VALUE!</v>
      </c>
      <c r="E202" s="4">
        <f>TYPE(Table4[[#This Row],[ypn]])</f>
        <v>2</v>
      </c>
      <c r="F202" t="s">
        <v>276</v>
      </c>
      <c r="G202" s="4"/>
    </row>
    <row r="203" spans="1:7" ht="14.4" x14ac:dyDescent="0.3">
      <c r="A203" s="4" t="s">
        <v>640</v>
      </c>
      <c r="B203" s="4" t="str">
        <f>TRIM(Table4[[#This Row],[ypn]])</f>
        <v>7075231830X1PO2395</v>
      </c>
      <c r="C203" s="4" t="b">
        <f>Table4[[#This Row],[ypn]]=Table4[[#This Row],[trim]]</f>
        <v>1</v>
      </c>
      <c r="D203" s="4" t="e">
        <f>Table4[[#This Row],[ypn]]*1</f>
        <v>#VALUE!</v>
      </c>
      <c r="E203" s="4">
        <f>TYPE(Table4[[#This Row],[ypn]])</f>
        <v>2</v>
      </c>
      <c r="F203" t="s">
        <v>675</v>
      </c>
      <c r="G203" s="4"/>
    </row>
    <row r="204" spans="1:7" ht="14.4" x14ac:dyDescent="0.3">
      <c r="A204" s="4" t="s">
        <v>213</v>
      </c>
      <c r="B204" s="4" t="str">
        <f>TRIM(Table4[[#This Row],[ypn]])</f>
        <v>7119101830+7274131020A</v>
      </c>
      <c r="C204" s="4" t="b">
        <f>Table4[[#This Row],[ypn]]=Table4[[#This Row],[trim]]</f>
        <v>1</v>
      </c>
      <c r="D204" s="4" t="e">
        <f>Table4[[#This Row],[ypn]]*1</f>
        <v>#VALUE!</v>
      </c>
      <c r="E204" s="4">
        <f>TYPE(Table4[[#This Row],[ypn]])</f>
        <v>2</v>
      </c>
      <c r="F204" t="s">
        <v>518</v>
      </c>
      <c r="G204" s="4"/>
    </row>
    <row r="205" spans="1:7" ht="14.4" x14ac:dyDescent="0.3">
      <c r="A205" s="4">
        <v>71191277</v>
      </c>
      <c r="B205" s="4" t="str">
        <f>TRIM(Table4[[#This Row],[ypn]])</f>
        <v>71191277</v>
      </c>
      <c r="C205" s="4" t="b">
        <f>Table4[[#This Row],[ypn]]=Table4[[#This Row],[trim]]</f>
        <v>0</v>
      </c>
      <c r="D205" s="4">
        <f>Table4[[#This Row],[ypn]]*1</f>
        <v>71191277</v>
      </c>
      <c r="E205" s="4">
        <f>TYPE(Table4[[#This Row],[ypn]])</f>
        <v>1</v>
      </c>
      <c r="F205" t="s">
        <v>676</v>
      </c>
      <c r="G205" s="4"/>
    </row>
    <row r="206" spans="1:7" ht="14.4" x14ac:dyDescent="0.3">
      <c r="A206" s="4" t="s">
        <v>214</v>
      </c>
      <c r="B206" s="4" t="str">
        <f>TRIM(Table4[[#This Row],[ypn]])</f>
        <v>7119127830+7234894130A</v>
      </c>
      <c r="C206" s="4" t="b">
        <f>Table4[[#This Row],[ypn]]=Table4[[#This Row],[trim]]</f>
        <v>1</v>
      </c>
      <c r="D206" s="4" t="e">
        <f>Table4[[#This Row],[ypn]]*1</f>
        <v>#VALUE!</v>
      </c>
      <c r="E206" s="4">
        <f>TYPE(Table4[[#This Row],[ypn]])</f>
        <v>2</v>
      </c>
      <c r="F206" t="s">
        <v>671</v>
      </c>
      <c r="G206" s="4"/>
    </row>
    <row r="207" spans="1:7" ht="14.4" x14ac:dyDescent="0.3">
      <c r="A207" s="4">
        <v>7119131620</v>
      </c>
      <c r="B207" s="4" t="str">
        <f>TRIM(Table4[[#This Row],[ypn]])</f>
        <v>7119131620</v>
      </c>
      <c r="C207" s="4" t="b">
        <f>Table4[[#This Row],[ypn]]=Table4[[#This Row],[trim]]</f>
        <v>0</v>
      </c>
      <c r="D207" s="4">
        <f>Table4[[#This Row],[ypn]]*1</f>
        <v>7119131620</v>
      </c>
      <c r="E207" s="4">
        <f>TYPE(Table4[[#This Row],[ypn]])</f>
        <v>1</v>
      </c>
      <c r="F207" t="s">
        <v>671</v>
      </c>
      <c r="G207" s="4"/>
    </row>
    <row r="208" spans="1:7" ht="14.4" x14ac:dyDescent="0.3">
      <c r="A208" s="4" t="s">
        <v>521</v>
      </c>
      <c r="B208" s="4" t="str">
        <f>TRIM(Table4[[#This Row],[ypn]])</f>
        <v>7119140530+7119140640+72741359</v>
      </c>
      <c r="C208" s="4" t="b">
        <f>Table4[[#This Row],[ypn]]=Table4[[#This Row],[trim]]</f>
        <v>1</v>
      </c>
      <c r="D208" s="4" t="e">
        <f>Table4[[#This Row],[ypn]]*1</f>
        <v>#VALUE!</v>
      </c>
      <c r="E208" s="4">
        <f>TYPE(Table4[[#This Row],[ypn]])</f>
        <v>2</v>
      </c>
      <c r="F208" t="s">
        <v>677</v>
      </c>
      <c r="G208" s="4"/>
    </row>
    <row r="209" spans="1:7" ht="14.4" x14ac:dyDescent="0.3">
      <c r="A209" s="4">
        <v>7119163630</v>
      </c>
      <c r="B209" s="4" t="str">
        <f>TRIM(Table4[[#This Row],[ypn]])</f>
        <v>7119163630</v>
      </c>
      <c r="C209" s="4" t="b">
        <f>Table4[[#This Row],[ypn]]=Table4[[#This Row],[trim]]</f>
        <v>0</v>
      </c>
      <c r="D209" s="4">
        <f>Table4[[#This Row],[ypn]]*1</f>
        <v>7119163630</v>
      </c>
      <c r="E209" s="4">
        <f>TYPE(Table4[[#This Row],[ypn]])</f>
        <v>1</v>
      </c>
      <c r="F209" t="s">
        <v>678</v>
      </c>
      <c r="G209" s="4"/>
    </row>
    <row r="210" spans="1:7" ht="14.4" x14ac:dyDescent="0.3">
      <c r="A210" s="4">
        <v>7119605590</v>
      </c>
      <c r="B210" s="4" t="str">
        <f>TRIM(Table4[[#This Row],[ypn]])</f>
        <v>7119605590</v>
      </c>
      <c r="C210" s="4" t="b">
        <f>Table4[[#This Row],[ypn]]=Table4[[#This Row],[trim]]</f>
        <v>0</v>
      </c>
      <c r="D210" s="4">
        <f>Table4[[#This Row],[ypn]]*1</f>
        <v>7119605590</v>
      </c>
      <c r="E210" s="4">
        <f>TYPE(Table4[[#This Row],[ypn]])</f>
        <v>1</v>
      </c>
      <c r="F210" t="s">
        <v>679</v>
      </c>
      <c r="G210" s="4"/>
    </row>
    <row r="211" spans="1:7" ht="14.4" x14ac:dyDescent="0.3">
      <c r="A211" s="4" t="s">
        <v>215</v>
      </c>
      <c r="B211" s="4" t="str">
        <f>TRIM(Table4[[#This Row],[ypn]])</f>
        <v>7119632530+7119632630+72742614A</v>
      </c>
      <c r="C211" s="4" t="b">
        <f>Table4[[#This Row],[ypn]]=Table4[[#This Row],[trim]]</f>
        <v>1</v>
      </c>
      <c r="D211" s="4" t="e">
        <f>Table4[[#This Row],[ypn]]*1</f>
        <v>#VALUE!</v>
      </c>
      <c r="E211" s="4">
        <f>TYPE(Table4[[#This Row],[ypn]])</f>
        <v>2</v>
      </c>
      <c r="F211" t="s">
        <v>524</v>
      </c>
      <c r="G211" s="4"/>
    </row>
    <row r="212" spans="1:7" ht="14.4" x14ac:dyDescent="0.3">
      <c r="A212" s="4">
        <v>7119637880</v>
      </c>
      <c r="B212" s="4" t="str">
        <f>TRIM(Table4[[#This Row],[ypn]])</f>
        <v>7119637880</v>
      </c>
      <c r="C212" s="4" t="b">
        <f>Table4[[#This Row],[ypn]]=Table4[[#This Row],[trim]]</f>
        <v>0</v>
      </c>
      <c r="D212" s="4">
        <f>Table4[[#This Row],[ypn]]*1</f>
        <v>7119637880</v>
      </c>
      <c r="E212" s="4">
        <f>TYPE(Table4[[#This Row],[ypn]])</f>
        <v>1</v>
      </c>
      <c r="F212" t="s">
        <v>680</v>
      </c>
      <c r="G212" s="4"/>
    </row>
    <row r="213" spans="1:7" ht="14.4" x14ac:dyDescent="0.3">
      <c r="A213" s="4" t="s">
        <v>218</v>
      </c>
      <c r="B213" s="4" t="str">
        <f>TRIM(Table4[[#This Row],[ypn]])</f>
        <v>7119648630+7274171430A</v>
      </c>
      <c r="C213" s="4" t="b">
        <f>Table4[[#This Row],[ypn]]=Table4[[#This Row],[trim]]</f>
        <v>1</v>
      </c>
      <c r="D213" s="4" t="e">
        <f>Table4[[#This Row],[ypn]]*1</f>
        <v>#VALUE!</v>
      </c>
      <c r="E213" s="4">
        <f>TYPE(Table4[[#This Row],[ypn]])</f>
        <v>2</v>
      </c>
      <c r="F213" t="s">
        <v>671</v>
      </c>
      <c r="G213" s="4"/>
    </row>
    <row r="214" spans="1:7" ht="14.4" x14ac:dyDescent="0.3">
      <c r="A214" s="4">
        <v>7119665630</v>
      </c>
      <c r="B214" s="4" t="str">
        <f>TRIM(Table4[[#This Row],[ypn]])</f>
        <v>7119665630</v>
      </c>
      <c r="C214" s="4" t="b">
        <f>Table4[[#This Row],[ypn]]=Table4[[#This Row],[trim]]</f>
        <v>0</v>
      </c>
      <c r="D214" s="4">
        <f>Table4[[#This Row],[ypn]]*1</f>
        <v>7119665630</v>
      </c>
      <c r="E214" s="4">
        <f>TYPE(Table4[[#This Row],[ypn]])</f>
        <v>1</v>
      </c>
      <c r="F214" t="s">
        <v>681</v>
      </c>
      <c r="G214" s="4"/>
    </row>
    <row r="215" spans="1:7" ht="14.4" x14ac:dyDescent="0.3">
      <c r="A215" s="4" t="s">
        <v>217</v>
      </c>
      <c r="B215" s="4" t="str">
        <f>TRIM(Table4[[#This Row],[ypn]])</f>
        <v>7119670830+7274290770A</v>
      </c>
      <c r="C215" s="4" t="b">
        <f>Table4[[#This Row],[ypn]]=Table4[[#This Row],[trim]]</f>
        <v>1</v>
      </c>
      <c r="D215" s="4" t="e">
        <f>Table4[[#This Row],[ypn]]*1</f>
        <v>#VALUE!</v>
      </c>
      <c r="E215" s="4">
        <f>TYPE(Table4[[#This Row],[ypn]])</f>
        <v>2</v>
      </c>
      <c r="F215" t="s">
        <v>528</v>
      </c>
      <c r="G215" s="4"/>
    </row>
    <row r="216" spans="1:7" ht="14.4" x14ac:dyDescent="0.3">
      <c r="A216" s="4">
        <v>7147882430</v>
      </c>
      <c r="B216" s="4" t="str">
        <f>TRIM(Table4[[#This Row],[ypn]])</f>
        <v>7147882430</v>
      </c>
      <c r="C216" s="4" t="b">
        <f>Table4[[#This Row],[ypn]]=Table4[[#This Row],[trim]]</f>
        <v>0</v>
      </c>
      <c r="D216" s="4">
        <f>Table4[[#This Row],[ypn]]*1</f>
        <v>7147882430</v>
      </c>
      <c r="E216" s="4">
        <f>TYPE(Table4[[#This Row],[ypn]])</f>
        <v>1</v>
      </c>
      <c r="F216" t="s">
        <v>671</v>
      </c>
      <c r="G216" s="4"/>
    </row>
    <row r="217" spans="1:7" ht="14.4" x14ac:dyDescent="0.3">
      <c r="A217" s="4" t="s">
        <v>641</v>
      </c>
      <c r="B217" s="4" t="str">
        <f>TRIM(Table4[[#This Row],[ypn]])</f>
        <v>7176862130X1PO2557</v>
      </c>
      <c r="C217" s="4" t="b">
        <f>Table4[[#This Row],[ypn]]=Table4[[#This Row],[trim]]</f>
        <v>1</v>
      </c>
      <c r="D217" s="4" t="e">
        <f>Table4[[#This Row],[ypn]]*1</f>
        <v>#VALUE!</v>
      </c>
      <c r="E217" s="4">
        <f>TYPE(Table4[[#This Row],[ypn]])</f>
        <v>2</v>
      </c>
      <c r="F217" t="s">
        <v>671</v>
      </c>
      <c r="G217" s="4"/>
    </row>
    <row r="218" spans="1:7" ht="14.4" x14ac:dyDescent="0.3">
      <c r="A218" s="4">
        <v>7176862730</v>
      </c>
      <c r="B218" s="4" t="str">
        <f>TRIM(Table4[[#This Row],[ypn]])</f>
        <v>7176862730</v>
      </c>
      <c r="C218" s="4" t="b">
        <f>Table4[[#This Row],[ypn]]=Table4[[#This Row],[trim]]</f>
        <v>0</v>
      </c>
      <c r="D218" s="4">
        <f>Table4[[#This Row],[ypn]]*1</f>
        <v>7176862730</v>
      </c>
      <c r="E218" s="4">
        <f>TYPE(Table4[[#This Row],[ypn]])</f>
        <v>1</v>
      </c>
      <c r="F218" t="s">
        <v>671</v>
      </c>
      <c r="G218" s="4"/>
    </row>
    <row r="219" spans="1:7" ht="14.4" x14ac:dyDescent="0.3">
      <c r="A219" s="4" t="s">
        <v>642</v>
      </c>
      <c r="B219" s="4" t="str">
        <f>TRIM(Table4[[#This Row],[ypn]])</f>
        <v>7176862930X1PO2407</v>
      </c>
      <c r="C219" s="4" t="b">
        <f>Table4[[#This Row],[ypn]]=Table4[[#This Row],[trim]]</f>
        <v>1</v>
      </c>
      <c r="D219" s="4" t="e">
        <f>Table4[[#This Row],[ypn]]*1</f>
        <v>#VALUE!</v>
      </c>
      <c r="E219" s="4">
        <f>TYPE(Table4[[#This Row],[ypn]])</f>
        <v>2</v>
      </c>
      <c r="F219" t="s">
        <v>671</v>
      </c>
      <c r="G219" s="4"/>
    </row>
    <row r="220" spans="1:7" ht="14.4" x14ac:dyDescent="0.3">
      <c r="A220" s="4" t="s">
        <v>643</v>
      </c>
      <c r="B220" s="4" t="str">
        <f>TRIM(Table4[[#This Row],[ypn]])</f>
        <v>7176863030X1PO2408</v>
      </c>
      <c r="C220" s="4" t="b">
        <f>Table4[[#This Row],[ypn]]=Table4[[#This Row],[trim]]</f>
        <v>1</v>
      </c>
      <c r="D220" s="4" t="e">
        <f>Table4[[#This Row],[ypn]]*1</f>
        <v>#VALUE!</v>
      </c>
      <c r="E220" s="4">
        <f>TYPE(Table4[[#This Row],[ypn]])</f>
        <v>2</v>
      </c>
      <c r="F220" t="s">
        <v>671</v>
      </c>
      <c r="G220" s="4"/>
    </row>
    <row r="221" spans="1:7" ht="14.4" x14ac:dyDescent="0.3">
      <c r="A221" s="4" t="s">
        <v>644</v>
      </c>
      <c r="B221" s="4" t="str">
        <f>TRIM(Table4[[#This Row],[ypn]])</f>
        <v>7176874730X1PO2553</v>
      </c>
      <c r="C221" s="4" t="b">
        <f>Table4[[#This Row],[ypn]]=Table4[[#This Row],[trim]]</f>
        <v>1</v>
      </c>
      <c r="D221" s="4" t="e">
        <f>Table4[[#This Row],[ypn]]*1</f>
        <v>#VALUE!</v>
      </c>
      <c r="E221" s="4">
        <f>TYPE(Table4[[#This Row],[ypn]])</f>
        <v>2</v>
      </c>
      <c r="F221" t="s">
        <v>671</v>
      </c>
      <c r="G221" s="4"/>
    </row>
    <row r="222" spans="1:7" ht="14.4" x14ac:dyDescent="0.3">
      <c r="A222" s="4">
        <v>71770510</v>
      </c>
      <c r="B222" s="4" t="str">
        <f>TRIM(Table4[[#This Row],[ypn]])</f>
        <v>71770510</v>
      </c>
      <c r="C222" s="4" t="b">
        <f>Table4[[#This Row],[ypn]]=Table4[[#This Row],[trim]]</f>
        <v>0</v>
      </c>
      <c r="D222" s="4">
        <f>Table4[[#This Row],[ypn]]*1</f>
        <v>71770510</v>
      </c>
      <c r="E222" s="4">
        <f>TYPE(Table4[[#This Row],[ypn]])</f>
        <v>1</v>
      </c>
      <c r="F222" t="s">
        <v>682</v>
      </c>
      <c r="G222" s="4"/>
    </row>
    <row r="223" spans="1:7" ht="14.4" x14ac:dyDescent="0.3">
      <c r="A223" s="4">
        <v>7177097330</v>
      </c>
      <c r="B223" s="4" t="str">
        <f>TRIM(Table4[[#This Row],[ypn]])</f>
        <v>7177097330</v>
      </c>
      <c r="C223" s="4" t="b">
        <f>Table4[[#This Row],[ypn]]=Table4[[#This Row],[trim]]</f>
        <v>0</v>
      </c>
      <c r="D223" s="4">
        <f>Table4[[#This Row],[ypn]]*1</f>
        <v>7177097330</v>
      </c>
      <c r="E223" s="4">
        <f>TYPE(Table4[[#This Row],[ypn]])</f>
        <v>1</v>
      </c>
      <c r="F223" t="s">
        <v>683</v>
      </c>
      <c r="G223" s="4"/>
    </row>
    <row r="224" spans="1:7" ht="14.4" x14ac:dyDescent="0.3">
      <c r="A224" s="4" t="s">
        <v>645</v>
      </c>
      <c r="B224" s="4" t="str">
        <f>TRIM(Table4[[#This Row],[ypn]])</f>
        <v>71782472X1PO2221</v>
      </c>
      <c r="C224" s="4" t="b">
        <f>Table4[[#This Row],[ypn]]=Table4[[#This Row],[trim]]</f>
        <v>1</v>
      </c>
      <c r="D224" s="4" t="e">
        <f>Table4[[#This Row],[ypn]]*1</f>
        <v>#VALUE!</v>
      </c>
      <c r="E224" s="4">
        <f>TYPE(Table4[[#This Row],[ypn]])</f>
        <v>2</v>
      </c>
      <c r="F224" t="s">
        <v>684</v>
      </c>
      <c r="G224" s="4"/>
    </row>
    <row r="225" spans="1:7" ht="14.4" x14ac:dyDescent="0.3">
      <c r="A225" s="4" t="s">
        <v>219</v>
      </c>
      <c r="B225" s="4" t="str">
        <f>TRIM(Table4[[#This Row],[ypn]])</f>
        <v>7183288530+7183288630+72742612A</v>
      </c>
      <c r="C225" s="4" t="b">
        <f>Table4[[#This Row],[ypn]]=Table4[[#This Row],[trim]]</f>
        <v>1</v>
      </c>
      <c r="D225" s="4" t="e">
        <f>Table4[[#This Row],[ypn]]*1</f>
        <v>#VALUE!</v>
      </c>
      <c r="E225" s="4">
        <f>TYPE(Table4[[#This Row],[ypn]])</f>
        <v>2</v>
      </c>
      <c r="F225" t="s">
        <v>546</v>
      </c>
      <c r="G225" s="4"/>
    </row>
    <row r="226" spans="1:7" ht="14.4" x14ac:dyDescent="0.3">
      <c r="A226" s="4" t="s">
        <v>220</v>
      </c>
      <c r="B226" s="4" t="str">
        <f>TRIM(Table4[[#This Row],[ypn]])</f>
        <v>7185173030+7185173130+72742608A</v>
      </c>
      <c r="C226" s="4" t="b">
        <f>Table4[[#This Row],[ypn]]=Table4[[#This Row],[trim]]</f>
        <v>1</v>
      </c>
      <c r="D226" s="4" t="e">
        <f>Table4[[#This Row],[ypn]]*1</f>
        <v>#VALUE!</v>
      </c>
      <c r="E226" s="4">
        <f>TYPE(Table4[[#This Row],[ypn]])</f>
        <v>2</v>
      </c>
      <c r="F226" t="s">
        <v>671</v>
      </c>
      <c r="G226" s="4"/>
    </row>
    <row r="227" spans="1:7" ht="14.4" x14ac:dyDescent="0.3">
      <c r="A227" s="4" t="s">
        <v>735</v>
      </c>
      <c r="B227" s="4" t="str">
        <f>TRIM(Table4[[#This Row],[ypn]])</f>
        <v>7187903970+7187904070+7274060970A</v>
      </c>
      <c r="C227" s="4" t="b">
        <f>Table4[[#This Row],[ypn]]=Table4[[#This Row],[trim]]</f>
        <v>1</v>
      </c>
      <c r="D227" s="4" t="e">
        <f>Table4[[#This Row],[ypn]]*1</f>
        <v>#VALUE!</v>
      </c>
      <c r="E227" s="4">
        <f>TYPE(Table4[[#This Row],[ypn]])</f>
        <v>2</v>
      </c>
      <c r="F227" t="s">
        <v>549</v>
      </c>
      <c r="G227" s="4"/>
    </row>
    <row r="228" spans="1:7" ht="14.4" x14ac:dyDescent="0.3">
      <c r="A228" s="4">
        <v>7187948430</v>
      </c>
      <c r="B228" s="4" t="str">
        <f>TRIM(Table4[[#This Row],[ypn]])</f>
        <v>7187948430</v>
      </c>
      <c r="C228" s="4" t="b">
        <f>Table4[[#This Row],[ypn]]=Table4[[#This Row],[trim]]</f>
        <v>0</v>
      </c>
      <c r="D228" s="4">
        <f>Table4[[#This Row],[ypn]]*1</f>
        <v>7187948430</v>
      </c>
      <c r="E228" s="4">
        <f>TYPE(Table4[[#This Row],[ypn]])</f>
        <v>1</v>
      </c>
      <c r="F228" t="s">
        <v>685</v>
      </c>
      <c r="G228" s="4"/>
    </row>
    <row r="229" spans="1:7" ht="14.4" x14ac:dyDescent="0.3">
      <c r="A229" s="4">
        <v>7189486630</v>
      </c>
      <c r="B229" s="4" t="str">
        <f>TRIM(Table4[[#This Row],[ypn]])</f>
        <v>7189486630</v>
      </c>
      <c r="C229" s="4" t="b">
        <f>Table4[[#This Row],[ypn]]=Table4[[#This Row],[trim]]</f>
        <v>0</v>
      </c>
      <c r="D229" s="4">
        <f>Table4[[#This Row],[ypn]]*1</f>
        <v>7189486630</v>
      </c>
      <c r="E229" s="4">
        <f>TYPE(Table4[[#This Row],[ypn]])</f>
        <v>1</v>
      </c>
      <c r="F229" t="s">
        <v>686</v>
      </c>
      <c r="G229" s="4"/>
    </row>
    <row r="230" spans="1:7" ht="14.4" x14ac:dyDescent="0.3">
      <c r="A230" s="4" t="s">
        <v>224</v>
      </c>
      <c r="B230" s="4" t="str">
        <f>TRIM(Table4[[#This Row],[ypn]])</f>
        <v>7189668330+7274136090A</v>
      </c>
      <c r="C230" s="4" t="b">
        <f>Table4[[#This Row],[ypn]]=Table4[[#This Row],[trim]]</f>
        <v>1</v>
      </c>
      <c r="D230" s="4" t="e">
        <f>Table4[[#This Row],[ypn]]*1</f>
        <v>#VALUE!</v>
      </c>
      <c r="E230" s="4">
        <f>TYPE(Table4[[#This Row],[ypn]])</f>
        <v>2</v>
      </c>
      <c r="F230" t="s">
        <v>550</v>
      </c>
      <c r="G230" s="4"/>
    </row>
    <row r="231" spans="1:7" ht="14.4" x14ac:dyDescent="0.3">
      <c r="A231" s="4" t="s">
        <v>223</v>
      </c>
      <c r="B231" s="4" t="str">
        <f>TRIM(Table4[[#This Row],[ypn]])</f>
        <v>7189811530+7289811830+72741554A</v>
      </c>
      <c r="C231" s="4" t="b">
        <f>Table4[[#This Row],[ypn]]=Table4[[#This Row],[trim]]</f>
        <v>1</v>
      </c>
      <c r="D231" s="4" t="e">
        <f>Table4[[#This Row],[ypn]]*1</f>
        <v>#VALUE!</v>
      </c>
      <c r="E231" s="4">
        <f>TYPE(Table4[[#This Row],[ypn]])</f>
        <v>2</v>
      </c>
      <c r="F231" t="s">
        <v>553</v>
      </c>
      <c r="G231" s="4"/>
    </row>
    <row r="232" spans="1:7" ht="14.4" x14ac:dyDescent="0.3">
      <c r="A232" s="4" t="s">
        <v>646</v>
      </c>
      <c r="B232" s="4" t="str">
        <f>TRIM(Table4[[#This Row],[ypn]])</f>
        <v>71979249+CLIP5110</v>
      </c>
      <c r="C232" s="4" t="b">
        <f>Table4[[#This Row],[ypn]]=Table4[[#This Row],[trim]]</f>
        <v>1</v>
      </c>
      <c r="D232" s="4" t="e">
        <f>Table4[[#This Row],[ypn]]*1</f>
        <v>#VALUE!</v>
      </c>
      <c r="E232" s="4">
        <f>TYPE(Table4[[#This Row],[ypn]])</f>
        <v>2</v>
      </c>
      <c r="F232" t="s">
        <v>687</v>
      </c>
      <c r="G232" s="4"/>
    </row>
    <row r="233" spans="1:7" ht="14.4" x14ac:dyDescent="0.3">
      <c r="A233" s="4" t="s">
        <v>286</v>
      </c>
      <c r="B233" s="4" t="str">
        <f>TRIM(Table4[[#This Row],[ypn]])</f>
        <v>7198279630+7274154030</v>
      </c>
      <c r="C233" s="4" t="b">
        <f>Table4[[#This Row],[ypn]]=Table4[[#This Row],[trim]]</f>
        <v>1</v>
      </c>
      <c r="D233" s="4" t="e">
        <f>Table4[[#This Row],[ypn]]*1</f>
        <v>#VALUE!</v>
      </c>
      <c r="E233" s="4">
        <f>TYPE(Table4[[#This Row],[ypn]])</f>
        <v>2</v>
      </c>
      <c r="F233" t="s">
        <v>688</v>
      </c>
      <c r="G233" s="4"/>
    </row>
    <row r="234" spans="1:7" ht="14.4" x14ac:dyDescent="0.3">
      <c r="A234" s="4" t="s">
        <v>647</v>
      </c>
      <c r="B234" s="4" t="str">
        <f>TRIM(Table4[[#This Row],[ypn]])</f>
        <v>7198762530+7198600430+X1PO1C35A</v>
      </c>
      <c r="C234" s="4" t="b">
        <f>Table4[[#This Row],[ypn]]=Table4[[#This Row],[trim]]</f>
        <v>1</v>
      </c>
      <c r="D234" s="4" t="e">
        <f>Table4[[#This Row],[ypn]]*1</f>
        <v>#VALUE!</v>
      </c>
      <c r="E234" s="4">
        <f>TYPE(Table4[[#This Row],[ypn]])</f>
        <v>2</v>
      </c>
      <c r="F234" t="s">
        <v>559</v>
      </c>
      <c r="G234" s="4" t="s">
        <v>740</v>
      </c>
    </row>
    <row r="235" spans="1:7" ht="14.4" x14ac:dyDescent="0.3">
      <c r="A235" s="4" t="s">
        <v>228</v>
      </c>
      <c r="B235" s="4" t="str">
        <f>TRIM(Table4[[#This Row],[ypn]])</f>
        <v>7198774930+7198947430+72742908A</v>
      </c>
      <c r="C235" s="4" t="b">
        <f>Table4[[#This Row],[ypn]]=Table4[[#This Row],[trim]]</f>
        <v>1</v>
      </c>
      <c r="D235" s="4" t="e">
        <f>Table4[[#This Row],[ypn]]*1</f>
        <v>#VALUE!</v>
      </c>
      <c r="E235" s="4">
        <f>TYPE(Table4[[#This Row],[ypn]])</f>
        <v>2</v>
      </c>
      <c r="F235" t="s">
        <v>560</v>
      </c>
      <c r="G235" s="4"/>
    </row>
    <row r="236" spans="1:7" ht="14.4" x14ac:dyDescent="0.3">
      <c r="A236" s="4" t="s">
        <v>648</v>
      </c>
      <c r="B236" s="4" t="str">
        <f>TRIM(Table4[[#This Row],[ypn]])</f>
        <v>7198809140+7274268930</v>
      </c>
      <c r="C236" s="4" t="b">
        <f>Table4[[#This Row],[ypn]]=Table4[[#This Row],[trim]]</f>
        <v>1</v>
      </c>
      <c r="D236" s="4" t="e">
        <f>Table4[[#This Row],[ypn]]*1</f>
        <v>#VALUE!</v>
      </c>
      <c r="E236" s="4">
        <f>TYPE(Table4[[#This Row],[ypn]])</f>
        <v>2</v>
      </c>
      <c r="F236" t="s">
        <v>689</v>
      </c>
      <c r="G236" s="4"/>
    </row>
    <row r="237" spans="1:7" ht="14.4" x14ac:dyDescent="0.3">
      <c r="A237" s="4" t="s">
        <v>268</v>
      </c>
      <c r="B237" s="4" t="str">
        <f>TRIM(Table4[[#This Row],[ypn]])</f>
        <v>7198810230+72742686A</v>
      </c>
      <c r="C237" s="4" t="b">
        <f>Table4[[#This Row],[ypn]]=Table4[[#This Row],[trim]]</f>
        <v>1</v>
      </c>
      <c r="D237" s="4" t="e">
        <f>Table4[[#This Row],[ypn]]*1</f>
        <v>#VALUE!</v>
      </c>
      <c r="E237" s="4">
        <f>TYPE(Table4[[#This Row],[ypn]])</f>
        <v>2</v>
      </c>
      <c r="F237" t="s">
        <v>561</v>
      </c>
      <c r="G237" s="4"/>
    </row>
    <row r="238" spans="1:7" ht="14.4" x14ac:dyDescent="0.3">
      <c r="A238" s="4" t="s">
        <v>285</v>
      </c>
      <c r="B238" s="4" t="str">
        <f>TRIM(Table4[[#This Row],[ypn]])</f>
        <v>7198913290+7189662430</v>
      </c>
      <c r="C238" s="4" t="b">
        <f>Table4[[#This Row],[ypn]]=Table4[[#This Row],[trim]]</f>
        <v>1</v>
      </c>
      <c r="D238" s="4" t="e">
        <f>Table4[[#This Row],[ypn]]*1</f>
        <v>#VALUE!</v>
      </c>
      <c r="E238" s="4">
        <f>TYPE(Table4[[#This Row],[ypn]])</f>
        <v>2</v>
      </c>
      <c r="F238" t="s">
        <v>671</v>
      </c>
      <c r="G238" s="4"/>
    </row>
    <row r="239" spans="1:7" ht="14.4" x14ac:dyDescent="0.3">
      <c r="A239" s="4">
        <v>7198916130</v>
      </c>
      <c r="B239" s="4" t="str">
        <f>TRIM(Table4[[#This Row],[ypn]])</f>
        <v>7198916130</v>
      </c>
      <c r="C239" s="4" t="b">
        <f>Table4[[#This Row],[ypn]]=Table4[[#This Row],[trim]]</f>
        <v>0</v>
      </c>
      <c r="D239" s="4">
        <f>Table4[[#This Row],[ypn]]*1</f>
        <v>7198916130</v>
      </c>
      <c r="E239" s="4">
        <f>TYPE(Table4[[#This Row],[ypn]])</f>
        <v>1</v>
      </c>
      <c r="F239" t="s">
        <v>690</v>
      </c>
      <c r="G239" s="4"/>
    </row>
    <row r="240" spans="1:7" ht="14.4" x14ac:dyDescent="0.3">
      <c r="A240" s="4">
        <v>7219682330</v>
      </c>
      <c r="B240" s="4" t="str">
        <f>TRIM(Table4[[#This Row],[ypn]])</f>
        <v>7219682330</v>
      </c>
      <c r="C240" s="4" t="b">
        <f>Table4[[#This Row],[ypn]]=Table4[[#This Row],[trim]]</f>
        <v>0</v>
      </c>
      <c r="D240" s="4">
        <f>Table4[[#This Row],[ypn]]*1</f>
        <v>7219682330</v>
      </c>
      <c r="E240" s="4">
        <f>TYPE(Table4[[#This Row],[ypn]])</f>
        <v>1</v>
      </c>
      <c r="F240" t="s">
        <v>691</v>
      </c>
      <c r="G240" s="4"/>
    </row>
    <row r="241" spans="1:7" ht="14.4" x14ac:dyDescent="0.3">
      <c r="A241" s="4">
        <v>7247001130</v>
      </c>
      <c r="B241" s="4" t="str">
        <f>TRIM(Table4[[#This Row],[ypn]])</f>
        <v>7247001130</v>
      </c>
      <c r="C241" s="4" t="b">
        <f>Table4[[#This Row],[ypn]]=Table4[[#This Row],[trim]]</f>
        <v>0</v>
      </c>
      <c r="D241" s="4">
        <f>Table4[[#This Row],[ypn]]*1</f>
        <v>7247001130</v>
      </c>
      <c r="E241" s="4">
        <f>TYPE(Table4[[#This Row],[ypn]])</f>
        <v>1</v>
      </c>
      <c r="F241" t="s">
        <v>692</v>
      </c>
      <c r="G241" s="4"/>
    </row>
    <row r="242" spans="1:7" ht="14.4" x14ac:dyDescent="0.3">
      <c r="A242" s="4">
        <v>7247075530</v>
      </c>
      <c r="B242" s="4" t="str">
        <f>TRIM(Table4[[#This Row],[ypn]])</f>
        <v>7247075530</v>
      </c>
      <c r="C242" s="4" t="b">
        <f>Table4[[#This Row],[ypn]]=Table4[[#This Row],[trim]]</f>
        <v>0</v>
      </c>
      <c r="D242" s="4">
        <f>Table4[[#This Row],[ypn]]*1</f>
        <v>7247075530</v>
      </c>
      <c r="E242" s="4">
        <f>TYPE(Table4[[#This Row],[ypn]])</f>
        <v>1</v>
      </c>
      <c r="F242" t="s">
        <v>693</v>
      </c>
      <c r="G242" s="4" t="s">
        <v>740</v>
      </c>
    </row>
    <row r="243" spans="1:7" ht="14.4" x14ac:dyDescent="0.3">
      <c r="A243" s="4">
        <v>7247758130</v>
      </c>
      <c r="B243" s="4" t="str">
        <f>TRIM(Table4[[#This Row],[ypn]])</f>
        <v>7247758130</v>
      </c>
      <c r="C243" s="4" t="b">
        <f>Table4[[#This Row],[ypn]]=Table4[[#This Row],[trim]]</f>
        <v>0</v>
      </c>
      <c r="D243" s="4">
        <f>Table4[[#This Row],[ypn]]*1</f>
        <v>7247758130</v>
      </c>
      <c r="E243" s="4">
        <f>TYPE(Table4[[#This Row],[ypn]])</f>
        <v>1</v>
      </c>
      <c r="F243" t="s">
        <v>694</v>
      </c>
      <c r="G243" s="4"/>
    </row>
    <row r="244" spans="1:7" ht="14.4" x14ac:dyDescent="0.3">
      <c r="A244" s="4">
        <v>7247760830</v>
      </c>
      <c r="B244" s="4" t="str">
        <f>TRIM(Table4[[#This Row],[ypn]])</f>
        <v>7247760830</v>
      </c>
      <c r="C244" s="4" t="b">
        <f>Table4[[#This Row],[ypn]]=Table4[[#This Row],[trim]]</f>
        <v>0</v>
      </c>
      <c r="D244" s="4">
        <f>Table4[[#This Row],[ypn]]*1</f>
        <v>7247760830</v>
      </c>
      <c r="E244" s="4">
        <f>TYPE(Table4[[#This Row],[ypn]])</f>
        <v>1</v>
      </c>
      <c r="F244" t="s">
        <v>671</v>
      </c>
      <c r="G244" s="4"/>
    </row>
    <row r="245" spans="1:7" ht="14.4" x14ac:dyDescent="0.3">
      <c r="A245" s="4">
        <v>7247764130</v>
      </c>
      <c r="B245" s="4" t="str">
        <f>TRIM(Table4[[#This Row],[ypn]])</f>
        <v>7247764130</v>
      </c>
      <c r="C245" s="4" t="b">
        <f>Table4[[#This Row],[ypn]]=Table4[[#This Row],[trim]]</f>
        <v>0</v>
      </c>
      <c r="D245" s="4">
        <f>Table4[[#This Row],[ypn]]*1</f>
        <v>7247764130</v>
      </c>
      <c r="E245" s="4">
        <f>TYPE(Table4[[#This Row],[ypn]])</f>
        <v>1</v>
      </c>
      <c r="F245" t="s">
        <v>695</v>
      </c>
      <c r="G245" s="4"/>
    </row>
    <row r="246" spans="1:7" ht="14.4" x14ac:dyDescent="0.3">
      <c r="A246" s="4">
        <v>7247776330</v>
      </c>
      <c r="B246" s="4" t="str">
        <f>TRIM(Table4[[#This Row],[ypn]])</f>
        <v>7247776330</v>
      </c>
      <c r="C246" s="4" t="b">
        <f>Table4[[#This Row],[ypn]]=Table4[[#This Row],[trim]]</f>
        <v>0</v>
      </c>
      <c r="D246" s="4">
        <f>Table4[[#This Row],[ypn]]*1</f>
        <v>7247776330</v>
      </c>
      <c r="E246" s="4">
        <f>TYPE(Table4[[#This Row],[ypn]])</f>
        <v>1</v>
      </c>
      <c r="F246" t="s">
        <v>693</v>
      </c>
      <c r="G246" s="4" t="s">
        <v>740</v>
      </c>
    </row>
    <row r="247" spans="1:7" ht="14.4" x14ac:dyDescent="0.3">
      <c r="A247" s="4">
        <v>7247781230</v>
      </c>
      <c r="B247" s="4" t="str">
        <f>TRIM(Table4[[#This Row],[ypn]])</f>
        <v>7247781230</v>
      </c>
      <c r="C247" s="4" t="b">
        <f>Table4[[#This Row],[ypn]]=Table4[[#This Row],[trim]]</f>
        <v>0</v>
      </c>
      <c r="D247" s="4">
        <f>Table4[[#This Row],[ypn]]*1</f>
        <v>7247781230</v>
      </c>
      <c r="E247" s="4">
        <f>TYPE(Table4[[#This Row],[ypn]])</f>
        <v>1</v>
      </c>
      <c r="F247" t="s">
        <v>696</v>
      </c>
      <c r="G247" s="4"/>
    </row>
    <row r="248" spans="1:7" ht="14.4" x14ac:dyDescent="0.3">
      <c r="A248" s="4">
        <v>7247787730</v>
      </c>
      <c r="B248" s="4" t="str">
        <f>TRIM(Table4[[#This Row],[ypn]])</f>
        <v>7247787730</v>
      </c>
      <c r="C248" s="4" t="b">
        <f>Table4[[#This Row],[ypn]]=Table4[[#This Row],[trim]]</f>
        <v>0</v>
      </c>
      <c r="D248" s="4">
        <f>Table4[[#This Row],[ypn]]*1</f>
        <v>7247787730</v>
      </c>
      <c r="E248" s="4">
        <f>TYPE(Table4[[#This Row],[ypn]])</f>
        <v>1</v>
      </c>
      <c r="F248" t="s">
        <v>671</v>
      </c>
      <c r="G248" s="4"/>
    </row>
    <row r="249" spans="1:7" ht="14.4" x14ac:dyDescent="0.3">
      <c r="A249" s="4">
        <v>72478572</v>
      </c>
      <c r="B249" s="4" t="str">
        <f>TRIM(Table4[[#This Row],[ypn]])</f>
        <v>72478572</v>
      </c>
      <c r="C249" s="4" t="b">
        <f>Table4[[#This Row],[ypn]]=Table4[[#This Row],[trim]]</f>
        <v>0</v>
      </c>
      <c r="D249" s="4">
        <f>Table4[[#This Row],[ypn]]*1</f>
        <v>72478572</v>
      </c>
      <c r="E249" s="4">
        <f>TYPE(Table4[[#This Row],[ypn]])</f>
        <v>1</v>
      </c>
      <c r="F249" t="s">
        <v>697</v>
      </c>
      <c r="G249" s="4"/>
    </row>
    <row r="250" spans="1:7" ht="14.4" x14ac:dyDescent="0.3">
      <c r="A250" s="4">
        <v>7252803330</v>
      </c>
      <c r="B250" s="4" t="str">
        <f>TRIM(Table4[[#This Row],[ypn]])</f>
        <v>7252803330</v>
      </c>
      <c r="C250" s="4" t="b">
        <f>Table4[[#This Row],[ypn]]=Table4[[#This Row],[trim]]</f>
        <v>0</v>
      </c>
      <c r="D250" s="4">
        <f>Table4[[#This Row],[ypn]]*1</f>
        <v>7252803330</v>
      </c>
      <c r="E250" s="4">
        <f>TYPE(Table4[[#This Row],[ypn]])</f>
        <v>1</v>
      </c>
      <c r="F250" t="s">
        <v>698</v>
      </c>
      <c r="G250" s="4"/>
    </row>
    <row r="251" spans="1:7" ht="14.4" x14ac:dyDescent="0.3">
      <c r="A251" s="4">
        <v>7252834130</v>
      </c>
      <c r="B251" s="4" t="str">
        <f>TRIM(Table4[[#This Row],[ypn]])</f>
        <v>7252834130</v>
      </c>
      <c r="C251" s="4" t="b">
        <f>Table4[[#This Row],[ypn]]=Table4[[#This Row],[trim]]</f>
        <v>0</v>
      </c>
      <c r="D251" s="4">
        <f>Table4[[#This Row],[ypn]]*1</f>
        <v>7252834130</v>
      </c>
      <c r="E251" s="4">
        <f>TYPE(Table4[[#This Row],[ypn]])</f>
        <v>1</v>
      </c>
      <c r="F251" t="s">
        <v>699</v>
      </c>
      <c r="G251" s="4"/>
    </row>
    <row r="252" spans="1:7" ht="14.4" x14ac:dyDescent="0.3">
      <c r="A252" s="4" t="s">
        <v>649</v>
      </c>
      <c r="B252" s="4" t="str">
        <f>TRIM(Table4[[#This Row],[ypn]])</f>
        <v>7278242730+7174342530+7173825540</v>
      </c>
      <c r="C252" s="4" t="b">
        <f>Table4[[#This Row],[ypn]]=Table4[[#This Row],[trim]]</f>
        <v>1</v>
      </c>
      <c r="D252" s="4" t="e">
        <f>Table4[[#This Row],[ypn]]*1</f>
        <v>#VALUE!</v>
      </c>
      <c r="E252" s="4">
        <f>TYPE(Table4[[#This Row],[ypn]])</f>
        <v>2</v>
      </c>
      <c r="F252" t="s">
        <v>569</v>
      </c>
      <c r="G252" s="4" t="s">
        <v>740</v>
      </c>
    </row>
    <row r="253" spans="1:7" ht="14.4" x14ac:dyDescent="0.3">
      <c r="A253" s="4" t="s">
        <v>650</v>
      </c>
      <c r="B253" s="4" t="str">
        <f>TRIM(Table4[[#This Row],[ypn]])</f>
        <v>7289488430+7274297830A</v>
      </c>
      <c r="C253" s="4" t="b">
        <f>Table4[[#This Row],[ypn]]=Table4[[#This Row],[trim]]</f>
        <v>1</v>
      </c>
      <c r="D253" s="4" t="e">
        <f>Table4[[#This Row],[ypn]]*1</f>
        <v>#VALUE!</v>
      </c>
      <c r="E253" s="4">
        <f>TYPE(Table4[[#This Row],[ypn]])</f>
        <v>2</v>
      </c>
      <c r="F253" t="s">
        <v>671</v>
      </c>
      <c r="G253" s="4"/>
    </row>
    <row r="254" spans="1:7" ht="14.4" x14ac:dyDescent="0.3">
      <c r="A254" s="4">
        <v>72895381</v>
      </c>
      <c r="B254" s="4" t="str">
        <f>TRIM(Table4[[#This Row],[ypn]])</f>
        <v>72895381</v>
      </c>
      <c r="C254" s="4" t="b">
        <f>Table4[[#This Row],[ypn]]=Table4[[#This Row],[trim]]</f>
        <v>0</v>
      </c>
      <c r="D254" s="4">
        <f>Table4[[#This Row],[ypn]]*1</f>
        <v>72895381</v>
      </c>
      <c r="E254" s="4">
        <f>TYPE(Table4[[#This Row],[ypn]])</f>
        <v>1</v>
      </c>
      <c r="F254" t="s">
        <v>702</v>
      </c>
      <c r="G254" s="4"/>
    </row>
    <row r="255" spans="1:7" ht="14.4" x14ac:dyDescent="0.3">
      <c r="A255" s="4" t="s">
        <v>231</v>
      </c>
      <c r="B255" s="4" t="str">
        <f>TRIM(Table4[[#This Row],[ypn]])</f>
        <v>7289811630+7289811730+72741551A</v>
      </c>
      <c r="C255" s="4" t="b">
        <f>Table4[[#This Row],[ypn]]=Table4[[#This Row],[trim]]</f>
        <v>1</v>
      </c>
      <c r="D255" s="4" t="e">
        <f>Table4[[#This Row],[ypn]]*1</f>
        <v>#VALUE!</v>
      </c>
      <c r="E255" s="4">
        <f>TYPE(Table4[[#This Row],[ypn]])</f>
        <v>2</v>
      </c>
      <c r="F255" t="s">
        <v>577</v>
      </c>
      <c r="G255" s="4"/>
    </row>
    <row r="256" spans="1:7" ht="14.4" x14ac:dyDescent="0.3">
      <c r="A256" s="4" t="s">
        <v>232</v>
      </c>
      <c r="B256" s="4" t="str">
        <f>TRIM(Table4[[#This Row],[ypn]])</f>
        <v>7289811630+7289811730+7274155220A</v>
      </c>
      <c r="C256" s="4" t="b">
        <f>Table4[[#This Row],[ypn]]=Table4[[#This Row],[trim]]</f>
        <v>1</v>
      </c>
      <c r="D256" s="4" t="e">
        <f>Table4[[#This Row],[ypn]]*1</f>
        <v>#VALUE!</v>
      </c>
      <c r="E256" s="4">
        <f>TYPE(Table4[[#This Row],[ypn]])</f>
        <v>2</v>
      </c>
      <c r="F256" t="s">
        <v>578</v>
      </c>
      <c r="G256" s="4"/>
    </row>
    <row r="257" spans="1:7" ht="14.4" x14ac:dyDescent="0.3">
      <c r="A257" s="4">
        <v>7289886630</v>
      </c>
      <c r="B257" s="4" t="str">
        <f>TRIM(Table4[[#This Row],[ypn]])</f>
        <v>7289886630</v>
      </c>
      <c r="C257" s="4" t="b">
        <f>Table4[[#This Row],[ypn]]=Table4[[#This Row],[trim]]</f>
        <v>0</v>
      </c>
      <c r="D257" s="4">
        <f>Table4[[#This Row],[ypn]]*1</f>
        <v>7289886630</v>
      </c>
      <c r="E257" s="4">
        <f>TYPE(Table4[[#This Row],[ypn]])</f>
        <v>1</v>
      </c>
      <c r="F257" t="s">
        <v>703</v>
      </c>
      <c r="G257" s="4"/>
    </row>
    <row r="258" spans="1:7" ht="14.4" x14ac:dyDescent="0.3">
      <c r="A258" s="4">
        <v>7297913630</v>
      </c>
      <c r="B258" s="4" t="str">
        <f>TRIM(Table4[[#This Row],[ypn]])</f>
        <v>7297913630</v>
      </c>
      <c r="C258" s="4" t="b">
        <f>Table4[[#This Row],[ypn]]=Table4[[#This Row],[trim]]</f>
        <v>0</v>
      </c>
      <c r="D258" s="4">
        <f>Table4[[#This Row],[ypn]]*1</f>
        <v>7297913630</v>
      </c>
      <c r="E258" s="4">
        <f>TYPE(Table4[[#This Row],[ypn]])</f>
        <v>1</v>
      </c>
      <c r="F258" t="s">
        <v>704</v>
      </c>
      <c r="G258" s="4"/>
    </row>
    <row r="259" spans="1:7" ht="14.4" x14ac:dyDescent="0.3">
      <c r="A259" s="4">
        <v>7297914930</v>
      </c>
      <c r="B259" s="4" t="str">
        <f>TRIM(Table4[[#This Row],[ypn]])</f>
        <v>7297914930</v>
      </c>
      <c r="C259" s="4" t="b">
        <f>Table4[[#This Row],[ypn]]=Table4[[#This Row],[trim]]</f>
        <v>0</v>
      </c>
      <c r="D259" s="4">
        <f>Table4[[#This Row],[ypn]]*1</f>
        <v>7297914930</v>
      </c>
      <c r="E259" s="4">
        <f>TYPE(Table4[[#This Row],[ypn]])</f>
        <v>1</v>
      </c>
      <c r="F259" t="s">
        <v>705</v>
      </c>
      <c r="G259" s="4"/>
    </row>
    <row r="260" spans="1:7" ht="14.4" x14ac:dyDescent="0.3">
      <c r="A260" s="4">
        <v>7298196130</v>
      </c>
      <c r="B260" s="4" t="str">
        <f>TRIM(Table4[[#This Row],[ypn]])</f>
        <v>7298196130</v>
      </c>
      <c r="C260" s="4" t="b">
        <f>Table4[[#This Row],[ypn]]=Table4[[#This Row],[trim]]</f>
        <v>0</v>
      </c>
      <c r="D260" s="4">
        <f>Table4[[#This Row],[ypn]]*1</f>
        <v>7298196130</v>
      </c>
      <c r="E260" s="4">
        <f>TYPE(Table4[[#This Row],[ypn]])</f>
        <v>1</v>
      </c>
      <c r="F260" t="s">
        <v>303</v>
      </c>
      <c r="G260" s="4"/>
    </row>
    <row r="261" spans="1:7" ht="14.4" x14ac:dyDescent="0.3">
      <c r="A261" s="4" t="s">
        <v>651</v>
      </c>
      <c r="B261" s="4" t="str">
        <f>TRIM(Table4[[#This Row],[ypn]])</f>
        <v>7298341860+7297341730</v>
      </c>
      <c r="C261" s="4" t="b">
        <f>Table4[[#This Row],[ypn]]=Table4[[#This Row],[trim]]</f>
        <v>1</v>
      </c>
      <c r="D261" s="4" t="e">
        <f>Table4[[#This Row],[ypn]]*1</f>
        <v>#VALUE!</v>
      </c>
      <c r="E261" s="4">
        <f>TYPE(Table4[[#This Row],[ypn]])</f>
        <v>2</v>
      </c>
      <c r="F261" t="s">
        <v>582</v>
      </c>
      <c r="G261" s="4" t="s">
        <v>740</v>
      </c>
    </row>
    <row r="262" spans="1:7" ht="14.4" x14ac:dyDescent="0.3">
      <c r="A262" s="4">
        <v>7298808730</v>
      </c>
      <c r="B262" s="4" t="str">
        <f>TRIM(Table4[[#This Row],[ypn]])</f>
        <v>7298808730</v>
      </c>
      <c r="C262" s="4" t="b">
        <f>Table4[[#This Row],[ypn]]=Table4[[#This Row],[trim]]</f>
        <v>0</v>
      </c>
      <c r="D262" s="4">
        <f>Table4[[#This Row],[ypn]]*1</f>
        <v>7298808730</v>
      </c>
      <c r="E262" s="4">
        <f>TYPE(Table4[[#This Row],[ypn]])</f>
        <v>1</v>
      </c>
      <c r="F262" t="s">
        <v>706</v>
      </c>
      <c r="G262" s="4"/>
    </row>
    <row r="263" spans="1:7" ht="14.4" x14ac:dyDescent="0.3">
      <c r="A263" s="4">
        <v>7298808930</v>
      </c>
      <c r="B263" s="4" t="str">
        <f>TRIM(Table4[[#This Row],[ypn]])</f>
        <v>7298808930</v>
      </c>
      <c r="C263" s="4" t="b">
        <f>Table4[[#This Row],[ypn]]=Table4[[#This Row],[trim]]</f>
        <v>0</v>
      </c>
      <c r="D263" s="4">
        <f>Table4[[#This Row],[ypn]]*1</f>
        <v>7298808930</v>
      </c>
      <c r="E263" s="4">
        <f>TYPE(Table4[[#This Row],[ypn]])</f>
        <v>1</v>
      </c>
      <c r="F263" t="s">
        <v>707</v>
      </c>
      <c r="G263" s="4"/>
    </row>
    <row r="264" spans="1:7" ht="14.4" x14ac:dyDescent="0.3">
      <c r="A264" s="4">
        <v>7298912930</v>
      </c>
      <c r="B264" s="4" t="str">
        <f>TRIM(Table4[[#This Row],[ypn]])</f>
        <v>7298912930</v>
      </c>
      <c r="C264" s="4" t="b">
        <f>Table4[[#This Row],[ypn]]=Table4[[#This Row],[trim]]</f>
        <v>0</v>
      </c>
      <c r="D264" s="4">
        <f>Table4[[#This Row],[ypn]]*1</f>
        <v>7298912930</v>
      </c>
      <c r="E264" s="4">
        <f>TYPE(Table4[[#This Row],[ypn]])</f>
        <v>1</v>
      </c>
      <c r="F264" t="s">
        <v>708</v>
      </c>
      <c r="G264" s="4"/>
    </row>
    <row r="265" spans="1:7" ht="14.4" x14ac:dyDescent="0.3">
      <c r="A265" s="9">
        <v>7298913330</v>
      </c>
      <c r="B265" s="4" t="str">
        <f>TRIM(Table4[[#This Row],[ypn]])</f>
        <v>7298913330</v>
      </c>
      <c r="C265" s="4" t="b">
        <f>Table4[[#This Row],[ypn]]=Table4[[#This Row],[trim]]</f>
        <v>0</v>
      </c>
      <c r="D265" s="4">
        <f>Table4[[#This Row],[ypn]]*1</f>
        <v>7298913330</v>
      </c>
      <c r="E265" s="4">
        <f>TYPE(Table4[[#This Row],[ypn]])</f>
        <v>1</v>
      </c>
      <c r="F265" t="s">
        <v>709</v>
      </c>
      <c r="G265" s="4"/>
    </row>
    <row r="266" spans="1:7" ht="14.4" x14ac:dyDescent="0.3">
      <c r="A266" s="4">
        <v>7298913730</v>
      </c>
      <c r="B266" s="4" t="str">
        <f>TRIM(Table4[[#This Row],[ypn]])</f>
        <v>7298913730</v>
      </c>
      <c r="C266" s="4" t="b">
        <f>Table4[[#This Row],[ypn]]=Table4[[#This Row],[trim]]</f>
        <v>0</v>
      </c>
      <c r="D266" s="4">
        <f>Table4[[#This Row],[ypn]]*1</f>
        <v>7298913730</v>
      </c>
      <c r="E266" s="4">
        <f>TYPE(Table4[[#This Row],[ypn]])</f>
        <v>1</v>
      </c>
      <c r="F266" t="s">
        <v>710</v>
      </c>
      <c r="G266" s="4"/>
    </row>
    <row r="267" spans="1:7" ht="14.4" x14ac:dyDescent="0.3">
      <c r="A267" s="4">
        <v>7298949030</v>
      </c>
      <c r="B267" s="4" t="str">
        <f>TRIM(Table4[[#This Row],[ypn]])</f>
        <v>7298949030</v>
      </c>
      <c r="C267" s="4" t="b">
        <f>Table4[[#This Row],[ypn]]=Table4[[#This Row],[trim]]</f>
        <v>0</v>
      </c>
      <c r="D267" s="4">
        <f>Table4[[#This Row],[ypn]]*1</f>
        <v>7298949030</v>
      </c>
      <c r="E267" s="4">
        <f>TYPE(Table4[[#This Row],[ypn]])</f>
        <v>1</v>
      </c>
      <c r="F267" t="s">
        <v>711</v>
      </c>
      <c r="G267" s="4"/>
    </row>
    <row r="268" spans="1:7" ht="14.4" x14ac:dyDescent="0.3">
      <c r="A268" s="4" t="s">
        <v>652</v>
      </c>
      <c r="B268" s="4" t="str">
        <f>TRIM(Table4[[#This Row],[ypn]])</f>
        <v>A1729821302</v>
      </c>
      <c r="C268" s="4" t="b">
        <f>Table4[[#This Row],[ypn]]=Table4[[#This Row],[trim]]</f>
        <v>1</v>
      </c>
      <c r="D268" s="4" t="e">
        <f>Table4[[#This Row],[ypn]]*1</f>
        <v>#VALUE!</v>
      </c>
      <c r="E268" s="4">
        <f>TYPE(Table4[[#This Row],[ypn]])</f>
        <v>2</v>
      </c>
      <c r="F268" t="s">
        <v>712</v>
      </c>
      <c r="G268" s="4"/>
    </row>
    <row r="269" spans="1:7" ht="14.4" x14ac:dyDescent="0.3">
      <c r="A269" s="4" t="s">
        <v>653</v>
      </c>
      <c r="B269" s="4" t="str">
        <f>TRIM(Table4[[#This Row],[ypn]])</f>
        <v>A1729821302_EYELETV34-KS</v>
      </c>
      <c r="C269" s="4" t="b">
        <f>Table4[[#This Row],[ypn]]=Table4[[#This Row],[trim]]</f>
        <v>1</v>
      </c>
      <c r="D269" s="4" t="e">
        <f>Table4[[#This Row],[ypn]]*1</f>
        <v>#VALUE!</v>
      </c>
      <c r="E269" s="4">
        <f>TYPE(Table4[[#This Row],[ypn]])</f>
        <v>2</v>
      </c>
      <c r="F269" t="s">
        <v>671</v>
      </c>
      <c r="G269" s="4"/>
    </row>
    <row r="270" spans="1:7" ht="14.4" x14ac:dyDescent="0.3">
      <c r="A270" s="4" t="s">
        <v>589</v>
      </c>
      <c r="B270" s="4" t="str">
        <f>TRIM(Table4[[#This Row],[ypn]])</f>
        <v>ASSY_118021051</v>
      </c>
      <c r="C270" s="4" t="b">
        <f>Table4[[#This Row],[ypn]]=Table4[[#This Row],[trim]]</f>
        <v>1</v>
      </c>
      <c r="D270" s="4" t="e">
        <f>Table4[[#This Row],[ypn]]*1</f>
        <v>#VALUE!</v>
      </c>
      <c r="E270" s="4">
        <f>TYPE(Table4[[#This Row],[ypn]])</f>
        <v>2</v>
      </c>
      <c r="F270" t="s">
        <v>713</v>
      </c>
      <c r="G270" s="4"/>
    </row>
    <row r="271" spans="1:7" ht="14.4" x14ac:dyDescent="0.3">
      <c r="A271" s="4" t="s">
        <v>305</v>
      </c>
      <c r="B271" s="4" t="str">
        <f>TRIM(Table4[[#This Row],[ypn]])</f>
        <v>ASSY_123024542+ASSY_23024521</v>
      </c>
      <c r="C271" s="4" t="b">
        <f>Table4[[#This Row],[ypn]]=Table4[[#This Row],[trim]]</f>
        <v>1</v>
      </c>
      <c r="D271" s="4" t="e">
        <f>Table4[[#This Row],[ypn]]*1</f>
        <v>#VALUE!</v>
      </c>
      <c r="E271" s="4">
        <f>TYPE(Table4[[#This Row],[ypn]])</f>
        <v>2</v>
      </c>
      <c r="F271" t="s">
        <v>714</v>
      </c>
      <c r="G271" s="4"/>
    </row>
    <row r="272" spans="1:7" ht="14.4" x14ac:dyDescent="0.3">
      <c r="A272" s="4" t="s">
        <v>654</v>
      </c>
      <c r="B272" s="4" t="str">
        <f>TRIM(Table4[[#This Row],[ypn]])</f>
        <v>ASSY_59K24K1XX92A4C</v>
      </c>
      <c r="C272" s="4" t="b">
        <f>Table4[[#This Row],[ypn]]=Table4[[#This Row],[trim]]</f>
        <v>1</v>
      </c>
      <c r="D272" s="4" t="e">
        <f>Table4[[#This Row],[ypn]]*1</f>
        <v>#VALUE!</v>
      </c>
      <c r="E272" s="4">
        <f>TYPE(Table4[[#This Row],[ypn]])</f>
        <v>2</v>
      </c>
      <c r="F272" t="s">
        <v>671</v>
      </c>
      <c r="G272" s="4"/>
    </row>
    <row r="273" spans="1:7" ht="14.4" x14ac:dyDescent="0.3">
      <c r="A273" s="4" t="s">
        <v>292</v>
      </c>
      <c r="B273" s="4" t="str">
        <f>TRIM(Table4[[#This Row],[ypn]])</f>
        <v>ASSY_59Z006T00C</v>
      </c>
      <c r="C273" s="4" t="b">
        <f>Table4[[#This Row],[ypn]]=Table4[[#This Row],[trim]]</f>
        <v>1</v>
      </c>
      <c r="D273" s="4" t="e">
        <f>Table4[[#This Row],[ypn]]*1</f>
        <v>#VALUE!</v>
      </c>
      <c r="E273" s="4">
        <f>TYPE(Table4[[#This Row],[ypn]])</f>
        <v>2</v>
      </c>
      <c r="F273" t="s">
        <v>715</v>
      </c>
      <c r="G273" s="4"/>
    </row>
    <row r="274" spans="1:7" ht="14.4" x14ac:dyDescent="0.3">
      <c r="A274" s="4" t="s">
        <v>255</v>
      </c>
      <c r="B274" s="4" t="str">
        <f>TRIM(Table4[[#This Row],[ypn]])</f>
        <v>ASSY_59Z006-T00D</v>
      </c>
      <c r="C274" s="4" t="b">
        <f>Table4[[#This Row],[ypn]]=Table4[[#This Row],[trim]]</f>
        <v>1</v>
      </c>
      <c r="D274" s="4" t="e">
        <f>Table4[[#This Row],[ypn]]*1</f>
        <v>#VALUE!</v>
      </c>
      <c r="E274" s="4">
        <f>TYPE(Table4[[#This Row],[ypn]])</f>
        <v>2</v>
      </c>
      <c r="F274" t="s">
        <v>716</v>
      </c>
      <c r="G274" s="4"/>
    </row>
    <row r="275" spans="1:7" ht="14.4" x14ac:dyDescent="0.3">
      <c r="A275" s="4" t="s">
        <v>655</v>
      </c>
      <c r="B275" s="4" t="str">
        <f>TRIM(Table4[[#This Row],[ypn]])</f>
        <v>ASSY_59Z063DC0F/ASSY_59Z063-DC0F</v>
      </c>
      <c r="C275" s="4" t="b">
        <f>Table4[[#This Row],[ypn]]=Table4[[#This Row],[trim]]</f>
        <v>1</v>
      </c>
      <c r="D275" s="4" t="e">
        <f>Table4[[#This Row],[ypn]]*1</f>
        <v>#VALUE!</v>
      </c>
      <c r="E275" s="4">
        <f>TYPE(Table4[[#This Row],[ypn]])</f>
        <v>2</v>
      </c>
      <c r="F275" t="s">
        <v>717</v>
      </c>
      <c r="G275" s="4"/>
    </row>
    <row r="276" spans="1:7" ht="14.4" x14ac:dyDescent="0.3">
      <c r="A276" s="4" t="s">
        <v>605</v>
      </c>
      <c r="B276" s="4" t="str">
        <f>TRIM(Table4[[#This Row],[ypn]])</f>
        <v>ASSY_59Z145DC0F</v>
      </c>
      <c r="C276" s="4" t="b">
        <f>Table4[[#This Row],[ypn]]=Table4[[#This Row],[trim]]</f>
        <v>1</v>
      </c>
      <c r="D276" s="4" t="e">
        <f>Table4[[#This Row],[ypn]]*1</f>
        <v>#VALUE!</v>
      </c>
      <c r="E276" s="4">
        <f>TYPE(Table4[[#This Row],[ypn]])</f>
        <v>2</v>
      </c>
      <c r="F276" t="s">
        <v>718</v>
      </c>
      <c r="G276" s="4"/>
    </row>
    <row r="277" spans="1:7" ht="14.4" x14ac:dyDescent="0.3">
      <c r="A277" s="4" t="s">
        <v>656</v>
      </c>
      <c r="B277" s="4" t="str">
        <f>TRIM(Table4[[#This Row],[ypn]])</f>
        <v>ASSY_59Z163003F/ASSY_59Z163DC0F</v>
      </c>
      <c r="C277" s="4" t="b">
        <f>Table4[[#This Row],[ypn]]=Table4[[#This Row],[trim]]</f>
        <v>1</v>
      </c>
      <c r="D277" s="4" t="e">
        <f>Table4[[#This Row],[ypn]]*1</f>
        <v>#VALUE!</v>
      </c>
      <c r="E277" s="4">
        <f>TYPE(Table4[[#This Row],[ypn]])</f>
        <v>2</v>
      </c>
      <c r="F277" t="s">
        <v>671</v>
      </c>
      <c r="G277" s="4"/>
    </row>
    <row r="278" spans="1:7" ht="14.4" x14ac:dyDescent="0.3">
      <c r="A278" s="4" t="s">
        <v>241</v>
      </c>
      <c r="B278" s="4" t="str">
        <f>TRIM(Table4[[#This Row],[ypn]])</f>
        <v>ASSY_AMZ005DC0C</v>
      </c>
      <c r="C278" s="4" t="b">
        <f>Table4[[#This Row],[ypn]]=Table4[[#This Row],[trim]]</f>
        <v>1</v>
      </c>
      <c r="D278" s="4" t="e">
        <f>Table4[[#This Row],[ypn]]*1</f>
        <v>#VALUE!</v>
      </c>
      <c r="E278" s="4">
        <f>TYPE(Table4[[#This Row],[ypn]])</f>
        <v>2</v>
      </c>
      <c r="F278" t="s">
        <v>719</v>
      </c>
      <c r="G278" s="4"/>
    </row>
    <row r="279" spans="1:7" ht="14.4" x14ac:dyDescent="0.3">
      <c r="A279" s="4" t="s">
        <v>242</v>
      </c>
      <c r="B279" s="4" t="str">
        <f>TRIM(Table4[[#This Row],[ypn]])</f>
        <v>ASSY_AMZ005DC0D</v>
      </c>
      <c r="C279" s="4" t="b">
        <f>Table4[[#This Row],[ypn]]=Table4[[#This Row],[trim]]</f>
        <v>1</v>
      </c>
      <c r="D279" s="4" t="e">
        <f>Table4[[#This Row],[ypn]]*1</f>
        <v>#VALUE!</v>
      </c>
      <c r="E279" s="4">
        <f>TYPE(Table4[[#This Row],[ypn]])</f>
        <v>2</v>
      </c>
      <c r="F279" t="s">
        <v>720</v>
      </c>
      <c r="G279" s="4"/>
    </row>
    <row r="280" spans="1:7" ht="14.4" x14ac:dyDescent="0.3">
      <c r="A280" s="4" t="s">
        <v>612</v>
      </c>
      <c r="B280" s="4" t="str">
        <f>TRIM(Table4[[#This Row],[ypn]])</f>
        <v>ASSY_AMZ005DC0E</v>
      </c>
      <c r="C280" s="4" t="b">
        <f>Table4[[#This Row],[ypn]]=Table4[[#This Row],[trim]]</f>
        <v>1</v>
      </c>
      <c r="D280" s="4" t="e">
        <f>Table4[[#This Row],[ypn]]*1</f>
        <v>#VALUE!</v>
      </c>
      <c r="E280" s="4">
        <f>TYPE(Table4[[#This Row],[ypn]])</f>
        <v>2</v>
      </c>
      <c r="F280" t="s">
        <v>721</v>
      </c>
      <c r="G280" s="4"/>
    </row>
    <row r="281" spans="1:7" ht="14.4" x14ac:dyDescent="0.3">
      <c r="A281" s="4" t="s">
        <v>614</v>
      </c>
      <c r="B281" s="4" t="str">
        <f>TRIM(Table4[[#This Row],[ypn]])</f>
        <v>ASSY_AMZ005DC0F</v>
      </c>
      <c r="C281" s="4" t="b">
        <f>Table4[[#This Row],[ypn]]=Table4[[#This Row],[trim]]</f>
        <v>1</v>
      </c>
      <c r="D281" s="4" t="e">
        <f>Table4[[#This Row],[ypn]]*1</f>
        <v>#VALUE!</v>
      </c>
      <c r="E281" s="4">
        <f>TYPE(Table4[[#This Row],[ypn]])</f>
        <v>2</v>
      </c>
      <c r="F281" t="s">
        <v>722</v>
      </c>
      <c r="G281" s="4"/>
    </row>
    <row r="282" spans="1:7" ht="14.4" x14ac:dyDescent="0.3">
      <c r="A282" s="4" t="s">
        <v>657</v>
      </c>
      <c r="B282" s="4" t="str">
        <f>TRIM(Table4[[#This Row],[ypn]])</f>
        <v>ASSY_D4K2RE1D5A5BDC/ASSY_D4K2RE1D5A5B</v>
      </c>
      <c r="C282" s="4" t="b">
        <f>Table4[[#This Row],[ypn]]=Table4[[#This Row],[trim]]</f>
        <v>1</v>
      </c>
      <c r="D282" s="4" t="e">
        <f>Table4[[#This Row],[ypn]]*1</f>
        <v>#VALUE!</v>
      </c>
      <c r="E282" s="4">
        <f>TYPE(Table4[[#This Row],[ypn]])</f>
        <v>2</v>
      </c>
      <c r="F282" t="s">
        <v>723</v>
      </c>
      <c r="G282" s="4"/>
    </row>
    <row r="283" spans="1:7" ht="14.4" x14ac:dyDescent="0.3">
      <c r="A283" s="4" t="s">
        <v>252</v>
      </c>
      <c r="B283" s="4" t="str">
        <f>TRIM(Table4[[#This Row],[ypn]])</f>
        <v>ASSY_D4Z001DC0C</v>
      </c>
      <c r="C283" s="4" t="b">
        <f>Table4[[#This Row],[ypn]]=Table4[[#This Row],[trim]]</f>
        <v>1</v>
      </c>
      <c r="D283" s="4" t="e">
        <f>Table4[[#This Row],[ypn]]*1</f>
        <v>#VALUE!</v>
      </c>
      <c r="E283" s="4">
        <f>TYPE(Table4[[#This Row],[ypn]])</f>
        <v>2</v>
      </c>
      <c r="F283" t="s">
        <v>724</v>
      </c>
      <c r="G283" s="4"/>
    </row>
    <row r="284" spans="1:7" ht="14.4" x14ac:dyDescent="0.3">
      <c r="A284" s="4" t="s">
        <v>299</v>
      </c>
      <c r="B284" s="4" t="str">
        <f>TRIM(Table4[[#This Row],[ypn]])</f>
        <v>ASSY_PPI0001107</v>
      </c>
      <c r="C284" s="4" t="b">
        <f>Table4[[#This Row],[ypn]]=Table4[[#This Row],[trim]]</f>
        <v>1</v>
      </c>
      <c r="D284" s="4" t="e">
        <f>Table4[[#This Row],[ypn]]*1</f>
        <v>#VALUE!</v>
      </c>
      <c r="E284" s="4">
        <f>TYPE(Table4[[#This Row],[ypn]])</f>
        <v>2</v>
      </c>
      <c r="F284" t="s">
        <v>671</v>
      </c>
      <c r="G284" s="4"/>
    </row>
    <row r="285" spans="1:7" ht="14.4" x14ac:dyDescent="0.3">
      <c r="A285" s="4" t="s">
        <v>658</v>
      </c>
      <c r="B285" s="4" t="str">
        <f>TRIM(Table4[[#This Row],[ypn]])</f>
        <v>ASSY_PPI0001107+ASSY_CA288A25199XXX+ASSY_CA288A35199XXX</v>
      </c>
      <c r="C285" s="4" t="b">
        <f>Table4[[#This Row],[ypn]]=Table4[[#This Row],[trim]]</f>
        <v>1</v>
      </c>
      <c r="D285" s="4" t="e">
        <f>Table4[[#This Row],[ypn]]*1</f>
        <v>#VALUE!</v>
      </c>
      <c r="E285" s="4">
        <f>TYPE(Table4[[#This Row],[ypn]])</f>
        <v>2</v>
      </c>
      <c r="F285" t="s">
        <v>671</v>
      </c>
      <c r="G285" s="4"/>
    </row>
    <row r="286" spans="1:7" ht="14.4" x14ac:dyDescent="0.3">
      <c r="A286" s="4" t="s">
        <v>659</v>
      </c>
      <c r="B286" s="4" t="str">
        <f>TRIM(Table4[[#This Row],[ypn]])</f>
        <v>ASSY_PPI0001107+ASSY_PPI0001651+ASSY_PPI0001652</v>
      </c>
      <c r="C286" s="4" t="b">
        <f>Table4[[#This Row],[ypn]]=Table4[[#This Row],[trim]]</f>
        <v>1</v>
      </c>
      <c r="D286" s="4" t="e">
        <f>Table4[[#This Row],[ypn]]*1</f>
        <v>#VALUE!</v>
      </c>
      <c r="E286" s="4">
        <f>TYPE(Table4[[#This Row],[ypn]])</f>
        <v>2</v>
      </c>
      <c r="F286" t="s">
        <v>671</v>
      </c>
      <c r="G286" s="4"/>
    </row>
    <row r="287" spans="1:7" ht="14.4" x14ac:dyDescent="0.3">
      <c r="A287" s="4" t="s">
        <v>660</v>
      </c>
      <c r="B287" s="4" t="str">
        <f>TRIM(Table4[[#This Row],[ypn]])</f>
        <v>X1PO2007</v>
      </c>
      <c r="C287" s="4" t="b">
        <f>Table4[[#This Row],[ypn]]=Table4[[#This Row],[trim]]</f>
        <v>1</v>
      </c>
      <c r="D287" s="4" t="e">
        <f>Table4[[#This Row],[ypn]]*1</f>
        <v>#VALUE!</v>
      </c>
      <c r="E287" s="4">
        <f>TYPE(Table4[[#This Row],[ypn]])</f>
        <v>2</v>
      </c>
      <c r="F287" t="s">
        <v>725</v>
      </c>
      <c r="G287" s="4"/>
    </row>
    <row r="288" spans="1:7" ht="14.4" x14ac:dyDescent="0.3">
      <c r="A288" s="4" t="s">
        <v>661</v>
      </c>
      <c r="B288" s="4" t="str">
        <f>TRIM(Table4[[#This Row],[ypn]])</f>
        <v>X1PO2518</v>
      </c>
      <c r="C288" s="4" t="b">
        <f>Table4[[#This Row],[ypn]]=Table4[[#This Row],[trim]]</f>
        <v>1</v>
      </c>
      <c r="D288" s="4" t="e">
        <f>Table4[[#This Row],[ypn]]*1</f>
        <v>#VALUE!</v>
      </c>
      <c r="E288" s="4">
        <f>TYPE(Table4[[#This Row],[ypn]])</f>
        <v>2</v>
      </c>
      <c r="F288" t="s">
        <v>726</v>
      </c>
      <c r="G288" s="4"/>
    </row>
    <row r="289" spans="1:7" ht="14.4" x14ac:dyDescent="0.3">
      <c r="A289" s="4" t="s">
        <v>662</v>
      </c>
      <c r="B289" s="4" t="str">
        <f>TRIM(Table4[[#This Row],[ypn]])</f>
        <v>X1PO-2538</v>
      </c>
      <c r="C289" s="4" t="b">
        <f>Table4[[#This Row],[ypn]]=Table4[[#This Row],[trim]]</f>
        <v>1</v>
      </c>
      <c r="D289" s="4" t="e">
        <f>Table4[[#This Row],[ypn]]*1</f>
        <v>#VALUE!</v>
      </c>
      <c r="E289" s="4">
        <f>TYPE(Table4[[#This Row],[ypn]])</f>
        <v>2</v>
      </c>
      <c r="F289" t="s">
        <v>727</v>
      </c>
      <c r="G289" s="4"/>
    </row>
    <row r="290" spans="1:7" ht="14.4" x14ac:dyDescent="0.3">
      <c r="A290" s="4" t="s">
        <v>257</v>
      </c>
      <c r="B290" s="4" t="str">
        <f>TRIM(Table4[[#This Row],[ypn]])</f>
        <v>X1PO2539</v>
      </c>
      <c r="C290" s="4" t="b">
        <f>Table4[[#This Row],[ypn]]=Table4[[#This Row],[trim]]</f>
        <v>1</v>
      </c>
      <c r="D290" s="4" t="e">
        <f>Table4[[#This Row],[ypn]]*1</f>
        <v>#VALUE!</v>
      </c>
      <c r="E290" s="4">
        <f>TYPE(Table4[[#This Row],[ypn]])</f>
        <v>2</v>
      </c>
      <c r="F290" t="s">
        <v>671</v>
      </c>
      <c r="G290" s="4"/>
    </row>
    <row r="291" spans="1:7" ht="14.4" x14ac:dyDescent="0.3">
      <c r="A291" s="4" t="s">
        <v>663</v>
      </c>
      <c r="B291" s="4" t="str">
        <f>TRIM(Table4[[#This Row],[ypn]])</f>
        <v>X1PO2559</v>
      </c>
      <c r="C291" s="4" t="b">
        <f>Table4[[#This Row],[ypn]]=Table4[[#This Row],[trim]]</f>
        <v>1</v>
      </c>
      <c r="D291" s="4" t="e">
        <f>Table4[[#This Row],[ypn]]*1</f>
        <v>#VALUE!</v>
      </c>
      <c r="E291" s="4">
        <f>TYPE(Table4[[#This Row],[ypn]])</f>
        <v>2</v>
      </c>
      <c r="F291" t="s">
        <v>671</v>
      </c>
      <c r="G291" s="4"/>
    </row>
    <row r="292" spans="1:7" ht="14.4" x14ac:dyDescent="0.3">
      <c r="A292" s="4" t="s">
        <v>665</v>
      </c>
      <c r="B292" s="4" t="str">
        <f>TRIM(Table4[[#This Row],[ypn]])</f>
        <v>X1PO2578</v>
      </c>
      <c r="C292" s="4" t="b">
        <f>Table4[[#This Row],[ypn]]=Table4[[#This Row],[trim]]</f>
        <v>1</v>
      </c>
      <c r="D292" s="4" t="e">
        <f>Table4[[#This Row],[ypn]]*1</f>
        <v>#VALUE!</v>
      </c>
      <c r="E292" s="4">
        <f>TYPE(Table4[[#This Row],[ypn]])</f>
        <v>2</v>
      </c>
      <c r="F292" t="s">
        <v>671</v>
      </c>
      <c r="G292" s="4"/>
    </row>
    <row r="293" spans="1:7" ht="14.4" x14ac:dyDescent="0.3">
      <c r="A293" s="4" t="s">
        <v>666</v>
      </c>
      <c r="B293" s="4" t="str">
        <f>TRIM(Table4[[#This Row],[ypn]])</f>
        <v>X1PO2580</v>
      </c>
      <c r="C293" s="4" t="b">
        <f>Table4[[#This Row],[ypn]]=Table4[[#This Row],[trim]]</f>
        <v>1</v>
      </c>
      <c r="D293" s="4" t="e">
        <f>Table4[[#This Row],[ypn]]*1</f>
        <v>#VALUE!</v>
      </c>
      <c r="E293" s="4">
        <f>TYPE(Table4[[#This Row],[ypn]])</f>
        <v>2</v>
      </c>
      <c r="F293" t="s">
        <v>671</v>
      </c>
      <c r="G293" s="4"/>
    </row>
    <row r="294" spans="1:7" ht="14.4" x14ac:dyDescent="0.3">
      <c r="A294" s="4" t="s">
        <v>667</v>
      </c>
      <c r="B294" s="4" t="str">
        <f>TRIM(Table4[[#This Row],[ypn]])</f>
        <v>X1PO3875+X1PO3876+X1PO3877A</v>
      </c>
      <c r="C294" s="4" t="b">
        <f>Table4[[#This Row],[ypn]]=Table4[[#This Row],[trim]]</f>
        <v>1</v>
      </c>
      <c r="D294" s="4" t="e">
        <f>Table4[[#This Row],[ypn]]*1</f>
        <v>#VALUE!</v>
      </c>
      <c r="E294" s="4">
        <f>TYPE(Table4[[#This Row],[ypn]])</f>
        <v>2</v>
      </c>
      <c r="F294" t="s">
        <v>569</v>
      </c>
      <c r="G294" s="4" t="s">
        <v>740</v>
      </c>
    </row>
    <row r="295" spans="1:7" ht="14.4" x14ac:dyDescent="0.3">
      <c r="A295" s="4">
        <v>7289464330</v>
      </c>
      <c r="B295" s="4" t="str">
        <f>TRIM(Table4[[#This Row],[ypn]])</f>
        <v>7289464330</v>
      </c>
      <c r="C295" s="4" t="b">
        <f>Table4[[#This Row],[ypn]]=Table4[[#This Row],[trim]]</f>
        <v>0</v>
      </c>
      <c r="D295" s="4">
        <f>Table4[[#This Row],[ypn]]*1</f>
        <v>7289464330</v>
      </c>
      <c r="E295" s="4">
        <f>TYPE(Table4[[#This Row],[ypn]])</f>
        <v>1</v>
      </c>
      <c r="F295" t="s">
        <v>728</v>
      </c>
      <c r="G295" s="4"/>
    </row>
    <row r="296" spans="1:7" ht="14.4" x14ac:dyDescent="0.3">
      <c r="A296" s="4" t="s">
        <v>668</v>
      </c>
      <c r="B296" s="4" t="str">
        <f>TRIM(Table4[[#This Row],[ypn]])</f>
        <v>FoamholderX18_2-2-B_V1</v>
      </c>
      <c r="C296" s="4" t="b">
        <f>Table4[[#This Row],[ypn]]=Table4[[#This Row],[trim]]</f>
        <v>1</v>
      </c>
      <c r="D296" s="4" t="e">
        <f>Table4[[#This Row],[ypn]]*1</f>
        <v>#VALUE!</v>
      </c>
      <c r="E296" s="4">
        <f>TYPE(Table4[[#This Row],[ypn]])</f>
        <v>2</v>
      </c>
      <c r="F296" t="s">
        <v>729</v>
      </c>
      <c r="G296" s="4"/>
    </row>
    <row r="297" spans="1:7" ht="14.4" x14ac:dyDescent="0.3">
      <c r="A297" s="4" t="s">
        <v>669</v>
      </c>
      <c r="B297" s="4" t="str">
        <f>TRIM(Table4[[#This Row],[ypn]])</f>
        <v>FOAMHOLDERX35_RHD</v>
      </c>
      <c r="C297" s="4" t="b">
        <f>Table4[[#This Row],[ypn]]=Table4[[#This Row],[trim]]</f>
        <v>1</v>
      </c>
      <c r="D297" s="4" t="e">
        <f>Table4[[#This Row],[ypn]]*1</f>
        <v>#VALUE!</v>
      </c>
      <c r="E297" s="4">
        <f>TYPE(Table4[[#This Row],[ypn]])</f>
        <v>2</v>
      </c>
      <c r="F297" t="s">
        <v>730</v>
      </c>
      <c r="G297" s="4"/>
    </row>
    <row r="298" spans="1:7" ht="14.4" x14ac:dyDescent="0.3">
      <c r="A298" s="4" t="s">
        <v>670</v>
      </c>
      <c r="B298" s="4" t="str">
        <f>TRIM(Table4[[#This Row],[ypn]])</f>
        <v>FOAMHOLDERA1261-B_V1RHD</v>
      </c>
      <c r="C298" s="4" t="b">
        <f>Table4[[#This Row],[ypn]]=Table4[[#This Row],[trim]]</f>
        <v>1</v>
      </c>
      <c r="D298" s="4" t="e">
        <f>Table4[[#This Row],[ypn]]*1</f>
        <v>#VALUE!</v>
      </c>
      <c r="E298" s="4">
        <f>TYPE(Table4[[#This Row],[ypn]])</f>
        <v>2</v>
      </c>
      <c r="F298" t="s">
        <v>731</v>
      </c>
      <c r="G298" s="4"/>
    </row>
    <row r="299" spans="1:7" ht="14.4" x14ac:dyDescent="0.3">
      <c r="A299" s="4" t="s">
        <v>226</v>
      </c>
      <c r="B299" s="4" t="str">
        <f>TRIM(Table4[[#This Row],[ypn]])</f>
        <v>7198277430+7198277530+72741954A</v>
      </c>
      <c r="C299" s="4" t="b">
        <f>Table4[[#This Row],[ypn]]=Table4[[#This Row],[trim]]</f>
        <v>1</v>
      </c>
      <c r="D299" s="4" t="e">
        <f>Table4[[#This Row],[ypn]]*1</f>
        <v>#VALUE!</v>
      </c>
      <c r="E299" s="4">
        <f>TYPE(Table4[[#This Row],[ypn]])</f>
        <v>2</v>
      </c>
      <c r="F299" t="s">
        <v>555</v>
      </c>
      <c r="G299" s="4"/>
    </row>
    <row r="300" spans="1:7" ht="14.4" x14ac:dyDescent="0.3">
      <c r="A300" s="4">
        <v>7177097330</v>
      </c>
      <c r="B300" s="4" t="str">
        <f>TRIM(Table4[[#This Row],[ypn]])</f>
        <v>7177097330</v>
      </c>
      <c r="C300" s="4" t="b">
        <f>Table4[[#This Row],[ypn]]=Table4[[#This Row],[trim]]</f>
        <v>0</v>
      </c>
      <c r="D300" s="4">
        <f>Table4[[#This Row],[ypn]]*1</f>
        <v>7177097330</v>
      </c>
      <c r="E300" s="4">
        <f>TYPE(Table4[[#This Row],[ypn]])</f>
        <v>1</v>
      </c>
      <c r="F300" t="s">
        <v>732</v>
      </c>
      <c r="G300" s="4"/>
    </row>
    <row r="301" spans="1:7" ht="14.4" x14ac:dyDescent="0.3">
      <c r="A301" s="4">
        <v>7052161430</v>
      </c>
      <c r="B301" s="4" t="str">
        <f>TRIM(Table4[[#This Row],[ypn]])</f>
        <v>7052161430</v>
      </c>
      <c r="C301" s="4" t="b">
        <f>Table4[[#This Row],[ypn]]=Table4[[#This Row],[trim]]</f>
        <v>0</v>
      </c>
      <c r="D301" s="4">
        <f>Table4[[#This Row],[ypn]]*1</f>
        <v>7052161430</v>
      </c>
      <c r="E301" s="4">
        <f>TYPE(Table4[[#This Row],[ypn]])</f>
        <v>1</v>
      </c>
      <c r="F301" t="s">
        <v>733</v>
      </c>
      <c r="G301" s="4" t="s">
        <v>1009</v>
      </c>
    </row>
    <row r="302" spans="1:7" ht="14.4" x14ac:dyDescent="0.3">
      <c r="A302" s="4">
        <v>7052161430</v>
      </c>
      <c r="B302" s="4" t="str">
        <f>TRIM(Table4[[#This Row],[ypn]])</f>
        <v>7052161430</v>
      </c>
      <c r="C302" s="4" t="b">
        <f>Table4[[#This Row],[ypn]]=Table4[[#This Row],[trim]]</f>
        <v>0</v>
      </c>
      <c r="D302" s="4">
        <f>Table4[[#This Row],[ypn]]*1</f>
        <v>7052161430</v>
      </c>
      <c r="E302" s="4">
        <f>TYPE(Table4[[#This Row],[ypn]])</f>
        <v>1</v>
      </c>
      <c r="F302" t="s">
        <v>734</v>
      </c>
      <c r="G302" s="4"/>
    </row>
    <row r="303" spans="1:7" ht="14.4" x14ac:dyDescent="0.3">
      <c r="A303" s="4">
        <v>7247761330</v>
      </c>
      <c r="B303" s="4" t="str">
        <f>TRIM(Table4[[#This Row],[ypn]])</f>
        <v>7247761330</v>
      </c>
      <c r="C303" s="4" t="b">
        <f>Table4[[#This Row],[ypn]]=Table4[[#This Row],[trim]]</f>
        <v>0</v>
      </c>
      <c r="D303" s="4">
        <f>Table4[[#This Row],[ypn]]*1</f>
        <v>7247761330</v>
      </c>
      <c r="E303" s="4">
        <f>TYPE(Table4[[#This Row],[ypn]])</f>
        <v>1</v>
      </c>
      <c r="F303" t="s">
        <v>988</v>
      </c>
      <c r="G303" s="4"/>
    </row>
    <row r="304" spans="1:7" ht="14.4" x14ac:dyDescent="0.3">
      <c r="A304" s="4">
        <v>72478572</v>
      </c>
      <c r="B304" s="4" t="str">
        <f>TRIM(Table4[[#This Row],[ypn]])</f>
        <v>72478572</v>
      </c>
      <c r="C304" s="4" t="b">
        <f>Table4[[#This Row],[ypn]]=Table4[[#This Row],[trim]]</f>
        <v>0</v>
      </c>
      <c r="D304" s="4">
        <f>Table4[[#This Row],[ypn]]*1</f>
        <v>72478572</v>
      </c>
      <c r="E304" s="4">
        <f>TYPE(Table4[[#This Row],[ypn]])</f>
        <v>1</v>
      </c>
      <c r="F304" t="s">
        <v>989</v>
      </c>
      <c r="G304" s="4"/>
    </row>
    <row r="305" spans="1:7" ht="14.4" x14ac:dyDescent="0.3">
      <c r="A305" s="4">
        <v>7147878930</v>
      </c>
      <c r="B305" s="4" t="str">
        <f>TRIM(Table4[[#This Row],[ypn]])</f>
        <v>7147878930</v>
      </c>
      <c r="C305" s="4" t="b">
        <f>Table4[[#This Row],[ypn]]=Table4[[#This Row],[trim]]</f>
        <v>0</v>
      </c>
      <c r="D305" s="4">
        <f>Table4[[#This Row],[ypn]]*1</f>
        <v>7147878930</v>
      </c>
      <c r="E305" s="4">
        <f>TYPE(Table4[[#This Row],[ypn]])</f>
        <v>1</v>
      </c>
      <c r="F305" t="s">
        <v>1011</v>
      </c>
      <c r="G305" s="4"/>
    </row>
    <row r="306" spans="1:7" ht="14.4" x14ac:dyDescent="0.3">
      <c r="A306" s="4">
        <v>7247787730</v>
      </c>
      <c r="B306" s="4" t="str">
        <f>TRIM(Table4[[#This Row],[ypn]])</f>
        <v>7247787730</v>
      </c>
      <c r="C306" s="4" t="b">
        <f>Table4[[#This Row],[ypn]]=Table4[[#This Row],[trim]]</f>
        <v>0</v>
      </c>
      <c r="D306" s="4">
        <f>Table4[[#This Row],[ypn]]*1</f>
        <v>7247787730</v>
      </c>
      <c r="E306" s="4">
        <f>TYPE(Table4[[#This Row],[ypn]])</f>
        <v>1</v>
      </c>
      <c r="F306" t="s">
        <v>991</v>
      </c>
      <c r="G306" s="4"/>
    </row>
    <row r="307" spans="1:7" ht="14.4" x14ac:dyDescent="0.3">
      <c r="A307" s="4">
        <v>7247760930</v>
      </c>
      <c r="B307" s="4" t="str">
        <f>TRIM(Table4[[#This Row],[ypn]])</f>
        <v>7247760930</v>
      </c>
      <c r="C307" s="4" t="b">
        <f>Table4[[#This Row],[ypn]]=Table4[[#This Row],[trim]]</f>
        <v>0</v>
      </c>
      <c r="D307" s="4">
        <f>Table4[[#This Row],[ypn]]*1</f>
        <v>7247760930</v>
      </c>
      <c r="E307" s="4">
        <f>TYPE(Table4[[#This Row],[ypn]])</f>
        <v>1</v>
      </c>
      <c r="F307" t="s">
        <v>992</v>
      </c>
      <c r="G307" s="4"/>
    </row>
    <row r="308" spans="1:7" ht="14.4" x14ac:dyDescent="0.3">
      <c r="A308" s="4">
        <v>7247760830</v>
      </c>
      <c r="B308" s="4" t="str">
        <f>TRIM(Table4[[#This Row],[ypn]])</f>
        <v>7247760830</v>
      </c>
      <c r="C308" s="4" t="b">
        <f>Table4[[#This Row],[ypn]]=Table4[[#This Row],[trim]]</f>
        <v>0</v>
      </c>
      <c r="D308" s="4">
        <f>Table4[[#This Row],[ypn]]*1</f>
        <v>7247760830</v>
      </c>
      <c r="E308" s="4">
        <f>TYPE(Table4[[#This Row],[ypn]])</f>
        <v>1</v>
      </c>
      <c r="F308" t="s">
        <v>993</v>
      </c>
      <c r="G308" s="4"/>
    </row>
    <row r="309" spans="1:7" ht="14.4" x14ac:dyDescent="0.3">
      <c r="A309" s="4">
        <v>7247764130</v>
      </c>
      <c r="B309" s="4" t="str">
        <f>TRIM(Table4[[#This Row],[ypn]])</f>
        <v>7247764130</v>
      </c>
      <c r="C309" s="4" t="b">
        <f>Table4[[#This Row],[ypn]]=Table4[[#This Row],[trim]]</f>
        <v>0</v>
      </c>
      <c r="D309" s="4">
        <f>Table4[[#This Row],[ypn]]*1</f>
        <v>7247764130</v>
      </c>
      <c r="E309" s="4">
        <f>TYPE(Table4[[#This Row],[ypn]])</f>
        <v>1</v>
      </c>
      <c r="F309" t="s">
        <v>994</v>
      </c>
      <c r="G309" s="4"/>
    </row>
    <row r="310" spans="1:7" ht="14.4" x14ac:dyDescent="0.3">
      <c r="A310" s="4">
        <v>7247781230</v>
      </c>
      <c r="B310" s="4" t="str">
        <f>TRIM(Table4[[#This Row],[ypn]])</f>
        <v>7247781230</v>
      </c>
      <c r="C310" s="4" t="b">
        <f>Table4[[#This Row],[ypn]]=Table4[[#This Row],[trim]]</f>
        <v>0</v>
      </c>
      <c r="D310" s="4">
        <f>Table4[[#This Row],[ypn]]*1</f>
        <v>7247781230</v>
      </c>
      <c r="E310" s="4">
        <f>TYPE(Table4[[#This Row],[ypn]])</f>
        <v>1</v>
      </c>
      <c r="F310" t="s">
        <v>995</v>
      </c>
      <c r="G310" s="4"/>
    </row>
    <row r="311" spans="1:7" ht="14.4" x14ac:dyDescent="0.3">
      <c r="A311" s="4">
        <v>7047273930</v>
      </c>
      <c r="B311" s="4" t="str">
        <f>TRIM(Table4[[#This Row],[ypn]])</f>
        <v>7047273930</v>
      </c>
      <c r="C311" s="4" t="b">
        <f>Table4[[#This Row],[ypn]]=Table4[[#This Row],[trim]]</f>
        <v>0</v>
      </c>
      <c r="D311" s="4">
        <f>Table4[[#This Row],[ypn]]*1</f>
        <v>7047273930</v>
      </c>
      <c r="E311" s="4">
        <f>TYPE(Table4[[#This Row],[ypn]])</f>
        <v>1</v>
      </c>
      <c r="F311" t="s">
        <v>996</v>
      </c>
      <c r="G311" s="4"/>
    </row>
    <row r="312" spans="1:7" ht="14.4" x14ac:dyDescent="0.3">
      <c r="A312" s="4">
        <v>7047305630</v>
      </c>
      <c r="B312" s="4" t="str">
        <f>TRIM(Table4[[#This Row],[ypn]])</f>
        <v>7047305630</v>
      </c>
      <c r="C312" s="4" t="b">
        <f>Table4[[#This Row],[ypn]]=Table4[[#This Row],[trim]]</f>
        <v>0</v>
      </c>
      <c r="D312" s="4">
        <f>Table4[[#This Row],[ypn]]*1</f>
        <v>7047305630</v>
      </c>
      <c r="E312" s="4">
        <f>TYPE(Table4[[#This Row],[ypn]])</f>
        <v>1</v>
      </c>
      <c r="F312" t="s">
        <v>997</v>
      </c>
      <c r="G312" s="4"/>
    </row>
    <row r="313" spans="1:7" ht="14.4" x14ac:dyDescent="0.3">
      <c r="A313" s="4">
        <v>7247781730</v>
      </c>
      <c r="B313" s="4" t="str">
        <f>TRIM(Table4[[#This Row],[ypn]])</f>
        <v>7247781730</v>
      </c>
      <c r="C313" s="4" t="b">
        <f>Table4[[#This Row],[ypn]]=Table4[[#This Row],[trim]]</f>
        <v>0</v>
      </c>
      <c r="D313" s="4">
        <f>Table4[[#This Row],[ypn]]*1</f>
        <v>7247781730</v>
      </c>
      <c r="E313" s="4">
        <f>TYPE(Table4[[#This Row],[ypn]])</f>
        <v>1</v>
      </c>
      <c r="F313" t="s">
        <v>998</v>
      </c>
      <c r="G313" s="4"/>
    </row>
    <row r="314" spans="1:7" ht="14.4" x14ac:dyDescent="0.3">
      <c r="A314" s="4">
        <v>7047135830</v>
      </c>
      <c r="B314" s="4" t="str">
        <f>TRIM(Table4[[#This Row],[ypn]])</f>
        <v>7047135830</v>
      </c>
      <c r="C314" s="4" t="b">
        <f>Table4[[#This Row],[ypn]]=Table4[[#This Row],[trim]]</f>
        <v>0</v>
      </c>
      <c r="D314" s="4">
        <f>Table4[[#This Row],[ypn]]*1</f>
        <v>7047135830</v>
      </c>
      <c r="E314" s="4">
        <f>TYPE(Table4[[#This Row],[ypn]])</f>
        <v>1</v>
      </c>
      <c r="F314" s="10" t="s">
        <v>999</v>
      </c>
      <c r="G314" s="4"/>
    </row>
    <row r="315" spans="1:7" ht="14.4" x14ac:dyDescent="0.3">
      <c r="A315" s="4">
        <v>7252726530</v>
      </c>
      <c r="B315" s="4" t="str">
        <f>TRIM(Table4[[#This Row],[ypn]])</f>
        <v>7252726530</v>
      </c>
      <c r="C315" s="4" t="b">
        <f>Table4[[#This Row],[ypn]]=Table4[[#This Row],[trim]]</f>
        <v>0</v>
      </c>
      <c r="D315" s="4">
        <f>Table4[[#This Row],[ypn]]*1</f>
        <v>7252726530</v>
      </c>
      <c r="E315" s="4">
        <f>TYPE(Table4[[#This Row],[ypn]])</f>
        <v>1</v>
      </c>
      <c r="F315" s="11" t="s">
        <v>1000</v>
      </c>
      <c r="G315" s="4"/>
    </row>
    <row r="316" spans="1:7" ht="14.4" x14ac:dyDescent="0.3">
      <c r="A316" s="4">
        <v>70521459</v>
      </c>
      <c r="B316" s="4" t="str">
        <f>TRIM(Table4[[#This Row],[ypn]])</f>
        <v>70521459</v>
      </c>
      <c r="C316" s="4" t="b">
        <f>Table4[[#This Row],[ypn]]=Table4[[#This Row],[trim]]</f>
        <v>0</v>
      </c>
      <c r="D316" s="4">
        <f>Table4[[#This Row],[ypn]]*1</f>
        <v>70521459</v>
      </c>
      <c r="E316" s="4">
        <f>TYPE(Table4[[#This Row],[ypn]])</f>
        <v>1</v>
      </c>
      <c r="F316" s="10" t="s">
        <v>1001</v>
      </c>
      <c r="G316" s="4"/>
    </row>
    <row r="317" spans="1:7" ht="14.4" x14ac:dyDescent="0.3">
      <c r="A317" s="4">
        <v>7252735930</v>
      </c>
      <c r="B317" s="4" t="str">
        <f>TRIM(Table4[[#This Row],[ypn]])</f>
        <v>7252735930</v>
      </c>
      <c r="C317" s="4" t="b">
        <f>Table4[[#This Row],[ypn]]=Table4[[#This Row],[trim]]</f>
        <v>0</v>
      </c>
      <c r="D317" s="4">
        <f>Table4[[#This Row],[ypn]]*1</f>
        <v>7252735930</v>
      </c>
      <c r="E317" s="4">
        <f>TYPE(Table4[[#This Row],[ypn]])</f>
        <v>1</v>
      </c>
      <c r="F317" s="12" t="s">
        <v>1002</v>
      </c>
      <c r="G317" s="4"/>
    </row>
    <row r="318" spans="1:7" ht="14.4" x14ac:dyDescent="0.3">
      <c r="A318" s="4">
        <v>7252809330</v>
      </c>
      <c r="B318" s="4" t="str">
        <f>TRIM(Table4[[#This Row],[ypn]])</f>
        <v>7252809330</v>
      </c>
      <c r="C318" s="4" t="b">
        <f>Table4[[#This Row],[ypn]]=Table4[[#This Row],[trim]]</f>
        <v>0</v>
      </c>
      <c r="D318" s="4">
        <f>Table4[[#This Row],[ypn]]*1</f>
        <v>7252809330</v>
      </c>
      <c r="E318" s="4">
        <f>TYPE(Table4[[#This Row],[ypn]])</f>
        <v>1</v>
      </c>
      <c r="F318" t="s">
        <v>1003</v>
      </c>
      <c r="G318" s="4"/>
    </row>
    <row r="319" spans="1:7" ht="14.4" x14ac:dyDescent="0.3">
      <c r="A319" s="4" t="s">
        <v>1015</v>
      </c>
      <c r="B319" s="4" t="str">
        <f>TRIM(Table4[[#This Row],[ypn]])</f>
        <v>7289811630+8117030+7274166590</v>
      </c>
      <c r="C319" s="4" t="b">
        <f>Table4[[#This Row],[ypn]]=Table4[[#This Row],[trim]]</f>
        <v>1</v>
      </c>
      <c r="D319" s="4" t="e">
        <f>Table4[[#This Row],[ypn]]*1</f>
        <v>#VALUE!</v>
      </c>
      <c r="E319" s="4">
        <f>TYPE(Table4[[#This Row],[ypn]])</f>
        <v>2</v>
      </c>
      <c r="F319" t="s">
        <v>580</v>
      </c>
      <c r="G319" s="4"/>
    </row>
    <row r="320" spans="1:7" ht="14.4" x14ac:dyDescent="0.3">
      <c r="A320" s="4" t="s">
        <v>1016</v>
      </c>
      <c r="B320" s="4" t="str">
        <f>TRIM(Table4[[#This Row],[ypn]])</f>
        <v>7187903970+904070+7274060970AE</v>
      </c>
      <c r="C320" s="4" t="b">
        <f>Table4[[#This Row],[ypn]]=Table4[[#This Row],[trim]]</f>
        <v>1</v>
      </c>
      <c r="D320" s="4" t="e">
        <f>Table4[[#This Row],[ypn]]*1</f>
        <v>#VALUE!</v>
      </c>
      <c r="E320" s="4">
        <f>TYPE(Table4[[#This Row],[ypn]])</f>
        <v>2</v>
      </c>
      <c r="F320" t="s">
        <v>1117</v>
      </c>
      <c r="G320" s="4"/>
    </row>
    <row r="321" spans="1:7" ht="14.4" x14ac:dyDescent="0.3">
      <c r="A321" s="4" t="s">
        <v>214</v>
      </c>
      <c r="B321" s="4" t="str">
        <f>TRIM(Table4[[#This Row],[ypn]])</f>
        <v>7119127830+7234894130A</v>
      </c>
      <c r="C321" s="4" t="b">
        <f>Table4[[#This Row],[ypn]]=Table4[[#This Row],[trim]]</f>
        <v>1</v>
      </c>
      <c r="D321" s="4" t="e">
        <f>Table4[[#This Row],[ypn]]*1</f>
        <v>#VALUE!</v>
      </c>
      <c r="E321" s="4">
        <f>TYPE(Table4[[#This Row],[ypn]])</f>
        <v>2</v>
      </c>
      <c r="F321" t="s">
        <v>520</v>
      </c>
      <c r="G321" s="4"/>
    </row>
    <row r="322" spans="1:7" ht="14.4" x14ac:dyDescent="0.3">
      <c r="A322" s="4" t="s">
        <v>651</v>
      </c>
      <c r="B322" s="4" t="str">
        <f>TRIM(Table4[[#This Row],[ypn]])</f>
        <v>7298341860+7297341730</v>
      </c>
      <c r="C322" s="4" t="b">
        <f>Table4[[#This Row],[ypn]]=Table4[[#This Row],[trim]]</f>
        <v>1</v>
      </c>
      <c r="D322" s="4" t="e">
        <f>Table4[[#This Row],[ypn]]*1</f>
        <v>#VALUE!</v>
      </c>
      <c r="E322" s="4">
        <f>TYPE(Table4[[#This Row],[ypn]])</f>
        <v>2</v>
      </c>
      <c r="F322" t="s">
        <v>582</v>
      </c>
      <c r="G322" s="4"/>
    </row>
    <row r="323" spans="1:7" ht="14.4" x14ac:dyDescent="0.3">
      <c r="A323" s="4">
        <v>7119626030</v>
      </c>
      <c r="B323" s="4" t="str">
        <f>TRIM(Table4[[#This Row],[ypn]])</f>
        <v>7119626030</v>
      </c>
      <c r="C323" s="4" t="b">
        <f>Table4[[#This Row],[ypn]]=Table4[[#This Row],[trim]]</f>
        <v>0</v>
      </c>
      <c r="D323" s="4">
        <f>Table4[[#This Row],[ypn]]*1</f>
        <v>7119626030</v>
      </c>
      <c r="E323" s="4">
        <f>TYPE(Table4[[#This Row],[ypn]])</f>
        <v>1</v>
      </c>
      <c r="F323" t="s">
        <v>1118</v>
      </c>
      <c r="G323" s="4"/>
    </row>
    <row r="324" spans="1:7" ht="14.4" x14ac:dyDescent="0.3">
      <c r="A324" s="4" t="s">
        <v>1017</v>
      </c>
      <c r="B324" s="4" t="str">
        <f>TRIM(Table4[[#This Row],[ypn]])</f>
        <v>7289063430E</v>
      </c>
      <c r="C324" s="4" t="b">
        <f>Table4[[#This Row],[ypn]]=Table4[[#This Row],[trim]]</f>
        <v>1</v>
      </c>
      <c r="D324" s="4" t="e">
        <f>Table4[[#This Row],[ypn]]*1</f>
        <v>#VALUE!</v>
      </c>
      <c r="E324" s="4">
        <f>TYPE(Table4[[#This Row],[ypn]])</f>
        <v>2</v>
      </c>
      <c r="F324" t="s">
        <v>1119</v>
      </c>
      <c r="G324" s="4"/>
    </row>
    <row r="325" spans="1:7" ht="14.4" x14ac:dyDescent="0.3">
      <c r="A325" s="4" t="s">
        <v>1018</v>
      </c>
      <c r="B325" s="4" t="str">
        <f>TRIM(Table4[[#This Row],[ypn]])</f>
        <v>7189730210+7274146260AE</v>
      </c>
      <c r="C325" s="4" t="b">
        <f>Table4[[#This Row],[ypn]]=Table4[[#This Row],[trim]]</f>
        <v>1</v>
      </c>
      <c r="D325" s="4" t="e">
        <f>Table4[[#This Row],[ypn]]*1</f>
        <v>#VALUE!</v>
      </c>
      <c r="E325" s="4">
        <f>TYPE(Table4[[#This Row],[ypn]])</f>
        <v>2</v>
      </c>
      <c r="F325" t="s">
        <v>1120</v>
      </c>
      <c r="G325" s="4"/>
    </row>
    <row r="326" spans="1:7" ht="14.4" x14ac:dyDescent="0.3">
      <c r="A326" s="4" t="s">
        <v>1019</v>
      </c>
      <c r="B326" s="4" t="str">
        <f>TRIM(Table4[[#This Row],[ypn]])</f>
        <v>7198914830+7234497030E</v>
      </c>
      <c r="C326" s="4" t="b">
        <f>Table4[[#This Row],[ypn]]=Table4[[#This Row],[trim]]</f>
        <v>1</v>
      </c>
      <c r="D326" s="4" t="e">
        <f>Table4[[#This Row],[ypn]]*1</f>
        <v>#VALUE!</v>
      </c>
      <c r="E326" s="4">
        <f>TYPE(Table4[[#This Row],[ypn]])</f>
        <v>2</v>
      </c>
      <c r="F326" t="s">
        <v>562</v>
      </c>
      <c r="G326" s="4"/>
    </row>
    <row r="327" spans="1:7" ht="14.4" x14ac:dyDescent="0.3">
      <c r="A327" s="4" t="s">
        <v>1020</v>
      </c>
      <c r="B327" s="4" t="str">
        <f>TRIM(Table4[[#This Row],[ypn]])</f>
        <v>7119131620E</v>
      </c>
      <c r="C327" s="4" t="b">
        <f>Table4[[#This Row],[ypn]]=Table4[[#This Row],[trim]]</f>
        <v>1</v>
      </c>
      <c r="D327" s="4" t="e">
        <f>Table4[[#This Row],[ypn]]*1</f>
        <v>#VALUE!</v>
      </c>
      <c r="E327" s="4">
        <f>TYPE(Table4[[#This Row],[ypn]])</f>
        <v>2</v>
      </c>
      <c r="F327" t="s">
        <v>1121</v>
      </c>
      <c r="G327" s="4"/>
    </row>
    <row r="328" spans="1:7" ht="14.4" x14ac:dyDescent="0.3">
      <c r="A328" s="4" t="s">
        <v>1021</v>
      </c>
      <c r="B328" s="4" t="str">
        <f>TRIM(Table4[[#This Row],[ypn]])</f>
        <v>7289405830E</v>
      </c>
      <c r="C328" s="4" t="b">
        <f>Table4[[#This Row],[ypn]]=Table4[[#This Row],[trim]]</f>
        <v>1</v>
      </c>
      <c r="D328" s="4" t="e">
        <f>Table4[[#This Row],[ypn]]*1</f>
        <v>#VALUE!</v>
      </c>
      <c r="E328" s="4">
        <f>TYPE(Table4[[#This Row],[ypn]])</f>
        <v>2</v>
      </c>
      <c r="F328" t="s">
        <v>1122</v>
      </c>
      <c r="G328" s="4"/>
    </row>
    <row r="329" spans="1:7" ht="14.4" x14ac:dyDescent="0.3">
      <c r="A329" s="4" t="s">
        <v>1022</v>
      </c>
      <c r="B329" s="4" t="str">
        <f>TRIM(Table4[[#This Row],[ypn]])</f>
        <v>7219622130E</v>
      </c>
      <c r="C329" s="4" t="b">
        <f>Table4[[#This Row],[ypn]]=Table4[[#This Row],[trim]]</f>
        <v>1</v>
      </c>
      <c r="D329" s="4" t="e">
        <f>Table4[[#This Row],[ypn]]*1</f>
        <v>#VALUE!</v>
      </c>
      <c r="E329" s="4">
        <f>TYPE(Table4[[#This Row],[ypn]])</f>
        <v>2</v>
      </c>
      <c r="F329" t="s">
        <v>1123</v>
      </c>
      <c r="G329" s="4"/>
    </row>
    <row r="330" spans="1:7" ht="14.4" x14ac:dyDescent="0.3">
      <c r="A330" s="4" t="s">
        <v>1023</v>
      </c>
      <c r="B330" s="4" t="str">
        <f>TRIM(Table4[[#This Row],[ypn]])</f>
        <v>7119146730E</v>
      </c>
      <c r="C330" s="4" t="b">
        <f>Table4[[#This Row],[ypn]]=Table4[[#This Row],[trim]]</f>
        <v>1</v>
      </c>
      <c r="D330" s="4" t="e">
        <f>Table4[[#This Row],[ypn]]*1</f>
        <v>#VALUE!</v>
      </c>
      <c r="E330" s="4">
        <f>TYPE(Table4[[#This Row],[ypn]])</f>
        <v>2</v>
      </c>
      <c r="F330" t="s">
        <v>1124</v>
      </c>
      <c r="G330" s="4"/>
    </row>
    <row r="331" spans="1:7" ht="14.4" x14ac:dyDescent="0.3">
      <c r="A331" s="4" t="s">
        <v>1024</v>
      </c>
      <c r="B331" s="4" t="str">
        <f>TRIM(Table4[[#This Row],[ypn]])</f>
        <v>71196401E</v>
      </c>
      <c r="C331" s="4" t="b">
        <f>Table4[[#This Row],[ypn]]=Table4[[#This Row],[trim]]</f>
        <v>1</v>
      </c>
      <c r="D331" s="4" t="e">
        <f>Table4[[#This Row],[ypn]]*1</f>
        <v>#VALUE!</v>
      </c>
      <c r="E331" s="4">
        <f>TYPE(Table4[[#This Row],[ypn]])</f>
        <v>2</v>
      </c>
      <c r="F331" t="s">
        <v>1125</v>
      </c>
      <c r="G331" s="4"/>
    </row>
    <row r="332" spans="1:7" ht="14.4" x14ac:dyDescent="0.3">
      <c r="A332" s="4" t="s">
        <v>1025</v>
      </c>
      <c r="B332" s="4" t="str">
        <f>TRIM(Table4[[#This Row],[ypn]])</f>
        <v>7119172930E</v>
      </c>
      <c r="C332" s="4" t="b">
        <f>Table4[[#This Row],[ypn]]=Table4[[#This Row],[trim]]</f>
        <v>1</v>
      </c>
      <c r="D332" s="4" t="e">
        <f>Table4[[#This Row],[ypn]]*1</f>
        <v>#VALUE!</v>
      </c>
      <c r="E332" s="4">
        <f>TYPE(Table4[[#This Row],[ypn]])</f>
        <v>2</v>
      </c>
      <c r="F332" t="s">
        <v>1126</v>
      </c>
      <c r="G332" s="4"/>
    </row>
    <row r="333" spans="1:7" ht="14.4" x14ac:dyDescent="0.3">
      <c r="A333" s="4" t="s">
        <v>1026</v>
      </c>
      <c r="B333" s="4" t="str">
        <f>TRIM(Table4[[#This Row],[ypn]])</f>
        <v>7189663170E</v>
      </c>
      <c r="C333" s="4" t="b">
        <f>Table4[[#This Row],[ypn]]=Table4[[#This Row],[trim]]</f>
        <v>1</v>
      </c>
      <c r="D333" s="4" t="e">
        <f>Table4[[#This Row],[ypn]]*1</f>
        <v>#VALUE!</v>
      </c>
      <c r="E333" s="4">
        <f>TYPE(Table4[[#This Row],[ypn]])</f>
        <v>2</v>
      </c>
      <c r="F333" t="s">
        <v>1127</v>
      </c>
      <c r="G333" s="4"/>
    </row>
    <row r="334" spans="1:7" ht="14.4" x14ac:dyDescent="0.3">
      <c r="A334" s="4" t="s">
        <v>1027</v>
      </c>
      <c r="B334" s="4" t="str">
        <f>TRIM(Table4[[#This Row],[ypn]])</f>
        <v>7289405130E</v>
      </c>
      <c r="C334" s="4" t="b">
        <f>Table4[[#This Row],[ypn]]=Table4[[#This Row],[trim]]</f>
        <v>1</v>
      </c>
      <c r="D334" s="4" t="e">
        <f>Table4[[#This Row],[ypn]]*1</f>
        <v>#VALUE!</v>
      </c>
      <c r="E334" s="4">
        <f>TYPE(Table4[[#This Row],[ypn]])</f>
        <v>2</v>
      </c>
      <c r="F334" t="s">
        <v>1128</v>
      </c>
      <c r="G334" s="4"/>
    </row>
    <row r="335" spans="1:7" ht="14.4" x14ac:dyDescent="0.3">
      <c r="A335" s="4" t="s">
        <v>1028</v>
      </c>
      <c r="B335" s="4" t="str">
        <f>TRIM(Table4[[#This Row],[ypn]])</f>
        <v>71191993E</v>
      </c>
      <c r="C335" s="4" t="b">
        <f>Table4[[#This Row],[ypn]]=Table4[[#This Row],[trim]]</f>
        <v>1</v>
      </c>
      <c r="D335" s="4" t="e">
        <f>Table4[[#This Row],[ypn]]*1</f>
        <v>#VALUE!</v>
      </c>
      <c r="E335" s="4">
        <f>TYPE(Table4[[#This Row],[ypn]])</f>
        <v>2</v>
      </c>
      <c r="F335" t="s">
        <v>1129</v>
      </c>
      <c r="G335" s="4"/>
    </row>
    <row r="336" spans="1:7" ht="14.4" x14ac:dyDescent="0.3">
      <c r="A336" s="4" t="s">
        <v>1029</v>
      </c>
      <c r="B336" s="4" t="str">
        <f>TRIM(Table4[[#This Row],[ypn]])</f>
        <v>7119131530E</v>
      </c>
      <c r="C336" s="4" t="b">
        <f>Table4[[#This Row],[ypn]]=Table4[[#This Row],[trim]]</f>
        <v>1</v>
      </c>
      <c r="D336" s="4" t="e">
        <f>Table4[[#This Row],[ypn]]*1</f>
        <v>#VALUE!</v>
      </c>
      <c r="E336" s="4">
        <f>TYPE(Table4[[#This Row],[ypn]])</f>
        <v>2</v>
      </c>
      <c r="F336" t="s">
        <v>1130</v>
      </c>
      <c r="G336" s="4"/>
    </row>
    <row r="337" spans="1:7" ht="14.4" x14ac:dyDescent="0.3">
      <c r="A337" s="4" t="s">
        <v>1030</v>
      </c>
      <c r="B337" s="4" t="str">
        <f>TRIM(Table4[[#This Row],[ypn]])</f>
        <v>7119163630E</v>
      </c>
      <c r="C337" s="4" t="b">
        <f>Table4[[#This Row],[ypn]]=Table4[[#This Row],[trim]]</f>
        <v>1</v>
      </c>
      <c r="D337" s="4" t="e">
        <f>Table4[[#This Row],[ypn]]*1</f>
        <v>#VALUE!</v>
      </c>
      <c r="E337" s="4">
        <f>TYPE(Table4[[#This Row],[ypn]])</f>
        <v>2</v>
      </c>
      <c r="F337" t="s">
        <v>1131</v>
      </c>
      <c r="G337" s="4"/>
    </row>
    <row r="338" spans="1:7" ht="14.4" x14ac:dyDescent="0.3">
      <c r="A338" s="4" t="s">
        <v>1031</v>
      </c>
      <c r="B338" s="4" t="str">
        <f>TRIM(Table4[[#This Row],[ypn]])</f>
        <v>7119639830E</v>
      </c>
      <c r="C338" s="4" t="b">
        <f>Table4[[#This Row],[ypn]]=Table4[[#This Row],[trim]]</f>
        <v>1</v>
      </c>
      <c r="D338" s="4" t="e">
        <f>Table4[[#This Row],[ypn]]*1</f>
        <v>#VALUE!</v>
      </c>
      <c r="E338" s="4">
        <f>TYPE(Table4[[#This Row],[ypn]])</f>
        <v>2</v>
      </c>
      <c r="F338" t="s">
        <v>1132</v>
      </c>
      <c r="G338" s="4"/>
    </row>
    <row r="339" spans="1:7" ht="14.4" x14ac:dyDescent="0.3">
      <c r="A339" s="4" t="s">
        <v>228</v>
      </c>
      <c r="B339" s="4" t="str">
        <f>TRIM(Table4[[#This Row],[ypn]])</f>
        <v>7198774930+7198947430+72742908A</v>
      </c>
      <c r="C339" s="4" t="b">
        <f>Table4[[#This Row],[ypn]]=Table4[[#This Row],[trim]]</f>
        <v>1</v>
      </c>
      <c r="D339" s="4" t="e">
        <f>Table4[[#This Row],[ypn]]*1</f>
        <v>#VALUE!</v>
      </c>
      <c r="E339" s="4">
        <f>TYPE(Table4[[#This Row],[ypn]])</f>
        <v>2</v>
      </c>
      <c r="F339" t="s">
        <v>560</v>
      </c>
      <c r="G339" s="4"/>
    </row>
    <row r="340" spans="1:7" ht="14.4" x14ac:dyDescent="0.3">
      <c r="A340" s="4" t="s">
        <v>1032</v>
      </c>
      <c r="B340" s="4" t="str">
        <f>TRIM(Table4[[#This Row],[ypn]])</f>
        <v>7198762530+7198600430+274261190A</v>
      </c>
      <c r="C340" s="4" t="b">
        <f>Table4[[#This Row],[ypn]]=Table4[[#This Row],[trim]]</f>
        <v>1</v>
      </c>
      <c r="D340" s="4" t="e">
        <f>Table4[[#This Row],[ypn]]*1</f>
        <v>#VALUE!</v>
      </c>
      <c r="E340" s="4">
        <f>TYPE(Table4[[#This Row],[ypn]])</f>
        <v>2</v>
      </c>
      <c r="F340" t="s">
        <v>557</v>
      </c>
      <c r="G340" s="4"/>
    </row>
    <row r="341" spans="1:7" ht="14.4" x14ac:dyDescent="0.3">
      <c r="A341" s="4" t="s">
        <v>268</v>
      </c>
      <c r="B341" s="4" t="str">
        <f>TRIM(Table4[[#This Row],[ypn]])</f>
        <v>7198810230+72742686A</v>
      </c>
      <c r="C341" s="4" t="b">
        <f>Table4[[#This Row],[ypn]]=Table4[[#This Row],[trim]]</f>
        <v>1</v>
      </c>
      <c r="D341" s="4" t="e">
        <f>Table4[[#This Row],[ypn]]*1</f>
        <v>#VALUE!</v>
      </c>
      <c r="E341" s="4">
        <f>TYPE(Table4[[#This Row],[ypn]])</f>
        <v>2</v>
      </c>
      <c r="F341" t="s">
        <v>1133</v>
      </c>
      <c r="G341" s="4"/>
    </row>
    <row r="342" spans="1:7" ht="14.4" x14ac:dyDescent="0.3">
      <c r="A342" s="4">
        <v>7297913630</v>
      </c>
      <c r="B342" s="4" t="str">
        <f>TRIM(Table4[[#This Row],[ypn]])</f>
        <v>7297913630</v>
      </c>
      <c r="C342" s="4" t="b">
        <f>Table4[[#This Row],[ypn]]=Table4[[#This Row],[trim]]</f>
        <v>0</v>
      </c>
      <c r="D342" s="4">
        <f>Table4[[#This Row],[ypn]]*1</f>
        <v>7297913630</v>
      </c>
      <c r="E342" s="4">
        <f>TYPE(Table4[[#This Row],[ypn]])</f>
        <v>1</v>
      </c>
      <c r="F342" t="s">
        <v>488</v>
      </c>
      <c r="G342" s="4"/>
    </row>
    <row r="343" spans="1:7" ht="14.4" x14ac:dyDescent="0.3">
      <c r="A343" s="4" t="s">
        <v>1033</v>
      </c>
      <c r="B343" s="4" t="str">
        <f>TRIM(Table4[[#This Row],[ypn]])</f>
        <v>72988085E</v>
      </c>
      <c r="C343" s="4" t="b">
        <f>Table4[[#This Row],[ypn]]=Table4[[#This Row],[trim]]</f>
        <v>1</v>
      </c>
      <c r="D343" s="4" t="e">
        <f>Table4[[#This Row],[ypn]]*1</f>
        <v>#VALUE!</v>
      </c>
      <c r="E343" s="4">
        <f>TYPE(Table4[[#This Row],[ypn]])</f>
        <v>2</v>
      </c>
      <c r="F343" t="s">
        <v>1134</v>
      </c>
      <c r="G343" s="4"/>
    </row>
    <row r="344" spans="1:7" ht="14.4" x14ac:dyDescent="0.3">
      <c r="A344" s="4" t="s">
        <v>1034</v>
      </c>
      <c r="B344" s="4" t="str">
        <f>TRIM(Table4[[#This Row],[ypn]])</f>
        <v>7298913730E</v>
      </c>
      <c r="C344" s="4" t="b">
        <f>Table4[[#This Row],[ypn]]=Table4[[#This Row],[trim]]</f>
        <v>1</v>
      </c>
      <c r="D344" s="4" t="e">
        <f>Table4[[#This Row],[ypn]]*1</f>
        <v>#VALUE!</v>
      </c>
      <c r="E344" s="4">
        <f>TYPE(Table4[[#This Row],[ypn]])</f>
        <v>2</v>
      </c>
      <c r="F344" t="s">
        <v>710</v>
      </c>
      <c r="G344" s="4"/>
    </row>
    <row r="345" spans="1:7" ht="14.4" x14ac:dyDescent="0.3">
      <c r="A345" s="4" t="s">
        <v>1035</v>
      </c>
      <c r="B345" s="4" t="str">
        <f>TRIM(Table4[[#This Row],[ypn]])</f>
        <v>7271007030AE</v>
      </c>
      <c r="C345" s="4" t="b">
        <f>Table4[[#This Row],[ypn]]=Table4[[#This Row],[trim]]</f>
        <v>1</v>
      </c>
      <c r="D345" s="4" t="e">
        <f>Table4[[#This Row],[ypn]]*1</f>
        <v>#VALUE!</v>
      </c>
      <c r="E345" s="4">
        <f>TYPE(Table4[[#This Row],[ypn]])</f>
        <v>2</v>
      </c>
      <c r="F345" t="s">
        <v>566</v>
      </c>
      <c r="G345" s="4"/>
    </row>
    <row r="346" spans="1:7" ht="14.4" x14ac:dyDescent="0.3">
      <c r="A346" s="4" t="s">
        <v>1036</v>
      </c>
      <c r="B346" s="4" t="str">
        <f>TRIM(Table4[[#This Row],[ypn]])</f>
        <v>7289488430+7274297830E</v>
      </c>
      <c r="C346" s="4" t="b">
        <f>Table4[[#This Row],[ypn]]=Table4[[#This Row],[trim]]</f>
        <v>1</v>
      </c>
      <c r="D346" s="4" t="e">
        <f>Table4[[#This Row],[ypn]]*1</f>
        <v>#VALUE!</v>
      </c>
      <c r="E346" s="4">
        <f>TYPE(Table4[[#This Row],[ypn]])</f>
        <v>2</v>
      </c>
      <c r="F346" t="s">
        <v>574</v>
      </c>
      <c r="G346" s="4"/>
    </row>
    <row r="347" spans="1:7" ht="14.4" x14ac:dyDescent="0.3">
      <c r="A347" s="4">
        <v>7289464330</v>
      </c>
      <c r="B347" s="4" t="str">
        <f>TRIM(Table4[[#This Row],[ypn]])</f>
        <v>7289464330</v>
      </c>
      <c r="C347" s="4" t="b">
        <f>Table4[[#This Row],[ypn]]=Table4[[#This Row],[trim]]</f>
        <v>0</v>
      </c>
      <c r="D347" s="4">
        <f>Table4[[#This Row],[ypn]]*1</f>
        <v>7289464330</v>
      </c>
      <c r="E347" s="4">
        <f>TYPE(Table4[[#This Row],[ypn]])</f>
        <v>1</v>
      </c>
      <c r="F347" t="s">
        <v>481</v>
      </c>
      <c r="G347" s="4"/>
    </row>
    <row r="348" spans="1:7" ht="14.4" x14ac:dyDescent="0.3">
      <c r="A348" s="4" t="s">
        <v>1037</v>
      </c>
      <c r="B348" s="4" t="str">
        <f>TRIM(Table4[[#This Row],[ypn]])</f>
        <v>7183288530+7183288630+72742612AE</v>
      </c>
      <c r="C348" s="4" t="b">
        <f>Table4[[#This Row],[ypn]]=Table4[[#This Row],[trim]]</f>
        <v>1</v>
      </c>
      <c r="D348" s="4" t="e">
        <f>Table4[[#This Row],[ypn]]*1</f>
        <v>#VALUE!</v>
      </c>
      <c r="E348" s="4">
        <f>TYPE(Table4[[#This Row],[ypn]])</f>
        <v>2</v>
      </c>
      <c r="F348" t="s">
        <v>546</v>
      </c>
      <c r="G348" s="4"/>
    </row>
    <row r="349" spans="1:7" ht="14.4" x14ac:dyDescent="0.3">
      <c r="A349" s="4" t="s">
        <v>1038</v>
      </c>
      <c r="B349" s="4" t="str">
        <f>TRIM(Table4[[#This Row],[ypn]])</f>
        <v>7278242730+173825540+174342530AE(X1PO3875+X1PO3876+X1PO3877A)</v>
      </c>
      <c r="C349" s="4" t="b">
        <f>Table4[[#This Row],[ypn]]=Table4[[#This Row],[trim]]</f>
        <v>1</v>
      </c>
      <c r="D349" s="4" t="e">
        <f>Table4[[#This Row],[ypn]]*1</f>
        <v>#VALUE!</v>
      </c>
      <c r="E349" s="4">
        <f>TYPE(Table4[[#This Row],[ypn]])</f>
        <v>2</v>
      </c>
      <c r="F349" t="s">
        <v>569</v>
      </c>
      <c r="G349" s="4"/>
    </row>
    <row r="350" spans="1:7" ht="14.4" x14ac:dyDescent="0.3">
      <c r="A350" s="4" t="s">
        <v>1039</v>
      </c>
      <c r="B350" s="4" t="str">
        <f>TRIM(Table4[[#This Row],[ypn]])</f>
        <v>7119670830+7274290770AE</v>
      </c>
      <c r="C350" s="4" t="b">
        <f>Table4[[#This Row],[ypn]]=Table4[[#This Row],[trim]]</f>
        <v>1</v>
      </c>
      <c r="D350" s="4" t="e">
        <f>Table4[[#This Row],[ypn]]*1</f>
        <v>#VALUE!</v>
      </c>
      <c r="E350" s="4">
        <f>TYPE(Table4[[#This Row],[ypn]])</f>
        <v>2</v>
      </c>
      <c r="G350" s="4"/>
    </row>
    <row r="351" spans="1:7" ht="14.4" x14ac:dyDescent="0.3">
      <c r="A351" s="4" t="s">
        <v>1040</v>
      </c>
      <c r="B351" s="4" t="str">
        <f>TRIM(Table4[[#This Row],[ypn]])</f>
        <v>7289811630+7289811730+72741551AE</v>
      </c>
      <c r="C351" s="4" t="b">
        <f>Table4[[#This Row],[ypn]]=Table4[[#This Row],[trim]]</f>
        <v>1</v>
      </c>
      <c r="D351" s="4" t="e">
        <f>Table4[[#This Row],[ypn]]*1</f>
        <v>#VALUE!</v>
      </c>
      <c r="E351" s="4">
        <f>TYPE(Table4[[#This Row],[ypn]])</f>
        <v>2</v>
      </c>
      <c r="F351" t="s">
        <v>577</v>
      </c>
      <c r="G351" s="4"/>
    </row>
    <row r="352" spans="1:7" ht="14.4" x14ac:dyDescent="0.3">
      <c r="A352" s="4" t="s">
        <v>1041</v>
      </c>
      <c r="B352" s="4" t="str">
        <f>TRIM(Table4[[#This Row],[ypn]])</f>
        <v>7289811630/811730+7274155220AE</v>
      </c>
      <c r="C352" s="4" t="b">
        <f>Table4[[#This Row],[ypn]]=Table4[[#This Row],[trim]]</f>
        <v>1</v>
      </c>
      <c r="D352" s="4" t="e">
        <f>Table4[[#This Row],[ypn]]*1</f>
        <v>#VALUE!</v>
      </c>
      <c r="E352" s="4">
        <f>TYPE(Table4[[#This Row],[ypn]])</f>
        <v>2</v>
      </c>
      <c r="F352" t="s">
        <v>578</v>
      </c>
      <c r="G352" s="4"/>
    </row>
    <row r="353" spans="1:7" ht="14.4" x14ac:dyDescent="0.3">
      <c r="A353" s="4" t="s">
        <v>1042</v>
      </c>
      <c r="B353" s="4" t="str">
        <f>TRIM(Table4[[#This Row],[ypn]])</f>
        <v>7119648630+7274171430AE</v>
      </c>
      <c r="C353" s="4" t="b">
        <f>Table4[[#This Row],[ypn]]=Table4[[#This Row],[trim]]</f>
        <v>1</v>
      </c>
      <c r="D353" s="4" t="e">
        <f>Table4[[#This Row],[ypn]]*1</f>
        <v>#VALUE!</v>
      </c>
      <c r="E353" s="4">
        <f>TYPE(Table4[[#This Row],[ypn]])</f>
        <v>2</v>
      </c>
      <c r="F353" t="s">
        <v>527</v>
      </c>
      <c r="G353" s="4"/>
    </row>
    <row r="354" spans="1:7" x14ac:dyDescent="0.3">
      <c r="A354" s="7" t="s">
        <v>1043</v>
      </c>
      <c r="B354" s="52" t="str">
        <f>TRIM(Table4[[#This Row],[ypn]])</f>
        <v>71782472E</v>
      </c>
      <c r="C354" s="52" t="b">
        <f>Table4[[#This Row],[ypn]]=Table4[[#This Row],[trim]]</f>
        <v>1</v>
      </c>
      <c r="D354" s="52" t="e">
        <f>Table4[[#This Row],[ypn]]*1</f>
        <v>#VALUE!</v>
      </c>
      <c r="E354" s="52">
        <f>TYPE(Table4[[#This Row],[ypn]])</f>
        <v>2</v>
      </c>
      <c r="F354" t="s">
        <v>684</v>
      </c>
      <c r="G354" s="4"/>
    </row>
    <row r="355" spans="1:7" ht="14.4" x14ac:dyDescent="0.3">
      <c r="A355" s="6" t="s">
        <v>217</v>
      </c>
      <c r="B355" s="4" t="str">
        <f>TRIM(Table4[[#This Row],[ypn]])</f>
        <v>7119670830+7274290770A</v>
      </c>
      <c r="C355" s="4" t="b">
        <f>Table4[[#This Row],[ypn]]=Table4[[#This Row],[trim]]</f>
        <v>1</v>
      </c>
      <c r="D355" s="4" t="e">
        <f>Table4[[#This Row],[ypn]]*1</f>
        <v>#VALUE!</v>
      </c>
      <c r="E355" s="4">
        <f>TYPE(Table4[[#This Row],[ypn]])</f>
        <v>2</v>
      </c>
      <c r="F355" t="s">
        <v>528</v>
      </c>
      <c r="G355" s="4"/>
    </row>
    <row r="356" spans="1:7" ht="14.4" x14ac:dyDescent="0.3">
      <c r="A356" s="6" t="s">
        <v>229</v>
      </c>
      <c r="B356" s="4" t="str">
        <f>TRIM(Table4[[#This Row],[ypn]])</f>
        <v>7198809140+7274268930A</v>
      </c>
      <c r="C356" s="4" t="b">
        <f>Table4[[#This Row],[ypn]]=Table4[[#This Row],[trim]]</f>
        <v>1</v>
      </c>
      <c r="D356" s="4" t="e">
        <f>Table4[[#This Row],[ypn]]*1</f>
        <v>#VALUE!</v>
      </c>
      <c r="E356" s="4">
        <f>TYPE(Table4[[#This Row],[ypn]])</f>
        <v>2</v>
      </c>
      <c r="F356" t="s">
        <v>1135</v>
      </c>
      <c r="G356" s="4"/>
    </row>
    <row r="357" spans="1:7" ht="14.4" x14ac:dyDescent="0.3">
      <c r="A357" s="6" t="s">
        <v>220</v>
      </c>
      <c r="B357" s="4" t="str">
        <f>TRIM(Table4[[#This Row],[ypn]])</f>
        <v>7185173030+7185173130+72742608A</v>
      </c>
      <c r="C357" s="4" t="b">
        <f>Table4[[#This Row],[ypn]]=Table4[[#This Row],[trim]]</f>
        <v>1</v>
      </c>
      <c r="D357" s="4" t="e">
        <f>Table4[[#This Row],[ypn]]*1</f>
        <v>#VALUE!</v>
      </c>
      <c r="E357" s="4">
        <f>TYPE(Table4[[#This Row],[ypn]])</f>
        <v>2</v>
      </c>
      <c r="F357" t="s">
        <v>548</v>
      </c>
      <c r="G357" s="4"/>
    </row>
    <row r="358" spans="1:7" ht="14.4" x14ac:dyDescent="0.3">
      <c r="A358" s="6" t="s">
        <v>1044</v>
      </c>
      <c r="B358" s="4" t="str">
        <f>TRIM(Table4[[#This Row],[ypn]])</f>
        <v>7119101830+7274131020AE</v>
      </c>
      <c r="C358" s="4" t="b">
        <f>Table4[[#This Row],[ypn]]=Table4[[#This Row],[trim]]</f>
        <v>1</v>
      </c>
      <c r="D358" s="4" t="e">
        <f>Table4[[#This Row],[ypn]]*1</f>
        <v>#VALUE!</v>
      </c>
      <c r="E358" s="4">
        <f>TYPE(Table4[[#This Row],[ypn]])</f>
        <v>2</v>
      </c>
      <c r="F358" t="s">
        <v>518</v>
      </c>
      <c r="G358" s="4"/>
    </row>
    <row r="359" spans="1:7" ht="14.4" x14ac:dyDescent="0.3">
      <c r="A359" s="6" t="s">
        <v>1045</v>
      </c>
      <c r="B359" s="4" t="str">
        <f>TRIM(Table4[[#This Row],[ypn]])</f>
        <v>7119131260E</v>
      </c>
      <c r="C359" s="4" t="b">
        <f>Table4[[#This Row],[ypn]]=Table4[[#This Row],[trim]]</f>
        <v>1</v>
      </c>
      <c r="D359" s="4" t="e">
        <f>Table4[[#This Row],[ypn]]*1</f>
        <v>#VALUE!</v>
      </c>
      <c r="E359" s="4">
        <f>TYPE(Table4[[#This Row],[ypn]])</f>
        <v>2</v>
      </c>
      <c r="F359" t="s">
        <v>448</v>
      </c>
      <c r="G359" s="4"/>
    </row>
    <row r="360" spans="1:7" ht="14.4" x14ac:dyDescent="0.3">
      <c r="A360" s="6" t="s">
        <v>1046</v>
      </c>
      <c r="B360" s="4" t="str">
        <f>TRIM(Table4[[#This Row],[ypn]])</f>
        <v>7271007230AE</v>
      </c>
      <c r="C360" s="4" t="b">
        <f>Table4[[#This Row],[ypn]]=Table4[[#This Row],[trim]]</f>
        <v>1</v>
      </c>
      <c r="D360" s="4" t="e">
        <f>Table4[[#This Row],[ypn]]*1</f>
        <v>#VALUE!</v>
      </c>
      <c r="E360" s="4">
        <f>TYPE(Table4[[#This Row],[ypn]])</f>
        <v>2</v>
      </c>
      <c r="F360" t="s">
        <v>727</v>
      </c>
      <c r="G360" s="4"/>
    </row>
    <row r="361" spans="1:7" ht="14.4" x14ac:dyDescent="0.3">
      <c r="A361" s="6" t="s">
        <v>1047</v>
      </c>
      <c r="B361" s="4" t="str">
        <f>TRIM(Table4[[#This Row],[ypn]])</f>
        <v>7119668820E</v>
      </c>
      <c r="C361" s="4" t="b">
        <f>Table4[[#This Row],[ypn]]=Table4[[#This Row],[trim]]</f>
        <v>1</v>
      </c>
      <c r="D361" s="4" t="e">
        <f>Table4[[#This Row],[ypn]]*1</f>
        <v>#VALUE!</v>
      </c>
      <c r="E361" s="4">
        <f>TYPE(Table4[[#This Row],[ypn]])</f>
        <v>2</v>
      </c>
      <c r="F361" t="s">
        <v>456</v>
      </c>
      <c r="G361" s="4"/>
    </row>
    <row r="362" spans="1:7" ht="14.4" x14ac:dyDescent="0.3">
      <c r="A362" s="6" t="s">
        <v>1048</v>
      </c>
      <c r="B362" s="4" t="str">
        <f>TRIM(Table4[[#This Row],[ypn]])</f>
        <v>7119140530+7119140640+72711359E</v>
      </c>
      <c r="C362" s="4" t="b">
        <f>Table4[[#This Row],[ypn]]=Table4[[#This Row],[trim]]</f>
        <v>1</v>
      </c>
      <c r="D362" s="4" t="e">
        <f>Table4[[#This Row],[ypn]]*1</f>
        <v>#VALUE!</v>
      </c>
      <c r="E362" s="4">
        <f>TYPE(Table4[[#This Row],[ypn]])</f>
        <v>2</v>
      </c>
      <c r="F362" t="s">
        <v>522</v>
      </c>
      <c r="G362" s="4"/>
    </row>
    <row r="363" spans="1:7" ht="14.4" x14ac:dyDescent="0.3">
      <c r="A363" s="6" t="s">
        <v>1049</v>
      </c>
      <c r="B363" s="4" t="str">
        <f>TRIM(Table4[[#This Row],[ypn]])</f>
        <v>7289059730E</v>
      </c>
      <c r="C363" s="4" t="b">
        <f>Table4[[#This Row],[ypn]]=Table4[[#This Row],[trim]]</f>
        <v>1</v>
      </c>
      <c r="D363" s="4" t="e">
        <f>Table4[[#This Row],[ypn]]*1</f>
        <v>#VALUE!</v>
      </c>
      <c r="E363" s="4">
        <f>TYPE(Table4[[#This Row],[ypn]])</f>
        <v>2</v>
      </c>
      <c r="F363" t="s">
        <v>1136</v>
      </c>
      <c r="G363" s="4"/>
    </row>
    <row r="364" spans="1:7" ht="14.4" x14ac:dyDescent="0.3">
      <c r="A364" s="6" t="s">
        <v>1050</v>
      </c>
      <c r="B364" s="4" t="str">
        <f>TRIM(Table4[[#This Row],[ypn]])</f>
        <v>7198277430+7198277530+72741954E</v>
      </c>
      <c r="C364" s="4" t="b">
        <f>Table4[[#This Row],[ypn]]=Table4[[#This Row],[trim]]</f>
        <v>1</v>
      </c>
      <c r="D364" s="4" t="e">
        <f>Table4[[#This Row],[ypn]]*1</f>
        <v>#VALUE!</v>
      </c>
      <c r="E364" s="4">
        <f>TYPE(Table4[[#This Row],[ypn]])</f>
        <v>2</v>
      </c>
      <c r="F364" t="s">
        <v>555</v>
      </c>
      <c r="G364" s="4"/>
    </row>
    <row r="365" spans="1:7" ht="14.4" x14ac:dyDescent="0.3">
      <c r="A365" s="6" t="s">
        <v>1051</v>
      </c>
      <c r="B365" s="4" t="str">
        <f>TRIM(Table4[[#This Row],[ypn]])</f>
        <v>7289690230E</v>
      </c>
      <c r="C365" s="4" t="b">
        <f>Table4[[#This Row],[ypn]]=Table4[[#This Row],[trim]]</f>
        <v>1</v>
      </c>
      <c r="D365" s="4" t="e">
        <f>Table4[[#This Row],[ypn]]*1</f>
        <v>#VALUE!</v>
      </c>
      <c r="E365" s="4">
        <f>TYPE(Table4[[#This Row],[ypn]])</f>
        <v>2</v>
      </c>
      <c r="F365" t="s">
        <v>1137</v>
      </c>
      <c r="G365" s="4"/>
    </row>
    <row r="366" spans="1:7" ht="14.4" x14ac:dyDescent="0.3">
      <c r="A366" s="6" t="s">
        <v>1052</v>
      </c>
      <c r="B366" s="4" t="str">
        <f>TRIM(Table4[[#This Row],[ypn]])</f>
        <v>7189811530+7289811830+72741554AE</v>
      </c>
      <c r="C366" s="4" t="b">
        <f>Table4[[#This Row],[ypn]]=Table4[[#This Row],[trim]]</f>
        <v>1</v>
      </c>
      <c r="D366" s="4" t="e">
        <f>Table4[[#This Row],[ypn]]*1</f>
        <v>#VALUE!</v>
      </c>
      <c r="E366" s="4">
        <f>TYPE(Table4[[#This Row],[ypn]])</f>
        <v>2</v>
      </c>
      <c r="F366" t="s">
        <v>553</v>
      </c>
      <c r="G366" s="4"/>
    </row>
    <row r="367" spans="1:7" ht="14.4" x14ac:dyDescent="0.3">
      <c r="A367" s="6" t="s">
        <v>1053</v>
      </c>
      <c r="B367" s="4" t="str">
        <f>TRIM(Table4[[#This Row],[ypn]])</f>
        <v>7219632230E</v>
      </c>
      <c r="C367" s="4" t="b">
        <f>Table4[[#This Row],[ypn]]=Table4[[#This Row],[trim]]</f>
        <v>1</v>
      </c>
      <c r="D367" s="4" t="e">
        <f>Table4[[#This Row],[ypn]]*1</f>
        <v>#VALUE!</v>
      </c>
      <c r="E367" s="4">
        <f>TYPE(Table4[[#This Row],[ypn]])</f>
        <v>2</v>
      </c>
      <c r="F367" t="s">
        <v>1138</v>
      </c>
      <c r="G367" s="4"/>
    </row>
    <row r="368" spans="1:7" ht="14.4" x14ac:dyDescent="0.3">
      <c r="A368" s="6" t="s">
        <v>1054</v>
      </c>
      <c r="B368" s="4" t="str">
        <f>TRIM(Table4[[#This Row],[ypn]])</f>
        <v>7289896430E</v>
      </c>
      <c r="C368" s="4" t="b">
        <f>Table4[[#This Row],[ypn]]=Table4[[#This Row],[trim]]</f>
        <v>1</v>
      </c>
      <c r="D368" s="4" t="e">
        <f>Table4[[#This Row],[ypn]]*1</f>
        <v>#VALUE!</v>
      </c>
      <c r="E368" s="4">
        <f>TYPE(Table4[[#This Row],[ypn]])</f>
        <v>2</v>
      </c>
      <c r="F368" t="s">
        <v>1139</v>
      </c>
      <c r="G368" s="4"/>
    </row>
    <row r="369" spans="1:7" ht="14.4" x14ac:dyDescent="0.3">
      <c r="A369" s="6" t="s">
        <v>1055</v>
      </c>
      <c r="B369" s="4" t="str">
        <f>TRIM(Table4[[#This Row],[ypn]])</f>
        <v>7289921730E</v>
      </c>
      <c r="C369" s="4" t="b">
        <f>Table4[[#This Row],[ypn]]=Table4[[#This Row],[trim]]</f>
        <v>1</v>
      </c>
      <c r="D369" s="4" t="e">
        <f>Table4[[#This Row],[ypn]]*1</f>
        <v>#VALUE!</v>
      </c>
      <c r="E369" s="4">
        <f>TYPE(Table4[[#This Row],[ypn]])</f>
        <v>2</v>
      </c>
      <c r="F369" t="s">
        <v>1140</v>
      </c>
      <c r="G369" s="4"/>
    </row>
    <row r="370" spans="1:7" ht="14.4" x14ac:dyDescent="0.3">
      <c r="A370" s="6" t="s">
        <v>1056</v>
      </c>
      <c r="B370" s="4" t="str">
        <f>TRIM(Table4[[#This Row],[ypn]])</f>
        <v>7219182630E</v>
      </c>
      <c r="C370" s="4" t="b">
        <f>Table4[[#This Row],[ypn]]=Table4[[#This Row],[trim]]</f>
        <v>1</v>
      </c>
      <c r="D370" s="4" t="e">
        <f>Table4[[#This Row],[ypn]]*1</f>
        <v>#VALUE!</v>
      </c>
      <c r="E370" s="4">
        <f>TYPE(Table4[[#This Row],[ypn]])</f>
        <v>2</v>
      </c>
      <c r="F370" t="s">
        <v>464</v>
      </c>
      <c r="G370" s="4"/>
    </row>
    <row r="371" spans="1:7" ht="14.4" x14ac:dyDescent="0.3">
      <c r="A371" s="6" t="s">
        <v>1057</v>
      </c>
      <c r="B371" s="4" t="str">
        <f>TRIM(Table4[[#This Row],[ypn]])</f>
        <v>7198948560E</v>
      </c>
      <c r="C371" s="4" t="b">
        <f>Table4[[#This Row],[ypn]]=Table4[[#This Row],[trim]]</f>
        <v>1</v>
      </c>
      <c r="D371" s="4" t="e">
        <f>Table4[[#This Row],[ypn]]*1</f>
        <v>#VALUE!</v>
      </c>
      <c r="E371" s="4">
        <f>TYPE(Table4[[#This Row],[ypn]])</f>
        <v>2</v>
      </c>
      <c r="F371" t="s">
        <v>1141</v>
      </c>
      <c r="G371" s="4"/>
    </row>
    <row r="372" spans="1:7" ht="14.4" x14ac:dyDescent="0.3">
      <c r="A372" s="6" t="s">
        <v>1058</v>
      </c>
      <c r="B372" s="4" t="str">
        <f>TRIM(Table4[[#This Row],[ypn]])</f>
        <v>7198796290E</v>
      </c>
      <c r="C372" s="4" t="b">
        <f>Table4[[#This Row],[ypn]]=Table4[[#This Row],[trim]]</f>
        <v>1</v>
      </c>
      <c r="D372" s="4" t="e">
        <f>Table4[[#This Row],[ypn]]*1</f>
        <v>#VALUE!</v>
      </c>
      <c r="E372" s="4">
        <f>TYPE(Table4[[#This Row],[ypn]])</f>
        <v>2</v>
      </c>
      <c r="F372" t="s">
        <v>1142</v>
      </c>
      <c r="G372" s="4"/>
    </row>
    <row r="373" spans="1:7" ht="14.4" x14ac:dyDescent="0.3">
      <c r="A373" s="6" t="s">
        <v>1059</v>
      </c>
      <c r="B373" s="4" t="str">
        <f>TRIM(Table4[[#This Row],[ypn]])</f>
        <v>7219632030E</v>
      </c>
      <c r="C373" s="4" t="b">
        <f>Table4[[#This Row],[ypn]]=Table4[[#This Row],[trim]]</f>
        <v>1</v>
      </c>
      <c r="D373" s="4" t="e">
        <f>Table4[[#This Row],[ypn]]*1</f>
        <v>#VALUE!</v>
      </c>
      <c r="E373" s="4">
        <f>TYPE(Table4[[#This Row],[ypn]])</f>
        <v>2</v>
      </c>
      <c r="F373" t="s">
        <v>466</v>
      </c>
      <c r="G373" s="4"/>
    </row>
    <row r="374" spans="1:7" ht="14.4" x14ac:dyDescent="0.3">
      <c r="A374" s="6" t="s">
        <v>1060</v>
      </c>
      <c r="B374" s="4" t="str">
        <f>TRIM(Table4[[#This Row],[ypn]])</f>
        <v>7298677930E</v>
      </c>
      <c r="C374" s="4" t="b">
        <f>Table4[[#This Row],[ypn]]=Table4[[#This Row],[trim]]</f>
        <v>1</v>
      </c>
      <c r="D374" s="4" t="e">
        <f>Table4[[#This Row],[ypn]]*1</f>
        <v>#VALUE!</v>
      </c>
      <c r="E374" s="4">
        <f>TYPE(Table4[[#This Row],[ypn]])</f>
        <v>2</v>
      </c>
      <c r="F374" t="s">
        <v>1143</v>
      </c>
      <c r="G374" s="4"/>
    </row>
    <row r="375" spans="1:7" ht="14.4" x14ac:dyDescent="0.3">
      <c r="A375" s="6" t="s">
        <v>1061</v>
      </c>
      <c r="B375" s="4" t="str">
        <f>TRIM(Table4[[#This Row],[ypn]])</f>
        <v>7298948930E</v>
      </c>
      <c r="C375" s="4" t="b">
        <f>Table4[[#This Row],[ypn]]=Table4[[#This Row],[trim]]</f>
        <v>1</v>
      </c>
      <c r="D375" s="4" t="e">
        <f>Table4[[#This Row],[ypn]]*1</f>
        <v>#VALUE!</v>
      </c>
      <c r="E375" s="4">
        <f>TYPE(Table4[[#This Row],[ypn]])</f>
        <v>2</v>
      </c>
      <c r="F375" t="s">
        <v>1144</v>
      </c>
      <c r="G375" s="4"/>
    </row>
    <row r="376" spans="1:7" ht="14.4" x14ac:dyDescent="0.3">
      <c r="A376" s="6" t="s">
        <v>1062</v>
      </c>
      <c r="B376" s="4" t="str">
        <f>TRIM(Table4[[#This Row],[ypn]])</f>
        <v>71897277E</v>
      </c>
      <c r="C376" s="4" t="b">
        <f>Table4[[#This Row],[ypn]]=Table4[[#This Row],[trim]]</f>
        <v>1</v>
      </c>
      <c r="D376" s="4" t="e">
        <f>Table4[[#This Row],[ypn]]*1</f>
        <v>#VALUE!</v>
      </c>
      <c r="E376" s="4">
        <f>TYPE(Table4[[#This Row],[ypn]])</f>
        <v>2</v>
      </c>
      <c r="F376" t="s">
        <v>1145</v>
      </c>
      <c r="G376" s="4"/>
    </row>
    <row r="377" spans="1:7" ht="14.4" x14ac:dyDescent="0.3">
      <c r="A377" s="6" t="s">
        <v>1063</v>
      </c>
      <c r="B377" s="4" t="str">
        <f>TRIM(Table4[[#This Row],[ypn]])</f>
        <v>7198916130E</v>
      </c>
      <c r="C377" s="4" t="b">
        <f>Table4[[#This Row],[ypn]]=Table4[[#This Row],[trim]]</f>
        <v>1</v>
      </c>
      <c r="D377" s="4" t="e">
        <f>Table4[[#This Row],[ypn]]*1</f>
        <v>#VALUE!</v>
      </c>
      <c r="E377" s="4">
        <f>TYPE(Table4[[#This Row],[ypn]])</f>
        <v>2</v>
      </c>
      <c r="F377" t="s">
        <v>1146</v>
      </c>
      <c r="G377" s="4"/>
    </row>
    <row r="378" spans="1:7" ht="14.4" x14ac:dyDescent="0.3">
      <c r="A378" s="6" t="s">
        <v>1064</v>
      </c>
      <c r="B378" s="4" t="str">
        <f>TRIM(Table4[[#This Row],[ypn]])</f>
        <v>7297914930E</v>
      </c>
      <c r="C378" s="4" t="b">
        <f>Table4[[#This Row],[ypn]]=Table4[[#This Row],[trim]]</f>
        <v>1</v>
      </c>
      <c r="D378" s="4" t="e">
        <f>Table4[[#This Row],[ypn]]*1</f>
        <v>#VALUE!</v>
      </c>
      <c r="E378" s="4">
        <f>TYPE(Table4[[#This Row],[ypn]])</f>
        <v>2</v>
      </c>
      <c r="F378" t="s">
        <v>705</v>
      </c>
      <c r="G378" s="4"/>
    </row>
    <row r="379" spans="1:7" ht="14.4" x14ac:dyDescent="0.3">
      <c r="A379" s="6" t="s">
        <v>1065</v>
      </c>
      <c r="B379" s="4" t="str">
        <f>TRIM(Table4[[#This Row],[ypn]])</f>
        <v>7298913330E</v>
      </c>
      <c r="C379" s="4" t="b">
        <f>Table4[[#This Row],[ypn]]=Table4[[#This Row],[trim]]</f>
        <v>1</v>
      </c>
      <c r="D379" s="4" t="e">
        <f>Table4[[#This Row],[ypn]]*1</f>
        <v>#VALUE!</v>
      </c>
      <c r="E379" s="4">
        <f>TYPE(Table4[[#This Row],[ypn]])</f>
        <v>2</v>
      </c>
      <c r="F379" t="s">
        <v>709</v>
      </c>
      <c r="G379" s="4"/>
    </row>
    <row r="380" spans="1:7" ht="14.4" x14ac:dyDescent="0.3">
      <c r="A380" s="6" t="s">
        <v>1066</v>
      </c>
      <c r="B380" s="4" t="str">
        <f>TRIM(Table4[[#This Row],[ypn]])</f>
        <v>71986562E</v>
      </c>
      <c r="C380" s="4" t="b">
        <f>Table4[[#This Row],[ypn]]=Table4[[#This Row],[trim]]</f>
        <v>1</v>
      </c>
      <c r="D380" s="4" t="e">
        <f>Table4[[#This Row],[ypn]]*1</f>
        <v>#VALUE!</v>
      </c>
      <c r="E380" s="4">
        <f>TYPE(Table4[[#This Row],[ypn]])</f>
        <v>2</v>
      </c>
      <c r="F380" t="s">
        <v>1147</v>
      </c>
      <c r="G380" s="4"/>
    </row>
    <row r="381" spans="1:7" ht="14.4" x14ac:dyDescent="0.3">
      <c r="A381" s="6" t="s">
        <v>1067</v>
      </c>
      <c r="B381" s="4" t="str">
        <f>TRIM(Table4[[#This Row],[ypn]])</f>
        <v>7297944190E</v>
      </c>
      <c r="C381" s="4" t="b">
        <f>Table4[[#This Row],[ypn]]=Table4[[#This Row],[trim]]</f>
        <v>1</v>
      </c>
      <c r="D381" s="4" t="e">
        <f>Table4[[#This Row],[ypn]]*1</f>
        <v>#VALUE!</v>
      </c>
      <c r="E381" s="4">
        <f>TYPE(Table4[[#This Row],[ypn]])</f>
        <v>2</v>
      </c>
      <c r="F381" t="s">
        <v>1148</v>
      </c>
      <c r="G381" s="4"/>
    </row>
    <row r="382" spans="1:7" ht="14.4" x14ac:dyDescent="0.3">
      <c r="A382" s="6" t="s">
        <v>1068</v>
      </c>
      <c r="B382" s="4" t="str">
        <f>TRIM(Table4[[#This Row],[ypn]])</f>
        <v>7298912930E</v>
      </c>
      <c r="C382" s="4" t="b">
        <f>Table4[[#This Row],[ypn]]=Table4[[#This Row],[trim]]</f>
        <v>1</v>
      </c>
      <c r="D382" s="4" t="e">
        <f>Table4[[#This Row],[ypn]]*1</f>
        <v>#VALUE!</v>
      </c>
      <c r="E382" s="4">
        <f>TYPE(Table4[[#This Row],[ypn]])</f>
        <v>2</v>
      </c>
      <c r="F382" t="s">
        <v>708</v>
      </c>
      <c r="G382" s="4"/>
    </row>
    <row r="383" spans="1:7" ht="14.4" x14ac:dyDescent="0.3">
      <c r="A383" s="6" t="s">
        <v>1069</v>
      </c>
      <c r="B383" s="4" t="str">
        <f>TRIM(Table4[[#This Row],[ypn]])</f>
        <v>7298949030E</v>
      </c>
      <c r="C383" s="4" t="b">
        <f>Table4[[#This Row],[ypn]]=Table4[[#This Row],[trim]]</f>
        <v>1</v>
      </c>
      <c r="D383" s="4" t="e">
        <f>Table4[[#This Row],[ypn]]*1</f>
        <v>#VALUE!</v>
      </c>
      <c r="E383" s="4">
        <f>TYPE(Table4[[#This Row],[ypn]])</f>
        <v>2</v>
      </c>
      <c r="F383" t="s">
        <v>711</v>
      </c>
      <c r="G383" s="4"/>
    </row>
    <row r="384" spans="1:7" ht="14.4" x14ac:dyDescent="0.3">
      <c r="A384" s="6" t="s">
        <v>1070</v>
      </c>
      <c r="B384" s="4" t="str">
        <f>TRIM(Table4[[#This Row],[ypn]])</f>
        <v>71196714E</v>
      </c>
      <c r="C384" s="4" t="b">
        <f>Table4[[#This Row],[ypn]]=Table4[[#This Row],[trim]]</f>
        <v>1</v>
      </c>
      <c r="D384" s="4" t="e">
        <f>Table4[[#This Row],[ypn]]*1</f>
        <v>#VALUE!</v>
      </c>
      <c r="E384" s="4">
        <f>TYPE(Table4[[#This Row],[ypn]])</f>
        <v>2</v>
      </c>
      <c r="F384" t="s">
        <v>1149</v>
      </c>
      <c r="G384" s="4"/>
    </row>
    <row r="385" spans="1:7" ht="14.4" x14ac:dyDescent="0.3">
      <c r="A385" s="6">
        <v>7298808930</v>
      </c>
      <c r="B385" s="4" t="str">
        <f>TRIM(Table4[[#This Row],[ypn]])</f>
        <v>7298808930</v>
      </c>
      <c r="C385" s="4" t="b">
        <f>Table4[[#This Row],[ypn]]=Table4[[#This Row],[trim]]</f>
        <v>0</v>
      </c>
      <c r="D385" s="4">
        <f>Table4[[#This Row],[ypn]]*1</f>
        <v>7298808930</v>
      </c>
      <c r="E385" s="4">
        <f>TYPE(Table4[[#This Row],[ypn]])</f>
        <v>1</v>
      </c>
      <c r="F385" t="s">
        <v>707</v>
      </c>
      <c r="G385" s="4"/>
    </row>
    <row r="386" spans="1:7" ht="14.4" x14ac:dyDescent="0.3">
      <c r="A386" s="6" t="s">
        <v>1071</v>
      </c>
      <c r="B386" s="4" t="str">
        <f>TRIM(Table4[[#This Row],[ypn]])</f>
        <v>72897304E_72895207E</v>
      </c>
      <c r="C386" s="4" t="b">
        <f>Table4[[#This Row],[ypn]]=Table4[[#This Row],[trim]]</f>
        <v>1</v>
      </c>
      <c r="D386" s="4" t="e">
        <f>Table4[[#This Row],[ypn]]*1</f>
        <v>#VALUE!</v>
      </c>
      <c r="E386" s="4">
        <f>TYPE(Table4[[#This Row],[ypn]])</f>
        <v>2</v>
      </c>
      <c r="G386" s="4"/>
    </row>
    <row r="387" spans="1:7" ht="14.4" x14ac:dyDescent="0.3">
      <c r="A387" s="6" t="s">
        <v>1072</v>
      </c>
      <c r="B387" s="4" t="str">
        <f>TRIM(Table4[[#This Row],[ypn]])</f>
        <v>71781227E</v>
      </c>
      <c r="C387" s="4" t="b">
        <f>Table4[[#This Row],[ypn]]=Table4[[#This Row],[trim]]</f>
        <v>1</v>
      </c>
      <c r="D387" s="4" t="e">
        <f>Table4[[#This Row],[ypn]]*1</f>
        <v>#VALUE!</v>
      </c>
      <c r="E387" s="4">
        <f>TYPE(Table4[[#This Row],[ypn]])</f>
        <v>2</v>
      </c>
      <c r="F387" t="s">
        <v>1150</v>
      </c>
      <c r="G387" s="4"/>
    </row>
    <row r="388" spans="1:7" ht="14.4" x14ac:dyDescent="0.3">
      <c r="A388" s="6" t="s">
        <v>668</v>
      </c>
      <c r="B388" s="4" t="str">
        <f>TRIM(Table4[[#This Row],[ypn]])</f>
        <v>FoamholderX18_2-2-B_V1</v>
      </c>
      <c r="C388" s="4" t="b">
        <f>Table4[[#This Row],[ypn]]=Table4[[#This Row],[trim]]</f>
        <v>1</v>
      </c>
      <c r="D388" s="4" t="e">
        <f>Table4[[#This Row],[ypn]]*1</f>
        <v>#VALUE!</v>
      </c>
      <c r="E388" s="4">
        <f>TYPE(Table4[[#This Row],[ypn]])</f>
        <v>2</v>
      </c>
      <c r="F388" t="s">
        <v>729</v>
      </c>
      <c r="G388" s="4"/>
    </row>
    <row r="389" spans="1:7" ht="14.4" x14ac:dyDescent="0.3">
      <c r="A389" s="6" t="s">
        <v>1073</v>
      </c>
      <c r="B389" s="4" t="str">
        <f>TRIM(Table4[[#This Row],[ypn]])</f>
        <v>FOAM HOLDER</v>
      </c>
      <c r="C389" s="4" t="b">
        <f>Table4[[#This Row],[ypn]]=Table4[[#This Row],[trim]]</f>
        <v>1</v>
      </c>
      <c r="D389" s="4" t="e">
        <f>Table4[[#This Row],[ypn]]*1</f>
        <v>#VALUE!</v>
      </c>
      <c r="E389" s="4">
        <f>TYPE(Table4[[#This Row],[ypn]])</f>
        <v>2</v>
      </c>
      <c r="F389" t="s">
        <v>1151</v>
      </c>
      <c r="G389" s="4"/>
    </row>
    <row r="390" spans="1:7" ht="14.4" x14ac:dyDescent="0.3">
      <c r="A390" s="6" t="s">
        <v>669</v>
      </c>
      <c r="B390" s="4" t="str">
        <f>TRIM(Table4[[#This Row],[ypn]])</f>
        <v>FOAMHOLDERX35_RHD</v>
      </c>
      <c r="C390" s="4" t="b">
        <f>Table4[[#This Row],[ypn]]=Table4[[#This Row],[trim]]</f>
        <v>1</v>
      </c>
      <c r="D390" s="4" t="e">
        <f>Table4[[#This Row],[ypn]]*1</f>
        <v>#VALUE!</v>
      </c>
      <c r="E390" s="4">
        <f>TYPE(Table4[[#This Row],[ypn]])</f>
        <v>2</v>
      </c>
      <c r="F390" t="s">
        <v>730</v>
      </c>
      <c r="G390" s="4"/>
    </row>
    <row r="391" spans="1:7" ht="14.4" x14ac:dyDescent="0.3">
      <c r="A391" s="6" t="s">
        <v>670</v>
      </c>
      <c r="B391" s="4" t="str">
        <f>TRIM(Table4[[#This Row],[ypn]])</f>
        <v>FOAMHOLDERA1261-B_V1RHD</v>
      </c>
      <c r="C391" s="4" t="b">
        <f>Table4[[#This Row],[ypn]]=Table4[[#This Row],[trim]]</f>
        <v>1</v>
      </c>
      <c r="D391" s="4" t="e">
        <f>Table4[[#This Row],[ypn]]*1</f>
        <v>#VALUE!</v>
      </c>
      <c r="E391" s="4">
        <f>TYPE(Table4[[#This Row],[ypn]])</f>
        <v>2</v>
      </c>
      <c r="F391" t="s">
        <v>731</v>
      </c>
      <c r="G391" s="4"/>
    </row>
    <row r="392" spans="1:7" ht="14.4" x14ac:dyDescent="0.3">
      <c r="A392" s="6" t="s">
        <v>1074</v>
      </c>
      <c r="B392" s="4" t="str">
        <f>TRIM(Table4[[#This Row],[ypn]])</f>
        <v>7119-1621-30+7274-0253-90A</v>
      </c>
      <c r="C392" s="4" t="b">
        <f>Table4[[#This Row],[ypn]]=Table4[[#This Row],[trim]]</f>
        <v>1</v>
      </c>
      <c r="D392" s="4" t="e">
        <f>Table4[[#This Row],[ypn]]*1</f>
        <v>#VALUE!</v>
      </c>
      <c r="E392" s="4">
        <f>TYPE(Table4[[#This Row],[ypn]])</f>
        <v>2</v>
      </c>
      <c r="F392" t="s">
        <v>1152</v>
      </c>
      <c r="G392" s="4"/>
    </row>
    <row r="393" spans="1:7" ht="14.4" x14ac:dyDescent="0.3">
      <c r="A393" s="6" t="s">
        <v>660</v>
      </c>
      <c r="B393" s="4" t="str">
        <f>TRIM(Table4[[#This Row],[ypn]])</f>
        <v>X1PO2007</v>
      </c>
      <c r="C393" s="4" t="b">
        <f>Table4[[#This Row],[ypn]]=Table4[[#This Row],[trim]]</f>
        <v>1</v>
      </c>
      <c r="D393" s="4" t="e">
        <f>Table4[[#This Row],[ypn]]*1</f>
        <v>#VALUE!</v>
      </c>
      <c r="E393" s="4">
        <f>TYPE(Table4[[#This Row],[ypn]])</f>
        <v>2</v>
      </c>
      <c r="F393" t="s">
        <v>725</v>
      </c>
      <c r="G393" s="4"/>
    </row>
    <row r="394" spans="1:7" ht="14.4" x14ac:dyDescent="0.3">
      <c r="A394" s="6" t="s">
        <v>237</v>
      </c>
      <c r="B394" s="4" t="str">
        <f>TRIM(Table4[[#This Row],[ypn]])</f>
        <v>A1729821302_EYELET V3 4-KS</v>
      </c>
      <c r="C394" s="4" t="b">
        <f>Table4[[#This Row],[ypn]]=Table4[[#This Row],[trim]]</f>
        <v>1</v>
      </c>
      <c r="D394" s="4" t="e">
        <f>Table4[[#This Row],[ypn]]*1</f>
        <v>#VALUE!</v>
      </c>
      <c r="E394" s="4">
        <f>TYPE(Table4[[#This Row],[ypn]])</f>
        <v>2</v>
      </c>
      <c r="F394" t="s">
        <v>1153</v>
      </c>
      <c r="G394" s="4"/>
    </row>
    <row r="395" spans="1:7" ht="14.4" x14ac:dyDescent="0.3">
      <c r="A395" s="6" t="s">
        <v>1075</v>
      </c>
      <c r="B395" s="4" t="str">
        <f>TRIM(Table4[[#This Row],[ypn]])</f>
        <v>ASSY_D4Z001DC0CE</v>
      </c>
      <c r="C395" s="4" t="b">
        <f>Table4[[#This Row],[ypn]]=Table4[[#This Row],[trim]]</f>
        <v>1</v>
      </c>
      <c r="D395" s="4" t="e">
        <f>Table4[[#This Row],[ypn]]*1</f>
        <v>#VALUE!</v>
      </c>
      <c r="E395" s="4">
        <f>TYPE(Table4[[#This Row],[ypn]])</f>
        <v>2</v>
      </c>
      <c r="F395" t="s">
        <v>1154</v>
      </c>
      <c r="G395" s="4"/>
    </row>
    <row r="396" spans="1:7" ht="14.4" x14ac:dyDescent="0.3">
      <c r="A396" s="6" t="s">
        <v>1076</v>
      </c>
      <c r="B396" s="4" t="str">
        <f>TRIM(Table4[[#This Row],[ypn]])</f>
        <v>ASSY_59Z063DC0AE</v>
      </c>
      <c r="C396" s="4" t="b">
        <f>Table4[[#This Row],[ypn]]=Table4[[#This Row],[trim]]</f>
        <v>1</v>
      </c>
      <c r="D396" s="4" t="e">
        <f>Table4[[#This Row],[ypn]]*1</f>
        <v>#VALUE!</v>
      </c>
      <c r="E396" s="4">
        <f>TYPE(Table4[[#This Row],[ypn]])</f>
        <v>2</v>
      </c>
      <c r="F396" t="s">
        <v>1155</v>
      </c>
      <c r="G396" s="4"/>
    </row>
    <row r="397" spans="1:7" ht="14.4" x14ac:dyDescent="0.3">
      <c r="A397" s="6" t="s">
        <v>1077</v>
      </c>
      <c r="B397" s="4" t="str">
        <f>TRIM(Table4[[#This Row],[ypn]])</f>
        <v>ASSY_59Z063DC0BE</v>
      </c>
      <c r="C397" s="4" t="b">
        <f>Table4[[#This Row],[ypn]]=Table4[[#This Row],[trim]]</f>
        <v>1</v>
      </c>
      <c r="D397" s="4" t="e">
        <f>Table4[[#This Row],[ypn]]*1</f>
        <v>#VALUE!</v>
      </c>
      <c r="E397" s="4">
        <f>TYPE(Table4[[#This Row],[ypn]])</f>
        <v>2</v>
      </c>
      <c r="F397" t="s">
        <v>1156</v>
      </c>
      <c r="G397" s="4"/>
    </row>
    <row r="398" spans="1:7" ht="14.4" x14ac:dyDescent="0.3">
      <c r="A398" s="6" t="s">
        <v>1078</v>
      </c>
      <c r="B398" s="4" t="str">
        <f>TRIM(Table4[[#This Row],[ypn]])</f>
        <v>ASSY_59Z063DC0CE</v>
      </c>
      <c r="C398" s="4" t="b">
        <f>Table4[[#This Row],[ypn]]=Table4[[#This Row],[trim]]</f>
        <v>1</v>
      </c>
      <c r="D398" s="4" t="e">
        <f>Table4[[#This Row],[ypn]]*1</f>
        <v>#VALUE!</v>
      </c>
      <c r="E398" s="4">
        <f>TYPE(Table4[[#This Row],[ypn]])</f>
        <v>2</v>
      </c>
      <c r="F398" t="s">
        <v>1157</v>
      </c>
      <c r="G398" s="4"/>
    </row>
    <row r="399" spans="1:7" ht="14.4" x14ac:dyDescent="0.3">
      <c r="A399" s="6" t="s">
        <v>658</v>
      </c>
      <c r="B399" s="4" t="str">
        <f>TRIM(Table4[[#This Row],[ypn]])</f>
        <v>ASSY_PPI0001107+ASSY_CA288A25199XXX+ASSY_CA288A35199XXX</v>
      </c>
      <c r="C399" s="4" t="b">
        <f>Table4[[#This Row],[ypn]]=Table4[[#This Row],[trim]]</f>
        <v>1</v>
      </c>
      <c r="D399" s="4" t="e">
        <f>Table4[[#This Row],[ypn]]*1</f>
        <v>#VALUE!</v>
      </c>
      <c r="E399" s="4">
        <f>TYPE(Table4[[#This Row],[ypn]])</f>
        <v>2</v>
      </c>
      <c r="F399" t="s">
        <v>1158</v>
      </c>
      <c r="G399" s="4"/>
    </row>
    <row r="400" spans="1:7" ht="14.4" x14ac:dyDescent="0.3">
      <c r="A400" s="6" t="s">
        <v>659</v>
      </c>
      <c r="B400" s="4" t="str">
        <f>TRIM(Table4[[#This Row],[ypn]])</f>
        <v>ASSY_PPI0001107+ASSY_PPI0001651+ASSY_PPI0001652</v>
      </c>
      <c r="C400" s="4" t="b">
        <f>Table4[[#This Row],[ypn]]=Table4[[#This Row],[trim]]</f>
        <v>1</v>
      </c>
      <c r="D400" s="4" t="e">
        <f>Table4[[#This Row],[ypn]]*1</f>
        <v>#VALUE!</v>
      </c>
      <c r="E400" s="4">
        <f>TYPE(Table4[[#This Row],[ypn]])</f>
        <v>2</v>
      </c>
      <c r="F400" t="s">
        <v>1158</v>
      </c>
      <c r="G400" s="4"/>
    </row>
    <row r="401" spans="1:7" ht="14.4" x14ac:dyDescent="0.3">
      <c r="A401" s="6" t="s">
        <v>299</v>
      </c>
      <c r="B401" s="4" t="str">
        <f>TRIM(Table4[[#This Row],[ypn]])</f>
        <v>ASSY_PPI0001107</v>
      </c>
      <c r="C401" s="4" t="b">
        <f>Table4[[#This Row],[ypn]]=Table4[[#This Row],[trim]]</f>
        <v>1</v>
      </c>
      <c r="D401" s="4" t="e">
        <f>Table4[[#This Row],[ypn]]*1</f>
        <v>#VALUE!</v>
      </c>
      <c r="E401" s="4">
        <f>TYPE(Table4[[#This Row],[ypn]])</f>
        <v>2</v>
      </c>
      <c r="F401" t="s">
        <v>1158</v>
      </c>
      <c r="G401" s="4"/>
    </row>
    <row r="402" spans="1:7" ht="14.4" x14ac:dyDescent="0.3">
      <c r="A402" s="6" t="s">
        <v>250</v>
      </c>
      <c r="B402" s="4" t="str">
        <f>TRIM(Table4[[#This Row],[ypn]])</f>
        <v>ASSY_CA288A35199XXX</v>
      </c>
      <c r="C402" s="4" t="b">
        <f>Table4[[#This Row],[ypn]]=Table4[[#This Row],[trim]]</f>
        <v>1</v>
      </c>
      <c r="D402" s="4" t="e">
        <f>Table4[[#This Row],[ypn]]*1</f>
        <v>#VALUE!</v>
      </c>
      <c r="E402" s="4">
        <f>TYPE(Table4[[#This Row],[ypn]])</f>
        <v>2</v>
      </c>
      <c r="F402" t="s">
        <v>1158</v>
      </c>
      <c r="G402" s="4"/>
    </row>
    <row r="403" spans="1:7" ht="14.4" x14ac:dyDescent="0.3">
      <c r="A403" s="6" t="s">
        <v>654</v>
      </c>
      <c r="B403" s="4" t="str">
        <f>TRIM(Table4[[#This Row],[ypn]])</f>
        <v>ASSY_59K24K1XX92A4C</v>
      </c>
      <c r="C403" s="4" t="b">
        <f>Table4[[#This Row],[ypn]]=Table4[[#This Row],[trim]]</f>
        <v>1</v>
      </c>
      <c r="D403" s="4" t="e">
        <f>Table4[[#This Row],[ypn]]*1</f>
        <v>#VALUE!</v>
      </c>
      <c r="E403" s="4">
        <f>TYPE(Table4[[#This Row],[ypn]])</f>
        <v>2</v>
      </c>
      <c r="F403" t="s">
        <v>1159</v>
      </c>
      <c r="G403" s="4"/>
    </row>
    <row r="404" spans="1:7" ht="14.4" x14ac:dyDescent="0.3">
      <c r="A404" s="6" t="s">
        <v>215</v>
      </c>
      <c r="B404" s="4" t="str">
        <f>TRIM(Table4[[#This Row],[ypn]])</f>
        <v>7119632530+7119632630+72742614A</v>
      </c>
      <c r="C404" s="4" t="b">
        <f>Table4[[#This Row],[ypn]]=Table4[[#This Row],[trim]]</f>
        <v>1</v>
      </c>
      <c r="D404" s="4" t="e">
        <f>Table4[[#This Row],[ypn]]*1</f>
        <v>#VALUE!</v>
      </c>
      <c r="E404" s="4">
        <f>TYPE(Table4[[#This Row],[ypn]])</f>
        <v>2</v>
      </c>
      <c r="F404" t="s">
        <v>524</v>
      </c>
      <c r="G404" s="4"/>
    </row>
    <row r="405" spans="1:7" ht="14.4" x14ac:dyDescent="0.3">
      <c r="A405" s="6" t="s">
        <v>647</v>
      </c>
      <c r="B405" s="4" t="str">
        <f>TRIM(Table4[[#This Row],[ypn]])</f>
        <v>7198762530+7198600430+X1PO1C35A</v>
      </c>
      <c r="C405" s="4" t="b">
        <f>Table4[[#This Row],[ypn]]=Table4[[#This Row],[trim]]</f>
        <v>1</v>
      </c>
      <c r="D405" s="4" t="e">
        <f>Table4[[#This Row],[ypn]]*1</f>
        <v>#VALUE!</v>
      </c>
      <c r="E405" s="4">
        <f>TYPE(Table4[[#This Row],[ypn]])</f>
        <v>2</v>
      </c>
      <c r="F405" t="s">
        <v>559</v>
      </c>
      <c r="G405" s="4"/>
    </row>
    <row r="406" spans="1:7" ht="14.4" x14ac:dyDescent="0.3">
      <c r="A406" s="6" t="s">
        <v>285</v>
      </c>
      <c r="B406" s="4" t="str">
        <f>TRIM(Table4[[#This Row],[ypn]])</f>
        <v>7198913290+7189662430</v>
      </c>
      <c r="C406" s="4" t="b">
        <f>Table4[[#This Row],[ypn]]=Table4[[#This Row],[trim]]</f>
        <v>1</v>
      </c>
      <c r="D406" s="4" t="e">
        <f>Table4[[#This Row],[ypn]]*1</f>
        <v>#VALUE!</v>
      </c>
      <c r="E406" s="4">
        <f>TYPE(Table4[[#This Row],[ypn]])</f>
        <v>2</v>
      </c>
      <c r="F406" t="s">
        <v>1160</v>
      </c>
      <c r="G406" s="4"/>
    </row>
    <row r="407" spans="1:7" ht="14.4" x14ac:dyDescent="0.3">
      <c r="A407" s="6" t="s">
        <v>652</v>
      </c>
      <c r="B407" s="4" t="str">
        <f>TRIM(Table4[[#This Row],[ypn]])</f>
        <v>A1729821302</v>
      </c>
      <c r="C407" s="4" t="b">
        <f>Table4[[#This Row],[ypn]]=Table4[[#This Row],[trim]]</f>
        <v>1</v>
      </c>
      <c r="D407" s="4" t="e">
        <f>Table4[[#This Row],[ypn]]*1</f>
        <v>#VALUE!</v>
      </c>
      <c r="E407" s="4">
        <f>TYPE(Table4[[#This Row],[ypn]])</f>
        <v>2</v>
      </c>
      <c r="G407" s="4"/>
    </row>
    <row r="408" spans="1:7" ht="14.4" x14ac:dyDescent="0.3">
      <c r="A408" s="6" t="s">
        <v>1079</v>
      </c>
      <c r="B408" s="4" t="str">
        <f>TRIM(Table4[[#This Row],[ypn]])</f>
        <v>ASSY_D4Z001-DC0D(ASSY_022820534)</v>
      </c>
      <c r="C408" s="4" t="b">
        <f>Table4[[#This Row],[ypn]]=Table4[[#This Row],[trim]]</f>
        <v>1</v>
      </c>
      <c r="D408" s="4" t="e">
        <f>Table4[[#This Row],[ypn]]*1</f>
        <v>#VALUE!</v>
      </c>
      <c r="E408" s="4">
        <f>TYPE(Table4[[#This Row],[ypn]])</f>
        <v>2</v>
      </c>
      <c r="F408" t="s">
        <v>1161</v>
      </c>
      <c r="G408" s="4"/>
    </row>
    <row r="409" spans="1:7" ht="14.4" x14ac:dyDescent="0.3">
      <c r="A409" s="6" t="s">
        <v>248</v>
      </c>
      <c r="B409" s="4" t="str">
        <f>TRIM(Table4[[#This Row],[ypn]])</f>
        <v>ASSY_CA288A15199XXX</v>
      </c>
      <c r="C409" s="4" t="b">
        <f>Table4[[#This Row],[ypn]]=Table4[[#This Row],[trim]]</f>
        <v>1</v>
      </c>
      <c r="D409" s="4" t="e">
        <f>Table4[[#This Row],[ypn]]*1</f>
        <v>#VALUE!</v>
      </c>
      <c r="E409" s="4">
        <f>TYPE(Table4[[#This Row],[ypn]])</f>
        <v>2</v>
      </c>
      <c r="F409" t="s">
        <v>1162</v>
      </c>
      <c r="G409" s="4"/>
    </row>
    <row r="410" spans="1:7" ht="14.4" x14ac:dyDescent="0.3">
      <c r="A410" s="6" t="s">
        <v>251</v>
      </c>
      <c r="B410" s="4" t="str">
        <f>TRIM(Table4[[#This Row],[ypn]])</f>
        <v>ASSY_CA288B1519XXXX</v>
      </c>
      <c r="C410" s="4" t="b">
        <f>Table4[[#This Row],[ypn]]=Table4[[#This Row],[trim]]</f>
        <v>1</v>
      </c>
      <c r="D410" s="4" t="e">
        <f>Table4[[#This Row],[ypn]]*1</f>
        <v>#VALUE!</v>
      </c>
      <c r="E410" s="4">
        <f>TYPE(Table4[[#This Row],[ypn]])</f>
        <v>2</v>
      </c>
      <c r="F410" t="s">
        <v>1163</v>
      </c>
      <c r="G410" s="4"/>
    </row>
    <row r="411" spans="1:7" ht="14.4" x14ac:dyDescent="0.3">
      <c r="A411" s="6" t="s">
        <v>1080</v>
      </c>
      <c r="B411" s="4" t="str">
        <f>TRIM(Table4[[#This Row],[ypn]])</f>
        <v>ASSY-59Z006T00C</v>
      </c>
      <c r="C411" s="4" t="b">
        <f>Table4[[#This Row],[ypn]]=Table4[[#This Row],[trim]]</f>
        <v>1</v>
      </c>
      <c r="D411" s="4" t="e">
        <f>Table4[[#This Row],[ypn]]*1</f>
        <v>#VALUE!</v>
      </c>
      <c r="E411" s="4">
        <f>TYPE(Table4[[#This Row],[ypn]])</f>
        <v>2</v>
      </c>
      <c r="F411" t="s">
        <v>715</v>
      </c>
      <c r="G411" s="4"/>
    </row>
    <row r="412" spans="1:7" ht="14.4" x14ac:dyDescent="0.3">
      <c r="A412" s="6" t="s">
        <v>1081</v>
      </c>
      <c r="B412" s="4" t="str">
        <f>TRIM(Table4[[#This Row],[ypn]])</f>
        <v>ASSY_59Z063DC0FE</v>
      </c>
      <c r="C412" s="4" t="b">
        <f>Table4[[#This Row],[ypn]]=Table4[[#This Row],[trim]]</f>
        <v>1</v>
      </c>
      <c r="D412" s="4" t="e">
        <f>Table4[[#This Row],[ypn]]*1</f>
        <v>#VALUE!</v>
      </c>
      <c r="E412" s="4">
        <f>TYPE(Table4[[#This Row],[ypn]])</f>
        <v>2</v>
      </c>
      <c r="G412" s="4"/>
    </row>
    <row r="413" spans="1:7" ht="14.4" x14ac:dyDescent="0.3">
      <c r="A413" s="6" t="s">
        <v>657</v>
      </c>
      <c r="B413" s="4" t="str">
        <f>TRIM(Table4[[#This Row],[ypn]])</f>
        <v>ASSY_D4K2RE1D5A5BDC/ASSY_D4K2RE1D5A5B</v>
      </c>
      <c r="C413" s="4" t="b">
        <f>Table4[[#This Row],[ypn]]=Table4[[#This Row],[trim]]</f>
        <v>1</v>
      </c>
      <c r="D413" s="4" t="e">
        <f>Table4[[#This Row],[ypn]]*1</f>
        <v>#VALUE!</v>
      </c>
      <c r="E413" s="4">
        <f>TYPE(Table4[[#This Row],[ypn]])</f>
        <v>2</v>
      </c>
      <c r="F413" t="s">
        <v>1164</v>
      </c>
      <c r="G413" s="4"/>
    </row>
    <row r="414" spans="1:7" x14ac:dyDescent="0.3">
      <c r="A414" s="7" t="s">
        <v>1082</v>
      </c>
      <c r="B414" s="52" t="str">
        <f>TRIM(Table4[[#This Row],[ypn]])</f>
        <v>ASSY_AMZ005DC0EE</v>
      </c>
      <c r="C414" s="52" t="b">
        <f>Table4[[#This Row],[ypn]]=Table4[[#This Row],[trim]]</f>
        <v>1</v>
      </c>
      <c r="D414" s="52" t="e">
        <f>Table4[[#This Row],[ypn]]*1</f>
        <v>#VALUE!</v>
      </c>
      <c r="E414" s="52">
        <f>TYPE(Table4[[#This Row],[ypn]])</f>
        <v>2</v>
      </c>
      <c r="F414" t="s">
        <v>1166</v>
      </c>
      <c r="G414" s="4"/>
    </row>
    <row r="415" spans="1:7" x14ac:dyDescent="0.3">
      <c r="A415" s="7" t="s">
        <v>1083</v>
      </c>
      <c r="B415" s="52" t="str">
        <f>TRIM(Table4[[#This Row],[ypn]])</f>
        <v>ASSY_AMZ005DC0FE</v>
      </c>
      <c r="C415" s="52" t="b">
        <f>Table4[[#This Row],[ypn]]=Table4[[#This Row],[trim]]</f>
        <v>1</v>
      </c>
      <c r="D415" s="52" t="e">
        <f>Table4[[#This Row],[ypn]]*1</f>
        <v>#VALUE!</v>
      </c>
      <c r="E415" s="52">
        <f>TYPE(Table4[[#This Row],[ypn]])</f>
        <v>2</v>
      </c>
      <c r="F415" t="s">
        <v>722</v>
      </c>
      <c r="G415" s="4"/>
    </row>
    <row r="416" spans="1:7" x14ac:dyDescent="0.3">
      <c r="A416" s="7" t="s">
        <v>1084</v>
      </c>
      <c r="B416" s="52" t="str">
        <f>TRIM(Table4[[#This Row],[ypn]])</f>
        <v>ASSY_AMZ005DC0DE</v>
      </c>
      <c r="C416" s="52" t="b">
        <f>Table4[[#This Row],[ypn]]=Table4[[#This Row],[trim]]</f>
        <v>1</v>
      </c>
      <c r="D416" s="52" t="e">
        <f>Table4[[#This Row],[ypn]]*1</f>
        <v>#VALUE!</v>
      </c>
      <c r="E416" s="52">
        <f>TYPE(Table4[[#This Row],[ypn]])</f>
        <v>2</v>
      </c>
      <c r="F416" t="s">
        <v>720</v>
      </c>
      <c r="G416" s="4"/>
    </row>
    <row r="417" spans="1:7" x14ac:dyDescent="0.3">
      <c r="A417" s="7" t="s">
        <v>1085</v>
      </c>
      <c r="B417" s="52" t="str">
        <f>TRIM(Table4[[#This Row],[ypn]])</f>
        <v>ASSY_118021051E</v>
      </c>
      <c r="C417" s="52" t="b">
        <f>Table4[[#This Row],[ypn]]=Table4[[#This Row],[trim]]</f>
        <v>1</v>
      </c>
      <c r="D417" s="52" t="e">
        <f>Table4[[#This Row],[ypn]]*1</f>
        <v>#VALUE!</v>
      </c>
      <c r="E417" s="52">
        <f>TYPE(Table4[[#This Row],[ypn]])</f>
        <v>2</v>
      </c>
      <c r="F417" t="s">
        <v>1167</v>
      </c>
      <c r="G417" s="4"/>
    </row>
    <row r="418" spans="1:7" x14ac:dyDescent="0.3">
      <c r="A418" s="7" t="s">
        <v>1086</v>
      </c>
      <c r="B418" s="52" t="str">
        <f>TRIM(Table4[[#This Row],[ypn]])</f>
        <v>ASSY_59Z145DC0FE</v>
      </c>
      <c r="C418" s="52" t="b">
        <f>Table4[[#This Row],[ypn]]=Table4[[#This Row],[trim]]</f>
        <v>1</v>
      </c>
      <c r="D418" s="52" t="e">
        <f>Table4[[#This Row],[ypn]]*1</f>
        <v>#VALUE!</v>
      </c>
      <c r="E418" s="52">
        <f>TYPE(Table4[[#This Row],[ypn]])</f>
        <v>2</v>
      </c>
      <c r="F418" t="s">
        <v>1168</v>
      </c>
      <c r="G418" s="4"/>
    </row>
    <row r="419" spans="1:7" x14ac:dyDescent="0.3">
      <c r="A419" s="7" t="s">
        <v>1087</v>
      </c>
      <c r="B419" s="52" t="str">
        <f>TRIM(Table4[[#This Row],[ypn]])</f>
        <v>ASSY_123024541E</v>
      </c>
      <c r="C419" s="52" t="b">
        <f>Table4[[#This Row],[ypn]]=Table4[[#This Row],[trim]]</f>
        <v>1</v>
      </c>
      <c r="D419" s="52" t="e">
        <f>Table4[[#This Row],[ypn]]*1</f>
        <v>#VALUE!</v>
      </c>
      <c r="E419" s="52">
        <f>TYPE(Table4[[#This Row],[ypn]])</f>
        <v>2</v>
      </c>
      <c r="F419" t="s">
        <v>1169</v>
      </c>
      <c r="G419" s="4"/>
    </row>
    <row r="420" spans="1:7" x14ac:dyDescent="0.3">
      <c r="A420" s="7" t="s">
        <v>305</v>
      </c>
      <c r="B420" s="52" t="str">
        <f>TRIM(Table4[[#This Row],[ypn]])</f>
        <v>ASSY_123024542+ASSY_23024521</v>
      </c>
      <c r="C420" s="52" t="b">
        <f>Table4[[#This Row],[ypn]]=Table4[[#This Row],[trim]]</f>
        <v>1</v>
      </c>
      <c r="D420" s="52" t="e">
        <f>Table4[[#This Row],[ypn]]*1</f>
        <v>#VALUE!</v>
      </c>
      <c r="E420" s="52">
        <f>TYPE(Table4[[#This Row],[ypn]])</f>
        <v>2</v>
      </c>
      <c r="F420" t="s">
        <v>714</v>
      </c>
      <c r="G420" s="4"/>
    </row>
    <row r="421" spans="1:7" x14ac:dyDescent="0.3">
      <c r="A421" s="7" t="s">
        <v>1088</v>
      </c>
      <c r="B421" s="52" t="str">
        <f>TRIM(Table4[[#This Row],[ypn]])</f>
        <v>ASSY_CA288A25199XXXE</v>
      </c>
      <c r="C421" s="52" t="b">
        <f>Table4[[#This Row],[ypn]]=Table4[[#This Row],[trim]]</f>
        <v>1</v>
      </c>
      <c r="D421" s="52" t="e">
        <f>Table4[[#This Row],[ypn]]*1</f>
        <v>#VALUE!</v>
      </c>
      <c r="E421" s="52">
        <f>TYPE(Table4[[#This Row],[ypn]])</f>
        <v>2</v>
      </c>
      <c r="F421" t="s">
        <v>1170</v>
      </c>
      <c r="G421" s="4"/>
    </row>
    <row r="422" spans="1:7" x14ac:dyDescent="0.3">
      <c r="A422" s="7" t="s">
        <v>1089</v>
      </c>
      <c r="B422" s="52" t="str">
        <f>TRIM(Table4[[#This Row],[ypn]])</f>
        <v>7119605590E</v>
      </c>
      <c r="C422" s="52" t="b">
        <f>Table4[[#This Row],[ypn]]=Table4[[#This Row],[trim]]</f>
        <v>1</v>
      </c>
      <c r="D422" s="52" t="e">
        <f>Table4[[#This Row],[ypn]]*1</f>
        <v>#VALUE!</v>
      </c>
      <c r="E422" s="52">
        <f>TYPE(Table4[[#This Row],[ypn]])</f>
        <v>2</v>
      </c>
      <c r="F422" t="s">
        <v>1171</v>
      </c>
      <c r="G422" s="4"/>
    </row>
    <row r="423" spans="1:7" x14ac:dyDescent="0.3">
      <c r="A423" s="7">
        <v>7119637880</v>
      </c>
      <c r="B423" s="52" t="str">
        <f>TRIM(Table4[[#This Row],[ypn]])</f>
        <v>7119637880</v>
      </c>
      <c r="C423" s="52" t="b">
        <f>Table4[[#This Row],[ypn]]=Table4[[#This Row],[trim]]</f>
        <v>0</v>
      </c>
      <c r="D423" s="52">
        <f>Table4[[#This Row],[ypn]]*1</f>
        <v>7119637880</v>
      </c>
      <c r="E423" s="52">
        <f>TYPE(Table4[[#This Row],[ypn]])</f>
        <v>1</v>
      </c>
      <c r="F423" t="s">
        <v>1172</v>
      </c>
      <c r="G423" s="4"/>
    </row>
    <row r="424" spans="1:7" x14ac:dyDescent="0.3">
      <c r="A424" s="7">
        <v>7119665630</v>
      </c>
      <c r="B424" s="52" t="str">
        <f>TRIM(Table4[[#This Row],[ypn]])</f>
        <v>7119665630</v>
      </c>
      <c r="C424" s="52" t="b">
        <f>Table4[[#This Row],[ypn]]=Table4[[#This Row],[trim]]</f>
        <v>0</v>
      </c>
      <c r="D424" s="52">
        <f>Table4[[#This Row],[ypn]]*1</f>
        <v>7119665630</v>
      </c>
      <c r="E424" s="52">
        <f>TYPE(Table4[[#This Row],[ypn]])</f>
        <v>1</v>
      </c>
      <c r="F424" t="s">
        <v>681</v>
      </c>
      <c r="G424" s="4"/>
    </row>
    <row r="425" spans="1:7" x14ac:dyDescent="0.3">
      <c r="A425" s="7" t="s">
        <v>1090</v>
      </c>
      <c r="B425" s="52" t="str">
        <f>TRIM(Table4[[#This Row],[ypn]])</f>
        <v>7187948430E</v>
      </c>
      <c r="C425" s="52" t="b">
        <f>Table4[[#This Row],[ypn]]=Table4[[#This Row],[trim]]</f>
        <v>1</v>
      </c>
      <c r="D425" s="52" t="e">
        <f>Table4[[#This Row],[ypn]]*1</f>
        <v>#VALUE!</v>
      </c>
      <c r="E425" s="52">
        <f>TYPE(Table4[[#This Row],[ypn]])</f>
        <v>2</v>
      </c>
      <c r="F425" t="s">
        <v>685</v>
      </c>
      <c r="G425" s="4"/>
    </row>
    <row r="426" spans="1:7" x14ac:dyDescent="0.3">
      <c r="A426" s="7">
        <v>7189486630</v>
      </c>
      <c r="B426" s="52" t="str">
        <f>TRIM(Table4[[#This Row],[ypn]])</f>
        <v>7189486630</v>
      </c>
      <c r="C426" s="52" t="b">
        <f>Table4[[#This Row],[ypn]]=Table4[[#This Row],[trim]]</f>
        <v>0</v>
      </c>
      <c r="D426" s="52">
        <f>Table4[[#This Row],[ypn]]*1</f>
        <v>7189486630</v>
      </c>
      <c r="E426" s="52">
        <f>TYPE(Table4[[#This Row],[ypn]])</f>
        <v>1</v>
      </c>
      <c r="F426" t="s">
        <v>686</v>
      </c>
      <c r="G426" s="4"/>
    </row>
    <row r="427" spans="1:7" x14ac:dyDescent="0.3">
      <c r="A427" s="7" t="s">
        <v>646</v>
      </c>
      <c r="B427" s="52" t="str">
        <f>TRIM(Table4[[#This Row],[ypn]])</f>
        <v>71979249+CLIP5110</v>
      </c>
      <c r="C427" s="52" t="b">
        <f>Table4[[#This Row],[ypn]]=Table4[[#This Row],[trim]]</f>
        <v>1</v>
      </c>
      <c r="D427" s="52" t="e">
        <f>Table4[[#This Row],[ypn]]*1</f>
        <v>#VALUE!</v>
      </c>
      <c r="E427" s="52">
        <f>TYPE(Table4[[#This Row],[ypn]])</f>
        <v>2</v>
      </c>
      <c r="F427" t="s">
        <v>1173</v>
      </c>
      <c r="G427" s="4"/>
    </row>
    <row r="428" spans="1:7" x14ac:dyDescent="0.3">
      <c r="A428" s="7">
        <v>7219682330</v>
      </c>
      <c r="B428" s="52" t="str">
        <f>TRIM(Table4[[#This Row],[ypn]])</f>
        <v>7219682330</v>
      </c>
      <c r="C428" s="52" t="b">
        <f>Table4[[#This Row],[ypn]]=Table4[[#This Row],[trim]]</f>
        <v>0</v>
      </c>
      <c r="D428" s="52">
        <f>Table4[[#This Row],[ypn]]*1</f>
        <v>7219682330</v>
      </c>
      <c r="E428" s="52">
        <f>TYPE(Table4[[#This Row],[ypn]])</f>
        <v>1</v>
      </c>
      <c r="F428" t="s">
        <v>691</v>
      </c>
      <c r="G428" s="4"/>
    </row>
    <row r="429" spans="1:7" x14ac:dyDescent="0.3">
      <c r="A429" s="7">
        <v>7278099530</v>
      </c>
      <c r="B429" s="52" t="str">
        <f>TRIM(Table4[[#This Row],[ypn]])</f>
        <v>7278099530</v>
      </c>
      <c r="C429" s="52" t="b">
        <f>Table4[[#This Row],[ypn]]=Table4[[#This Row],[trim]]</f>
        <v>0</v>
      </c>
      <c r="D429" s="52">
        <f>Table4[[#This Row],[ypn]]*1</f>
        <v>7278099530</v>
      </c>
      <c r="E429" s="52">
        <f>TYPE(Table4[[#This Row],[ypn]])</f>
        <v>1</v>
      </c>
      <c r="F429" t="s">
        <v>567</v>
      </c>
      <c r="G429" s="4"/>
    </row>
    <row r="430" spans="1:7" x14ac:dyDescent="0.3">
      <c r="A430" s="7">
        <v>7289063730</v>
      </c>
      <c r="B430" s="52" t="str">
        <f>TRIM(Table4[[#This Row],[ypn]])</f>
        <v>7289063730</v>
      </c>
      <c r="C430" s="52" t="b">
        <f>Table4[[#This Row],[ypn]]=Table4[[#This Row],[trim]]</f>
        <v>0</v>
      </c>
      <c r="D430" s="52">
        <f>Table4[[#This Row],[ypn]]*1</f>
        <v>7289063730</v>
      </c>
      <c r="E430" s="52">
        <f>TYPE(Table4[[#This Row],[ypn]])</f>
        <v>1</v>
      </c>
      <c r="F430" t="s">
        <v>478</v>
      </c>
      <c r="G430" s="4"/>
    </row>
    <row r="431" spans="1:7" x14ac:dyDescent="0.3">
      <c r="A431" s="7">
        <v>7289734390</v>
      </c>
      <c r="B431" s="52" t="str">
        <f>TRIM(Table4[[#This Row],[ypn]])</f>
        <v>7289734390</v>
      </c>
      <c r="C431" s="52" t="b">
        <f>Table4[[#This Row],[ypn]]=Table4[[#This Row],[trim]]</f>
        <v>0</v>
      </c>
      <c r="D431" s="52">
        <f>Table4[[#This Row],[ypn]]*1</f>
        <v>7289734390</v>
      </c>
      <c r="E431" s="52">
        <f>TYPE(Table4[[#This Row],[ypn]])</f>
        <v>1</v>
      </c>
      <c r="F431" t="s">
        <v>483</v>
      </c>
      <c r="G431" s="4"/>
    </row>
    <row r="432" spans="1:7" x14ac:dyDescent="0.3">
      <c r="A432" s="7">
        <v>7289886630</v>
      </c>
      <c r="B432" s="52" t="str">
        <f>TRIM(Table4[[#This Row],[ypn]])</f>
        <v>7289886630</v>
      </c>
      <c r="C432" s="52" t="b">
        <f>Table4[[#This Row],[ypn]]=Table4[[#This Row],[trim]]</f>
        <v>0</v>
      </c>
      <c r="D432" s="52">
        <f>Table4[[#This Row],[ypn]]*1</f>
        <v>7289886630</v>
      </c>
      <c r="E432" s="52">
        <f>TYPE(Table4[[#This Row],[ypn]])</f>
        <v>1</v>
      </c>
      <c r="F432" t="s">
        <v>1174</v>
      </c>
      <c r="G432" s="4"/>
    </row>
    <row r="433" spans="1:7" x14ac:dyDescent="0.3">
      <c r="A433" s="7">
        <v>7298196130</v>
      </c>
      <c r="B433" s="52" t="str">
        <f>TRIM(Table4[[#This Row],[ypn]])</f>
        <v>7298196130</v>
      </c>
      <c r="C433" s="52" t="b">
        <f>Table4[[#This Row],[ypn]]=Table4[[#This Row],[trim]]</f>
        <v>0</v>
      </c>
      <c r="D433" s="52">
        <f>Table4[[#This Row],[ypn]]*1</f>
        <v>7298196130</v>
      </c>
      <c r="E433" s="52">
        <f>TYPE(Table4[[#This Row],[ypn]])</f>
        <v>1</v>
      </c>
      <c r="F433" t="s">
        <v>303</v>
      </c>
      <c r="G433" s="4"/>
    </row>
    <row r="434" spans="1:7" x14ac:dyDescent="0.3">
      <c r="A434" s="7">
        <v>7298808730</v>
      </c>
      <c r="B434" s="52" t="str">
        <f>TRIM(Table4[[#This Row],[ypn]])</f>
        <v>7298808730</v>
      </c>
      <c r="C434" s="52" t="b">
        <f>Table4[[#This Row],[ypn]]=Table4[[#This Row],[trim]]</f>
        <v>0</v>
      </c>
      <c r="D434" s="52">
        <f>Table4[[#This Row],[ypn]]*1</f>
        <v>7298808730</v>
      </c>
      <c r="E434" s="52">
        <f>TYPE(Table4[[#This Row],[ypn]])</f>
        <v>1</v>
      </c>
      <c r="F434" t="s">
        <v>706</v>
      </c>
      <c r="G434" s="4"/>
    </row>
    <row r="435" spans="1:7" x14ac:dyDescent="0.3">
      <c r="A435" s="7">
        <v>7047052330</v>
      </c>
      <c r="B435" s="52" t="str">
        <f>TRIM(Table4[[#This Row],[ypn]])</f>
        <v>7047052330</v>
      </c>
      <c r="C435" s="52" t="b">
        <f>Table4[[#This Row],[ypn]]=Table4[[#This Row],[trim]]</f>
        <v>0</v>
      </c>
      <c r="D435" s="52">
        <f>Table4[[#This Row],[ypn]]*1</f>
        <v>7047052330</v>
      </c>
      <c r="E435" s="52">
        <f>TYPE(Table4[[#This Row],[ypn]])</f>
        <v>1</v>
      </c>
      <c r="F435" t="s">
        <v>1175</v>
      </c>
      <c r="G435" s="4"/>
    </row>
    <row r="436" spans="1:7" x14ac:dyDescent="0.3">
      <c r="A436" s="7">
        <v>7247374530</v>
      </c>
      <c r="B436" s="52" t="str">
        <f>TRIM(Table4[[#This Row],[ypn]])</f>
        <v>7247374530</v>
      </c>
      <c r="C436" s="52" t="b">
        <f>Table4[[#This Row],[ypn]]=Table4[[#This Row],[trim]]</f>
        <v>0</v>
      </c>
      <c r="D436" s="52">
        <f>Table4[[#This Row],[ypn]]*1</f>
        <v>7247374530</v>
      </c>
      <c r="E436" s="52">
        <f>TYPE(Table4[[#This Row],[ypn]])</f>
        <v>1</v>
      </c>
      <c r="G436" s="4"/>
    </row>
    <row r="437" spans="1:7" x14ac:dyDescent="0.3">
      <c r="A437" s="7">
        <v>7247374930</v>
      </c>
      <c r="B437" s="52" t="str">
        <f>TRIM(Table4[[#This Row],[ypn]])</f>
        <v>7247374930</v>
      </c>
      <c r="C437" s="52" t="b">
        <f>Table4[[#This Row],[ypn]]=Table4[[#This Row],[trim]]</f>
        <v>0</v>
      </c>
      <c r="D437" s="52">
        <f>Table4[[#This Row],[ypn]]*1</f>
        <v>7247374930</v>
      </c>
      <c r="E437" s="52">
        <f>TYPE(Table4[[#This Row],[ypn]])</f>
        <v>1</v>
      </c>
      <c r="G437" s="4"/>
    </row>
    <row r="438" spans="1:7" x14ac:dyDescent="0.3">
      <c r="A438" s="7">
        <v>7247761330</v>
      </c>
      <c r="B438" s="52" t="str">
        <f>TRIM(Table4[[#This Row],[ypn]])</f>
        <v>7247761330</v>
      </c>
      <c r="C438" s="52" t="b">
        <f>Table4[[#This Row],[ypn]]=Table4[[#This Row],[trim]]</f>
        <v>0</v>
      </c>
      <c r="D438" s="52">
        <f>Table4[[#This Row],[ypn]]*1</f>
        <v>7247761330</v>
      </c>
      <c r="E438" s="52">
        <f>TYPE(Table4[[#This Row],[ypn]])</f>
        <v>1</v>
      </c>
      <c r="F438" t="s">
        <v>988</v>
      </c>
      <c r="G438" s="4"/>
    </row>
    <row r="439" spans="1:7" x14ac:dyDescent="0.3">
      <c r="A439" s="7">
        <v>7247776330</v>
      </c>
      <c r="B439" s="52" t="str">
        <f>TRIM(Table4[[#This Row],[ypn]])</f>
        <v>7247776330</v>
      </c>
      <c r="C439" s="52" t="b">
        <f>Table4[[#This Row],[ypn]]=Table4[[#This Row],[trim]]</f>
        <v>0</v>
      </c>
      <c r="D439" s="52">
        <f>Table4[[#This Row],[ypn]]*1</f>
        <v>7247776330</v>
      </c>
      <c r="E439" s="52">
        <f>TYPE(Table4[[#This Row],[ypn]])</f>
        <v>1</v>
      </c>
      <c r="G439" s="4"/>
    </row>
    <row r="440" spans="1:7" x14ac:dyDescent="0.3">
      <c r="A440" s="7">
        <v>72478572</v>
      </c>
      <c r="B440" s="52" t="str">
        <f>TRIM(Table4[[#This Row],[ypn]])</f>
        <v>72478572</v>
      </c>
      <c r="C440" s="52" t="b">
        <f>Table4[[#This Row],[ypn]]=Table4[[#This Row],[trim]]</f>
        <v>0</v>
      </c>
      <c r="D440" s="52">
        <f>Table4[[#This Row],[ypn]]*1</f>
        <v>72478572</v>
      </c>
      <c r="E440" s="52">
        <f>TYPE(Table4[[#This Row],[ypn]])</f>
        <v>1</v>
      </c>
      <c r="F440" t="s">
        <v>989</v>
      </c>
      <c r="G440" s="4"/>
    </row>
    <row r="441" spans="1:7" x14ac:dyDescent="0.3">
      <c r="A441" s="7">
        <v>7147878930</v>
      </c>
      <c r="B441" s="52" t="str">
        <f>TRIM(Table4[[#This Row],[ypn]])</f>
        <v>7147878930</v>
      </c>
      <c r="C441" s="52" t="b">
        <f>Table4[[#This Row],[ypn]]=Table4[[#This Row],[trim]]</f>
        <v>0</v>
      </c>
      <c r="D441" s="52">
        <f>Table4[[#This Row],[ypn]]*1</f>
        <v>7147878930</v>
      </c>
      <c r="E441" s="52">
        <f>TYPE(Table4[[#This Row],[ypn]])</f>
        <v>1</v>
      </c>
      <c r="F441" t="s">
        <v>990</v>
      </c>
      <c r="G441" s="4"/>
    </row>
    <row r="442" spans="1:7" x14ac:dyDescent="0.3">
      <c r="A442" s="7">
        <v>7247787730</v>
      </c>
      <c r="B442" s="52" t="str">
        <f>TRIM(Table4[[#This Row],[ypn]])</f>
        <v>7247787730</v>
      </c>
      <c r="C442" s="52" t="b">
        <f>Table4[[#This Row],[ypn]]=Table4[[#This Row],[trim]]</f>
        <v>0</v>
      </c>
      <c r="D442" s="52">
        <f>Table4[[#This Row],[ypn]]*1</f>
        <v>7247787730</v>
      </c>
      <c r="E442" s="52">
        <f>TYPE(Table4[[#This Row],[ypn]])</f>
        <v>1</v>
      </c>
      <c r="F442" t="s">
        <v>991</v>
      </c>
      <c r="G442" s="4"/>
    </row>
    <row r="443" spans="1:7" x14ac:dyDescent="0.3">
      <c r="A443" s="7">
        <v>7247760930</v>
      </c>
      <c r="B443" s="52" t="str">
        <f>TRIM(Table4[[#This Row],[ypn]])</f>
        <v>7247760930</v>
      </c>
      <c r="C443" s="52" t="b">
        <f>Table4[[#This Row],[ypn]]=Table4[[#This Row],[trim]]</f>
        <v>0</v>
      </c>
      <c r="D443" s="52">
        <f>Table4[[#This Row],[ypn]]*1</f>
        <v>7247760930</v>
      </c>
      <c r="E443" s="52">
        <f>TYPE(Table4[[#This Row],[ypn]])</f>
        <v>1</v>
      </c>
      <c r="F443" t="s">
        <v>992</v>
      </c>
      <c r="G443" s="4"/>
    </row>
    <row r="444" spans="1:7" x14ac:dyDescent="0.3">
      <c r="A444" s="7">
        <v>7052161430</v>
      </c>
      <c r="B444" s="52" t="str">
        <f>TRIM(Table4[[#This Row],[ypn]])</f>
        <v>7052161430</v>
      </c>
      <c r="C444" s="52" t="b">
        <f>Table4[[#This Row],[ypn]]=Table4[[#This Row],[trim]]</f>
        <v>0</v>
      </c>
      <c r="D444" s="52">
        <f>Table4[[#This Row],[ypn]]*1</f>
        <v>7052161430</v>
      </c>
      <c r="E444" s="52">
        <f>TYPE(Table4[[#This Row],[ypn]])</f>
        <v>1</v>
      </c>
      <c r="G444" s="4"/>
    </row>
    <row r="445" spans="1:7" x14ac:dyDescent="0.3">
      <c r="A445" s="7">
        <v>7247760830</v>
      </c>
      <c r="B445" s="52" t="str">
        <f>TRIM(Table4[[#This Row],[ypn]])</f>
        <v>7247760830</v>
      </c>
      <c r="C445" s="52" t="b">
        <f>Table4[[#This Row],[ypn]]=Table4[[#This Row],[trim]]</f>
        <v>0</v>
      </c>
      <c r="D445" s="52">
        <f>Table4[[#This Row],[ypn]]*1</f>
        <v>7247760830</v>
      </c>
      <c r="E445" s="52">
        <f>TYPE(Table4[[#This Row],[ypn]])</f>
        <v>1</v>
      </c>
      <c r="F445" t="s">
        <v>993</v>
      </c>
      <c r="G445" s="4"/>
    </row>
    <row r="446" spans="1:7" x14ac:dyDescent="0.3">
      <c r="A446" s="7">
        <v>7247764130</v>
      </c>
      <c r="B446" s="52" t="str">
        <f>TRIM(Table4[[#This Row],[ypn]])</f>
        <v>7247764130</v>
      </c>
      <c r="C446" s="52" t="b">
        <f>Table4[[#This Row],[ypn]]=Table4[[#This Row],[trim]]</f>
        <v>0</v>
      </c>
      <c r="D446" s="52">
        <f>Table4[[#This Row],[ypn]]*1</f>
        <v>7247764130</v>
      </c>
      <c r="E446" s="52">
        <f>TYPE(Table4[[#This Row],[ypn]])</f>
        <v>1</v>
      </c>
      <c r="F446" t="s">
        <v>994</v>
      </c>
      <c r="G446" s="4"/>
    </row>
    <row r="447" spans="1:7" x14ac:dyDescent="0.3">
      <c r="A447" s="7">
        <v>7047009730</v>
      </c>
      <c r="B447" s="52" t="str">
        <f>TRIM(Table4[[#This Row],[ypn]])</f>
        <v>7047009730</v>
      </c>
      <c r="C447" s="52" t="b">
        <f>Table4[[#This Row],[ypn]]=Table4[[#This Row],[trim]]</f>
        <v>0</v>
      </c>
      <c r="D447" s="52">
        <f>Table4[[#This Row],[ypn]]*1</f>
        <v>7047009730</v>
      </c>
      <c r="E447" s="52">
        <f>TYPE(Table4[[#This Row],[ypn]])</f>
        <v>1</v>
      </c>
      <c r="G447" s="4"/>
    </row>
    <row r="448" spans="1:7" x14ac:dyDescent="0.3">
      <c r="A448" s="7">
        <v>7247781230</v>
      </c>
      <c r="B448" s="52" t="str">
        <f>TRIM(Table4[[#This Row],[ypn]])</f>
        <v>7247781230</v>
      </c>
      <c r="C448" s="52" t="b">
        <f>Table4[[#This Row],[ypn]]=Table4[[#This Row],[trim]]</f>
        <v>0</v>
      </c>
      <c r="D448" s="52">
        <f>Table4[[#This Row],[ypn]]*1</f>
        <v>7247781230</v>
      </c>
      <c r="E448" s="52">
        <f>TYPE(Table4[[#This Row],[ypn]])</f>
        <v>1</v>
      </c>
      <c r="F448" t="s">
        <v>995</v>
      </c>
      <c r="G448" s="4"/>
    </row>
    <row r="449" spans="1:7" x14ac:dyDescent="0.3">
      <c r="A449" s="7" t="s">
        <v>373</v>
      </c>
      <c r="B449" s="52" t="str">
        <f>TRIM(Table4[[#This Row],[ypn]])</f>
        <v>7147882430</v>
      </c>
      <c r="C449" s="52" t="b">
        <f>Table4[[#This Row],[ypn]]=Table4[[#This Row],[trim]]</f>
        <v>1</v>
      </c>
      <c r="D449" s="52">
        <f>Table4[[#This Row],[ypn]]*1</f>
        <v>7147882430</v>
      </c>
      <c r="E449" s="52">
        <f>TYPE(Table4[[#This Row],[ypn]])</f>
        <v>2</v>
      </c>
      <c r="G449" s="4"/>
    </row>
    <row r="450" spans="1:7" x14ac:dyDescent="0.3">
      <c r="A450" s="7">
        <v>7047273930</v>
      </c>
      <c r="B450" s="52" t="str">
        <f>TRIM(Table4[[#This Row],[ypn]])</f>
        <v>7047273930</v>
      </c>
      <c r="C450" s="52" t="b">
        <f>Table4[[#This Row],[ypn]]=Table4[[#This Row],[trim]]</f>
        <v>0</v>
      </c>
      <c r="D450" s="52">
        <f>Table4[[#This Row],[ypn]]*1</f>
        <v>7047273930</v>
      </c>
      <c r="E450" s="52">
        <f>TYPE(Table4[[#This Row],[ypn]])</f>
        <v>1</v>
      </c>
      <c r="F450" t="s">
        <v>996</v>
      </c>
      <c r="G450" s="4"/>
    </row>
    <row r="451" spans="1:7" x14ac:dyDescent="0.3">
      <c r="A451" s="7">
        <v>7047305630</v>
      </c>
      <c r="B451" s="52" t="str">
        <f>TRIM(Table4[[#This Row],[ypn]])</f>
        <v>7047305630</v>
      </c>
      <c r="C451" s="52" t="b">
        <f>Table4[[#This Row],[ypn]]=Table4[[#This Row],[trim]]</f>
        <v>0</v>
      </c>
      <c r="D451" s="52">
        <f>Table4[[#This Row],[ypn]]*1</f>
        <v>7047305630</v>
      </c>
      <c r="E451" s="52">
        <f>TYPE(Table4[[#This Row],[ypn]])</f>
        <v>1</v>
      </c>
      <c r="F451" t="s">
        <v>997</v>
      </c>
      <c r="G451" s="4"/>
    </row>
    <row r="452" spans="1:7" x14ac:dyDescent="0.3">
      <c r="A452" s="7">
        <v>7247781730</v>
      </c>
      <c r="B452" s="52" t="str">
        <f>TRIM(Table4[[#This Row],[ypn]])</f>
        <v>7247781730</v>
      </c>
      <c r="C452" s="52" t="b">
        <f>Table4[[#This Row],[ypn]]=Table4[[#This Row],[trim]]</f>
        <v>0</v>
      </c>
      <c r="D452" s="52">
        <f>Table4[[#This Row],[ypn]]*1</f>
        <v>7247781730</v>
      </c>
      <c r="E452" s="52">
        <f>TYPE(Table4[[#This Row],[ypn]])</f>
        <v>1</v>
      </c>
      <c r="F452" t="s">
        <v>998</v>
      </c>
      <c r="G452" s="4"/>
    </row>
    <row r="453" spans="1:7" x14ac:dyDescent="0.3">
      <c r="A453" s="7">
        <v>7047135830</v>
      </c>
      <c r="B453" s="52" t="str">
        <f>TRIM(Table4[[#This Row],[ypn]])</f>
        <v>7047135830</v>
      </c>
      <c r="C453" s="52" t="b">
        <f>Table4[[#This Row],[ypn]]=Table4[[#This Row],[trim]]</f>
        <v>0</v>
      </c>
      <c r="D453" s="52">
        <f>Table4[[#This Row],[ypn]]*1</f>
        <v>7047135830</v>
      </c>
      <c r="E453" s="52">
        <f>TYPE(Table4[[#This Row],[ypn]])</f>
        <v>1</v>
      </c>
      <c r="F453" t="s">
        <v>999</v>
      </c>
      <c r="G453" s="4"/>
    </row>
    <row r="454" spans="1:7" x14ac:dyDescent="0.3">
      <c r="A454" s="7">
        <v>7047178330</v>
      </c>
      <c r="B454" s="52" t="str">
        <f>TRIM(Table4[[#This Row],[ypn]])</f>
        <v>7047178330</v>
      </c>
      <c r="C454" s="52" t="b">
        <f>Table4[[#This Row],[ypn]]=Table4[[#This Row],[trim]]</f>
        <v>0</v>
      </c>
      <c r="D454" s="52">
        <f>Table4[[#This Row],[ypn]]*1</f>
        <v>7047178330</v>
      </c>
      <c r="E454" s="52">
        <f>TYPE(Table4[[#This Row],[ypn]])</f>
        <v>1</v>
      </c>
      <c r="G454" s="4"/>
    </row>
    <row r="455" spans="1:7" x14ac:dyDescent="0.3">
      <c r="A455" s="7">
        <v>7252726530</v>
      </c>
      <c r="B455" s="52" t="str">
        <f>TRIM(Table4[[#This Row],[ypn]])</f>
        <v>7252726530</v>
      </c>
      <c r="C455" s="52" t="b">
        <f>Table4[[#This Row],[ypn]]=Table4[[#This Row],[trim]]</f>
        <v>0</v>
      </c>
      <c r="D455" s="52">
        <f>Table4[[#This Row],[ypn]]*1</f>
        <v>7252726530</v>
      </c>
      <c r="E455" s="52">
        <f>TYPE(Table4[[#This Row],[ypn]])</f>
        <v>1</v>
      </c>
      <c r="F455" t="s">
        <v>1000</v>
      </c>
      <c r="G455" s="4"/>
    </row>
    <row r="456" spans="1:7" x14ac:dyDescent="0.3">
      <c r="A456" s="7" t="s">
        <v>1091</v>
      </c>
      <c r="B456" s="52" t="str">
        <f>TRIM(Table4[[#This Row],[ypn]])</f>
        <v>70521459</v>
      </c>
      <c r="C456" s="52" t="b">
        <f>Table4[[#This Row],[ypn]]=Table4[[#This Row],[trim]]</f>
        <v>1</v>
      </c>
      <c r="D456" s="52">
        <f>Table4[[#This Row],[ypn]]*1</f>
        <v>70521459</v>
      </c>
      <c r="E456" s="52">
        <f>TYPE(Table4[[#This Row],[ypn]])</f>
        <v>2</v>
      </c>
      <c r="F456" t="s">
        <v>1001</v>
      </c>
      <c r="G456" s="4"/>
    </row>
    <row r="457" spans="1:7" x14ac:dyDescent="0.3">
      <c r="A457" s="7" t="s">
        <v>395</v>
      </c>
      <c r="B457" s="52" t="str">
        <f>TRIM(Table4[[#This Row],[ypn]])</f>
        <v>7252779130</v>
      </c>
      <c r="C457" s="52" t="b">
        <f>Table4[[#This Row],[ypn]]=Table4[[#This Row],[trim]]</f>
        <v>1</v>
      </c>
      <c r="D457" s="52">
        <f>Table4[[#This Row],[ypn]]*1</f>
        <v>7252779130</v>
      </c>
      <c r="E457" s="52">
        <f>TYPE(Table4[[#This Row],[ypn]])</f>
        <v>2</v>
      </c>
      <c r="G457" s="4"/>
    </row>
    <row r="458" spans="1:7" x14ac:dyDescent="0.3">
      <c r="A458" s="7" t="s">
        <v>393</v>
      </c>
      <c r="B458" s="52" t="str">
        <f>TRIM(Table4[[#This Row],[ypn]])</f>
        <v>7252735930</v>
      </c>
      <c r="C458" s="52" t="b">
        <f>Table4[[#This Row],[ypn]]=Table4[[#This Row],[trim]]</f>
        <v>1</v>
      </c>
      <c r="D458" s="52">
        <f>Table4[[#This Row],[ypn]]*1</f>
        <v>7252735930</v>
      </c>
      <c r="E458" s="52">
        <f>TYPE(Table4[[#This Row],[ypn]])</f>
        <v>2</v>
      </c>
      <c r="F458" t="s">
        <v>1002</v>
      </c>
      <c r="G458" s="4"/>
    </row>
    <row r="459" spans="1:7" x14ac:dyDescent="0.3">
      <c r="A459" s="7">
        <v>7252809330</v>
      </c>
      <c r="B459" s="52" t="str">
        <f>TRIM(Table4[[#This Row],[ypn]])</f>
        <v>7252809330</v>
      </c>
      <c r="C459" s="52" t="b">
        <f>Table4[[#This Row],[ypn]]=Table4[[#This Row],[trim]]</f>
        <v>0</v>
      </c>
      <c r="D459" s="52">
        <f>Table4[[#This Row],[ypn]]*1</f>
        <v>7252809330</v>
      </c>
      <c r="E459" s="52">
        <f>TYPE(Table4[[#This Row],[ypn]])</f>
        <v>1</v>
      </c>
      <c r="F459" t="s">
        <v>1003</v>
      </c>
      <c r="G459" s="4"/>
    </row>
    <row r="460" spans="1:7" x14ac:dyDescent="0.3">
      <c r="A460" s="7">
        <v>7252815130</v>
      </c>
      <c r="B460" s="52" t="str">
        <f>TRIM(Table4[[#This Row],[ypn]])</f>
        <v>7252815130</v>
      </c>
      <c r="C460" s="52" t="b">
        <f>Table4[[#This Row],[ypn]]=Table4[[#This Row],[trim]]</f>
        <v>0</v>
      </c>
      <c r="D460" s="52">
        <f>Table4[[#This Row],[ypn]]*1</f>
        <v>7252815130</v>
      </c>
      <c r="E460" s="52">
        <f>TYPE(Table4[[#This Row],[ypn]])</f>
        <v>1</v>
      </c>
      <c r="G460" s="4"/>
    </row>
    <row r="461" spans="1:7" x14ac:dyDescent="0.3">
      <c r="A461" s="7" t="s">
        <v>1092</v>
      </c>
      <c r="B461" s="52" t="str">
        <f>TRIM(Table4[[#This Row],[ypn]])</f>
        <v>7047251030U</v>
      </c>
      <c r="C461" s="52" t="b">
        <f>Table4[[#This Row],[ypn]]=Table4[[#This Row],[trim]]</f>
        <v>1</v>
      </c>
      <c r="D461" s="52" t="e">
        <f>Table4[[#This Row],[ypn]]*1</f>
        <v>#VALUE!</v>
      </c>
      <c r="E461" s="52">
        <f>TYPE(Table4[[#This Row],[ypn]])</f>
        <v>2</v>
      </c>
      <c r="F461" t="s">
        <v>1176</v>
      </c>
      <c r="G461" s="4"/>
    </row>
    <row r="462" spans="1:7" x14ac:dyDescent="0.3">
      <c r="A462" s="7" t="s">
        <v>1093</v>
      </c>
      <c r="B462" s="52" t="str">
        <f>TRIM(Table4[[#This Row],[ypn]])</f>
        <v>7047275330S</v>
      </c>
      <c r="C462" s="52" t="b">
        <f>Table4[[#This Row],[ypn]]=Table4[[#This Row],[trim]]</f>
        <v>1</v>
      </c>
      <c r="D462" s="52" t="e">
        <f>Table4[[#This Row],[ypn]]*1</f>
        <v>#VALUE!</v>
      </c>
      <c r="E462" s="52">
        <f>TYPE(Table4[[#This Row],[ypn]])</f>
        <v>2</v>
      </c>
      <c r="G462" s="4"/>
    </row>
    <row r="463" spans="1:7" x14ac:dyDescent="0.3">
      <c r="A463" s="7" t="s">
        <v>1094</v>
      </c>
      <c r="B463" s="52" t="str">
        <f>TRIM(Table4[[#This Row],[ypn]])</f>
        <v>70475017D</v>
      </c>
      <c r="C463" s="52" t="b">
        <f>Table4[[#This Row],[ypn]]=Table4[[#This Row],[trim]]</f>
        <v>1</v>
      </c>
      <c r="D463" s="52" t="e">
        <f>Table4[[#This Row],[ypn]]*1</f>
        <v>#VALUE!</v>
      </c>
      <c r="E463" s="52">
        <f>TYPE(Table4[[#This Row],[ypn]])</f>
        <v>2</v>
      </c>
      <c r="F463" t="s">
        <v>1177</v>
      </c>
      <c r="G463" s="4"/>
    </row>
    <row r="464" spans="1:7" x14ac:dyDescent="0.3">
      <c r="A464" s="7" t="s">
        <v>1095</v>
      </c>
      <c r="B464" s="52" t="str">
        <f>TRIM(Table4[[#This Row],[ypn]])</f>
        <v>7047798230S</v>
      </c>
      <c r="C464" s="52" t="b">
        <f>Table4[[#This Row],[ypn]]=Table4[[#This Row],[trim]]</f>
        <v>1</v>
      </c>
      <c r="D464" s="52" t="e">
        <f>Table4[[#This Row],[ypn]]*1</f>
        <v>#VALUE!</v>
      </c>
      <c r="E464" s="52">
        <f>TYPE(Table4[[#This Row],[ypn]])</f>
        <v>2</v>
      </c>
      <c r="G464" s="4"/>
    </row>
    <row r="465" spans="1:7" x14ac:dyDescent="0.3">
      <c r="A465" s="7" t="s">
        <v>1096</v>
      </c>
      <c r="B465" s="52" t="str">
        <f>TRIM(Table4[[#This Row],[ypn]])</f>
        <v>7047798330S</v>
      </c>
      <c r="C465" s="52" t="b">
        <f>Table4[[#This Row],[ypn]]=Table4[[#This Row],[trim]]</f>
        <v>1</v>
      </c>
      <c r="D465" s="52" t="e">
        <f>Table4[[#This Row],[ypn]]*1</f>
        <v>#VALUE!</v>
      </c>
      <c r="E465" s="52">
        <f>TYPE(Table4[[#This Row],[ypn]])</f>
        <v>2</v>
      </c>
      <c r="F465" t="s">
        <v>1178</v>
      </c>
      <c r="G465" s="4"/>
    </row>
    <row r="466" spans="1:7" x14ac:dyDescent="0.3">
      <c r="A466" s="7" t="s">
        <v>1097</v>
      </c>
      <c r="B466" s="52" t="str">
        <f>TRIM(Table4[[#This Row],[ypn]])</f>
        <v>7247001130S</v>
      </c>
      <c r="C466" s="52" t="b">
        <f>Table4[[#This Row],[ypn]]=Table4[[#This Row],[trim]]</f>
        <v>1</v>
      </c>
      <c r="D466" s="52" t="e">
        <f>Table4[[#This Row],[ypn]]*1</f>
        <v>#VALUE!</v>
      </c>
      <c r="E466" s="52">
        <f>TYPE(Table4[[#This Row],[ypn]])</f>
        <v>2</v>
      </c>
      <c r="G466" s="4"/>
    </row>
    <row r="467" spans="1:7" x14ac:dyDescent="0.3">
      <c r="A467" s="7" t="s">
        <v>1098</v>
      </c>
      <c r="B467" s="52" t="str">
        <f>TRIM(Table4[[#This Row],[ypn]])</f>
        <v>7247758130S</v>
      </c>
      <c r="C467" s="52" t="b">
        <f>Table4[[#This Row],[ypn]]=Table4[[#This Row],[trim]]</f>
        <v>1</v>
      </c>
      <c r="D467" s="52" t="e">
        <f>Table4[[#This Row],[ypn]]*1</f>
        <v>#VALUE!</v>
      </c>
      <c r="E467" s="52">
        <f>TYPE(Table4[[#This Row],[ypn]])</f>
        <v>2</v>
      </c>
      <c r="F467">
        <v>2137810</v>
      </c>
      <c r="G467" s="4"/>
    </row>
    <row r="468" spans="1:7" x14ac:dyDescent="0.3">
      <c r="A468" s="7" t="s">
        <v>1099</v>
      </c>
      <c r="B468" s="52" t="str">
        <f>TRIM(Table4[[#This Row],[ypn]])</f>
        <v>7247792930S</v>
      </c>
      <c r="C468" s="52" t="b">
        <f>Table4[[#This Row],[ypn]]=Table4[[#This Row],[trim]]</f>
        <v>1</v>
      </c>
      <c r="D468" s="52" t="e">
        <f>Table4[[#This Row],[ypn]]*1</f>
        <v>#VALUE!</v>
      </c>
      <c r="E468" s="52">
        <f>TYPE(Table4[[#This Row],[ypn]])</f>
        <v>2</v>
      </c>
      <c r="F468" t="s">
        <v>1179</v>
      </c>
      <c r="G468" s="4"/>
    </row>
    <row r="469" spans="1:7" x14ac:dyDescent="0.3">
      <c r="A469" s="7" t="s">
        <v>1100</v>
      </c>
      <c r="B469" s="52" t="str">
        <f>TRIM(Table4[[#This Row],[ypn]])</f>
        <v>7252803330S</v>
      </c>
      <c r="C469" s="52" t="b">
        <f>Table4[[#This Row],[ypn]]=Table4[[#This Row],[trim]]</f>
        <v>1</v>
      </c>
      <c r="D469" s="52" t="e">
        <f>Table4[[#This Row],[ypn]]*1</f>
        <v>#VALUE!</v>
      </c>
      <c r="E469" s="52">
        <f>TYPE(Table4[[#This Row],[ypn]])</f>
        <v>2</v>
      </c>
      <c r="G469" s="4"/>
    </row>
    <row r="470" spans="1:7" x14ac:dyDescent="0.3">
      <c r="A470" s="7" t="s">
        <v>1101</v>
      </c>
      <c r="B470" s="52" t="str">
        <f>TRIM(Table4[[#This Row],[ypn]])</f>
        <v>7176862930 (X1PO2407)</v>
      </c>
      <c r="C470" s="52" t="b">
        <f>Table4[[#This Row],[ypn]]=Table4[[#This Row],[trim]]</f>
        <v>1</v>
      </c>
      <c r="D470" s="52" t="e">
        <f>Table4[[#This Row],[ypn]]*1</f>
        <v>#VALUE!</v>
      </c>
      <c r="E470" s="52">
        <f>TYPE(Table4[[#This Row],[ypn]])</f>
        <v>2</v>
      </c>
      <c r="F470" t="s">
        <v>540</v>
      </c>
      <c r="G470" s="4"/>
    </row>
    <row r="471" spans="1:7" x14ac:dyDescent="0.3">
      <c r="A471" s="7" t="s">
        <v>1102</v>
      </c>
      <c r="B471" s="52" t="str">
        <f>TRIM(Table4[[#This Row],[ypn]])</f>
        <v>7176863030 (X1PO2408)</v>
      </c>
      <c r="C471" s="52" t="b">
        <f>Table4[[#This Row],[ypn]]=Table4[[#This Row],[trim]]</f>
        <v>1</v>
      </c>
      <c r="D471" s="52" t="e">
        <f>Table4[[#This Row],[ypn]]*1</f>
        <v>#VALUE!</v>
      </c>
      <c r="E471" s="52">
        <f>TYPE(Table4[[#This Row],[ypn]])</f>
        <v>2</v>
      </c>
      <c r="F471" t="s">
        <v>542</v>
      </c>
      <c r="G471" s="4"/>
    </row>
    <row r="472" spans="1:7" x14ac:dyDescent="0.3">
      <c r="A472" s="7" t="s">
        <v>1103</v>
      </c>
      <c r="B472" s="52" t="str">
        <f>TRIM(Table4[[#This Row],[ypn]])</f>
        <v>X1PO2562 -A1748211900</v>
      </c>
      <c r="C472" s="52" t="b">
        <f>Table4[[#This Row],[ypn]]=Table4[[#This Row],[trim]]</f>
        <v>1</v>
      </c>
      <c r="D472" s="52" t="e">
        <f>Table4[[#This Row],[ypn]]*1</f>
        <v>#VALUE!</v>
      </c>
      <c r="E472" s="52">
        <f>TYPE(Table4[[#This Row],[ypn]])</f>
        <v>2</v>
      </c>
      <c r="F472" t="s">
        <v>632</v>
      </c>
      <c r="G472" s="4"/>
    </row>
    <row r="473" spans="1:7" x14ac:dyDescent="0.3">
      <c r="A473" s="7" t="s">
        <v>1104</v>
      </c>
      <c r="B473" s="52" t="str">
        <f>TRIM(Table4[[#This Row],[ypn]])</f>
        <v>X1PO2578 - 7176 8619 30</v>
      </c>
      <c r="C473" s="52" t="b">
        <f>Table4[[#This Row],[ypn]]=Table4[[#This Row],[trim]]</f>
        <v>1</v>
      </c>
      <c r="D473" s="52" t="e">
        <f>Table4[[#This Row],[ypn]]*1</f>
        <v>#VALUE!</v>
      </c>
      <c r="E473" s="52">
        <f>TYPE(Table4[[#This Row],[ypn]])</f>
        <v>2</v>
      </c>
      <c r="F473" t="s">
        <v>530</v>
      </c>
      <c r="G473" s="4"/>
    </row>
    <row r="474" spans="1:7" x14ac:dyDescent="0.3">
      <c r="A474" s="7" t="s">
        <v>1105</v>
      </c>
      <c r="B474" s="52" t="str">
        <f>TRIM(Table4[[#This Row],[ypn]])</f>
        <v>X1PO2580 - 7176 8620 30</v>
      </c>
      <c r="C474" s="52" t="b">
        <f>Table4[[#This Row],[ypn]]=Table4[[#This Row],[trim]]</f>
        <v>1</v>
      </c>
      <c r="D474" s="52" t="e">
        <f>Table4[[#This Row],[ypn]]*1</f>
        <v>#VALUE!</v>
      </c>
      <c r="E474" s="52">
        <f>TYPE(Table4[[#This Row],[ypn]])</f>
        <v>2</v>
      </c>
      <c r="F474" t="s">
        <v>532</v>
      </c>
      <c r="G474" s="4"/>
    </row>
    <row r="475" spans="1:7" x14ac:dyDescent="0.3">
      <c r="A475" s="7" t="s">
        <v>1106</v>
      </c>
      <c r="B475" s="52" t="str">
        <f>TRIM(Table4[[#This Row],[ypn]])</f>
        <v>X1PO 2519</v>
      </c>
      <c r="C475" s="52" t="b">
        <f>Table4[[#This Row],[ypn]]=Table4[[#This Row],[trim]]</f>
        <v>1</v>
      </c>
      <c r="D475" s="52" t="e">
        <f>Table4[[#This Row],[ypn]]*1</f>
        <v>#VALUE!</v>
      </c>
      <c r="E475" s="52">
        <f>TYPE(Table4[[#This Row],[ypn]])</f>
        <v>2</v>
      </c>
      <c r="F475" t="s">
        <v>636</v>
      </c>
      <c r="G475" s="4"/>
    </row>
    <row r="476" spans="1:7" x14ac:dyDescent="0.3">
      <c r="A476" s="7" t="s">
        <v>1107</v>
      </c>
      <c r="B476" s="52" t="str">
        <f>TRIM(Table4[[#This Row],[ypn]])</f>
        <v>7176862130 - X1PO 2557</v>
      </c>
      <c r="C476" s="52" t="b">
        <f>Table4[[#This Row],[ypn]]=Table4[[#This Row],[trim]]</f>
        <v>1</v>
      </c>
      <c r="D476" s="52" t="e">
        <f>Table4[[#This Row],[ypn]]*1</f>
        <v>#VALUE!</v>
      </c>
      <c r="E476" s="52">
        <f>TYPE(Table4[[#This Row],[ypn]])</f>
        <v>2</v>
      </c>
      <c r="F476" t="s">
        <v>534</v>
      </c>
      <c r="G476" s="4"/>
    </row>
    <row r="477" spans="1:7" x14ac:dyDescent="0.3">
      <c r="A477" s="7" t="s">
        <v>1108</v>
      </c>
      <c r="B477" s="52" t="str">
        <f>TRIM(Table4[[#This Row],[ypn]])</f>
        <v>7176862330 - X1PO 2559</v>
      </c>
      <c r="C477" s="52" t="b">
        <f>Table4[[#This Row],[ypn]]=Table4[[#This Row],[trim]]</f>
        <v>1</v>
      </c>
      <c r="D477" s="52" t="e">
        <f>Table4[[#This Row],[ypn]]*1</f>
        <v>#VALUE!</v>
      </c>
      <c r="E477" s="52">
        <f>TYPE(Table4[[#This Row],[ypn]])</f>
        <v>2</v>
      </c>
      <c r="F477" t="s">
        <v>536</v>
      </c>
      <c r="G477" s="4"/>
    </row>
    <row r="478" spans="1:7" x14ac:dyDescent="0.3">
      <c r="A478" s="7" t="s">
        <v>1109</v>
      </c>
      <c r="B478" s="52" t="str">
        <f>TRIM(Table4[[#This Row],[ypn]])</f>
        <v>7176862730 - X1PO 2563</v>
      </c>
      <c r="C478" s="52" t="b">
        <f>Table4[[#This Row],[ypn]]=Table4[[#This Row],[trim]]</f>
        <v>1</v>
      </c>
      <c r="D478" s="52" t="e">
        <f>Table4[[#This Row],[ypn]]*1</f>
        <v>#VALUE!</v>
      </c>
      <c r="E478" s="52">
        <f>TYPE(Table4[[#This Row],[ypn]])</f>
        <v>2</v>
      </c>
      <c r="F478" t="s">
        <v>538</v>
      </c>
      <c r="G478" s="4"/>
    </row>
    <row r="479" spans="1:7" x14ac:dyDescent="0.3">
      <c r="A479" s="7" t="s">
        <v>1110</v>
      </c>
      <c r="B479" s="52" t="str">
        <f>TRIM(Table4[[#This Row],[ypn]])</f>
        <v>7176874730 - X1PO 2553</v>
      </c>
      <c r="C479" s="52" t="b">
        <f>Table4[[#This Row],[ypn]]=Table4[[#This Row],[trim]]</f>
        <v>1</v>
      </c>
      <c r="D479" s="52" t="e">
        <f>Table4[[#This Row],[ypn]]*1</f>
        <v>#VALUE!</v>
      </c>
      <c r="E479" s="52">
        <f>TYPE(Table4[[#This Row],[ypn]])</f>
        <v>2</v>
      </c>
      <c r="F479" t="s">
        <v>544</v>
      </c>
      <c r="G479" s="4"/>
    </row>
    <row r="480" spans="1:7" x14ac:dyDescent="0.3">
      <c r="A480" s="7" t="s">
        <v>1111</v>
      </c>
      <c r="B480" s="52" t="str">
        <f>TRIM(Table4[[#This Row],[ypn]])</f>
        <v>7075236930 - X1PO2363</v>
      </c>
      <c r="C480" s="52" t="b">
        <f>Table4[[#This Row],[ypn]]=Table4[[#This Row],[trim]]</f>
        <v>1</v>
      </c>
      <c r="D480" s="52" t="e">
        <f>Table4[[#This Row],[ypn]]*1</f>
        <v>#VALUE!</v>
      </c>
      <c r="E480" s="52">
        <f>TYPE(Table4[[#This Row],[ypn]])</f>
        <v>2</v>
      </c>
      <c r="F480" t="s">
        <v>514</v>
      </c>
      <c r="G480" s="4"/>
    </row>
    <row r="481" spans="1:7" x14ac:dyDescent="0.3">
      <c r="A481" s="7" t="s">
        <v>1112</v>
      </c>
      <c r="B481" s="52" t="str">
        <f>TRIM(Table4[[#This Row],[ypn]])</f>
        <v>7075226830(X1PP5350)</v>
      </c>
      <c r="C481" s="52" t="b">
        <f>Table4[[#This Row],[ypn]]=Table4[[#This Row],[trim]]</f>
        <v>1</v>
      </c>
      <c r="D481" s="52" t="e">
        <f>Table4[[#This Row],[ypn]]*1</f>
        <v>#VALUE!</v>
      </c>
      <c r="E481" s="52">
        <f>TYPE(Table4[[#This Row],[ypn]])</f>
        <v>2</v>
      </c>
      <c r="F481" t="s">
        <v>1180</v>
      </c>
      <c r="G481" s="4"/>
    </row>
    <row r="482" spans="1:7" x14ac:dyDescent="0.3">
      <c r="A482" s="7" t="s">
        <v>1113</v>
      </c>
      <c r="B482" s="52" t="str">
        <f>TRIM(Table4[[#This Row],[ypn]])</f>
        <v>7075231830 - X1PO 2395</v>
      </c>
      <c r="C482" s="52" t="b">
        <f>Table4[[#This Row],[ypn]]=Table4[[#This Row],[trim]]</f>
        <v>1</v>
      </c>
      <c r="D482" s="52" t="e">
        <f>Table4[[#This Row],[ypn]]*1</f>
        <v>#VALUE!</v>
      </c>
      <c r="E482" s="52">
        <f>TYPE(Table4[[#This Row],[ypn]])</f>
        <v>2</v>
      </c>
      <c r="F482" t="s">
        <v>1181</v>
      </c>
      <c r="G482" s="4"/>
    </row>
    <row r="483" spans="1:7" x14ac:dyDescent="0.3">
      <c r="A483" s="7" t="s">
        <v>1114</v>
      </c>
      <c r="B483" s="52" t="str">
        <f>TRIM(Table4[[#This Row],[ypn]])</f>
        <v>7177097330A RIGHT +HALFMOON</v>
      </c>
      <c r="C483" s="52" t="b">
        <f>Table4[[#This Row],[ypn]]=Table4[[#This Row],[trim]]</f>
        <v>0</v>
      </c>
      <c r="D483" s="52" t="e">
        <f>Table4[[#This Row],[ypn]]*1</f>
        <v>#VALUE!</v>
      </c>
      <c r="E483" s="52">
        <f>TYPE(Table4[[#This Row],[ypn]])</f>
        <v>2</v>
      </c>
      <c r="F483" t="s">
        <v>1182</v>
      </c>
      <c r="G483" s="4"/>
    </row>
    <row r="484" spans="1:7" x14ac:dyDescent="0.3">
      <c r="A484" s="7" t="s">
        <v>257</v>
      </c>
      <c r="B484" s="52" t="str">
        <f>TRIM(Table4[[#This Row],[ypn]])</f>
        <v>X1PO2539</v>
      </c>
      <c r="C484" s="52" t="b">
        <f>Table4[[#This Row],[ypn]]=Table4[[#This Row],[trim]]</f>
        <v>1</v>
      </c>
      <c r="D484" s="52" t="e">
        <f>Table4[[#This Row],[ypn]]*1</f>
        <v>#VALUE!</v>
      </c>
      <c r="E484" s="52">
        <f>TYPE(Table4[[#This Row],[ypn]])</f>
        <v>2</v>
      </c>
      <c r="F484" t="s">
        <v>1183</v>
      </c>
      <c r="G484" s="4"/>
    </row>
    <row r="485" spans="1:7" x14ac:dyDescent="0.3">
      <c r="A485" s="7" t="s">
        <v>1115</v>
      </c>
      <c r="B485" s="52" t="str">
        <f>TRIM(Table4[[#This Row],[ypn]])</f>
        <v>7075231930 IR33</v>
      </c>
      <c r="C485" s="52" t="b">
        <f>Table4[[#This Row],[ypn]]=Table4[[#This Row],[trim]]</f>
        <v>1</v>
      </c>
      <c r="D485" s="52" t="e">
        <f>Table4[[#This Row],[ypn]]*1</f>
        <v>#VALUE!</v>
      </c>
      <c r="E485" s="52">
        <f>TYPE(Table4[[#This Row],[ypn]])</f>
        <v>2</v>
      </c>
      <c r="F485" t="s">
        <v>1184</v>
      </c>
      <c r="G485" s="4"/>
    </row>
    <row r="486" spans="1:7" x14ac:dyDescent="0.3">
      <c r="A486" s="7" t="s">
        <v>224</v>
      </c>
      <c r="B486" s="52" t="str">
        <f>TRIM(Table4[[#This Row],[ypn]])</f>
        <v>7189668330+7274136090A</v>
      </c>
      <c r="C486" s="52" t="b">
        <f>Table4[[#This Row],[ypn]]=Table4[[#This Row],[trim]]</f>
        <v>1</v>
      </c>
      <c r="D486" s="52" t="e">
        <f>Table4[[#This Row],[ypn]]*1</f>
        <v>#VALUE!</v>
      </c>
      <c r="E486" s="52">
        <f>TYPE(Table4[[#This Row],[ypn]])</f>
        <v>2</v>
      </c>
      <c r="F486" t="s">
        <v>1185</v>
      </c>
      <c r="G486" s="4"/>
    </row>
    <row r="487" spans="1:7" x14ac:dyDescent="0.3">
      <c r="A487" s="7">
        <v>7252834130</v>
      </c>
      <c r="B487" s="52" t="str">
        <f>TRIM(Table4[[#This Row],[ypn]])</f>
        <v>7252834130</v>
      </c>
      <c r="C487" s="52" t="b">
        <f>Table4[[#This Row],[ypn]]=Table4[[#This Row],[trim]]</f>
        <v>0</v>
      </c>
      <c r="D487" s="52">
        <f>Table4[[#This Row],[ypn]]*1</f>
        <v>7252834130</v>
      </c>
      <c r="E487" s="52">
        <f>TYPE(Table4[[#This Row],[ypn]])</f>
        <v>1</v>
      </c>
      <c r="F487" t="s">
        <v>699</v>
      </c>
      <c r="G487" s="4"/>
    </row>
    <row r="488" spans="1:7" x14ac:dyDescent="0.3">
      <c r="A488" s="7">
        <v>7247781530</v>
      </c>
      <c r="B488" s="52" t="str">
        <f>TRIM(Table4[[#This Row],[ypn]])</f>
        <v>7247781530</v>
      </c>
      <c r="C488" s="52" t="b">
        <f>Table4[[#This Row],[ypn]]=Table4[[#This Row],[trim]]</f>
        <v>0</v>
      </c>
      <c r="D488" s="52">
        <f>Table4[[#This Row],[ypn]]*1</f>
        <v>7247781530</v>
      </c>
      <c r="E488" s="52">
        <f>TYPE(Table4[[#This Row],[ypn]])</f>
        <v>1</v>
      </c>
      <c r="F488" t="s">
        <v>1186</v>
      </c>
      <c r="G488" s="4"/>
    </row>
    <row r="489" spans="1:7" x14ac:dyDescent="0.3">
      <c r="A489" s="7" t="s">
        <v>1116</v>
      </c>
      <c r="B489" s="52" t="str">
        <f>TRIM(Table4[[#This Row],[ypn]])</f>
        <v>7289-4643-30E+COVER</v>
      </c>
      <c r="C489" s="52" t="b">
        <f>Table4[[#This Row],[ypn]]=Table4[[#This Row],[trim]]</f>
        <v>1</v>
      </c>
      <c r="D489" s="52" t="e">
        <f>Table4[[#This Row],[ypn]]*1</f>
        <v>#VALUE!</v>
      </c>
      <c r="E489" s="52">
        <f>TYPE(Table4[[#This Row],[ypn]])</f>
        <v>2</v>
      </c>
      <c r="F489" t="s">
        <v>728</v>
      </c>
      <c r="G489" s="4"/>
    </row>
  </sheetData>
  <phoneticPr fontId="1" type="noConversion"/>
  <conditionalFormatting sqref="A1:A1048576">
    <cfRule type="duplicateValues" dxfId="8" priority="2"/>
    <cfRule type="duplicateValues" dxfId="7" priority="3"/>
  </conditionalFormatting>
  <conditionalFormatting sqref="F1:F1048576">
    <cfRule type="duplicateValues" dxfId="6" priority="1"/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508885-0E8D-43A8-92D5-C859ED3C5DBE}">
  <sheetPr codeName="Sheet19">
    <pageSetUpPr fitToPage="1"/>
  </sheetPr>
  <dimension ref="A1:L69"/>
  <sheetViews>
    <sheetView topLeftCell="B1" workbookViewId="0">
      <selection activeCell="M86" sqref="M86"/>
    </sheetView>
  </sheetViews>
  <sheetFormatPr defaultRowHeight="14.4" x14ac:dyDescent="0.3"/>
  <cols>
    <col min="1" max="1" width="14.109375" hidden="1" customWidth="1"/>
    <col min="2" max="2" width="19.44140625" bestFit="1" customWidth="1"/>
    <col min="3" max="3" width="13.5546875" bestFit="1" customWidth="1"/>
    <col min="4" max="4" width="35.5546875" bestFit="1" customWidth="1"/>
    <col min="5" max="5" width="9.5546875" bestFit="1" customWidth="1"/>
    <col min="6" max="6" width="10.5546875" bestFit="1" customWidth="1"/>
    <col min="7" max="7" width="10.33203125" bestFit="1" customWidth="1"/>
    <col min="8" max="9" width="9.77734375" bestFit="1" customWidth="1"/>
    <col min="10" max="10" width="11" bestFit="1" customWidth="1"/>
    <col min="11" max="11" width="9.77734375" customWidth="1"/>
    <col min="12" max="12" width="10.77734375" bestFit="1" customWidth="1"/>
  </cols>
  <sheetData>
    <row r="1" spans="1:12" x14ac:dyDescent="0.3">
      <c r="A1" t="s">
        <v>836</v>
      </c>
      <c r="B1" t="s">
        <v>307</v>
      </c>
      <c r="C1" t="s">
        <v>309</v>
      </c>
      <c r="D1" t="s">
        <v>310</v>
      </c>
      <c r="E1" t="s">
        <v>311</v>
      </c>
      <c r="F1" t="s">
        <v>22</v>
      </c>
      <c r="G1" t="s">
        <v>308</v>
      </c>
      <c r="H1" t="s">
        <v>837</v>
      </c>
      <c r="I1" t="s">
        <v>838</v>
      </c>
      <c r="J1" t="s">
        <v>839</v>
      </c>
      <c r="K1" t="s">
        <v>840</v>
      </c>
      <c r="L1" t="s">
        <v>1763</v>
      </c>
    </row>
    <row r="2" spans="1:12" x14ac:dyDescent="0.3">
      <c r="A2">
        <v>1559</v>
      </c>
      <c r="B2" t="s">
        <v>1793</v>
      </c>
      <c r="C2" t="s">
        <v>1377</v>
      </c>
      <c r="D2" t="s">
        <v>364</v>
      </c>
      <c r="E2">
        <v>30</v>
      </c>
      <c r="F2">
        <v>21</v>
      </c>
      <c r="G2">
        <v>1</v>
      </c>
      <c r="H2" t="s">
        <v>841</v>
      </c>
      <c r="I2" t="s">
        <v>841</v>
      </c>
      <c r="J2" t="s">
        <v>841</v>
      </c>
      <c r="K2" t="s">
        <v>841</v>
      </c>
      <c r="L2" t="s">
        <v>2067</v>
      </c>
    </row>
    <row r="3" spans="1:12" hidden="1" x14ac:dyDescent="0.3">
      <c r="A3">
        <v>1607</v>
      </c>
      <c r="B3" t="s">
        <v>1794</v>
      </c>
      <c r="C3" t="s">
        <v>1624</v>
      </c>
      <c r="D3" t="s">
        <v>1625</v>
      </c>
      <c r="E3">
        <v>8</v>
      </c>
      <c r="F3">
        <v>21</v>
      </c>
      <c r="G3">
        <v>1</v>
      </c>
      <c r="H3" t="s">
        <v>841</v>
      </c>
      <c r="I3" t="s">
        <v>841</v>
      </c>
      <c r="J3" t="s">
        <v>841</v>
      </c>
      <c r="K3" t="s">
        <v>842</v>
      </c>
    </row>
    <row r="4" spans="1:12" hidden="1" x14ac:dyDescent="0.3">
      <c r="A4">
        <v>1556</v>
      </c>
      <c r="B4" t="s">
        <v>1795</v>
      </c>
      <c r="C4" t="s">
        <v>1366</v>
      </c>
      <c r="D4" t="s">
        <v>1778</v>
      </c>
      <c r="E4">
        <v>8</v>
      </c>
      <c r="F4">
        <v>21</v>
      </c>
      <c r="G4">
        <v>1</v>
      </c>
      <c r="H4" t="s">
        <v>841</v>
      </c>
      <c r="I4" t="s">
        <v>841</v>
      </c>
      <c r="J4" t="s">
        <v>841</v>
      </c>
      <c r="K4" t="s">
        <v>842</v>
      </c>
    </row>
    <row r="5" spans="1:12" hidden="1" x14ac:dyDescent="0.3">
      <c r="A5">
        <v>1622</v>
      </c>
      <c r="B5" t="s">
        <v>1796</v>
      </c>
      <c r="C5" t="s">
        <v>1707</v>
      </c>
      <c r="D5" t="s">
        <v>1300</v>
      </c>
      <c r="E5">
        <v>8</v>
      </c>
      <c r="F5">
        <v>21</v>
      </c>
      <c r="G5">
        <v>1</v>
      </c>
      <c r="H5" t="s">
        <v>841</v>
      </c>
      <c r="I5" t="s">
        <v>841</v>
      </c>
      <c r="J5" t="s">
        <v>841</v>
      </c>
      <c r="K5" t="s">
        <v>842</v>
      </c>
      <c r="L5" t="s">
        <v>985</v>
      </c>
    </row>
    <row r="6" spans="1:12" hidden="1" x14ac:dyDescent="0.3">
      <c r="A6">
        <v>1599</v>
      </c>
      <c r="B6" t="s">
        <v>1797</v>
      </c>
      <c r="C6" t="s">
        <v>479</v>
      </c>
      <c r="D6" t="s">
        <v>1027</v>
      </c>
      <c r="E6">
        <v>8</v>
      </c>
      <c r="F6">
        <v>21</v>
      </c>
      <c r="G6">
        <v>1</v>
      </c>
      <c r="H6" t="s">
        <v>841</v>
      </c>
      <c r="I6" t="s">
        <v>841</v>
      </c>
      <c r="J6" t="s">
        <v>841</v>
      </c>
      <c r="K6" t="s">
        <v>842</v>
      </c>
    </row>
    <row r="7" spans="1:12" hidden="1" x14ac:dyDescent="0.3">
      <c r="A7">
        <v>1595</v>
      </c>
      <c r="B7" t="s">
        <v>1798</v>
      </c>
      <c r="C7" t="s">
        <v>1539</v>
      </c>
      <c r="D7" t="s">
        <v>1355</v>
      </c>
      <c r="E7">
        <v>30</v>
      </c>
      <c r="F7">
        <v>21</v>
      </c>
      <c r="G7">
        <v>3</v>
      </c>
      <c r="H7" t="s">
        <v>841</v>
      </c>
      <c r="I7" t="s">
        <v>841</v>
      </c>
      <c r="J7" t="s">
        <v>841</v>
      </c>
      <c r="K7" t="s">
        <v>842</v>
      </c>
    </row>
    <row r="8" spans="1:12" hidden="1" x14ac:dyDescent="0.3">
      <c r="A8">
        <v>1584</v>
      </c>
      <c r="B8" t="s">
        <v>1799</v>
      </c>
      <c r="C8" t="s">
        <v>469</v>
      </c>
      <c r="D8" t="s">
        <v>1504</v>
      </c>
      <c r="E8">
        <v>8</v>
      </c>
      <c r="F8">
        <v>21</v>
      </c>
      <c r="G8">
        <v>1</v>
      </c>
      <c r="H8" t="s">
        <v>841</v>
      </c>
      <c r="I8" t="s">
        <v>841</v>
      </c>
      <c r="J8" t="s">
        <v>841</v>
      </c>
      <c r="K8" t="s">
        <v>842</v>
      </c>
    </row>
    <row r="9" spans="1:12" hidden="1" x14ac:dyDescent="0.3">
      <c r="A9">
        <v>1610</v>
      </c>
      <c r="B9" t="s">
        <v>1800</v>
      </c>
      <c r="C9" t="s">
        <v>709</v>
      </c>
      <c r="D9" t="s">
        <v>1065</v>
      </c>
      <c r="E9">
        <v>8</v>
      </c>
      <c r="F9">
        <v>21</v>
      </c>
      <c r="G9">
        <v>1</v>
      </c>
      <c r="H9" t="s">
        <v>841</v>
      </c>
      <c r="I9" t="s">
        <v>841</v>
      </c>
      <c r="J9" t="s">
        <v>841</v>
      </c>
      <c r="K9" t="s">
        <v>842</v>
      </c>
    </row>
    <row r="10" spans="1:12" hidden="1" x14ac:dyDescent="0.3">
      <c r="A10">
        <v>1591</v>
      </c>
      <c r="B10" t="s">
        <v>1801</v>
      </c>
      <c r="C10" t="s">
        <v>1186</v>
      </c>
      <c r="D10" t="s">
        <v>1802</v>
      </c>
      <c r="E10">
        <v>30</v>
      </c>
      <c r="F10">
        <v>21</v>
      </c>
      <c r="G10">
        <v>1</v>
      </c>
      <c r="H10" t="s">
        <v>841</v>
      </c>
      <c r="I10" t="s">
        <v>841</v>
      </c>
      <c r="J10" t="s">
        <v>841</v>
      </c>
      <c r="K10" t="s">
        <v>842</v>
      </c>
    </row>
    <row r="11" spans="1:12" hidden="1" x14ac:dyDescent="0.3">
      <c r="A11">
        <v>1565</v>
      </c>
      <c r="B11" t="s">
        <v>1803</v>
      </c>
      <c r="C11" t="s">
        <v>1696</v>
      </c>
      <c r="D11" t="s">
        <v>1733</v>
      </c>
      <c r="E11">
        <v>8</v>
      </c>
      <c r="F11">
        <v>21</v>
      </c>
      <c r="G11">
        <v>1</v>
      </c>
      <c r="H11" t="s">
        <v>841</v>
      </c>
      <c r="I11" t="s">
        <v>841</v>
      </c>
      <c r="J11" t="s">
        <v>841</v>
      </c>
      <c r="K11" t="s">
        <v>842</v>
      </c>
    </row>
    <row r="12" spans="1:12" hidden="1" x14ac:dyDescent="0.3">
      <c r="A12">
        <v>1557</v>
      </c>
      <c r="B12" t="s">
        <v>1804</v>
      </c>
      <c r="C12" t="s">
        <v>1369</v>
      </c>
      <c r="D12" t="s">
        <v>1805</v>
      </c>
      <c r="E12">
        <v>30</v>
      </c>
      <c r="F12">
        <v>21</v>
      </c>
      <c r="G12">
        <v>1</v>
      </c>
      <c r="H12" t="s">
        <v>841</v>
      </c>
      <c r="I12" t="s">
        <v>841</v>
      </c>
      <c r="J12" t="s">
        <v>841</v>
      </c>
      <c r="K12" t="s">
        <v>842</v>
      </c>
    </row>
    <row r="13" spans="1:12" hidden="1" x14ac:dyDescent="0.3">
      <c r="A13">
        <v>1581</v>
      </c>
      <c r="B13" t="s">
        <v>1806</v>
      </c>
      <c r="C13" t="s">
        <v>463</v>
      </c>
      <c r="D13" t="s">
        <v>1057</v>
      </c>
      <c r="E13">
        <v>8</v>
      </c>
      <c r="F13">
        <v>21</v>
      </c>
      <c r="G13">
        <v>2</v>
      </c>
      <c r="H13" t="s">
        <v>841</v>
      </c>
      <c r="I13" t="s">
        <v>841</v>
      </c>
      <c r="J13" t="s">
        <v>841</v>
      </c>
      <c r="K13" t="s">
        <v>842</v>
      </c>
    </row>
    <row r="14" spans="1:12" hidden="1" x14ac:dyDescent="0.3">
      <c r="A14">
        <v>1570</v>
      </c>
      <c r="B14" t="s">
        <v>1807</v>
      </c>
      <c r="C14" t="s">
        <v>1121</v>
      </c>
      <c r="D14" t="s">
        <v>1020</v>
      </c>
      <c r="E14">
        <v>8</v>
      </c>
      <c r="F14">
        <v>21</v>
      </c>
      <c r="G14">
        <v>2</v>
      </c>
      <c r="H14" t="s">
        <v>841</v>
      </c>
      <c r="I14" t="s">
        <v>841</v>
      </c>
      <c r="J14" t="s">
        <v>841</v>
      </c>
      <c r="K14" t="s">
        <v>842</v>
      </c>
    </row>
    <row r="15" spans="1:12" hidden="1" x14ac:dyDescent="0.3">
      <c r="A15">
        <v>1604</v>
      </c>
      <c r="B15" t="s">
        <v>1808</v>
      </c>
      <c r="C15" t="s">
        <v>485</v>
      </c>
      <c r="D15" t="s">
        <v>1055</v>
      </c>
      <c r="E15">
        <v>8</v>
      </c>
      <c r="F15">
        <v>21</v>
      </c>
      <c r="G15">
        <v>1</v>
      </c>
      <c r="H15" t="s">
        <v>841</v>
      </c>
      <c r="I15" t="s">
        <v>841</v>
      </c>
      <c r="J15" t="s">
        <v>841</v>
      </c>
      <c r="K15" t="s">
        <v>842</v>
      </c>
    </row>
    <row r="16" spans="1:12" x14ac:dyDescent="0.3">
      <c r="A16">
        <v>1620</v>
      </c>
      <c r="B16" t="s">
        <v>1809</v>
      </c>
      <c r="C16" t="s">
        <v>1692</v>
      </c>
      <c r="D16" t="s">
        <v>1691</v>
      </c>
      <c r="E16">
        <v>8</v>
      </c>
      <c r="F16">
        <v>21</v>
      </c>
      <c r="G16">
        <v>1</v>
      </c>
      <c r="H16" t="s">
        <v>841</v>
      </c>
      <c r="I16" t="s">
        <v>841</v>
      </c>
      <c r="J16" t="s">
        <v>841</v>
      </c>
      <c r="K16" t="s">
        <v>841</v>
      </c>
      <c r="L16" t="s">
        <v>2068</v>
      </c>
    </row>
    <row r="17" spans="1:12" hidden="1" x14ac:dyDescent="0.3">
      <c r="A17">
        <v>1586</v>
      </c>
      <c r="B17" t="s">
        <v>1810</v>
      </c>
      <c r="C17" t="s">
        <v>1010</v>
      </c>
      <c r="D17" t="s">
        <v>1811</v>
      </c>
      <c r="E17">
        <v>30</v>
      </c>
      <c r="F17">
        <v>21</v>
      </c>
      <c r="G17">
        <v>2</v>
      </c>
      <c r="H17" t="s">
        <v>841</v>
      </c>
      <c r="I17" t="s">
        <v>841</v>
      </c>
      <c r="J17" t="s">
        <v>841</v>
      </c>
      <c r="K17" t="s">
        <v>842</v>
      </c>
    </row>
    <row r="18" spans="1:12" hidden="1" x14ac:dyDescent="0.3">
      <c r="A18">
        <v>1578</v>
      </c>
      <c r="B18" t="s">
        <v>1812</v>
      </c>
      <c r="C18" t="s">
        <v>1459</v>
      </c>
      <c r="D18" t="s">
        <v>1460</v>
      </c>
      <c r="E18">
        <v>8</v>
      </c>
      <c r="F18">
        <v>21</v>
      </c>
      <c r="G18">
        <v>1</v>
      </c>
      <c r="H18" t="s">
        <v>841</v>
      </c>
      <c r="I18" t="s">
        <v>841</v>
      </c>
      <c r="J18" t="s">
        <v>841</v>
      </c>
      <c r="K18" t="s">
        <v>842</v>
      </c>
    </row>
    <row r="19" spans="1:12" hidden="1" x14ac:dyDescent="0.3">
      <c r="A19">
        <v>1600</v>
      </c>
      <c r="B19" t="s">
        <v>1813</v>
      </c>
      <c r="C19" t="s">
        <v>480</v>
      </c>
      <c r="D19" t="s">
        <v>1021</v>
      </c>
      <c r="E19">
        <v>8</v>
      </c>
      <c r="F19">
        <v>21</v>
      </c>
      <c r="G19">
        <v>1</v>
      </c>
      <c r="H19" t="s">
        <v>841</v>
      </c>
      <c r="I19" t="s">
        <v>841</v>
      </c>
      <c r="J19" t="s">
        <v>841</v>
      </c>
      <c r="K19" t="s">
        <v>842</v>
      </c>
    </row>
    <row r="20" spans="1:12" hidden="1" x14ac:dyDescent="0.3">
      <c r="A20">
        <v>1567</v>
      </c>
      <c r="B20" t="s">
        <v>1814</v>
      </c>
      <c r="C20" t="s">
        <v>446</v>
      </c>
      <c r="D20" t="s">
        <v>1815</v>
      </c>
      <c r="E20">
        <v>8</v>
      </c>
      <c r="F20">
        <v>21</v>
      </c>
      <c r="G20">
        <v>1</v>
      </c>
      <c r="H20" t="s">
        <v>841</v>
      </c>
      <c r="I20" t="s">
        <v>841</v>
      </c>
      <c r="J20" t="s">
        <v>841</v>
      </c>
      <c r="K20" t="s">
        <v>842</v>
      </c>
    </row>
    <row r="21" spans="1:12" hidden="1" x14ac:dyDescent="0.3">
      <c r="A21">
        <v>1601</v>
      </c>
      <c r="B21" t="s">
        <v>1816</v>
      </c>
      <c r="C21" t="s">
        <v>481</v>
      </c>
      <c r="D21" t="s">
        <v>1580</v>
      </c>
      <c r="E21">
        <v>8</v>
      </c>
      <c r="F21">
        <v>21</v>
      </c>
      <c r="G21">
        <v>2</v>
      </c>
      <c r="H21" t="s">
        <v>841</v>
      </c>
      <c r="I21" t="s">
        <v>841</v>
      </c>
      <c r="J21" t="s">
        <v>841</v>
      </c>
      <c r="K21" t="s">
        <v>842</v>
      </c>
    </row>
    <row r="22" spans="1:12" hidden="1" x14ac:dyDescent="0.3">
      <c r="A22">
        <v>1573</v>
      </c>
      <c r="B22" t="s">
        <v>1817</v>
      </c>
      <c r="C22" t="s">
        <v>454</v>
      </c>
      <c r="D22" t="s">
        <v>1428</v>
      </c>
      <c r="E22">
        <v>8</v>
      </c>
      <c r="F22">
        <v>21</v>
      </c>
      <c r="G22">
        <v>1</v>
      </c>
      <c r="H22" t="s">
        <v>841</v>
      </c>
      <c r="I22" t="s">
        <v>841</v>
      </c>
      <c r="J22" t="s">
        <v>841</v>
      </c>
      <c r="K22" t="s">
        <v>842</v>
      </c>
    </row>
    <row r="23" spans="1:12" hidden="1" x14ac:dyDescent="0.3">
      <c r="A23">
        <v>1618</v>
      </c>
      <c r="B23" t="s">
        <v>1818</v>
      </c>
      <c r="C23" t="s">
        <v>602</v>
      </c>
      <c r="D23" t="s">
        <v>1078</v>
      </c>
      <c r="E23">
        <v>8</v>
      </c>
      <c r="F23">
        <v>21</v>
      </c>
      <c r="G23">
        <v>1</v>
      </c>
      <c r="H23" t="s">
        <v>841</v>
      </c>
      <c r="I23" t="s">
        <v>841</v>
      </c>
      <c r="J23" t="s">
        <v>841</v>
      </c>
      <c r="K23" t="s">
        <v>842</v>
      </c>
    </row>
    <row r="24" spans="1:12" hidden="1" x14ac:dyDescent="0.3">
      <c r="A24">
        <v>1611</v>
      </c>
      <c r="B24" t="s">
        <v>1819</v>
      </c>
      <c r="C24" t="s">
        <v>499</v>
      </c>
      <c r="D24" t="s">
        <v>1061</v>
      </c>
      <c r="E24">
        <v>8</v>
      </c>
      <c r="F24">
        <v>21</v>
      </c>
      <c r="G24">
        <v>1</v>
      </c>
      <c r="H24" t="s">
        <v>841</v>
      </c>
      <c r="I24" t="s">
        <v>841</v>
      </c>
      <c r="J24" t="s">
        <v>841</v>
      </c>
      <c r="K24" t="s">
        <v>842</v>
      </c>
    </row>
    <row r="25" spans="1:12" hidden="1" x14ac:dyDescent="0.3">
      <c r="A25">
        <v>1722</v>
      </c>
      <c r="B25" t="s">
        <v>1993</v>
      </c>
      <c r="C25" t="s">
        <v>1892</v>
      </c>
      <c r="D25" t="s">
        <v>1691</v>
      </c>
      <c r="E25">
        <v>8</v>
      </c>
      <c r="F25">
        <v>42</v>
      </c>
      <c r="G25">
        <v>1</v>
      </c>
      <c r="H25" t="s">
        <v>841</v>
      </c>
      <c r="I25" t="s">
        <v>841</v>
      </c>
      <c r="J25" t="s">
        <v>841</v>
      </c>
      <c r="K25" t="s">
        <v>842</v>
      </c>
      <c r="L25" t="s">
        <v>2068</v>
      </c>
    </row>
    <row r="26" spans="1:12" hidden="1" x14ac:dyDescent="0.3">
      <c r="A26">
        <v>1564</v>
      </c>
      <c r="B26" t="s">
        <v>1820</v>
      </c>
      <c r="C26" t="s">
        <v>733</v>
      </c>
      <c r="D26" t="s">
        <v>370</v>
      </c>
      <c r="E26">
        <v>30</v>
      </c>
      <c r="F26">
        <v>21</v>
      </c>
      <c r="G26">
        <v>1</v>
      </c>
      <c r="H26" t="s">
        <v>841</v>
      </c>
      <c r="I26" t="s">
        <v>841</v>
      </c>
      <c r="J26" t="s">
        <v>841</v>
      </c>
      <c r="K26" t="s">
        <v>842</v>
      </c>
    </row>
    <row r="27" spans="1:12" hidden="1" x14ac:dyDescent="0.3">
      <c r="A27">
        <v>1589</v>
      </c>
      <c r="B27" t="s">
        <v>1821</v>
      </c>
      <c r="C27" t="s">
        <v>471</v>
      </c>
      <c r="D27" t="s">
        <v>381</v>
      </c>
      <c r="E27">
        <v>30</v>
      </c>
      <c r="F27">
        <v>21</v>
      </c>
      <c r="G27">
        <v>1</v>
      </c>
      <c r="H27" t="s">
        <v>841</v>
      </c>
      <c r="I27" t="s">
        <v>841</v>
      </c>
      <c r="J27" t="s">
        <v>841</v>
      </c>
      <c r="K27" t="s">
        <v>842</v>
      </c>
    </row>
    <row r="28" spans="1:12" hidden="1" x14ac:dyDescent="0.3">
      <c r="A28">
        <v>1576</v>
      </c>
      <c r="B28" t="s">
        <v>1822</v>
      </c>
      <c r="C28" t="s">
        <v>725</v>
      </c>
      <c r="D28" t="s">
        <v>1441</v>
      </c>
      <c r="E28">
        <v>8</v>
      </c>
      <c r="F28">
        <v>21</v>
      </c>
      <c r="G28">
        <v>1</v>
      </c>
      <c r="H28" t="s">
        <v>841</v>
      </c>
      <c r="I28" t="s">
        <v>841</v>
      </c>
      <c r="J28" t="s">
        <v>841</v>
      </c>
      <c r="K28" t="s">
        <v>842</v>
      </c>
    </row>
    <row r="29" spans="1:12" hidden="1" x14ac:dyDescent="0.3">
      <c r="A29">
        <v>1602</v>
      </c>
      <c r="B29" t="s">
        <v>1823</v>
      </c>
      <c r="C29" t="s">
        <v>1587</v>
      </c>
      <c r="D29" t="s">
        <v>1588</v>
      </c>
      <c r="E29">
        <v>8</v>
      </c>
      <c r="F29">
        <v>21</v>
      </c>
      <c r="G29">
        <v>1</v>
      </c>
      <c r="H29" t="s">
        <v>841</v>
      </c>
      <c r="I29" t="s">
        <v>841</v>
      </c>
      <c r="J29" t="s">
        <v>841</v>
      </c>
      <c r="K29" t="s">
        <v>842</v>
      </c>
    </row>
    <row r="30" spans="1:12" hidden="1" x14ac:dyDescent="0.3">
      <c r="A30">
        <v>1572</v>
      </c>
      <c r="B30" t="s">
        <v>1824</v>
      </c>
      <c r="C30" t="s">
        <v>424</v>
      </c>
      <c r="D30" t="s">
        <v>1028</v>
      </c>
      <c r="E30">
        <v>8</v>
      </c>
      <c r="F30">
        <v>21</v>
      </c>
      <c r="G30">
        <v>1</v>
      </c>
      <c r="H30" t="s">
        <v>841</v>
      </c>
      <c r="I30" t="s">
        <v>841</v>
      </c>
      <c r="J30" t="s">
        <v>841</v>
      </c>
      <c r="K30" t="s">
        <v>842</v>
      </c>
    </row>
    <row r="31" spans="1:12" hidden="1" x14ac:dyDescent="0.3">
      <c r="A31">
        <v>1575</v>
      </c>
      <c r="B31" t="s">
        <v>1825</v>
      </c>
      <c r="C31" t="s">
        <v>1196</v>
      </c>
      <c r="D31" t="s">
        <v>373</v>
      </c>
      <c r="E31">
        <v>30</v>
      </c>
      <c r="F31">
        <v>21</v>
      </c>
      <c r="G31">
        <v>2</v>
      </c>
      <c r="H31" t="s">
        <v>841</v>
      </c>
      <c r="I31" t="s">
        <v>841</v>
      </c>
      <c r="J31" t="s">
        <v>841</v>
      </c>
      <c r="K31" t="s">
        <v>842</v>
      </c>
    </row>
    <row r="32" spans="1:12" hidden="1" x14ac:dyDescent="0.3">
      <c r="A32">
        <v>1562</v>
      </c>
      <c r="B32" t="s">
        <v>1826</v>
      </c>
      <c r="C32" t="s">
        <v>1705</v>
      </c>
      <c r="D32" t="s">
        <v>1827</v>
      </c>
      <c r="E32">
        <v>30</v>
      </c>
      <c r="F32">
        <v>21</v>
      </c>
      <c r="G32">
        <v>2</v>
      </c>
      <c r="H32" t="s">
        <v>841</v>
      </c>
      <c r="I32" t="s">
        <v>841</v>
      </c>
      <c r="J32" t="s">
        <v>841</v>
      </c>
      <c r="K32" t="s">
        <v>842</v>
      </c>
    </row>
    <row r="33" spans="1:12" hidden="1" x14ac:dyDescent="0.3">
      <c r="A33">
        <v>1568</v>
      </c>
      <c r="B33" t="s">
        <v>1828</v>
      </c>
      <c r="C33" t="s">
        <v>448</v>
      </c>
      <c r="D33" t="s">
        <v>1393</v>
      </c>
      <c r="E33">
        <v>8</v>
      </c>
      <c r="F33">
        <v>21</v>
      </c>
      <c r="G33">
        <v>1</v>
      </c>
      <c r="H33" t="s">
        <v>841</v>
      </c>
      <c r="I33" t="s">
        <v>841</v>
      </c>
      <c r="J33" t="s">
        <v>841</v>
      </c>
      <c r="K33" t="s">
        <v>842</v>
      </c>
    </row>
    <row r="34" spans="1:12" hidden="1" x14ac:dyDescent="0.3">
      <c r="A34">
        <v>1580</v>
      </c>
      <c r="B34" t="s">
        <v>1829</v>
      </c>
      <c r="C34" t="s">
        <v>561</v>
      </c>
      <c r="D34" t="s">
        <v>1474</v>
      </c>
      <c r="E34">
        <v>8</v>
      </c>
      <c r="F34">
        <v>21</v>
      </c>
      <c r="G34">
        <v>1</v>
      </c>
      <c r="H34" t="s">
        <v>841</v>
      </c>
      <c r="I34" t="s">
        <v>841</v>
      </c>
      <c r="J34" t="s">
        <v>841</v>
      </c>
      <c r="K34" t="s">
        <v>842</v>
      </c>
    </row>
    <row r="35" spans="1:12" hidden="1" x14ac:dyDescent="0.3">
      <c r="A35">
        <v>1617</v>
      </c>
      <c r="B35" t="s">
        <v>1830</v>
      </c>
      <c r="C35" t="s">
        <v>1671</v>
      </c>
      <c r="D35" t="s">
        <v>1672</v>
      </c>
      <c r="E35">
        <v>8</v>
      </c>
      <c r="F35">
        <v>21</v>
      </c>
      <c r="G35">
        <v>1</v>
      </c>
      <c r="H35" t="s">
        <v>841</v>
      </c>
      <c r="I35" t="s">
        <v>841</v>
      </c>
      <c r="J35" t="s">
        <v>841</v>
      </c>
      <c r="K35" t="s">
        <v>842</v>
      </c>
    </row>
    <row r="36" spans="1:12" hidden="1" x14ac:dyDescent="0.3">
      <c r="A36">
        <v>1560</v>
      </c>
      <c r="B36" t="s">
        <v>1831</v>
      </c>
      <c r="C36" t="s">
        <v>1382</v>
      </c>
      <c r="D36" t="s">
        <v>366</v>
      </c>
      <c r="E36">
        <v>30</v>
      </c>
      <c r="F36">
        <v>21</v>
      </c>
      <c r="G36">
        <v>15</v>
      </c>
      <c r="H36" t="s">
        <v>841</v>
      </c>
      <c r="I36" t="s">
        <v>841</v>
      </c>
      <c r="J36" t="s">
        <v>841</v>
      </c>
      <c r="K36" t="s">
        <v>842</v>
      </c>
    </row>
    <row r="37" spans="1:12" hidden="1" x14ac:dyDescent="0.3">
      <c r="A37">
        <v>1563</v>
      </c>
      <c r="B37" t="s">
        <v>1832</v>
      </c>
      <c r="C37" t="s">
        <v>1387</v>
      </c>
      <c r="D37" t="s">
        <v>1091</v>
      </c>
      <c r="E37">
        <v>30</v>
      </c>
      <c r="F37">
        <v>21</v>
      </c>
      <c r="G37">
        <v>1</v>
      </c>
      <c r="H37" t="s">
        <v>841</v>
      </c>
      <c r="I37" t="s">
        <v>841</v>
      </c>
      <c r="J37" t="s">
        <v>841</v>
      </c>
      <c r="K37" t="s">
        <v>842</v>
      </c>
    </row>
    <row r="38" spans="1:12" hidden="1" x14ac:dyDescent="0.3">
      <c r="A38">
        <v>1587</v>
      </c>
      <c r="B38" t="s">
        <v>1833</v>
      </c>
      <c r="C38" t="s">
        <v>1834</v>
      </c>
      <c r="D38" t="s">
        <v>1835</v>
      </c>
      <c r="E38">
        <v>30</v>
      </c>
      <c r="F38">
        <v>21</v>
      </c>
      <c r="G38">
        <v>5</v>
      </c>
      <c r="H38" t="s">
        <v>841</v>
      </c>
      <c r="I38" t="s">
        <v>841</v>
      </c>
      <c r="J38" t="s">
        <v>841</v>
      </c>
      <c r="K38" t="s">
        <v>842</v>
      </c>
    </row>
    <row r="39" spans="1:12" hidden="1" x14ac:dyDescent="0.3">
      <c r="A39">
        <v>1612</v>
      </c>
      <c r="B39" t="s">
        <v>1836</v>
      </c>
      <c r="C39" t="s">
        <v>711</v>
      </c>
      <c r="D39" t="s">
        <v>1069</v>
      </c>
      <c r="E39">
        <v>8</v>
      </c>
      <c r="F39">
        <v>21</v>
      </c>
      <c r="G39">
        <v>1</v>
      </c>
      <c r="H39" t="s">
        <v>841</v>
      </c>
      <c r="I39" t="s">
        <v>841</v>
      </c>
      <c r="J39" t="s">
        <v>841</v>
      </c>
      <c r="K39" t="s">
        <v>842</v>
      </c>
      <c r="L39" t="s">
        <v>2069</v>
      </c>
    </row>
    <row r="40" spans="1:12" hidden="1" x14ac:dyDescent="0.3">
      <c r="A40">
        <v>1588</v>
      </c>
      <c r="B40" t="s">
        <v>1837</v>
      </c>
      <c r="C40" t="s">
        <v>1514</v>
      </c>
      <c r="D40" t="s">
        <v>379</v>
      </c>
      <c r="E40">
        <v>30</v>
      </c>
      <c r="F40">
        <v>21</v>
      </c>
      <c r="G40">
        <v>1</v>
      </c>
      <c r="H40" t="s">
        <v>841</v>
      </c>
      <c r="I40" t="s">
        <v>841</v>
      </c>
      <c r="J40" t="s">
        <v>841</v>
      </c>
      <c r="K40" t="s">
        <v>842</v>
      </c>
    </row>
    <row r="41" spans="1:12" hidden="1" x14ac:dyDescent="0.3">
      <c r="A41">
        <v>1597</v>
      </c>
      <c r="B41" t="s">
        <v>1838</v>
      </c>
      <c r="C41" t="s">
        <v>477</v>
      </c>
      <c r="D41" t="s">
        <v>1017</v>
      </c>
      <c r="E41">
        <v>8</v>
      </c>
      <c r="F41">
        <v>21</v>
      </c>
      <c r="G41">
        <v>1</v>
      </c>
      <c r="H41" t="s">
        <v>841</v>
      </c>
      <c r="I41" t="s">
        <v>841</v>
      </c>
      <c r="J41" t="s">
        <v>841</v>
      </c>
      <c r="K41" t="s">
        <v>842</v>
      </c>
    </row>
    <row r="42" spans="1:12" hidden="1" x14ac:dyDescent="0.3">
      <c r="A42">
        <v>1657</v>
      </c>
      <c r="B42" t="s">
        <v>1884</v>
      </c>
      <c r="C42" t="s">
        <v>1879</v>
      </c>
      <c r="D42" t="s">
        <v>1303</v>
      </c>
      <c r="E42">
        <v>8</v>
      </c>
      <c r="F42">
        <v>41</v>
      </c>
      <c r="G42">
        <v>2</v>
      </c>
      <c r="H42" t="s">
        <v>841</v>
      </c>
      <c r="I42" t="s">
        <v>841</v>
      </c>
      <c r="J42" t="s">
        <v>841</v>
      </c>
      <c r="K42" t="s">
        <v>842</v>
      </c>
      <c r="L42" s="57" t="s">
        <v>2069</v>
      </c>
    </row>
    <row r="43" spans="1:12" x14ac:dyDescent="0.3">
      <c r="A43">
        <v>1585</v>
      </c>
      <c r="B43" t="s">
        <v>1839</v>
      </c>
      <c r="C43" t="s">
        <v>1702</v>
      </c>
      <c r="D43" t="s">
        <v>1303</v>
      </c>
      <c r="E43">
        <v>8</v>
      </c>
      <c r="F43">
        <v>21</v>
      </c>
      <c r="G43">
        <v>2</v>
      </c>
      <c r="H43" t="s">
        <v>841</v>
      </c>
      <c r="I43" t="s">
        <v>841</v>
      </c>
      <c r="J43" t="s">
        <v>841</v>
      </c>
      <c r="K43" t="s">
        <v>841</v>
      </c>
      <c r="L43" t="s">
        <v>837</v>
      </c>
    </row>
    <row r="44" spans="1:12" hidden="1" x14ac:dyDescent="0.3">
      <c r="A44">
        <v>1577</v>
      </c>
      <c r="B44" t="s">
        <v>1840</v>
      </c>
      <c r="C44" t="s">
        <v>433</v>
      </c>
      <c r="D44" t="s">
        <v>1449</v>
      </c>
      <c r="E44">
        <v>8</v>
      </c>
      <c r="F44">
        <v>21</v>
      </c>
      <c r="G44">
        <v>1</v>
      </c>
      <c r="H44" t="s">
        <v>841</v>
      </c>
      <c r="I44" t="s">
        <v>841</v>
      </c>
      <c r="J44" t="s">
        <v>841</v>
      </c>
      <c r="K44" t="s">
        <v>842</v>
      </c>
    </row>
    <row r="45" spans="1:12" hidden="1" x14ac:dyDescent="0.3">
      <c r="A45">
        <v>1571</v>
      </c>
      <c r="B45" t="s">
        <v>1841</v>
      </c>
      <c r="C45" t="s">
        <v>450</v>
      </c>
      <c r="D45" t="s">
        <v>1415</v>
      </c>
      <c r="E45">
        <v>8</v>
      </c>
      <c r="F45">
        <v>21</v>
      </c>
      <c r="G45">
        <v>1</v>
      </c>
      <c r="H45" t="s">
        <v>841</v>
      </c>
      <c r="I45" t="s">
        <v>841</v>
      </c>
      <c r="J45" t="s">
        <v>841</v>
      </c>
      <c r="K45" t="s">
        <v>842</v>
      </c>
    </row>
    <row r="46" spans="1:12" hidden="1" x14ac:dyDescent="0.3">
      <c r="A46">
        <v>1590</v>
      </c>
      <c r="B46" t="s">
        <v>1842</v>
      </c>
      <c r="C46" t="s">
        <v>1523</v>
      </c>
      <c r="D46" t="s">
        <v>1843</v>
      </c>
      <c r="E46">
        <v>30</v>
      </c>
      <c r="F46">
        <v>21</v>
      </c>
      <c r="G46">
        <v>1</v>
      </c>
      <c r="H46" t="s">
        <v>841</v>
      </c>
      <c r="I46" t="s">
        <v>841</v>
      </c>
      <c r="J46" t="s">
        <v>841</v>
      </c>
      <c r="K46" t="s">
        <v>842</v>
      </c>
      <c r="L46" t="s">
        <v>2069</v>
      </c>
    </row>
    <row r="47" spans="1:12" hidden="1" x14ac:dyDescent="0.3">
      <c r="A47">
        <v>1569</v>
      </c>
      <c r="B47" t="s">
        <v>1844</v>
      </c>
      <c r="C47" t="s">
        <v>449</v>
      </c>
      <c r="D47" t="s">
        <v>1029</v>
      </c>
      <c r="E47">
        <v>8</v>
      </c>
      <c r="F47">
        <v>21</v>
      </c>
      <c r="G47">
        <v>2</v>
      </c>
      <c r="H47" t="s">
        <v>841</v>
      </c>
      <c r="I47" t="s">
        <v>841</v>
      </c>
      <c r="J47" t="s">
        <v>841</v>
      </c>
      <c r="K47" t="s">
        <v>842</v>
      </c>
    </row>
    <row r="48" spans="1:12" hidden="1" x14ac:dyDescent="0.3">
      <c r="A48">
        <v>1583</v>
      </c>
      <c r="B48" t="s">
        <v>1845</v>
      </c>
      <c r="C48" t="s">
        <v>467</v>
      </c>
      <c r="D48" t="s">
        <v>1053</v>
      </c>
      <c r="E48">
        <v>8</v>
      </c>
      <c r="F48">
        <v>21</v>
      </c>
      <c r="G48">
        <v>1</v>
      </c>
      <c r="H48" t="s">
        <v>841</v>
      </c>
      <c r="I48" t="s">
        <v>841</v>
      </c>
      <c r="J48" t="s">
        <v>841</v>
      </c>
      <c r="K48" t="s">
        <v>842</v>
      </c>
    </row>
    <row r="49" spans="1:12" hidden="1" x14ac:dyDescent="0.3">
      <c r="A49">
        <v>1566</v>
      </c>
      <c r="B49" t="s">
        <v>1846</v>
      </c>
      <c r="C49" t="s">
        <v>513</v>
      </c>
      <c r="D49" t="s">
        <v>1390</v>
      </c>
      <c r="E49">
        <v>8</v>
      </c>
      <c r="F49">
        <v>21</v>
      </c>
      <c r="G49">
        <v>1</v>
      </c>
      <c r="H49" t="s">
        <v>841</v>
      </c>
      <c r="I49" t="s">
        <v>841</v>
      </c>
      <c r="J49" t="s">
        <v>841</v>
      </c>
      <c r="K49" t="s">
        <v>842</v>
      </c>
    </row>
    <row r="50" spans="1:12" hidden="1" x14ac:dyDescent="0.3">
      <c r="A50">
        <v>1582</v>
      </c>
      <c r="B50" t="s">
        <v>1847</v>
      </c>
      <c r="C50" t="s">
        <v>465</v>
      </c>
      <c r="D50" t="s">
        <v>1022</v>
      </c>
      <c r="E50">
        <v>8</v>
      </c>
      <c r="F50">
        <v>21</v>
      </c>
      <c r="G50">
        <v>2</v>
      </c>
      <c r="H50" t="s">
        <v>841</v>
      </c>
      <c r="I50" t="s">
        <v>841</v>
      </c>
      <c r="J50" t="s">
        <v>841</v>
      </c>
      <c r="K50" t="s">
        <v>842</v>
      </c>
    </row>
    <row r="51" spans="1:12" hidden="1" x14ac:dyDescent="0.3">
      <c r="A51">
        <v>1598</v>
      </c>
      <c r="B51" t="s">
        <v>1848</v>
      </c>
      <c r="C51" t="s">
        <v>701</v>
      </c>
      <c r="D51" t="s">
        <v>1558</v>
      </c>
      <c r="E51">
        <v>8</v>
      </c>
      <c r="F51">
        <v>21</v>
      </c>
      <c r="G51">
        <v>1</v>
      </c>
      <c r="H51" t="s">
        <v>841</v>
      </c>
      <c r="I51" t="s">
        <v>841</v>
      </c>
      <c r="J51" t="s">
        <v>841</v>
      </c>
      <c r="K51" t="s">
        <v>842</v>
      </c>
    </row>
    <row r="52" spans="1:12" hidden="1" x14ac:dyDescent="0.3">
      <c r="A52">
        <v>1603</v>
      </c>
      <c r="B52" t="s">
        <v>1849</v>
      </c>
      <c r="C52" t="s">
        <v>482</v>
      </c>
      <c r="D52" t="s">
        <v>1051</v>
      </c>
      <c r="E52">
        <v>8</v>
      </c>
      <c r="F52">
        <v>21</v>
      </c>
      <c r="G52">
        <v>1</v>
      </c>
      <c r="H52" t="s">
        <v>841</v>
      </c>
      <c r="I52" t="s">
        <v>841</v>
      </c>
      <c r="J52" t="s">
        <v>841</v>
      </c>
      <c r="K52" t="s">
        <v>842</v>
      </c>
    </row>
    <row r="53" spans="1:12" hidden="1" x14ac:dyDescent="0.3">
      <c r="A53">
        <v>1619</v>
      </c>
      <c r="B53" t="s">
        <v>1850</v>
      </c>
      <c r="C53" t="s">
        <v>718</v>
      </c>
      <c r="D53" t="s">
        <v>1086</v>
      </c>
      <c r="E53">
        <v>8</v>
      </c>
      <c r="F53">
        <v>21</v>
      </c>
      <c r="G53">
        <v>1</v>
      </c>
      <c r="H53" t="s">
        <v>841</v>
      </c>
      <c r="I53" t="s">
        <v>841</v>
      </c>
      <c r="J53" t="s">
        <v>841</v>
      </c>
      <c r="K53" t="s">
        <v>842</v>
      </c>
    </row>
    <row r="54" spans="1:12" hidden="1" x14ac:dyDescent="0.3">
      <c r="A54">
        <v>1606</v>
      </c>
      <c r="B54" t="s">
        <v>1851</v>
      </c>
      <c r="C54" t="s">
        <v>705</v>
      </c>
      <c r="D54" t="s">
        <v>1064</v>
      </c>
      <c r="E54">
        <v>8</v>
      </c>
      <c r="F54">
        <v>21</v>
      </c>
      <c r="G54">
        <v>1</v>
      </c>
      <c r="H54" t="s">
        <v>841</v>
      </c>
      <c r="I54" t="s">
        <v>841</v>
      </c>
      <c r="J54" t="s">
        <v>841</v>
      </c>
      <c r="K54" t="s">
        <v>842</v>
      </c>
    </row>
    <row r="55" spans="1:12" hidden="1" x14ac:dyDescent="0.3">
      <c r="A55">
        <v>1579</v>
      </c>
      <c r="B55" t="s">
        <v>1852</v>
      </c>
      <c r="C55" t="s">
        <v>462</v>
      </c>
      <c r="D55" t="s">
        <v>1058</v>
      </c>
      <c r="E55">
        <v>8</v>
      </c>
      <c r="F55">
        <v>21</v>
      </c>
      <c r="G55">
        <v>1</v>
      </c>
      <c r="H55" t="s">
        <v>841</v>
      </c>
      <c r="I55" t="s">
        <v>841</v>
      </c>
      <c r="J55" t="s">
        <v>841</v>
      </c>
      <c r="K55" t="s">
        <v>842</v>
      </c>
    </row>
    <row r="56" spans="1:12" hidden="1" x14ac:dyDescent="0.3">
      <c r="A56">
        <v>1614</v>
      </c>
      <c r="B56" t="s">
        <v>1853</v>
      </c>
      <c r="C56" t="s">
        <v>1698</v>
      </c>
      <c r="D56" t="s">
        <v>1663</v>
      </c>
      <c r="E56">
        <v>8</v>
      </c>
      <c r="F56">
        <v>21</v>
      </c>
      <c r="G56">
        <v>1</v>
      </c>
      <c r="H56" t="s">
        <v>841</v>
      </c>
      <c r="I56" t="s">
        <v>841</v>
      </c>
      <c r="J56" t="s">
        <v>841</v>
      </c>
      <c r="K56" t="s">
        <v>842</v>
      </c>
    </row>
    <row r="57" spans="1:12" hidden="1" x14ac:dyDescent="0.3">
      <c r="A57">
        <v>1609</v>
      </c>
      <c r="B57" t="s">
        <v>1854</v>
      </c>
      <c r="C57" t="s">
        <v>493</v>
      </c>
      <c r="D57" t="s">
        <v>1639</v>
      </c>
      <c r="E57">
        <v>8</v>
      </c>
      <c r="F57">
        <v>21</v>
      </c>
      <c r="G57">
        <v>1</v>
      </c>
      <c r="H57" t="s">
        <v>841</v>
      </c>
      <c r="I57" t="s">
        <v>841</v>
      </c>
      <c r="J57" t="s">
        <v>841</v>
      </c>
      <c r="K57" t="s">
        <v>842</v>
      </c>
    </row>
    <row r="58" spans="1:12" hidden="1" x14ac:dyDescent="0.3">
      <c r="A58">
        <v>1613</v>
      </c>
      <c r="B58" t="s">
        <v>1855</v>
      </c>
      <c r="C58" t="s">
        <v>1189</v>
      </c>
      <c r="D58" t="s">
        <v>1190</v>
      </c>
      <c r="E58">
        <v>8</v>
      </c>
      <c r="F58">
        <v>21</v>
      </c>
      <c r="G58">
        <v>2</v>
      </c>
      <c r="H58" t="s">
        <v>841</v>
      </c>
      <c r="I58" t="s">
        <v>841</v>
      </c>
      <c r="J58" t="s">
        <v>841</v>
      </c>
      <c r="K58" t="s">
        <v>842</v>
      </c>
    </row>
    <row r="59" spans="1:12" hidden="1" x14ac:dyDescent="0.3">
      <c r="A59">
        <v>1593</v>
      </c>
      <c r="B59" t="s">
        <v>1856</v>
      </c>
      <c r="C59" t="s">
        <v>1536</v>
      </c>
      <c r="D59" t="s">
        <v>395</v>
      </c>
      <c r="E59">
        <v>30</v>
      </c>
      <c r="F59">
        <v>21</v>
      </c>
      <c r="G59">
        <v>18</v>
      </c>
      <c r="H59" t="s">
        <v>841</v>
      </c>
      <c r="I59" t="s">
        <v>841</v>
      </c>
      <c r="J59" t="s">
        <v>841</v>
      </c>
      <c r="K59" t="s">
        <v>842</v>
      </c>
    </row>
    <row r="60" spans="1:12" hidden="1" x14ac:dyDescent="0.3">
      <c r="A60">
        <v>1621</v>
      </c>
      <c r="B60" t="s">
        <v>1857</v>
      </c>
      <c r="C60" t="s">
        <v>1706</v>
      </c>
      <c r="D60" t="s">
        <v>834</v>
      </c>
      <c r="E60">
        <v>8</v>
      </c>
      <c r="F60">
        <v>21</v>
      </c>
      <c r="G60">
        <v>2</v>
      </c>
      <c r="H60" t="s">
        <v>841</v>
      </c>
      <c r="I60" t="s">
        <v>841</v>
      </c>
      <c r="J60" t="s">
        <v>841</v>
      </c>
      <c r="K60" t="s">
        <v>842</v>
      </c>
      <c r="L60" t="s">
        <v>985</v>
      </c>
    </row>
    <row r="61" spans="1:12" hidden="1" x14ac:dyDescent="0.3">
      <c r="A61">
        <v>1596</v>
      </c>
      <c r="B61" t="s">
        <v>1858</v>
      </c>
      <c r="C61" t="s">
        <v>1542</v>
      </c>
      <c r="D61" t="s">
        <v>1543</v>
      </c>
      <c r="E61">
        <v>8</v>
      </c>
      <c r="F61">
        <v>21</v>
      </c>
      <c r="G61">
        <v>1</v>
      </c>
      <c r="H61" t="s">
        <v>841</v>
      </c>
      <c r="I61" t="s">
        <v>841</v>
      </c>
      <c r="J61" t="s">
        <v>841</v>
      </c>
      <c r="K61" t="s">
        <v>842</v>
      </c>
    </row>
    <row r="62" spans="1:12" hidden="1" x14ac:dyDescent="0.3">
      <c r="A62">
        <v>1574</v>
      </c>
      <c r="B62" t="s">
        <v>1859</v>
      </c>
      <c r="C62" t="s">
        <v>1011</v>
      </c>
      <c r="D62" t="s">
        <v>1860</v>
      </c>
      <c r="E62">
        <v>30</v>
      </c>
      <c r="F62">
        <v>21</v>
      </c>
      <c r="G62">
        <v>1</v>
      </c>
      <c r="H62" t="s">
        <v>841</v>
      </c>
      <c r="I62" t="s">
        <v>841</v>
      </c>
      <c r="J62" t="s">
        <v>841</v>
      </c>
      <c r="K62" t="s">
        <v>842</v>
      </c>
    </row>
    <row r="63" spans="1:12" hidden="1" x14ac:dyDescent="0.3">
      <c r="A63">
        <v>1592</v>
      </c>
      <c r="B63" t="s">
        <v>1861</v>
      </c>
      <c r="C63" t="s">
        <v>1533</v>
      </c>
      <c r="D63" t="s">
        <v>1862</v>
      </c>
      <c r="E63">
        <v>30</v>
      </c>
      <c r="F63">
        <v>21</v>
      </c>
      <c r="G63">
        <v>5</v>
      </c>
      <c r="H63" t="s">
        <v>841</v>
      </c>
      <c r="I63" t="s">
        <v>841</v>
      </c>
      <c r="J63" t="s">
        <v>841</v>
      </c>
      <c r="K63" t="s">
        <v>842</v>
      </c>
    </row>
    <row r="64" spans="1:12" hidden="1" x14ac:dyDescent="0.3">
      <c r="A64">
        <v>1615</v>
      </c>
      <c r="B64" t="s">
        <v>1864</v>
      </c>
      <c r="C64" t="s">
        <v>713</v>
      </c>
      <c r="D64" t="s">
        <v>1085</v>
      </c>
      <c r="E64">
        <v>8</v>
      </c>
      <c r="F64">
        <v>21</v>
      </c>
      <c r="G64">
        <v>2</v>
      </c>
      <c r="H64" t="s">
        <v>841</v>
      </c>
      <c r="I64" t="s">
        <v>841</v>
      </c>
      <c r="J64" t="s">
        <v>841</v>
      </c>
      <c r="K64" t="s">
        <v>842</v>
      </c>
    </row>
    <row r="65" spans="1:11" hidden="1" x14ac:dyDescent="0.3">
      <c r="A65">
        <v>1558</v>
      </c>
      <c r="B65" t="s">
        <v>1863</v>
      </c>
      <c r="C65" t="s">
        <v>673</v>
      </c>
      <c r="D65" t="s">
        <v>1348</v>
      </c>
      <c r="E65">
        <v>30</v>
      </c>
      <c r="F65">
        <v>21</v>
      </c>
      <c r="G65">
        <v>1</v>
      </c>
      <c r="H65" t="s">
        <v>841</v>
      </c>
      <c r="I65" t="s">
        <v>841</v>
      </c>
      <c r="J65" t="s">
        <v>841</v>
      </c>
      <c r="K65" t="s">
        <v>842</v>
      </c>
    </row>
    <row r="66" spans="1:11" hidden="1" x14ac:dyDescent="0.3">
      <c r="A66">
        <v>1561</v>
      </c>
      <c r="B66" t="s">
        <v>1865</v>
      </c>
      <c r="C66" t="s">
        <v>1384</v>
      </c>
      <c r="D66" t="s">
        <v>1866</v>
      </c>
      <c r="E66">
        <v>30</v>
      </c>
      <c r="F66">
        <v>21</v>
      </c>
      <c r="G66">
        <v>2</v>
      </c>
      <c r="H66" t="s">
        <v>841</v>
      </c>
      <c r="I66" t="s">
        <v>841</v>
      </c>
      <c r="J66" t="s">
        <v>841</v>
      </c>
      <c r="K66" t="s">
        <v>842</v>
      </c>
    </row>
    <row r="67" spans="1:11" hidden="1" x14ac:dyDescent="0.3">
      <c r="A67">
        <v>1594</v>
      </c>
      <c r="B67" t="s">
        <v>1867</v>
      </c>
      <c r="C67" t="s">
        <v>1538</v>
      </c>
      <c r="D67" t="s">
        <v>397</v>
      </c>
      <c r="E67">
        <v>30</v>
      </c>
      <c r="F67">
        <v>21</v>
      </c>
      <c r="G67">
        <v>47</v>
      </c>
      <c r="H67" t="s">
        <v>841</v>
      </c>
      <c r="I67" t="s">
        <v>841</v>
      </c>
      <c r="J67" t="s">
        <v>841</v>
      </c>
      <c r="K67" t="s">
        <v>842</v>
      </c>
    </row>
    <row r="68" spans="1:11" hidden="1" x14ac:dyDescent="0.3">
      <c r="A68">
        <v>1608</v>
      </c>
      <c r="B68" t="s">
        <v>1868</v>
      </c>
      <c r="C68" t="s">
        <v>492</v>
      </c>
      <c r="D68" t="s">
        <v>1060</v>
      </c>
      <c r="E68">
        <v>8</v>
      </c>
      <c r="F68">
        <v>21</v>
      </c>
      <c r="G68">
        <v>1</v>
      </c>
      <c r="H68" t="s">
        <v>841</v>
      </c>
      <c r="I68" t="s">
        <v>841</v>
      </c>
      <c r="J68" t="s">
        <v>841</v>
      </c>
      <c r="K68" t="s">
        <v>842</v>
      </c>
    </row>
    <row r="69" spans="1:11" hidden="1" x14ac:dyDescent="0.3">
      <c r="A69">
        <v>1605</v>
      </c>
      <c r="B69" t="s">
        <v>1869</v>
      </c>
      <c r="C69" t="s">
        <v>1609</v>
      </c>
      <c r="D69" t="s">
        <v>1610</v>
      </c>
      <c r="E69">
        <v>8</v>
      </c>
      <c r="F69">
        <v>21</v>
      </c>
      <c r="G69">
        <v>1</v>
      </c>
      <c r="H69" t="s">
        <v>841</v>
      </c>
      <c r="I69" t="s">
        <v>841</v>
      </c>
      <c r="J69" t="s">
        <v>841</v>
      </c>
      <c r="K69" t="s">
        <v>842</v>
      </c>
    </row>
  </sheetData>
  <conditionalFormatting sqref="C1:C1048576">
    <cfRule type="duplicateValues" dxfId="5" priority="2"/>
  </conditionalFormatting>
  <conditionalFormatting sqref="D1:D1048576">
    <cfRule type="duplicateValues" dxfId="4" priority="3"/>
  </conditionalFormatting>
  <conditionalFormatting sqref="K1:K1048576">
    <cfRule type="cellIs" dxfId="3" priority="1" operator="equal">
      <formula>"passed"</formula>
    </cfRule>
  </conditionalFormatting>
  <pageMargins left="0.7" right="0.7" top="0.75" bottom="0.75" header="0.3" footer="0.3"/>
  <pageSetup paperSize="9" scale="87" fitToHeight="0" orientation="landscape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BD63C70-88E7-48AB-95E6-4C565552D11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27</vt:i4>
      </vt:variant>
    </vt:vector>
  </HeadingPairs>
  <TitlesOfParts>
    <vt:vector size="27" baseType="lpstr">
      <vt:lpstr>product_list</vt:lpstr>
      <vt:lpstr>3d</vt:lpstr>
      <vt:lpstr>vlookup lhd</vt:lpstr>
      <vt:lpstr>lhd28NotInProd</vt:lpstr>
      <vt:lpstr>batchs</vt:lpstr>
      <vt:lpstr>rhd</vt:lpstr>
      <vt:lpstr>H248ClipPosition (R)</vt:lpstr>
      <vt:lpstr>H248ClipPosition</vt:lpstr>
      <vt:lpstr>H248_SC35H (R)</vt:lpstr>
      <vt:lpstr>H248_SC35H</vt:lpstr>
      <vt:lpstr>h248EngineAdd</vt:lpstr>
      <vt:lpstr>dn</vt:lpstr>
      <vt:lpstr>h248LHDstatus</vt:lpstr>
      <vt:lpstr>LHD1-7</vt:lpstr>
      <vt:lpstr>Sheet8</vt:lpstr>
      <vt:lpstr>projects</vt:lpstr>
      <vt:lpstr>h248RHDstatus</vt:lpstr>
      <vt:lpstr>type_list</vt:lpstr>
      <vt:lpstr>McDonalds</vt:lpstr>
      <vt:lpstr>price_offer_list</vt:lpstr>
      <vt:lpstr>color_list</vt:lpstr>
      <vt:lpstr>material_list</vt:lpstr>
      <vt:lpstr>barcode</vt:lpstr>
      <vt:lpstr>sps calc</vt:lpstr>
      <vt:lpstr>Sheet3</vt:lpstr>
      <vt:lpstr>pch</vt:lpstr>
      <vt:lpstr>h248SABoardsCCB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PLAMEN DIMITROV</dc:creator>
  <cp:lastModifiedBy>EloparBG EloparBG</cp:lastModifiedBy>
  <cp:lastPrinted>2026-09-18T08:38:40Z</cp:lastPrinted>
  <dcterms:created xsi:type="dcterms:W3CDTF">2015-06-05T18:17:20Z</dcterms:created>
  <dcterms:modified xsi:type="dcterms:W3CDTF">2026-09-18T14:05:15Z</dcterms:modified>
</cp:coreProperties>
</file>