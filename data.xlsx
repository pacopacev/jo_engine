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queryTables/queryTable5.xml" ContentType="application/vnd.openxmlformats-officedocument.spreadsheetml.queryTable+xml"/>
  <Override PartName="/xl/tables/table21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B2C7FB3E-57AF-407F-AB29-57CCF0BA79D7}" xr6:coauthVersionLast="47" xr6:coauthVersionMax="47" xr10:uidLastSave="{00000000-0000-0000-0000-000000000000}"/>
  <bookViews>
    <workbookView xWindow="-108" yWindow="-108" windowWidth="23256" windowHeight="13176" tabRatio="902" activeTab="9" xr2:uid="{00000000-000D-0000-FFFF-FFFF00000000}"/>
  </bookViews>
  <sheets>
    <sheet name="product_list" sheetId="1" r:id="rId1"/>
    <sheet name="c174_calc" sheetId="62" r:id="rId2"/>
    <sheet name="C174LHD" sheetId="64" r:id="rId3"/>
    <sheet name="projects" sheetId="60" r:id="rId4"/>
    <sheet name="3d" sheetId="51" r:id="rId5"/>
    <sheet name="batch_lhd" sheetId="39" r:id="rId6"/>
    <sheet name="clabel" sheetId="59" r:id="rId7"/>
    <sheet name="LHD1-7" sheetId="57" r:id="rId8"/>
    <sheet name="batch_rhd" sheetId="54" r:id="rId9"/>
    <sheet name="lhd28NotInProd" sheetId="52" r:id="rId10"/>
    <sheet name="batchs" sheetId="28" r:id="rId11"/>
    <sheet name="H248 SA BOARDS CSUB-14" sheetId="63" r:id="rId12"/>
    <sheet name="h248LHDstatus" sheetId="43" r:id="rId13"/>
    <sheet name="h248RHDstatus" sheetId="49" r:id="rId14"/>
    <sheet name="H248ClipPosition (R)" sheetId="56" r:id="rId15"/>
    <sheet name="H248ClipPosition" sheetId="44" r:id="rId16"/>
    <sheet name="H248_SC35H (R)" sheetId="55" r:id="rId17"/>
    <sheet name="H248_SC35H" sheetId="45" r:id="rId18"/>
    <sheet name="dn" sheetId="46" r:id="rId19"/>
    <sheet name="type_list" sheetId="4" r:id="rId20"/>
    <sheet name="McDonalds" sheetId="50" r:id="rId21"/>
    <sheet name="Sheet1" sheetId="61" r:id="rId22"/>
    <sheet name="price_offer_list" sheetId="3" r:id="rId23"/>
    <sheet name="color_list" sheetId="2" r:id="rId24"/>
    <sheet name="material_list" sheetId="5" r:id="rId25"/>
    <sheet name="barcode" sheetId="21" r:id="rId26"/>
    <sheet name="sps calc" sheetId="30" r:id="rId27"/>
    <sheet name="Sheet3" sheetId="31" r:id="rId28"/>
    <sheet name="pch" sheetId="9" r:id="rId29"/>
    <sheet name="h248SABoardsCCB" sheetId="47" r:id="rId30"/>
    <sheet name="h248EngineAdd" sheetId="53" r:id="rId31"/>
  </sheets>
  <definedNames>
    <definedName name="_xlnm._FilterDatabase" localSheetId="5" hidden="1">batch_lhd!$A$1:$N$136</definedName>
    <definedName name="_xlnm._FilterDatabase" localSheetId="8" hidden="1">batch_rhd!$A$1:$D$131</definedName>
    <definedName name="_xlnm._FilterDatabase" localSheetId="1" hidden="1">'c174_calc'!$A$1:$F$321</definedName>
    <definedName name="_xlnm._FilterDatabase" localSheetId="17" hidden="1">H248_SC35H!$C$2:$F$44</definedName>
    <definedName name="_xlnm._FilterDatabase" localSheetId="16" hidden="1">'H248_SC35H (R)'!$C$2:$F$123</definedName>
    <definedName name="_xlnm._FilterDatabase" localSheetId="15" hidden="1">H248ClipPosition!$A$2:$D$31</definedName>
    <definedName name="_xlnm._FilterDatabase" localSheetId="14" hidden="1">'H248ClipPosition (R)'!$A$2:$D$28</definedName>
    <definedName name="_xlnm._FilterDatabase" localSheetId="7" hidden="1">'LHD1-7'!$A$1:$AQ$125</definedName>
    <definedName name="_xlnm._FilterDatabase" localSheetId="9" hidden="1">lhd28NotInProd!$A$1:$E$17</definedName>
    <definedName name="defaultdb_barcode_scans" localSheetId="28" hidden="1">pch!#REF!</definedName>
    <definedName name="ExternalData_1" localSheetId="2" hidden="1">'C174LHD'!$A$1:$K$133</definedName>
    <definedName name="ExternalData_1" localSheetId="11" hidden="1">'H248 SA BOARDS CSUB-14'!$A$1:$K$25</definedName>
    <definedName name="ExternalData_1" localSheetId="30" hidden="1">h248EngineAdd!$A$1:$K$21</definedName>
    <definedName name="ExternalData_1" localSheetId="12" hidden="1">h248LHDstatus!$A$1:$K$133</definedName>
    <definedName name="ExternalData_1" localSheetId="13" hidden="1">h248RHDstatus!$A$1:$K$131</definedName>
    <definedName name="ExternalData_1" localSheetId="29" hidden="1">h248SABoardsCCB!$A$1:$K$69</definedName>
    <definedName name="Table18_1" localSheetId="28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18" i="1" l="1"/>
  <c r="AD618" i="1"/>
  <c r="AE618" i="1"/>
  <c r="AG618" i="1" s="1"/>
  <c r="AF618" i="1"/>
  <c r="AA617" i="1"/>
  <c r="AD617" i="1"/>
  <c r="AE617" i="1"/>
  <c r="AG617" i="1" s="1"/>
  <c r="AF617" i="1"/>
  <c r="AA115" i="1"/>
  <c r="AA616" i="1" l="1"/>
  <c r="AD616" i="1"/>
  <c r="AE616" i="1"/>
  <c r="AG616" i="1" s="1"/>
  <c r="AF616" i="1"/>
  <c r="AA615" i="1"/>
  <c r="AD615" i="1"/>
  <c r="AE615" i="1"/>
  <c r="AG615" i="1" s="1"/>
  <c r="AF615" i="1"/>
  <c r="AA614" i="1"/>
  <c r="AD614" i="1"/>
  <c r="AE614" i="1"/>
  <c r="AG614" i="1" s="1"/>
  <c r="AF614" i="1"/>
  <c r="AA613" i="1"/>
  <c r="AD613" i="1"/>
  <c r="AE613" i="1"/>
  <c r="AG613" i="1" s="1"/>
  <c r="AF613" i="1"/>
  <c r="AA612" i="1"/>
  <c r="AD612" i="1"/>
  <c r="AE612" i="1"/>
  <c r="AG612" i="1" s="1"/>
  <c r="AF612" i="1"/>
  <c r="AA611" i="1"/>
  <c r="AD611" i="1"/>
  <c r="AE611" i="1"/>
  <c r="AG611" i="1" s="1"/>
  <c r="AF611" i="1"/>
  <c r="AA610" i="1"/>
  <c r="AD610" i="1"/>
  <c r="AE610" i="1"/>
  <c r="AG610" i="1" s="1"/>
  <c r="AF610" i="1"/>
  <c r="AA609" i="1"/>
  <c r="AD609" i="1"/>
  <c r="AE609" i="1"/>
  <c r="AG609" i="1" s="1"/>
  <c r="AF609" i="1"/>
  <c r="AA608" i="1"/>
  <c r="AD608" i="1"/>
  <c r="AE608" i="1"/>
  <c r="AG608" i="1" s="1"/>
  <c r="AF608" i="1"/>
  <c r="AA607" i="1"/>
  <c r="AD607" i="1"/>
  <c r="AE607" i="1"/>
  <c r="AG607" i="1" s="1"/>
  <c r="AF607" i="1"/>
  <c r="AA606" i="1"/>
  <c r="AD606" i="1"/>
  <c r="AE606" i="1"/>
  <c r="AG606" i="1" s="1"/>
  <c r="AF606" i="1"/>
  <c r="AA605" i="1"/>
  <c r="AD605" i="1"/>
  <c r="AE605" i="1"/>
  <c r="AG605" i="1" s="1"/>
  <c r="AF605" i="1"/>
  <c r="AF8" i="1"/>
  <c r="AF2" i="1"/>
  <c r="AB2" i="1" s="1"/>
  <c r="AF3" i="1"/>
  <c r="AB3" i="1" s="1"/>
  <c r="AF4" i="1"/>
  <c r="AB4" i="1" s="1"/>
  <c r="AF5" i="1"/>
  <c r="AF6" i="1"/>
  <c r="AB6" i="1" s="1"/>
  <c r="AF7" i="1"/>
  <c r="AB7" i="1" s="1"/>
  <c r="AF9" i="1"/>
  <c r="AB9" i="1" s="1"/>
  <c r="AF10" i="1"/>
  <c r="AF11" i="1"/>
  <c r="AB11" i="1" s="1"/>
  <c r="AF12" i="1"/>
  <c r="AB12" i="1" s="1"/>
  <c r="AF13" i="1"/>
  <c r="AB13" i="1" s="1"/>
  <c r="AF14" i="1"/>
  <c r="AB14" i="1" s="1"/>
  <c r="AF15" i="1"/>
  <c r="AB15" i="1" s="1"/>
  <c r="AF16" i="1"/>
  <c r="AB16" i="1" s="1"/>
  <c r="AF17" i="1"/>
  <c r="AF18" i="1"/>
  <c r="AB18" i="1" s="1"/>
  <c r="AF19" i="1"/>
  <c r="AB19" i="1" s="1"/>
  <c r="AF20" i="1"/>
  <c r="AB20" i="1" s="1"/>
  <c r="AF21" i="1"/>
  <c r="AB21" i="1" s="1"/>
  <c r="AF22" i="1"/>
  <c r="AB22" i="1" s="1"/>
  <c r="AF23" i="1"/>
  <c r="AB23" i="1" s="1"/>
  <c r="AF24" i="1"/>
  <c r="AB24" i="1" s="1"/>
  <c r="AF25" i="1"/>
  <c r="AB25" i="1" s="1"/>
  <c r="AF26" i="1"/>
  <c r="AB26" i="1" s="1"/>
  <c r="AF27" i="1"/>
  <c r="AF28" i="1"/>
  <c r="AB28" i="1" s="1"/>
  <c r="AF29" i="1"/>
  <c r="AB29" i="1" s="1"/>
  <c r="AF30" i="1"/>
  <c r="AB30" i="1" s="1"/>
  <c r="AF31" i="1"/>
  <c r="AB31" i="1" s="1"/>
  <c r="AF32" i="1"/>
  <c r="AB32" i="1" s="1"/>
  <c r="AF33" i="1"/>
  <c r="AB33" i="1" s="1"/>
  <c r="AA33" i="1" s="1"/>
  <c r="AF34" i="1"/>
  <c r="AB34" i="1" s="1"/>
  <c r="AF35" i="1"/>
  <c r="AF36" i="1"/>
  <c r="AB36" i="1" s="1"/>
  <c r="AF37" i="1"/>
  <c r="AB37" i="1" s="1"/>
  <c r="AF38" i="1"/>
  <c r="AB38" i="1" s="1"/>
  <c r="AF39" i="1"/>
  <c r="AB39" i="1" s="1"/>
  <c r="AF40" i="1"/>
  <c r="AB40" i="1" s="1"/>
  <c r="AF41" i="1"/>
  <c r="AF42" i="1"/>
  <c r="AB42" i="1" s="1"/>
  <c r="AF43" i="1"/>
  <c r="AB43" i="1" s="1"/>
  <c r="AF44" i="1"/>
  <c r="AB44" i="1" s="1"/>
  <c r="AF45" i="1"/>
  <c r="AB45" i="1" s="1"/>
  <c r="AF46" i="1"/>
  <c r="AF47" i="1"/>
  <c r="AB47" i="1" s="1"/>
  <c r="AF48" i="1"/>
  <c r="AF49" i="1"/>
  <c r="AB49" i="1" s="1"/>
  <c r="AF50" i="1"/>
  <c r="AB50" i="1" s="1"/>
  <c r="AF51" i="1"/>
  <c r="AB51" i="1" s="1"/>
  <c r="AF52" i="1"/>
  <c r="AB52" i="1" s="1"/>
  <c r="AF53" i="1"/>
  <c r="AB53" i="1" s="1"/>
  <c r="AF54" i="1"/>
  <c r="AB54" i="1" s="1"/>
  <c r="AF55" i="1"/>
  <c r="AB55" i="1" s="1"/>
  <c r="AF56" i="1"/>
  <c r="AB56" i="1" s="1"/>
  <c r="AA56" i="1" s="1"/>
  <c r="AF57" i="1"/>
  <c r="AB57" i="1" s="1"/>
  <c r="AA57" i="1" s="1"/>
  <c r="AF58" i="1"/>
  <c r="AB58" i="1" s="1"/>
  <c r="AF59" i="1"/>
  <c r="AB59" i="1" s="1"/>
  <c r="AA59" i="1" s="1"/>
  <c r="AF60" i="1"/>
  <c r="AF61" i="1"/>
  <c r="AB61" i="1" s="1"/>
  <c r="AF62" i="1"/>
  <c r="AB62" i="1" s="1"/>
  <c r="AF63" i="1"/>
  <c r="AB63" i="1" s="1"/>
  <c r="AF64" i="1"/>
  <c r="AB64" i="1" s="1"/>
  <c r="AF65" i="1"/>
  <c r="AB65" i="1" s="1"/>
  <c r="AF66" i="1"/>
  <c r="AB66" i="1" s="1"/>
  <c r="AF67" i="1"/>
  <c r="AF68" i="1"/>
  <c r="AB68" i="1" s="1"/>
  <c r="AA68" i="1" s="1"/>
  <c r="AF69" i="1"/>
  <c r="AB69" i="1" s="1"/>
  <c r="AF70" i="1"/>
  <c r="AF71" i="1"/>
  <c r="AB71" i="1" s="1"/>
  <c r="AF72" i="1"/>
  <c r="AB72" i="1" s="1"/>
  <c r="AF73" i="1"/>
  <c r="AB73" i="1" s="1"/>
  <c r="AF74" i="1"/>
  <c r="AB74" i="1" s="1"/>
  <c r="AF75" i="1"/>
  <c r="AF76" i="1"/>
  <c r="AB76" i="1" s="1"/>
  <c r="AF77" i="1"/>
  <c r="AB77" i="1" s="1"/>
  <c r="AF78" i="1"/>
  <c r="AB78" i="1" s="1"/>
  <c r="AF79" i="1"/>
  <c r="AF80" i="1"/>
  <c r="AB80" i="1" s="1"/>
  <c r="AF81" i="1"/>
  <c r="AB81" i="1" s="1"/>
  <c r="AF82" i="1"/>
  <c r="AB82" i="1" s="1"/>
  <c r="AF83" i="1"/>
  <c r="AB83" i="1" s="1"/>
  <c r="AF84" i="1"/>
  <c r="AB84" i="1" s="1"/>
  <c r="AF85" i="1"/>
  <c r="AB85" i="1" s="1"/>
  <c r="AF86" i="1"/>
  <c r="AB86" i="1" s="1"/>
  <c r="AF87" i="1"/>
  <c r="AB87" i="1" s="1"/>
  <c r="AF88" i="1"/>
  <c r="AB88" i="1" s="1"/>
  <c r="AF89" i="1"/>
  <c r="AB89" i="1" s="1"/>
  <c r="AF90" i="1"/>
  <c r="AB90" i="1" s="1"/>
  <c r="AF91" i="1"/>
  <c r="AB91" i="1" s="1"/>
  <c r="AF92" i="1"/>
  <c r="AF93" i="1"/>
  <c r="AF94" i="1"/>
  <c r="AB94" i="1" s="1"/>
  <c r="AF95" i="1"/>
  <c r="AB95" i="1" s="1"/>
  <c r="AF96" i="1"/>
  <c r="AB96" i="1" s="1"/>
  <c r="AF97" i="1"/>
  <c r="AB97" i="1" s="1"/>
  <c r="AF98" i="1"/>
  <c r="AF99" i="1"/>
  <c r="AF100" i="1"/>
  <c r="AF101" i="1"/>
  <c r="AF102" i="1"/>
  <c r="AF103" i="1"/>
  <c r="AB103" i="1" s="1"/>
  <c r="AF104" i="1"/>
  <c r="AB104" i="1" s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B130" i="1" s="1"/>
  <c r="AF131" i="1"/>
  <c r="AF132" i="1"/>
  <c r="AB132" i="1" s="1"/>
  <c r="AF133" i="1"/>
  <c r="AF134" i="1"/>
  <c r="AB134" i="1" s="1"/>
  <c r="AF135" i="1"/>
  <c r="AB135" i="1" s="1"/>
  <c r="AF136" i="1"/>
  <c r="AB136" i="1" s="1"/>
  <c r="AF137" i="1"/>
  <c r="AF138" i="1"/>
  <c r="AF139" i="1"/>
  <c r="AF140" i="1"/>
  <c r="AF141" i="1"/>
  <c r="AB141" i="1" s="1"/>
  <c r="AF142" i="1"/>
  <c r="AB142" i="1" s="1"/>
  <c r="AF143" i="1"/>
  <c r="AF144" i="1"/>
  <c r="AB144" i="1" s="1"/>
  <c r="AF145" i="1"/>
  <c r="AF146" i="1"/>
  <c r="AF147" i="1"/>
  <c r="AB147" i="1" s="1"/>
  <c r="AF148" i="1"/>
  <c r="AF149" i="1"/>
  <c r="AB149" i="1" s="1"/>
  <c r="AF150" i="1"/>
  <c r="AB150" i="1" s="1"/>
  <c r="AF151" i="1"/>
  <c r="AB151" i="1" s="1"/>
  <c r="AF152" i="1"/>
  <c r="AB152" i="1" s="1"/>
  <c r="AA152" i="1" s="1"/>
  <c r="AF153" i="1"/>
  <c r="AB153" i="1" s="1"/>
  <c r="AF154" i="1"/>
  <c r="AB154" i="1" s="1"/>
  <c r="AF155" i="1"/>
  <c r="AF156" i="1"/>
  <c r="AB156" i="1" s="1"/>
  <c r="AF157" i="1"/>
  <c r="AB157" i="1" s="1"/>
  <c r="AF158" i="1"/>
  <c r="AB158" i="1" s="1"/>
  <c r="AA158" i="1" s="1"/>
  <c r="AF159" i="1"/>
  <c r="AB159" i="1" s="1"/>
  <c r="AA159" i="1" s="1"/>
  <c r="AF160" i="1"/>
  <c r="AB160" i="1" s="1"/>
  <c r="AA160" i="1" s="1"/>
  <c r="AF161" i="1"/>
  <c r="AB161" i="1" s="1"/>
  <c r="AA161" i="1" s="1"/>
  <c r="AF162" i="1"/>
  <c r="AB162" i="1" s="1"/>
  <c r="AA162" i="1" s="1"/>
  <c r="AF163" i="1"/>
  <c r="AB163" i="1" s="1"/>
  <c r="AF164" i="1"/>
  <c r="AB164" i="1" s="1"/>
  <c r="AA164" i="1" s="1"/>
  <c r="AF165" i="1"/>
  <c r="AB165" i="1" s="1"/>
  <c r="AA165" i="1" s="1"/>
  <c r="AF166" i="1"/>
  <c r="AB166" i="1" s="1"/>
  <c r="AA166" i="1" s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B201" i="1" s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B213" i="1" s="1"/>
  <c r="AF214" i="1"/>
  <c r="AB214" i="1" s="1"/>
  <c r="AF215" i="1"/>
  <c r="AF216" i="1"/>
  <c r="AF217" i="1"/>
  <c r="AF218" i="1"/>
  <c r="AF219" i="1"/>
  <c r="AF220" i="1"/>
  <c r="AF221" i="1"/>
  <c r="AB221" i="1" s="1"/>
  <c r="AF222" i="1"/>
  <c r="AF223" i="1"/>
  <c r="AF224" i="1"/>
  <c r="AF225" i="1"/>
  <c r="AF226" i="1"/>
  <c r="AF227" i="1"/>
  <c r="AF228" i="1"/>
  <c r="AF229" i="1"/>
  <c r="AF230" i="1"/>
  <c r="AB230" i="1" s="1"/>
  <c r="AF231" i="1"/>
  <c r="AF232" i="1"/>
  <c r="AB232" i="1" s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B282" i="1" s="1"/>
  <c r="AF283" i="1"/>
  <c r="AF284" i="1"/>
  <c r="AF285" i="1"/>
  <c r="AB285" i="1" s="1"/>
  <c r="AA285" i="1" s="1"/>
  <c r="AF286" i="1"/>
  <c r="AB286" i="1" s="1"/>
  <c r="AA286" i="1" s="1"/>
  <c r="AF287" i="1"/>
  <c r="AB287" i="1" s="1"/>
  <c r="AA287" i="1" s="1"/>
  <c r="AF288" i="1"/>
  <c r="AB288" i="1" s="1"/>
  <c r="AA288" i="1" s="1"/>
  <c r="AF289" i="1"/>
  <c r="AF290" i="1"/>
  <c r="AF291" i="1"/>
  <c r="AF292" i="1"/>
  <c r="AF293" i="1"/>
  <c r="AF294" i="1"/>
  <c r="AF295" i="1"/>
  <c r="AF296" i="1"/>
  <c r="AB296" i="1" s="1"/>
  <c r="AA296" i="1" s="1"/>
  <c r="AF297" i="1"/>
  <c r="AB297" i="1" s="1"/>
  <c r="AA297" i="1" s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B536" i="1" s="1"/>
  <c r="AA536" i="1" s="1"/>
  <c r="AF537" i="1"/>
  <c r="AB537" i="1" s="1"/>
  <c r="AF538" i="1"/>
  <c r="AB538" i="1" s="1"/>
  <c r="AF539" i="1"/>
  <c r="AB539" i="1" s="1"/>
  <c r="AF540" i="1"/>
  <c r="AB540" i="1" s="1"/>
  <c r="AA540" i="1" s="1"/>
  <c r="AF541" i="1"/>
  <c r="AB541" i="1" s="1"/>
  <c r="AA541" i="1" s="1"/>
  <c r="AF542" i="1"/>
  <c r="AB542" i="1" s="1"/>
  <c r="AA542" i="1" s="1"/>
  <c r="AF543" i="1"/>
  <c r="AB543" i="1" s="1"/>
  <c r="AA543" i="1" s="1"/>
  <c r="AF544" i="1"/>
  <c r="AF545" i="1"/>
  <c r="AB545" i="1" s="1"/>
  <c r="AA545" i="1" s="1"/>
  <c r="AF546" i="1"/>
  <c r="AB546" i="1" s="1"/>
  <c r="AA546" i="1" s="1"/>
  <c r="AF547" i="1"/>
  <c r="AB547" i="1" s="1"/>
  <c r="AA547" i="1" s="1"/>
  <c r="AF548" i="1"/>
  <c r="AB548" i="1" s="1"/>
  <c r="AA548" i="1" s="1"/>
  <c r="AF549" i="1"/>
  <c r="AB549" i="1" s="1"/>
  <c r="AA549" i="1" s="1"/>
  <c r="AF550" i="1"/>
  <c r="AB550" i="1" s="1"/>
  <c r="AA550" i="1" s="1"/>
  <c r="AF551" i="1"/>
  <c r="AB551" i="1" s="1"/>
  <c r="AA551" i="1" s="1"/>
  <c r="AF552" i="1"/>
  <c r="AF553" i="1"/>
  <c r="AF554" i="1"/>
  <c r="AB554" i="1" s="1"/>
  <c r="AA554" i="1" s="1"/>
  <c r="AF555" i="1"/>
  <c r="AB555" i="1" s="1"/>
  <c r="AA555" i="1" s="1"/>
  <c r="AF556" i="1"/>
  <c r="AB556" i="1" s="1"/>
  <c r="AA556" i="1" s="1"/>
  <c r="AF557" i="1"/>
  <c r="AB557" i="1" s="1"/>
  <c r="AA557" i="1" s="1"/>
  <c r="AF558" i="1"/>
  <c r="AB558" i="1" s="1"/>
  <c r="AA558" i="1" s="1"/>
  <c r="AF559" i="1"/>
  <c r="AB559" i="1" s="1"/>
  <c r="AA559" i="1" s="1"/>
  <c r="AF560" i="1"/>
  <c r="AB560" i="1" s="1"/>
  <c r="AA560" i="1" s="1"/>
  <c r="AF561" i="1"/>
  <c r="AB561" i="1" s="1"/>
  <c r="AA561" i="1" s="1"/>
  <c r="AF562" i="1"/>
  <c r="AF563" i="1"/>
  <c r="AB563" i="1" s="1"/>
  <c r="AA563" i="1" s="1"/>
  <c r="AF564" i="1"/>
  <c r="AF565" i="1"/>
  <c r="AF566" i="1"/>
  <c r="AF567" i="1"/>
  <c r="AF568" i="1"/>
  <c r="AB568" i="1" s="1"/>
  <c r="AA568" i="1" s="1"/>
  <c r="AF569" i="1"/>
  <c r="AB569" i="1" s="1"/>
  <c r="AA569" i="1" s="1"/>
  <c r="AF570" i="1"/>
  <c r="AF571" i="1"/>
  <c r="AF572" i="1"/>
  <c r="AF573" i="1"/>
  <c r="AF574" i="1"/>
  <c r="AF575" i="1"/>
  <c r="AF576" i="1"/>
  <c r="AF577" i="1"/>
  <c r="AF578" i="1"/>
  <c r="AB578" i="1" s="1"/>
  <c r="AA578" i="1" s="1"/>
  <c r="AF579" i="1"/>
  <c r="AB579" i="1" s="1"/>
  <c r="AA579" i="1" s="1"/>
  <c r="AF580" i="1"/>
  <c r="AB580" i="1" s="1"/>
  <c r="AA580" i="1" s="1"/>
  <c r="AF581" i="1"/>
  <c r="AB581" i="1" s="1"/>
  <c r="AA581" i="1" s="1"/>
  <c r="AF582" i="1"/>
  <c r="AB582" i="1" s="1"/>
  <c r="AA582" i="1" s="1"/>
  <c r="AF583" i="1"/>
  <c r="AB583" i="1" s="1"/>
  <c r="AA583" i="1" s="1"/>
  <c r="AF584" i="1"/>
  <c r="AB584" i="1" s="1"/>
  <c r="AA584" i="1" s="1"/>
  <c r="AF585" i="1"/>
  <c r="AB585" i="1" s="1"/>
  <c r="AA585" i="1" s="1"/>
  <c r="AF586" i="1"/>
  <c r="AB586" i="1" s="1"/>
  <c r="AA586" i="1" s="1"/>
  <c r="AF587" i="1"/>
  <c r="AB587" i="1" s="1"/>
  <c r="AA587" i="1" s="1"/>
  <c r="AF588" i="1"/>
  <c r="AB588" i="1" s="1"/>
  <c r="AA588" i="1" s="1"/>
  <c r="AF589" i="1"/>
  <c r="AB589" i="1" s="1"/>
  <c r="AA589" i="1" s="1"/>
  <c r="AF590" i="1"/>
  <c r="AF591" i="1"/>
  <c r="AF592" i="1"/>
  <c r="AF593" i="1"/>
  <c r="AF594" i="1"/>
  <c r="AF595" i="1"/>
  <c r="AF596" i="1"/>
  <c r="AF597" i="1"/>
  <c r="AB597" i="1" s="1"/>
  <c r="AA597" i="1" s="1"/>
  <c r="AF598" i="1"/>
  <c r="AB598" i="1" s="1"/>
  <c r="AA598" i="1" s="1"/>
  <c r="AF599" i="1"/>
  <c r="AB599" i="1" s="1"/>
  <c r="AA599" i="1" s="1"/>
  <c r="AF600" i="1"/>
  <c r="AB600" i="1" s="1"/>
  <c r="AA600" i="1" s="1"/>
  <c r="AF601" i="1"/>
  <c r="AB601" i="1" s="1"/>
  <c r="AA601" i="1" s="1"/>
  <c r="AF602" i="1"/>
  <c r="AB602" i="1" s="1"/>
  <c r="AA602" i="1" s="1"/>
  <c r="AF603" i="1"/>
  <c r="AB603" i="1" s="1"/>
  <c r="AA603" i="1" s="1"/>
  <c r="AF604" i="1"/>
  <c r="AB604" i="1" s="1"/>
  <c r="AA604" i="1" s="1"/>
  <c r="AE2" i="1"/>
  <c r="AG2" i="1" s="1"/>
  <c r="AE3" i="1"/>
  <c r="AG3" i="1" s="1"/>
  <c r="AE4" i="1"/>
  <c r="AG4" i="1" s="1"/>
  <c r="AE5" i="1"/>
  <c r="AG5" i="1" s="1"/>
  <c r="AE6" i="1"/>
  <c r="AG6" i="1" s="1"/>
  <c r="AE7" i="1"/>
  <c r="AG7" i="1" s="1"/>
  <c r="AE8" i="1"/>
  <c r="AG8" i="1" s="1"/>
  <c r="AE9" i="1"/>
  <c r="AG9" i="1" s="1"/>
  <c r="AE10" i="1"/>
  <c r="AG10" i="1" s="1"/>
  <c r="AE11" i="1"/>
  <c r="AG11" i="1" s="1"/>
  <c r="AE12" i="1"/>
  <c r="AG12" i="1" s="1"/>
  <c r="AE13" i="1"/>
  <c r="AG13" i="1" s="1"/>
  <c r="AE14" i="1"/>
  <c r="AG14" i="1" s="1"/>
  <c r="AE15" i="1"/>
  <c r="AG15" i="1" s="1"/>
  <c r="AE16" i="1"/>
  <c r="AG16" i="1" s="1"/>
  <c r="AE17" i="1"/>
  <c r="AG17" i="1" s="1"/>
  <c r="AE18" i="1"/>
  <c r="AG18" i="1" s="1"/>
  <c r="AE19" i="1"/>
  <c r="AG19" i="1" s="1"/>
  <c r="AE20" i="1"/>
  <c r="AG20" i="1" s="1"/>
  <c r="AE21" i="1"/>
  <c r="AG21" i="1" s="1"/>
  <c r="AE22" i="1"/>
  <c r="AG22" i="1" s="1"/>
  <c r="AE23" i="1"/>
  <c r="AG23" i="1" s="1"/>
  <c r="AE24" i="1"/>
  <c r="AG24" i="1" s="1"/>
  <c r="AE25" i="1"/>
  <c r="AG25" i="1" s="1"/>
  <c r="AE26" i="1"/>
  <c r="AG26" i="1" s="1"/>
  <c r="AE27" i="1"/>
  <c r="AG27" i="1" s="1"/>
  <c r="AE28" i="1"/>
  <c r="AG28" i="1" s="1"/>
  <c r="AE29" i="1"/>
  <c r="AG29" i="1" s="1"/>
  <c r="AE30" i="1"/>
  <c r="AG30" i="1" s="1"/>
  <c r="AE31" i="1"/>
  <c r="AG31" i="1" s="1"/>
  <c r="AE32" i="1"/>
  <c r="AG32" i="1" s="1"/>
  <c r="AE33" i="1"/>
  <c r="AG33" i="1" s="1"/>
  <c r="AE34" i="1"/>
  <c r="AG34" i="1" s="1"/>
  <c r="AE35" i="1"/>
  <c r="AG35" i="1" s="1"/>
  <c r="AE36" i="1"/>
  <c r="AG36" i="1" s="1"/>
  <c r="AE37" i="1"/>
  <c r="AG37" i="1" s="1"/>
  <c r="AE38" i="1"/>
  <c r="AG38" i="1" s="1"/>
  <c r="AE39" i="1"/>
  <c r="AG39" i="1" s="1"/>
  <c r="AE40" i="1"/>
  <c r="AG40" i="1" s="1"/>
  <c r="AE41" i="1"/>
  <c r="AG41" i="1" s="1"/>
  <c r="AE42" i="1"/>
  <c r="AG42" i="1" s="1"/>
  <c r="AE43" i="1"/>
  <c r="AG43" i="1" s="1"/>
  <c r="AE44" i="1"/>
  <c r="AG44" i="1" s="1"/>
  <c r="AE45" i="1"/>
  <c r="AG45" i="1" s="1"/>
  <c r="AE46" i="1"/>
  <c r="AG46" i="1" s="1"/>
  <c r="AE47" i="1"/>
  <c r="AG47" i="1" s="1"/>
  <c r="AE48" i="1"/>
  <c r="AG48" i="1" s="1"/>
  <c r="AE49" i="1"/>
  <c r="AG49" i="1" s="1"/>
  <c r="AE50" i="1"/>
  <c r="AG50" i="1" s="1"/>
  <c r="AE51" i="1"/>
  <c r="AG51" i="1" s="1"/>
  <c r="AE52" i="1"/>
  <c r="AG52" i="1" s="1"/>
  <c r="AE53" i="1"/>
  <c r="AG53" i="1" s="1"/>
  <c r="AE54" i="1"/>
  <c r="AG54" i="1" s="1"/>
  <c r="AE55" i="1"/>
  <c r="AG55" i="1" s="1"/>
  <c r="AE56" i="1"/>
  <c r="AG56" i="1" s="1"/>
  <c r="AE57" i="1"/>
  <c r="AG57" i="1" s="1"/>
  <c r="AE58" i="1"/>
  <c r="AG58" i="1" s="1"/>
  <c r="AE59" i="1"/>
  <c r="AG59" i="1" s="1"/>
  <c r="AE60" i="1"/>
  <c r="AG60" i="1" s="1"/>
  <c r="AE61" i="1"/>
  <c r="AG61" i="1" s="1"/>
  <c r="AE62" i="1"/>
  <c r="AG62" i="1" s="1"/>
  <c r="AE63" i="1"/>
  <c r="AG63" i="1" s="1"/>
  <c r="AE64" i="1"/>
  <c r="AG64" i="1" s="1"/>
  <c r="AE65" i="1"/>
  <c r="AG65" i="1" s="1"/>
  <c r="AE66" i="1"/>
  <c r="AG66" i="1" s="1"/>
  <c r="AE67" i="1"/>
  <c r="AG67" i="1" s="1"/>
  <c r="AE68" i="1"/>
  <c r="AG68" i="1" s="1"/>
  <c r="AE69" i="1"/>
  <c r="AG69" i="1" s="1"/>
  <c r="AE70" i="1"/>
  <c r="AG70" i="1" s="1"/>
  <c r="AE71" i="1"/>
  <c r="AG71" i="1" s="1"/>
  <c r="AE72" i="1"/>
  <c r="AG72" i="1" s="1"/>
  <c r="AE73" i="1"/>
  <c r="AG73" i="1" s="1"/>
  <c r="AE74" i="1"/>
  <c r="AG74" i="1" s="1"/>
  <c r="AE75" i="1"/>
  <c r="AG75" i="1" s="1"/>
  <c r="AE76" i="1"/>
  <c r="AG76" i="1" s="1"/>
  <c r="AE77" i="1"/>
  <c r="AG77" i="1" s="1"/>
  <c r="AE78" i="1"/>
  <c r="AG78" i="1" s="1"/>
  <c r="AE79" i="1"/>
  <c r="AG79" i="1" s="1"/>
  <c r="AE80" i="1"/>
  <c r="AG80" i="1" s="1"/>
  <c r="AE81" i="1"/>
  <c r="AG81" i="1" s="1"/>
  <c r="AE82" i="1"/>
  <c r="AG82" i="1" s="1"/>
  <c r="AE83" i="1"/>
  <c r="AG83" i="1" s="1"/>
  <c r="AE84" i="1"/>
  <c r="AG84" i="1" s="1"/>
  <c r="AE85" i="1"/>
  <c r="AG85" i="1" s="1"/>
  <c r="AE86" i="1"/>
  <c r="AG86" i="1" s="1"/>
  <c r="AE87" i="1"/>
  <c r="AG87" i="1" s="1"/>
  <c r="AE88" i="1"/>
  <c r="AG88" i="1" s="1"/>
  <c r="AE89" i="1"/>
  <c r="AG89" i="1" s="1"/>
  <c r="AE90" i="1"/>
  <c r="AG90" i="1" s="1"/>
  <c r="AE91" i="1"/>
  <c r="AG91" i="1" s="1"/>
  <c r="AE92" i="1"/>
  <c r="AG92" i="1" s="1"/>
  <c r="AE93" i="1"/>
  <c r="AG93" i="1" s="1"/>
  <c r="AE94" i="1"/>
  <c r="AG94" i="1" s="1"/>
  <c r="AE95" i="1"/>
  <c r="AG95" i="1" s="1"/>
  <c r="AE96" i="1"/>
  <c r="AG96" i="1" s="1"/>
  <c r="AE97" i="1"/>
  <c r="AG97" i="1" s="1"/>
  <c r="AE98" i="1"/>
  <c r="AG98" i="1" s="1"/>
  <c r="AE99" i="1"/>
  <c r="AG99" i="1" s="1"/>
  <c r="AE100" i="1"/>
  <c r="AG100" i="1" s="1"/>
  <c r="AE101" i="1"/>
  <c r="AG101" i="1" s="1"/>
  <c r="AE102" i="1"/>
  <c r="AG102" i="1" s="1"/>
  <c r="AE103" i="1"/>
  <c r="AG103" i="1" s="1"/>
  <c r="AE104" i="1"/>
  <c r="AG104" i="1" s="1"/>
  <c r="AE105" i="1"/>
  <c r="AG105" i="1" s="1"/>
  <c r="AE106" i="1"/>
  <c r="AG106" i="1" s="1"/>
  <c r="AE107" i="1"/>
  <c r="AG107" i="1" s="1"/>
  <c r="AE108" i="1"/>
  <c r="AG108" i="1" s="1"/>
  <c r="AE109" i="1"/>
  <c r="AG109" i="1" s="1"/>
  <c r="AE110" i="1"/>
  <c r="AG110" i="1" s="1"/>
  <c r="AE111" i="1"/>
  <c r="AG111" i="1" s="1"/>
  <c r="AE112" i="1"/>
  <c r="AG112" i="1" s="1"/>
  <c r="AE113" i="1"/>
  <c r="AG113" i="1" s="1"/>
  <c r="AE114" i="1"/>
  <c r="AG114" i="1" s="1"/>
  <c r="AE115" i="1"/>
  <c r="AG115" i="1" s="1"/>
  <c r="AE116" i="1"/>
  <c r="AG116" i="1" s="1"/>
  <c r="AE117" i="1"/>
  <c r="AG117" i="1" s="1"/>
  <c r="AE118" i="1"/>
  <c r="AG118" i="1" s="1"/>
  <c r="AE119" i="1"/>
  <c r="AG119" i="1" s="1"/>
  <c r="AE120" i="1"/>
  <c r="AG120" i="1" s="1"/>
  <c r="AE121" i="1"/>
  <c r="AG121" i="1" s="1"/>
  <c r="AE122" i="1"/>
  <c r="AG122" i="1" s="1"/>
  <c r="AE123" i="1"/>
  <c r="AG123" i="1" s="1"/>
  <c r="AE124" i="1"/>
  <c r="AG124" i="1" s="1"/>
  <c r="AE125" i="1"/>
  <c r="AG125" i="1" s="1"/>
  <c r="AE126" i="1"/>
  <c r="AG126" i="1" s="1"/>
  <c r="AE127" i="1"/>
  <c r="AG127" i="1" s="1"/>
  <c r="AE128" i="1"/>
  <c r="AG128" i="1" s="1"/>
  <c r="AE129" i="1"/>
  <c r="AG129" i="1" s="1"/>
  <c r="AE130" i="1"/>
  <c r="AG130" i="1" s="1"/>
  <c r="AE131" i="1"/>
  <c r="AG131" i="1" s="1"/>
  <c r="AE132" i="1"/>
  <c r="AG132" i="1" s="1"/>
  <c r="AE133" i="1"/>
  <c r="AG133" i="1" s="1"/>
  <c r="AE134" i="1"/>
  <c r="AG134" i="1" s="1"/>
  <c r="AE135" i="1"/>
  <c r="AG135" i="1" s="1"/>
  <c r="AE136" i="1"/>
  <c r="AG136" i="1" s="1"/>
  <c r="AE137" i="1"/>
  <c r="AG137" i="1" s="1"/>
  <c r="AE138" i="1"/>
  <c r="AG138" i="1" s="1"/>
  <c r="AE139" i="1"/>
  <c r="AG139" i="1" s="1"/>
  <c r="AE140" i="1"/>
  <c r="AG140" i="1" s="1"/>
  <c r="AE141" i="1"/>
  <c r="AG141" i="1" s="1"/>
  <c r="AE142" i="1"/>
  <c r="AG142" i="1" s="1"/>
  <c r="AE143" i="1"/>
  <c r="AG143" i="1" s="1"/>
  <c r="AE144" i="1"/>
  <c r="AG144" i="1" s="1"/>
  <c r="AE145" i="1"/>
  <c r="AG145" i="1" s="1"/>
  <c r="AE146" i="1"/>
  <c r="AG146" i="1" s="1"/>
  <c r="AE147" i="1"/>
  <c r="AG147" i="1" s="1"/>
  <c r="AE148" i="1"/>
  <c r="AG148" i="1" s="1"/>
  <c r="AE149" i="1"/>
  <c r="AG149" i="1" s="1"/>
  <c r="AE150" i="1"/>
  <c r="AG150" i="1" s="1"/>
  <c r="AE151" i="1"/>
  <c r="AG151" i="1" s="1"/>
  <c r="AE152" i="1"/>
  <c r="AG152" i="1" s="1"/>
  <c r="AE153" i="1"/>
  <c r="AG153" i="1" s="1"/>
  <c r="AE154" i="1"/>
  <c r="AG154" i="1" s="1"/>
  <c r="AE155" i="1"/>
  <c r="AG155" i="1" s="1"/>
  <c r="AE156" i="1"/>
  <c r="AG156" i="1" s="1"/>
  <c r="AE157" i="1"/>
  <c r="AG157" i="1" s="1"/>
  <c r="AE158" i="1"/>
  <c r="AG158" i="1" s="1"/>
  <c r="AE159" i="1"/>
  <c r="AG159" i="1" s="1"/>
  <c r="AE160" i="1"/>
  <c r="AG160" i="1" s="1"/>
  <c r="AE161" i="1"/>
  <c r="AG161" i="1" s="1"/>
  <c r="AE162" i="1"/>
  <c r="AG162" i="1" s="1"/>
  <c r="AE163" i="1"/>
  <c r="AG163" i="1" s="1"/>
  <c r="AE164" i="1"/>
  <c r="AG164" i="1" s="1"/>
  <c r="AE165" i="1"/>
  <c r="AG165" i="1" s="1"/>
  <c r="AE166" i="1"/>
  <c r="AG166" i="1" s="1"/>
  <c r="AE167" i="1"/>
  <c r="AG167" i="1" s="1"/>
  <c r="AE168" i="1"/>
  <c r="AG168" i="1" s="1"/>
  <c r="AE169" i="1"/>
  <c r="AG169" i="1" s="1"/>
  <c r="AE170" i="1"/>
  <c r="AG170" i="1" s="1"/>
  <c r="AE171" i="1"/>
  <c r="AG171" i="1" s="1"/>
  <c r="AE172" i="1"/>
  <c r="AG172" i="1" s="1"/>
  <c r="AE173" i="1"/>
  <c r="AG173" i="1" s="1"/>
  <c r="AE174" i="1"/>
  <c r="AG174" i="1" s="1"/>
  <c r="AE175" i="1"/>
  <c r="AG175" i="1" s="1"/>
  <c r="AE176" i="1"/>
  <c r="AG176" i="1" s="1"/>
  <c r="AE177" i="1"/>
  <c r="AG177" i="1" s="1"/>
  <c r="AE178" i="1"/>
  <c r="AG178" i="1" s="1"/>
  <c r="AE179" i="1"/>
  <c r="AG179" i="1" s="1"/>
  <c r="AE180" i="1"/>
  <c r="AG180" i="1" s="1"/>
  <c r="AE181" i="1"/>
  <c r="AG181" i="1" s="1"/>
  <c r="AE182" i="1"/>
  <c r="AG182" i="1" s="1"/>
  <c r="AE183" i="1"/>
  <c r="AG183" i="1" s="1"/>
  <c r="AE184" i="1"/>
  <c r="AG184" i="1" s="1"/>
  <c r="AE185" i="1"/>
  <c r="AG185" i="1" s="1"/>
  <c r="AE186" i="1"/>
  <c r="AG186" i="1" s="1"/>
  <c r="AE187" i="1"/>
  <c r="AG187" i="1" s="1"/>
  <c r="AE188" i="1"/>
  <c r="AG188" i="1" s="1"/>
  <c r="AE189" i="1"/>
  <c r="AG189" i="1" s="1"/>
  <c r="AE190" i="1"/>
  <c r="AG190" i="1" s="1"/>
  <c r="AE191" i="1"/>
  <c r="AG191" i="1" s="1"/>
  <c r="AE192" i="1"/>
  <c r="AG192" i="1" s="1"/>
  <c r="AE193" i="1"/>
  <c r="AG193" i="1" s="1"/>
  <c r="AE194" i="1"/>
  <c r="AG194" i="1" s="1"/>
  <c r="AE195" i="1"/>
  <c r="AG195" i="1" s="1"/>
  <c r="AE196" i="1"/>
  <c r="AG196" i="1" s="1"/>
  <c r="AE197" i="1"/>
  <c r="AG197" i="1" s="1"/>
  <c r="AE198" i="1"/>
  <c r="AG198" i="1" s="1"/>
  <c r="AE199" i="1"/>
  <c r="AG199" i="1" s="1"/>
  <c r="AE200" i="1"/>
  <c r="AG200" i="1" s="1"/>
  <c r="AE201" i="1"/>
  <c r="AG201" i="1" s="1"/>
  <c r="AE202" i="1"/>
  <c r="AG202" i="1" s="1"/>
  <c r="AE203" i="1"/>
  <c r="AG203" i="1" s="1"/>
  <c r="AE204" i="1"/>
  <c r="AG204" i="1" s="1"/>
  <c r="AE205" i="1"/>
  <c r="AG205" i="1" s="1"/>
  <c r="AE206" i="1"/>
  <c r="AG206" i="1" s="1"/>
  <c r="AE207" i="1"/>
  <c r="AG207" i="1" s="1"/>
  <c r="AE208" i="1"/>
  <c r="AG208" i="1" s="1"/>
  <c r="AE209" i="1"/>
  <c r="AG209" i="1" s="1"/>
  <c r="AE210" i="1"/>
  <c r="AG210" i="1" s="1"/>
  <c r="AE211" i="1"/>
  <c r="AG211" i="1" s="1"/>
  <c r="AE212" i="1"/>
  <c r="AG212" i="1" s="1"/>
  <c r="AE213" i="1"/>
  <c r="AG213" i="1" s="1"/>
  <c r="AE214" i="1"/>
  <c r="AG214" i="1" s="1"/>
  <c r="AE215" i="1"/>
  <c r="AG215" i="1" s="1"/>
  <c r="AE216" i="1"/>
  <c r="AG216" i="1" s="1"/>
  <c r="AE217" i="1"/>
  <c r="AG217" i="1" s="1"/>
  <c r="AE218" i="1"/>
  <c r="AG218" i="1" s="1"/>
  <c r="AE219" i="1"/>
  <c r="AG219" i="1" s="1"/>
  <c r="AE220" i="1"/>
  <c r="AG220" i="1" s="1"/>
  <c r="AE221" i="1"/>
  <c r="AG221" i="1" s="1"/>
  <c r="AE222" i="1"/>
  <c r="AG222" i="1" s="1"/>
  <c r="AE223" i="1"/>
  <c r="AG223" i="1" s="1"/>
  <c r="AE224" i="1"/>
  <c r="AG224" i="1" s="1"/>
  <c r="AE225" i="1"/>
  <c r="AG225" i="1" s="1"/>
  <c r="AE226" i="1"/>
  <c r="AG226" i="1" s="1"/>
  <c r="AE227" i="1"/>
  <c r="AG227" i="1" s="1"/>
  <c r="AE228" i="1"/>
  <c r="AG228" i="1" s="1"/>
  <c r="AE229" i="1"/>
  <c r="AG229" i="1" s="1"/>
  <c r="AE230" i="1"/>
  <c r="AG230" i="1" s="1"/>
  <c r="AE231" i="1"/>
  <c r="AG231" i="1" s="1"/>
  <c r="AE232" i="1"/>
  <c r="AG232" i="1" s="1"/>
  <c r="AE233" i="1"/>
  <c r="AG233" i="1" s="1"/>
  <c r="AE234" i="1"/>
  <c r="AG234" i="1" s="1"/>
  <c r="AE235" i="1"/>
  <c r="AG235" i="1" s="1"/>
  <c r="AE236" i="1"/>
  <c r="AG236" i="1" s="1"/>
  <c r="AE237" i="1"/>
  <c r="AG237" i="1" s="1"/>
  <c r="AE238" i="1"/>
  <c r="AG238" i="1" s="1"/>
  <c r="AE239" i="1"/>
  <c r="AG239" i="1" s="1"/>
  <c r="AE240" i="1"/>
  <c r="AG240" i="1" s="1"/>
  <c r="AE241" i="1"/>
  <c r="AG241" i="1" s="1"/>
  <c r="AE242" i="1"/>
  <c r="AG242" i="1" s="1"/>
  <c r="AE243" i="1"/>
  <c r="AG243" i="1" s="1"/>
  <c r="AE244" i="1"/>
  <c r="AG244" i="1" s="1"/>
  <c r="AE245" i="1"/>
  <c r="AG245" i="1" s="1"/>
  <c r="AE246" i="1"/>
  <c r="AG246" i="1" s="1"/>
  <c r="AE247" i="1"/>
  <c r="AG247" i="1" s="1"/>
  <c r="AE248" i="1"/>
  <c r="AG248" i="1" s="1"/>
  <c r="AE249" i="1"/>
  <c r="AG249" i="1" s="1"/>
  <c r="AE250" i="1"/>
  <c r="AG250" i="1" s="1"/>
  <c r="AE251" i="1"/>
  <c r="AG251" i="1" s="1"/>
  <c r="AE252" i="1"/>
  <c r="AG252" i="1" s="1"/>
  <c r="AE253" i="1"/>
  <c r="AG253" i="1" s="1"/>
  <c r="AE254" i="1"/>
  <c r="AG254" i="1" s="1"/>
  <c r="AE255" i="1"/>
  <c r="AG255" i="1" s="1"/>
  <c r="AE256" i="1"/>
  <c r="AG256" i="1" s="1"/>
  <c r="AE257" i="1"/>
  <c r="AG257" i="1" s="1"/>
  <c r="AE258" i="1"/>
  <c r="AG258" i="1" s="1"/>
  <c r="AE259" i="1"/>
  <c r="AG259" i="1" s="1"/>
  <c r="AE260" i="1"/>
  <c r="AG260" i="1" s="1"/>
  <c r="AE261" i="1"/>
  <c r="AG261" i="1" s="1"/>
  <c r="AE262" i="1"/>
  <c r="AG262" i="1" s="1"/>
  <c r="AE263" i="1"/>
  <c r="AG263" i="1" s="1"/>
  <c r="AE264" i="1"/>
  <c r="AG264" i="1" s="1"/>
  <c r="AE265" i="1"/>
  <c r="AG265" i="1" s="1"/>
  <c r="AE266" i="1"/>
  <c r="AG266" i="1" s="1"/>
  <c r="AE267" i="1"/>
  <c r="AG267" i="1" s="1"/>
  <c r="AE268" i="1"/>
  <c r="AG268" i="1" s="1"/>
  <c r="AE269" i="1"/>
  <c r="AG269" i="1" s="1"/>
  <c r="AE270" i="1"/>
  <c r="AG270" i="1" s="1"/>
  <c r="AE271" i="1"/>
  <c r="AG271" i="1" s="1"/>
  <c r="AE272" i="1"/>
  <c r="AG272" i="1" s="1"/>
  <c r="AE273" i="1"/>
  <c r="AG273" i="1" s="1"/>
  <c r="AE274" i="1"/>
  <c r="AG274" i="1" s="1"/>
  <c r="AE275" i="1"/>
  <c r="AG275" i="1" s="1"/>
  <c r="AE276" i="1"/>
  <c r="AG276" i="1" s="1"/>
  <c r="AE277" i="1"/>
  <c r="AG277" i="1" s="1"/>
  <c r="AE278" i="1"/>
  <c r="AG278" i="1" s="1"/>
  <c r="AE279" i="1"/>
  <c r="AG279" i="1" s="1"/>
  <c r="AE280" i="1"/>
  <c r="AG280" i="1" s="1"/>
  <c r="AE281" i="1"/>
  <c r="AG281" i="1" s="1"/>
  <c r="AE282" i="1"/>
  <c r="AG282" i="1" s="1"/>
  <c r="AE283" i="1"/>
  <c r="AG283" i="1" s="1"/>
  <c r="AE284" i="1"/>
  <c r="AG284" i="1" s="1"/>
  <c r="AE285" i="1"/>
  <c r="AG285" i="1" s="1"/>
  <c r="AE286" i="1"/>
  <c r="AG286" i="1" s="1"/>
  <c r="AE287" i="1"/>
  <c r="AG287" i="1" s="1"/>
  <c r="AE288" i="1"/>
  <c r="AG288" i="1" s="1"/>
  <c r="AE289" i="1"/>
  <c r="AG289" i="1" s="1"/>
  <c r="AE290" i="1"/>
  <c r="AG290" i="1" s="1"/>
  <c r="AE291" i="1"/>
  <c r="AG291" i="1" s="1"/>
  <c r="AE292" i="1"/>
  <c r="AG292" i="1" s="1"/>
  <c r="AE293" i="1"/>
  <c r="AG293" i="1" s="1"/>
  <c r="AE294" i="1"/>
  <c r="AG294" i="1" s="1"/>
  <c r="AE295" i="1"/>
  <c r="AG295" i="1" s="1"/>
  <c r="AE296" i="1"/>
  <c r="AG296" i="1" s="1"/>
  <c r="AE297" i="1"/>
  <c r="AG297" i="1" s="1"/>
  <c r="AE298" i="1"/>
  <c r="AG298" i="1" s="1"/>
  <c r="AE299" i="1"/>
  <c r="AG299" i="1" s="1"/>
  <c r="AE300" i="1"/>
  <c r="AG300" i="1" s="1"/>
  <c r="AE301" i="1"/>
  <c r="AG301" i="1" s="1"/>
  <c r="AE302" i="1"/>
  <c r="AG302" i="1" s="1"/>
  <c r="AE303" i="1"/>
  <c r="AG303" i="1" s="1"/>
  <c r="AE304" i="1"/>
  <c r="AG304" i="1" s="1"/>
  <c r="AE305" i="1"/>
  <c r="AG305" i="1" s="1"/>
  <c r="AE306" i="1"/>
  <c r="AG306" i="1" s="1"/>
  <c r="AE307" i="1"/>
  <c r="AG307" i="1" s="1"/>
  <c r="AE308" i="1"/>
  <c r="AG308" i="1" s="1"/>
  <c r="AE309" i="1"/>
  <c r="AG309" i="1" s="1"/>
  <c r="AE310" i="1"/>
  <c r="AG310" i="1" s="1"/>
  <c r="AE311" i="1"/>
  <c r="AG311" i="1" s="1"/>
  <c r="AE312" i="1"/>
  <c r="AG312" i="1" s="1"/>
  <c r="AE313" i="1"/>
  <c r="AG313" i="1" s="1"/>
  <c r="AE314" i="1"/>
  <c r="AG314" i="1" s="1"/>
  <c r="AE315" i="1"/>
  <c r="AG315" i="1" s="1"/>
  <c r="AE316" i="1"/>
  <c r="AG316" i="1" s="1"/>
  <c r="AE317" i="1"/>
  <c r="AG317" i="1" s="1"/>
  <c r="AE318" i="1"/>
  <c r="AG318" i="1" s="1"/>
  <c r="AE319" i="1"/>
  <c r="AG319" i="1" s="1"/>
  <c r="AE320" i="1"/>
  <c r="AG320" i="1" s="1"/>
  <c r="AE321" i="1"/>
  <c r="AG321" i="1" s="1"/>
  <c r="AE322" i="1"/>
  <c r="AG322" i="1" s="1"/>
  <c r="AE323" i="1"/>
  <c r="AG323" i="1" s="1"/>
  <c r="AE324" i="1"/>
  <c r="AG324" i="1" s="1"/>
  <c r="AE325" i="1"/>
  <c r="AG325" i="1" s="1"/>
  <c r="AE326" i="1"/>
  <c r="AG326" i="1" s="1"/>
  <c r="AE327" i="1"/>
  <c r="AG327" i="1" s="1"/>
  <c r="AE328" i="1"/>
  <c r="AG328" i="1" s="1"/>
  <c r="AE329" i="1"/>
  <c r="AG329" i="1" s="1"/>
  <c r="AE330" i="1"/>
  <c r="AG330" i="1" s="1"/>
  <c r="AE331" i="1"/>
  <c r="AG331" i="1" s="1"/>
  <c r="AE332" i="1"/>
  <c r="AG332" i="1" s="1"/>
  <c r="AE333" i="1"/>
  <c r="AG333" i="1" s="1"/>
  <c r="AE334" i="1"/>
  <c r="AG334" i="1" s="1"/>
  <c r="AE335" i="1"/>
  <c r="AG335" i="1" s="1"/>
  <c r="AE336" i="1"/>
  <c r="AG336" i="1" s="1"/>
  <c r="AE337" i="1"/>
  <c r="AG337" i="1" s="1"/>
  <c r="AE338" i="1"/>
  <c r="AG338" i="1" s="1"/>
  <c r="AE339" i="1"/>
  <c r="AG339" i="1" s="1"/>
  <c r="AE340" i="1"/>
  <c r="AG340" i="1" s="1"/>
  <c r="AE341" i="1"/>
  <c r="AG341" i="1" s="1"/>
  <c r="AE342" i="1"/>
  <c r="AG342" i="1" s="1"/>
  <c r="AE343" i="1"/>
  <c r="AG343" i="1" s="1"/>
  <c r="AE344" i="1"/>
  <c r="AG344" i="1" s="1"/>
  <c r="AE345" i="1"/>
  <c r="AG345" i="1" s="1"/>
  <c r="AE346" i="1"/>
  <c r="AG346" i="1" s="1"/>
  <c r="AE347" i="1"/>
  <c r="AG347" i="1" s="1"/>
  <c r="AE348" i="1"/>
  <c r="AG348" i="1" s="1"/>
  <c r="AE349" i="1"/>
  <c r="AG349" i="1" s="1"/>
  <c r="AE350" i="1"/>
  <c r="AG350" i="1" s="1"/>
  <c r="AE351" i="1"/>
  <c r="AG351" i="1" s="1"/>
  <c r="AE352" i="1"/>
  <c r="AG352" i="1" s="1"/>
  <c r="AE353" i="1"/>
  <c r="AG353" i="1" s="1"/>
  <c r="AE354" i="1"/>
  <c r="AG354" i="1" s="1"/>
  <c r="AE355" i="1"/>
  <c r="AG355" i="1" s="1"/>
  <c r="AE356" i="1"/>
  <c r="AG356" i="1" s="1"/>
  <c r="AE357" i="1"/>
  <c r="AG357" i="1" s="1"/>
  <c r="AE358" i="1"/>
  <c r="AG358" i="1" s="1"/>
  <c r="AE359" i="1"/>
  <c r="AG359" i="1" s="1"/>
  <c r="AE360" i="1"/>
  <c r="AG360" i="1" s="1"/>
  <c r="AE361" i="1"/>
  <c r="AG361" i="1" s="1"/>
  <c r="AE362" i="1"/>
  <c r="AG362" i="1" s="1"/>
  <c r="AE363" i="1"/>
  <c r="AG363" i="1" s="1"/>
  <c r="AE364" i="1"/>
  <c r="AG364" i="1" s="1"/>
  <c r="AE365" i="1"/>
  <c r="AG365" i="1" s="1"/>
  <c r="AE366" i="1"/>
  <c r="AG366" i="1" s="1"/>
  <c r="AE367" i="1"/>
  <c r="AG367" i="1" s="1"/>
  <c r="AE368" i="1"/>
  <c r="AG368" i="1" s="1"/>
  <c r="AE369" i="1"/>
  <c r="AG369" i="1" s="1"/>
  <c r="AE370" i="1"/>
  <c r="AG370" i="1" s="1"/>
  <c r="AE371" i="1"/>
  <c r="AG371" i="1" s="1"/>
  <c r="AE372" i="1"/>
  <c r="AG372" i="1" s="1"/>
  <c r="AE373" i="1"/>
  <c r="AG373" i="1" s="1"/>
  <c r="AE374" i="1"/>
  <c r="AG374" i="1" s="1"/>
  <c r="AE375" i="1"/>
  <c r="AG375" i="1" s="1"/>
  <c r="AE376" i="1"/>
  <c r="AG376" i="1" s="1"/>
  <c r="AE377" i="1"/>
  <c r="AG377" i="1" s="1"/>
  <c r="AE378" i="1"/>
  <c r="AG378" i="1" s="1"/>
  <c r="AE379" i="1"/>
  <c r="AG379" i="1" s="1"/>
  <c r="AE380" i="1"/>
  <c r="AG380" i="1" s="1"/>
  <c r="AE381" i="1"/>
  <c r="AG381" i="1" s="1"/>
  <c r="AE382" i="1"/>
  <c r="AG382" i="1" s="1"/>
  <c r="AE383" i="1"/>
  <c r="AG383" i="1" s="1"/>
  <c r="AE384" i="1"/>
  <c r="AG384" i="1" s="1"/>
  <c r="AE385" i="1"/>
  <c r="AG385" i="1" s="1"/>
  <c r="AE386" i="1"/>
  <c r="AG386" i="1" s="1"/>
  <c r="AE387" i="1"/>
  <c r="AG387" i="1" s="1"/>
  <c r="AE388" i="1"/>
  <c r="AG388" i="1" s="1"/>
  <c r="AE389" i="1"/>
  <c r="AG389" i="1" s="1"/>
  <c r="AE390" i="1"/>
  <c r="AG390" i="1" s="1"/>
  <c r="AE391" i="1"/>
  <c r="AG391" i="1" s="1"/>
  <c r="AE392" i="1"/>
  <c r="AG392" i="1" s="1"/>
  <c r="AE393" i="1"/>
  <c r="AG393" i="1" s="1"/>
  <c r="AE394" i="1"/>
  <c r="AG394" i="1" s="1"/>
  <c r="AE395" i="1"/>
  <c r="AG395" i="1" s="1"/>
  <c r="AE396" i="1"/>
  <c r="AG396" i="1" s="1"/>
  <c r="AE397" i="1"/>
  <c r="AG397" i="1" s="1"/>
  <c r="AE398" i="1"/>
  <c r="AG398" i="1" s="1"/>
  <c r="AE399" i="1"/>
  <c r="AG399" i="1" s="1"/>
  <c r="AE400" i="1"/>
  <c r="AG400" i="1" s="1"/>
  <c r="AE401" i="1"/>
  <c r="AG401" i="1" s="1"/>
  <c r="AE402" i="1"/>
  <c r="AG402" i="1" s="1"/>
  <c r="AE403" i="1"/>
  <c r="AG403" i="1" s="1"/>
  <c r="AE404" i="1"/>
  <c r="AG404" i="1" s="1"/>
  <c r="AE405" i="1"/>
  <c r="AG405" i="1" s="1"/>
  <c r="AE406" i="1"/>
  <c r="AG406" i="1" s="1"/>
  <c r="AE407" i="1"/>
  <c r="AG407" i="1" s="1"/>
  <c r="AE408" i="1"/>
  <c r="AG408" i="1" s="1"/>
  <c r="AE409" i="1"/>
  <c r="AG409" i="1" s="1"/>
  <c r="AE410" i="1"/>
  <c r="AG410" i="1" s="1"/>
  <c r="AE411" i="1"/>
  <c r="AG411" i="1" s="1"/>
  <c r="AE412" i="1"/>
  <c r="AG412" i="1" s="1"/>
  <c r="AE413" i="1"/>
  <c r="AG413" i="1" s="1"/>
  <c r="AE414" i="1"/>
  <c r="AG414" i="1" s="1"/>
  <c r="AE415" i="1"/>
  <c r="AG415" i="1" s="1"/>
  <c r="AE416" i="1"/>
  <c r="AG416" i="1" s="1"/>
  <c r="AE417" i="1"/>
  <c r="AG417" i="1" s="1"/>
  <c r="AE418" i="1"/>
  <c r="AG418" i="1" s="1"/>
  <c r="AE419" i="1"/>
  <c r="AG419" i="1" s="1"/>
  <c r="AE420" i="1"/>
  <c r="AG420" i="1" s="1"/>
  <c r="AE421" i="1"/>
  <c r="AG421" i="1" s="1"/>
  <c r="AE422" i="1"/>
  <c r="AG422" i="1" s="1"/>
  <c r="AE423" i="1"/>
  <c r="AG423" i="1" s="1"/>
  <c r="AE424" i="1"/>
  <c r="AG424" i="1" s="1"/>
  <c r="AE425" i="1"/>
  <c r="AG425" i="1" s="1"/>
  <c r="AE426" i="1"/>
  <c r="AG426" i="1" s="1"/>
  <c r="AE427" i="1"/>
  <c r="AG427" i="1" s="1"/>
  <c r="AE428" i="1"/>
  <c r="AG428" i="1" s="1"/>
  <c r="AE429" i="1"/>
  <c r="AG429" i="1" s="1"/>
  <c r="AE430" i="1"/>
  <c r="AG430" i="1" s="1"/>
  <c r="AE431" i="1"/>
  <c r="AG431" i="1" s="1"/>
  <c r="AE432" i="1"/>
  <c r="AG432" i="1" s="1"/>
  <c r="AE433" i="1"/>
  <c r="AG433" i="1" s="1"/>
  <c r="AE434" i="1"/>
  <c r="AG434" i="1" s="1"/>
  <c r="AE435" i="1"/>
  <c r="AG435" i="1" s="1"/>
  <c r="AE436" i="1"/>
  <c r="AG436" i="1" s="1"/>
  <c r="AE437" i="1"/>
  <c r="AG437" i="1" s="1"/>
  <c r="AE438" i="1"/>
  <c r="AG438" i="1" s="1"/>
  <c r="AE439" i="1"/>
  <c r="AG439" i="1" s="1"/>
  <c r="AE440" i="1"/>
  <c r="AG440" i="1" s="1"/>
  <c r="AE441" i="1"/>
  <c r="AG441" i="1" s="1"/>
  <c r="AE442" i="1"/>
  <c r="AG442" i="1" s="1"/>
  <c r="AE443" i="1"/>
  <c r="AG443" i="1" s="1"/>
  <c r="AE444" i="1"/>
  <c r="AG444" i="1" s="1"/>
  <c r="AE445" i="1"/>
  <c r="AG445" i="1" s="1"/>
  <c r="AE446" i="1"/>
  <c r="AG446" i="1" s="1"/>
  <c r="AE447" i="1"/>
  <c r="AG447" i="1" s="1"/>
  <c r="AE448" i="1"/>
  <c r="AG448" i="1" s="1"/>
  <c r="AE449" i="1"/>
  <c r="AG449" i="1" s="1"/>
  <c r="AE450" i="1"/>
  <c r="AG450" i="1" s="1"/>
  <c r="AE451" i="1"/>
  <c r="AG451" i="1" s="1"/>
  <c r="AE452" i="1"/>
  <c r="AG452" i="1" s="1"/>
  <c r="AE453" i="1"/>
  <c r="AG453" i="1" s="1"/>
  <c r="AE454" i="1"/>
  <c r="AG454" i="1" s="1"/>
  <c r="AE455" i="1"/>
  <c r="AG455" i="1" s="1"/>
  <c r="AE456" i="1"/>
  <c r="AG456" i="1" s="1"/>
  <c r="AE457" i="1"/>
  <c r="AG457" i="1" s="1"/>
  <c r="AE458" i="1"/>
  <c r="AG458" i="1" s="1"/>
  <c r="AE459" i="1"/>
  <c r="AG459" i="1" s="1"/>
  <c r="AE460" i="1"/>
  <c r="AG460" i="1" s="1"/>
  <c r="AE461" i="1"/>
  <c r="AG461" i="1" s="1"/>
  <c r="AE462" i="1"/>
  <c r="AG462" i="1" s="1"/>
  <c r="AE463" i="1"/>
  <c r="AG463" i="1" s="1"/>
  <c r="AE464" i="1"/>
  <c r="AG464" i="1" s="1"/>
  <c r="AE465" i="1"/>
  <c r="AG465" i="1" s="1"/>
  <c r="AE466" i="1"/>
  <c r="AG466" i="1" s="1"/>
  <c r="AE467" i="1"/>
  <c r="AG467" i="1" s="1"/>
  <c r="AE468" i="1"/>
  <c r="AG468" i="1" s="1"/>
  <c r="AE469" i="1"/>
  <c r="AG469" i="1" s="1"/>
  <c r="AE470" i="1"/>
  <c r="AG470" i="1" s="1"/>
  <c r="AE471" i="1"/>
  <c r="AG471" i="1" s="1"/>
  <c r="AE472" i="1"/>
  <c r="AG472" i="1" s="1"/>
  <c r="AE473" i="1"/>
  <c r="AG473" i="1" s="1"/>
  <c r="AE474" i="1"/>
  <c r="AG474" i="1" s="1"/>
  <c r="AE475" i="1"/>
  <c r="AG475" i="1" s="1"/>
  <c r="AE476" i="1"/>
  <c r="AG476" i="1" s="1"/>
  <c r="AE477" i="1"/>
  <c r="AG477" i="1" s="1"/>
  <c r="AE478" i="1"/>
  <c r="AG478" i="1" s="1"/>
  <c r="AE479" i="1"/>
  <c r="AG479" i="1" s="1"/>
  <c r="AE480" i="1"/>
  <c r="AG480" i="1" s="1"/>
  <c r="AE481" i="1"/>
  <c r="AG481" i="1" s="1"/>
  <c r="AE482" i="1"/>
  <c r="AG482" i="1" s="1"/>
  <c r="AE483" i="1"/>
  <c r="AG483" i="1" s="1"/>
  <c r="AE484" i="1"/>
  <c r="AG484" i="1" s="1"/>
  <c r="AE485" i="1"/>
  <c r="AG485" i="1" s="1"/>
  <c r="AE486" i="1"/>
  <c r="AG486" i="1" s="1"/>
  <c r="AE487" i="1"/>
  <c r="AG487" i="1" s="1"/>
  <c r="AE488" i="1"/>
  <c r="AG488" i="1" s="1"/>
  <c r="AE489" i="1"/>
  <c r="AG489" i="1" s="1"/>
  <c r="AE490" i="1"/>
  <c r="AG490" i="1" s="1"/>
  <c r="AE491" i="1"/>
  <c r="AG491" i="1" s="1"/>
  <c r="AE492" i="1"/>
  <c r="AG492" i="1" s="1"/>
  <c r="AE493" i="1"/>
  <c r="AG493" i="1" s="1"/>
  <c r="AE494" i="1"/>
  <c r="AG494" i="1" s="1"/>
  <c r="AE495" i="1"/>
  <c r="AG495" i="1" s="1"/>
  <c r="AE496" i="1"/>
  <c r="AG496" i="1" s="1"/>
  <c r="AE497" i="1"/>
  <c r="AG497" i="1" s="1"/>
  <c r="AE498" i="1"/>
  <c r="AG498" i="1" s="1"/>
  <c r="AE499" i="1"/>
  <c r="AG499" i="1" s="1"/>
  <c r="AE500" i="1"/>
  <c r="AG500" i="1" s="1"/>
  <c r="AE501" i="1"/>
  <c r="AG501" i="1" s="1"/>
  <c r="AE502" i="1"/>
  <c r="AG502" i="1" s="1"/>
  <c r="AE503" i="1"/>
  <c r="AG503" i="1" s="1"/>
  <c r="AE504" i="1"/>
  <c r="AG504" i="1" s="1"/>
  <c r="AE505" i="1"/>
  <c r="AG505" i="1" s="1"/>
  <c r="AE506" i="1"/>
  <c r="AG506" i="1" s="1"/>
  <c r="AE507" i="1"/>
  <c r="AG507" i="1" s="1"/>
  <c r="AE508" i="1"/>
  <c r="AG508" i="1" s="1"/>
  <c r="AE509" i="1"/>
  <c r="AG509" i="1" s="1"/>
  <c r="AE510" i="1"/>
  <c r="AG510" i="1" s="1"/>
  <c r="AE511" i="1"/>
  <c r="AG511" i="1" s="1"/>
  <c r="AE512" i="1"/>
  <c r="AG512" i="1" s="1"/>
  <c r="AE513" i="1"/>
  <c r="AG513" i="1" s="1"/>
  <c r="AE514" i="1"/>
  <c r="AG514" i="1" s="1"/>
  <c r="AE515" i="1"/>
  <c r="AG515" i="1" s="1"/>
  <c r="AE516" i="1"/>
  <c r="AG516" i="1" s="1"/>
  <c r="AE517" i="1"/>
  <c r="AG517" i="1" s="1"/>
  <c r="AE518" i="1"/>
  <c r="AG518" i="1" s="1"/>
  <c r="AE519" i="1"/>
  <c r="AG519" i="1" s="1"/>
  <c r="AE520" i="1"/>
  <c r="AG520" i="1" s="1"/>
  <c r="AE521" i="1"/>
  <c r="AG521" i="1" s="1"/>
  <c r="AE522" i="1"/>
  <c r="AG522" i="1" s="1"/>
  <c r="AE523" i="1"/>
  <c r="AG523" i="1" s="1"/>
  <c r="AE524" i="1"/>
  <c r="AG524" i="1" s="1"/>
  <c r="AE525" i="1"/>
  <c r="AG525" i="1" s="1"/>
  <c r="AE526" i="1"/>
  <c r="AG526" i="1" s="1"/>
  <c r="AE527" i="1"/>
  <c r="AG527" i="1" s="1"/>
  <c r="AE528" i="1"/>
  <c r="AG528" i="1" s="1"/>
  <c r="AE529" i="1"/>
  <c r="AG529" i="1" s="1"/>
  <c r="AE530" i="1"/>
  <c r="AG530" i="1" s="1"/>
  <c r="AE531" i="1"/>
  <c r="AG531" i="1" s="1"/>
  <c r="AE532" i="1"/>
  <c r="AG532" i="1" s="1"/>
  <c r="AE533" i="1"/>
  <c r="AG533" i="1" s="1"/>
  <c r="AE534" i="1"/>
  <c r="AG534" i="1" s="1"/>
  <c r="AE535" i="1"/>
  <c r="AG535" i="1" s="1"/>
  <c r="AE536" i="1"/>
  <c r="AG536" i="1" s="1"/>
  <c r="AE537" i="1"/>
  <c r="AG537" i="1" s="1"/>
  <c r="AE538" i="1"/>
  <c r="AG538" i="1" s="1"/>
  <c r="AE539" i="1"/>
  <c r="AG539" i="1" s="1"/>
  <c r="AE540" i="1"/>
  <c r="AG540" i="1" s="1"/>
  <c r="AE541" i="1"/>
  <c r="AG541" i="1" s="1"/>
  <c r="AE542" i="1"/>
  <c r="AG542" i="1" s="1"/>
  <c r="AE543" i="1"/>
  <c r="AG543" i="1" s="1"/>
  <c r="AE544" i="1"/>
  <c r="AG544" i="1" s="1"/>
  <c r="AE545" i="1"/>
  <c r="AG545" i="1" s="1"/>
  <c r="AE546" i="1"/>
  <c r="AG546" i="1" s="1"/>
  <c r="AE547" i="1"/>
  <c r="AG547" i="1" s="1"/>
  <c r="AE548" i="1"/>
  <c r="AG548" i="1" s="1"/>
  <c r="AE549" i="1"/>
  <c r="AG549" i="1" s="1"/>
  <c r="AE550" i="1"/>
  <c r="AG550" i="1" s="1"/>
  <c r="AE551" i="1"/>
  <c r="AG551" i="1" s="1"/>
  <c r="AE552" i="1"/>
  <c r="AG552" i="1" s="1"/>
  <c r="AE553" i="1"/>
  <c r="AG553" i="1" s="1"/>
  <c r="AE554" i="1"/>
  <c r="AG554" i="1" s="1"/>
  <c r="AE555" i="1"/>
  <c r="AG555" i="1" s="1"/>
  <c r="AE556" i="1"/>
  <c r="AG556" i="1" s="1"/>
  <c r="AE557" i="1"/>
  <c r="AG557" i="1" s="1"/>
  <c r="AE558" i="1"/>
  <c r="AG558" i="1" s="1"/>
  <c r="AE559" i="1"/>
  <c r="AG559" i="1" s="1"/>
  <c r="AE560" i="1"/>
  <c r="AG560" i="1" s="1"/>
  <c r="AE561" i="1"/>
  <c r="AG561" i="1" s="1"/>
  <c r="AE562" i="1"/>
  <c r="AG562" i="1" s="1"/>
  <c r="AE563" i="1"/>
  <c r="AG563" i="1" s="1"/>
  <c r="AE564" i="1"/>
  <c r="AG564" i="1" s="1"/>
  <c r="AE565" i="1"/>
  <c r="AG565" i="1" s="1"/>
  <c r="AE566" i="1"/>
  <c r="AG566" i="1" s="1"/>
  <c r="AE567" i="1"/>
  <c r="AG567" i="1" s="1"/>
  <c r="AE568" i="1"/>
  <c r="AG568" i="1" s="1"/>
  <c r="AE569" i="1"/>
  <c r="AG569" i="1" s="1"/>
  <c r="AE570" i="1"/>
  <c r="AG570" i="1" s="1"/>
  <c r="AE571" i="1"/>
  <c r="AG571" i="1" s="1"/>
  <c r="AE572" i="1"/>
  <c r="AG572" i="1" s="1"/>
  <c r="AE573" i="1"/>
  <c r="AG573" i="1" s="1"/>
  <c r="AE574" i="1"/>
  <c r="AG574" i="1" s="1"/>
  <c r="AE575" i="1"/>
  <c r="AG575" i="1" s="1"/>
  <c r="AE576" i="1"/>
  <c r="AG576" i="1" s="1"/>
  <c r="AE577" i="1"/>
  <c r="AG577" i="1" s="1"/>
  <c r="AE578" i="1"/>
  <c r="AG578" i="1" s="1"/>
  <c r="AE579" i="1"/>
  <c r="AG579" i="1" s="1"/>
  <c r="AE580" i="1"/>
  <c r="AG580" i="1" s="1"/>
  <c r="AE581" i="1"/>
  <c r="AG581" i="1" s="1"/>
  <c r="AE582" i="1"/>
  <c r="AG582" i="1" s="1"/>
  <c r="AE583" i="1"/>
  <c r="AG583" i="1" s="1"/>
  <c r="AE584" i="1"/>
  <c r="AG584" i="1" s="1"/>
  <c r="AE585" i="1"/>
  <c r="AG585" i="1" s="1"/>
  <c r="AE586" i="1"/>
  <c r="AG586" i="1" s="1"/>
  <c r="AE587" i="1"/>
  <c r="AG587" i="1" s="1"/>
  <c r="AE588" i="1"/>
  <c r="AG588" i="1" s="1"/>
  <c r="AE589" i="1"/>
  <c r="AG589" i="1" s="1"/>
  <c r="AE590" i="1"/>
  <c r="AG590" i="1" s="1"/>
  <c r="AE591" i="1"/>
  <c r="AG591" i="1" s="1"/>
  <c r="AE592" i="1"/>
  <c r="AG592" i="1" s="1"/>
  <c r="AE593" i="1"/>
  <c r="AG593" i="1" s="1"/>
  <c r="AE594" i="1"/>
  <c r="AG594" i="1" s="1"/>
  <c r="AE595" i="1"/>
  <c r="AG595" i="1" s="1"/>
  <c r="AE596" i="1"/>
  <c r="AG596" i="1" s="1"/>
  <c r="AE597" i="1"/>
  <c r="AG597" i="1" s="1"/>
  <c r="AE598" i="1"/>
  <c r="AG598" i="1" s="1"/>
  <c r="AE599" i="1"/>
  <c r="AG599" i="1" s="1"/>
  <c r="AE600" i="1"/>
  <c r="AG600" i="1" s="1"/>
  <c r="AE601" i="1"/>
  <c r="AG601" i="1" s="1"/>
  <c r="AE602" i="1"/>
  <c r="AG602" i="1" s="1"/>
  <c r="AE603" i="1"/>
  <c r="AG603" i="1" s="1"/>
  <c r="AE604" i="1"/>
  <c r="AG604" i="1" s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A591" i="1" l="1"/>
  <c r="AA592" i="1"/>
  <c r="AA593" i="1"/>
  <c r="AQ124" i="57"/>
  <c r="AQ109" i="57"/>
  <c r="AA596" i="1" l="1"/>
  <c r="AA595" i="1"/>
  <c r="AA594" i="1"/>
  <c r="AA590" i="1"/>
  <c r="Q5" i="39" l="1"/>
  <c r="R5" i="39" s="1"/>
  <c r="AQ3" i="57" l="1"/>
  <c r="AQ4" i="57"/>
  <c r="AQ5" i="57"/>
  <c r="AQ6" i="57"/>
  <c r="AQ7" i="57"/>
  <c r="AQ8" i="57"/>
  <c r="AQ9" i="57"/>
  <c r="AQ10" i="57"/>
  <c r="AQ11" i="57"/>
  <c r="AQ12" i="57"/>
  <c r="AQ13" i="57"/>
  <c r="AQ14" i="57"/>
  <c r="AQ15" i="57"/>
  <c r="AQ16" i="57"/>
  <c r="AQ17" i="57"/>
  <c r="AQ18" i="57"/>
  <c r="AQ19" i="57"/>
  <c r="AQ20" i="57"/>
  <c r="AQ21" i="57"/>
  <c r="AQ22" i="57"/>
  <c r="AQ23" i="57"/>
  <c r="AQ24" i="57"/>
  <c r="AQ25" i="57"/>
  <c r="AQ26" i="57"/>
  <c r="AQ27" i="57"/>
  <c r="AQ28" i="57"/>
  <c r="AQ29" i="57"/>
  <c r="AQ30" i="57"/>
  <c r="AQ31" i="57"/>
  <c r="AQ32" i="57"/>
  <c r="AQ33" i="57"/>
  <c r="AQ34" i="57"/>
  <c r="AQ35" i="57"/>
  <c r="AQ36" i="57"/>
  <c r="AQ37" i="57"/>
  <c r="AQ38" i="57"/>
  <c r="AQ39" i="57"/>
  <c r="AQ40" i="57"/>
  <c r="AQ41" i="57"/>
  <c r="AQ42" i="57"/>
  <c r="AQ43" i="57"/>
  <c r="AQ44" i="57"/>
  <c r="AQ45" i="57"/>
  <c r="AQ46" i="57"/>
  <c r="AQ47" i="57"/>
  <c r="AQ48" i="57"/>
  <c r="AQ49" i="57"/>
  <c r="AQ50" i="57"/>
  <c r="AQ51" i="57"/>
  <c r="AQ52" i="57"/>
  <c r="AQ53" i="57"/>
  <c r="AQ54" i="57"/>
  <c r="AQ55" i="57"/>
  <c r="AQ56" i="57"/>
  <c r="AQ57" i="57"/>
  <c r="AQ58" i="57"/>
  <c r="AQ59" i="57"/>
  <c r="AQ60" i="57"/>
  <c r="AQ61" i="57"/>
  <c r="AQ62" i="57"/>
  <c r="AQ63" i="57"/>
  <c r="AQ64" i="57"/>
  <c r="AQ65" i="57"/>
  <c r="AQ66" i="57"/>
  <c r="AQ67" i="57"/>
  <c r="AQ68" i="57"/>
  <c r="AQ69" i="57"/>
  <c r="AQ70" i="57"/>
  <c r="AQ71" i="57"/>
  <c r="AQ72" i="57"/>
  <c r="AQ73" i="57"/>
  <c r="AQ74" i="57"/>
  <c r="AQ75" i="57"/>
  <c r="AQ76" i="57"/>
  <c r="AQ77" i="57"/>
  <c r="AQ78" i="57"/>
  <c r="AQ79" i="57"/>
  <c r="AQ80" i="57"/>
  <c r="AQ81" i="57"/>
  <c r="AQ82" i="57"/>
  <c r="AQ83" i="57"/>
  <c r="AQ84" i="57"/>
  <c r="AQ85" i="57"/>
  <c r="AQ86" i="57"/>
  <c r="AQ87" i="57"/>
  <c r="AQ88" i="57"/>
  <c r="AQ89" i="57"/>
  <c r="AQ90" i="57"/>
  <c r="AQ91" i="57"/>
  <c r="AQ92" i="57"/>
  <c r="AQ93" i="57"/>
  <c r="AQ94" i="57"/>
  <c r="AQ95" i="57"/>
  <c r="AQ96" i="57"/>
  <c r="AQ97" i="57"/>
  <c r="AQ98" i="57"/>
  <c r="AQ99" i="57"/>
  <c r="AQ100" i="57"/>
  <c r="AQ101" i="57"/>
  <c r="AQ102" i="57"/>
  <c r="AQ103" i="57"/>
  <c r="AQ104" i="57"/>
  <c r="AQ105" i="57"/>
  <c r="AQ106" i="57"/>
  <c r="AQ107" i="57"/>
  <c r="AQ108" i="57"/>
  <c r="AQ110" i="57"/>
  <c r="AQ111" i="57"/>
  <c r="AQ112" i="57"/>
  <c r="AQ113" i="57"/>
  <c r="AQ114" i="57"/>
  <c r="AQ115" i="57"/>
  <c r="AQ116" i="57"/>
  <c r="AQ117" i="57"/>
  <c r="AQ118" i="57"/>
  <c r="AQ119" i="57"/>
  <c r="AQ120" i="57"/>
  <c r="AQ121" i="57"/>
  <c r="AQ122" i="57"/>
  <c r="AQ123" i="57"/>
  <c r="AQ2" i="57"/>
  <c r="AP3" i="57" l="1"/>
  <c r="AP4" i="57"/>
  <c r="AP5" i="57"/>
  <c r="AP6" i="57"/>
  <c r="AP7" i="57"/>
  <c r="AP8" i="57"/>
  <c r="AP9" i="57"/>
  <c r="AP10" i="57"/>
  <c r="AP11" i="57"/>
  <c r="AP12" i="57"/>
  <c r="AP13" i="57"/>
  <c r="AP14" i="57"/>
  <c r="AP15" i="57"/>
  <c r="AP16" i="57"/>
  <c r="AP17" i="57"/>
  <c r="AP18" i="57"/>
  <c r="AP19" i="57"/>
  <c r="AP20" i="57"/>
  <c r="AP21" i="57"/>
  <c r="AP22" i="57"/>
  <c r="AP23" i="57"/>
  <c r="AP24" i="57"/>
  <c r="AP25" i="57"/>
  <c r="AP26" i="57"/>
  <c r="AP27" i="57"/>
  <c r="AP28" i="57"/>
  <c r="AP29" i="57"/>
  <c r="AP30" i="57"/>
  <c r="AP31" i="57"/>
  <c r="AP32" i="57"/>
  <c r="AP33" i="57"/>
  <c r="AP34" i="57"/>
  <c r="AP35" i="57"/>
  <c r="AP36" i="57"/>
  <c r="AP37" i="57"/>
  <c r="AP38" i="57"/>
  <c r="AP39" i="57"/>
  <c r="AP40" i="57"/>
  <c r="AP41" i="57"/>
  <c r="AP42" i="57"/>
  <c r="AP43" i="57"/>
  <c r="AP44" i="57"/>
  <c r="AP45" i="57"/>
  <c r="AP46" i="57"/>
  <c r="AP47" i="57"/>
  <c r="AP48" i="57"/>
  <c r="AP49" i="57"/>
  <c r="AP50" i="57"/>
  <c r="AP51" i="57"/>
  <c r="AP52" i="57"/>
  <c r="AP53" i="57"/>
  <c r="AP54" i="57"/>
  <c r="AP55" i="57"/>
  <c r="AP56" i="57"/>
  <c r="AP57" i="57"/>
  <c r="AP58" i="57"/>
  <c r="AP59" i="57"/>
  <c r="AP60" i="57"/>
  <c r="AP61" i="57"/>
  <c r="AP62" i="57"/>
  <c r="AP63" i="57"/>
  <c r="AP64" i="57"/>
  <c r="AP65" i="57"/>
  <c r="AP66" i="57"/>
  <c r="AP67" i="57"/>
  <c r="AP68" i="57"/>
  <c r="AP69" i="57"/>
  <c r="AP70" i="57"/>
  <c r="AP71" i="57"/>
  <c r="AP72" i="57"/>
  <c r="AP73" i="57"/>
  <c r="AP74" i="57"/>
  <c r="AP75" i="57"/>
  <c r="AP76" i="57"/>
  <c r="AP77" i="57"/>
  <c r="AP78" i="57"/>
  <c r="AP79" i="57"/>
  <c r="AP80" i="57"/>
  <c r="AP81" i="57"/>
  <c r="AP82" i="57"/>
  <c r="AP83" i="57"/>
  <c r="AP84" i="57"/>
  <c r="AP85" i="57"/>
  <c r="AP86" i="57"/>
  <c r="AP87" i="57"/>
  <c r="AP88" i="57"/>
  <c r="AP89" i="57"/>
  <c r="AP90" i="57"/>
  <c r="AP91" i="57"/>
  <c r="AP92" i="57"/>
  <c r="AP93" i="57"/>
  <c r="AP94" i="57"/>
  <c r="AP95" i="57"/>
  <c r="AP96" i="57"/>
  <c r="AP97" i="57"/>
  <c r="AP98" i="57"/>
  <c r="AP99" i="57"/>
  <c r="AP100" i="57"/>
  <c r="AP101" i="57"/>
  <c r="AP102" i="57"/>
  <c r="AP103" i="57"/>
  <c r="AP104" i="57"/>
  <c r="AP105" i="57"/>
  <c r="AP106" i="57"/>
  <c r="AP107" i="57"/>
  <c r="AP108" i="57"/>
  <c r="AP109" i="57"/>
  <c r="AP110" i="57"/>
  <c r="AP111" i="57"/>
  <c r="AP112" i="57"/>
  <c r="AP113" i="57"/>
  <c r="AP114" i="57"/>
  <c r="AP115" i="57"/>
  <c r="AP116" i="57"/>
  <c r="AP117" i="57"/>
  <c r="AP118" i="57"/>
  <c r="AP119" i="57"/>
  <c r="AP120" i="57"/>
  <c r="AP121" i="57"/>
  <c r="AP122" i="57"/>
  <c r="AP123" i="57"/>
  <c r="AP2" i="57"/>
  <c r="AO3" i="57"/>
  <c r="AO4" i="57"/>
  <c r="AO5" i="57"/>
  <c r="AO6" i="57"/>
  <c r="AO7" i="57"/>
  <c r="AO8" i="57"/>
  <c r="AO9" i="57"/>
  <c r="AO10" i="57"/>
  <c r="AO11" i="57"/>
  <c r="AO12" i="57"/>
  <c r="AO13" i="57"/>
  <c r="AO14" i="57"/>
  <c r="AO15" i="57"/>
  <c r="AO16" i="57"/>
  <c r="AO17" i="57"/>
  <c r="AO18" i="57"/>
  <c r="AO19" i="57"/>
  <c r="AO20" i="57"/>
  <c r="AO21" i="57"/>
  <c r="AO22" i="57"/>
  <c r="AO23" i="57"/>
  <c r="AO24" i="57"/>
  <c r="AO25" i="57"/>
  <c r="AO26" i="57"/>
  <c r="AO27" i="57"/>
  <c r="AO28" i="57"/>
  <c r="AO29" i="57"/>
  <c r="AO30" i="57"/>
  <c r="AO31" i="57"/>
  <c r="AO32" i="57"/>
  <c r="AO33" i="57"/>
  <c r="AO34" i="57"/>
  <c r="AO35" i="57"/>
  <c r="AO36" i="57"/>
  <c r="AO37" i="57"/>
  <c r="AO38" i="57"/>
  <c r="AO39" i="57"/>
  <c r="AO40" i="57"/>
  <c r="AO41" i="57"/>
  <c r="AO42" i="57"/>
  <c r="AO43" i="57"/>
  <c r="AO44" i="57"/>
  <c r="AO45" i="57"/>
  <c r="AO46" i="57"/>
  <c r="AO47" i="57"/>
  <c r="AO48" i="57"/>
  <c r="AO49" i="57"/>
  <c r="AO50" i="57"/>
  <c r="AO51" i="57"/>
  <c r="AO52" i="57"/>
  <c r="AO53" i="57"/>
  <c r="AO54" i="57"/>
  <c r="AO55" i="57"/>
  <c r="AO56" i="57"/>
  <c r="AO57" i="57"/>
  <c r="AO58" i="57"/>
  <c r="AO59" i="57"/>
  <c r="AO60" i="57"/>
  <c r="AO61" i="57"/>
  <c r="AO62" i="57"/>
  <c r="AO63" i="57"/>
  <c r="AO64" i="57"/>
  <c r="AO65" i="57"/>
  <c r="AO66" i="57"/>
  <c r="AO67" i="57"/>
  <c r="AO68" i="57"/>
  <c r="AO69" i="57"/>
  <c r="AO70" i="57"/>
  <c r="AO71" i="57"/>
  <c r="AO72" i="57"/>
  <c r="AO73" i="57"/>
  <c r="AO74" i="57"/>
  <c r="AO75" i="57"/>
  <c r="AO76" i="57"/>
  <c r="AO77" i="57"/>
  <c r="AO78" i="57"/>
  <c r="AO79" i="57"/>
  <c r="AO80" i="57"/>
  <c r="AO81" i="57"/>
  <c r="AO82" i="57"/>
  <c r="AO83" i="57"/>
  <c r="AO84" i="57"/>
  <c r="AO85" i="57"/>
  <c r="AO86" i="57"/>
  <c r="AO87" i="57"/>
  <c r="AO88" i="57"/>
  <c r="AO89" i="57"/>
  <c r="AO90" i="57"/>
  <c r="AO91" i="57"/>
  <c r="AO92" i="57"/>
  <c r="AO93" i="57"/>
  <c r="AO94" i="57"/>
  <c r="AO95" i="57"/>
  <c r="AO96" i="57"/>
  <c r="AO97" i="57"/>
  <c r="AO98" i="57"/>
  <c r="AO99" i="57"/>
  <c r="AO100" i="57"/>
  <c r="AO101" i="57"/>
  <c r="AO102" i="57"/>
  <c r="AO103" i="57"/>
  <c r="AO104" i="57"/>
  <c r="AO105" i="57"/>
  <c r="AO106" i="57"/>
  <c r="AO107" i="57"/>
  <c r="AO108" i="57"/>
  <c r="AO109" i="57"/>
  <c r="AO110" i="57"/>
  <c r="AO111" i="57"/>
  <c r="AO112" i="57"/>
  <c r="AO113" i="57"/>
  <c r="AO114" i="57"/>
  <c r="AO115" i="57"/>
  <c r="AO116" i="57"/>
  <c r="AO117" i="57"/>
  <c r="AO118" i="57"/>
  <c r="AO119" i="57"/>
  <c r="AO120" i="57"/>
  <c r="AO121" i="57"/>
  <c r="AO122" i="57"/>
  <c r="AO123" i="57"/>
  <c r="AO2" i="57"/>
  <c r="I90" i="39"/>
  <c r="AB307" i="1" l="1"/>
  <c r="AA307" i="1" s="1"/>
  <c r="E44" i="45"/>
  <c r="E43" i="45"/>
  <c r="C4" i="56" l="1"/>
  <c r="C5" i="56"/>
  <c r="C6" i="56"/>
  <c r="C7" i="56"/>
  <c r="C8" i="56"/>
  <c r="C9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3" i="56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56" i="55"/>
  <c r="E57" i="55"/>
  <c r="E58" i="55"/>
  <c r="E59" i="55"/>
  <c r="E60" i="55"/>
  <c r="E61" i="55"/>
  <c r="E62" i="55"/>
  <c r="E63" i="55"/>
  <c r="E64" i="55"/>
  <c r="E65" i="55"/>
  <c r="E66" i="55"/>
  <c r="E67" i="55"/>
  <c r="E68" i="55"/>
  <c r="E69" i="55"/>
  <c r="E70" i="55"/>
  <c r="E71" i="55"/>
  <c r="E72" i="55"/>
  <c r="E73" i="55"/>
  <c r="E74" i="55"/>
  <c r="E75" i="55"/>
  <c r="E76" i="55"/>
  <c r="E77" i="55"/>
  <c r="E78" i="55"/>
  <c r="E79" i="55"/>
  <c r="E80" i="55"/>
  <c r="E81" i="55"/>
  <c r="E82" i="55"/>
  <c r="E83" i="55"/>
  <c r="E84" i="55"/>
  <c r="E85" i="55"/>
  <c r="E86" i="55"/>
  <c r="E87" i="55"/>
  <c r="E88" i="55"/>
  <c r="E89" i="55"/>
  <c r="E90" i="55"/>
  <c r="E91" i="55"/>
  <c r="E92" i="55"/>
  <c r="E93" i="55"/>
  <c r="E94" i="55"/>
  <c r="E95" i="55"/>
  <c r="E96" i="55"/>
  <c r="E97" i="55"/>
  <c r="E98" i="55"/>
  <c r="E99" i="55"/>
  <c r="E100" i="55"/>
  <c r="E101" i="55"/>
  <c r="E102" i="55"/>
  <c r="E103" i="55"/>
  <c r="E104" i="55"/>
  <c r="E105" i="55"/>
  <c r="E106" i="55"/>
  <c r="E107" i="55"/>
  <c r="E108" i="55"/>
  <c r="E109" i="55"/>
  <c r="E110" i="55"/>
  <c r="E111" i="55"/>
  <c r="E112" i="55"/>
  <c r="E113" i="55"/>
  <c r="E114" i="55"/>
  <c r="E115" i="55"/>
  <c r="E116" i="55"/>
  <c r="E117" i="55"/>
  <c r="E118" i="55"/>
  <c r="E119" i="55"/>
  <c r="E120" i="55"/>
  <c r="E123" i="55"/>
  <c r="E122" i="55"/>
  <c r="E121" i="55"/>
  <c r="E3" i="55"/>
  <c r="AA577" i="1" l="1"/>
  <c r="AA576" i="1"/>
  <c r="AA575" i="1"/>
  <c r="AA562" i="1"/>
  <c r="AA564" i="1"/>
  <c r="AA565" i="1"/>
  <c r="AA566" i="1"/>
  <c r="AA567" i="1"/>
  <c r="AA570" i="1"/>
  <c r="AA571" i="1"/>
  <c r="AA572" i="1"/>
  <c r="AA573" i="1"/>
  <c r="AA574" i="1"/>
  <c r="AA553" i="1" l="1"/>
  <c r="N12" i="50"/>
  <c r="N13" i="50"/>
  <c r="N14" i="50"/>
  <c r="N11" i="50"/>
  <c r="K12" i="50"/>
  <c r="K13" i="50"/>
  <c r="K14" i="50"/>
  <c r="K11" i="50"/>
  <c r="H12" i="50" l="1"/>
  <c r="H11" i="50"/>
  <c r="I15" i="39" l="1"/>
  <c r="AA527" i="1" l="1"/>
  <c r="AA526" i="1"/>
  <c r="AA525" i="1"/>
  <c r="AA524" i="1"/>
  <c r="AB521" i="1"/>
  <c r="AA521" i="1" s="1"/>
  <c r="AB522" i="1"/>
  <c r="AA522" i="1" s="1"/>
  <c r="AB523" i="1"/>
  <c r="AA523" i="1" s="1"/>
  <c r="AB5" i="1"/>
  <c r="AB27" i="1"/>
  <c r="AB41" i="1"/>
  <c r="AB48" i="1"/>
  <c r="AB60" i="1"/>
  <c r="AB92" i="1"/>
  <c r="AB93" i="1"/>
  <c r="AB98" i="1"/>
  <c r="AB113" i="1"/>
  <c r="AB118" i="1"/>
  <c r="AB125" i="1"/>
  <c r="AB129" i="1"/>
  <c r="AB133" i="1"/>
  <c r="AB137" i="1"/>
  <c r="AB138" i="1"/>
  <c r="AB140" i="1"/>
  <c r="AB143" i="1"/>
  <c r="AB145" i="1"/>
  <c r="AB146" i="1"/>
  <c r="AB167" i="1"/>
  <c r="AB170" i="1"/>
  <c r="AB171" i="1"/>
  <c r="AB172" i="1"/>
  <c r="AB173" i="1"/>
  <c r="AB175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5" i="1"/>
  <c r="AB216" i="1"/>
  <c r="AB219" i="1"/>
  <c r="AB220" i="1"/>
  <c r="AB222" i="1"/>
  <c r="AB223" i="1"/>
  <c r="AB224" i="1"/>
  <c r="AB225" i="1"/>
  <c r="AB226" i="1"/>
  <c r="AB227" i="1"/>
  <c r="AB229" i="1"/>
  <c r="AB233" i="1"/>
  <c r="AB240" i="1"/>
  <c r="AB241" i="1"/>
  <c r="AB242" i="1"/>
  <c r="AB243" i="1"/>
  <c r="AB244" i="1"/>
  <c r="AB245" i="1"/>
  <c r="AB246" i="1"/>
  <c r="AB247" i="1"/>
  <c r="AB248" i="1"/>
  <c r="AB249" i="1"/>
  <c r="AB256" i="1"/>
  <c r="AB257" i="1"/>
  <c r="AB258" i="1"/>
  <c r="AB259" i="1"/>
  <c r="AB281" i="1"/>
  <c r="AB289" i="1"/>
  <c r="AB290" i="1"/>
  <c r="AB291" i="1"/>
  <c r="AB292" i="1"/>
  <c r="AB293" i="1"/>
  <c r="AB294" i="1"/>
  <c r="AB295" i="1"/>
  <c r="AB298" i="1"/>
  <c r="AB299" i="1"/>
  <c r="AB304" i="1"/>
  <c r="AB305" i="1"/>
  <c r="AB306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48" i="1"/>
  <c r="AB349" i="1"/>
  <c r="AB350" i="1"/>
  <c r="AB351" i="1"/>
  <c r="AB352" i="1"/>
  <c r="AB353" i="1"/>
  <c r="AB354" i="1"/>
  <c r="AB355" i="1"/>
  <c r="AB356" i="1"/>
  <c r="AB357" i="1"/>
  <c r="AB367" i="1"/>
  <c r="AB368" i="1"/>
  <c r="AB369" i="1"/>
  <c r="AB370" i="1"/>
  <c r="AB375" i="1"/>
  <c r="AB376" i="1"/>
  <c r="AB377" i="1"/>
  <c r="AB378" i="1"/>
  <c r="AB379" i="1"/>
  <c r="AB380" i="1"/>
  <c r="AB381" i="1"/>
  <c r="AB382" i="1"/>
  <c r="AB388" i="1"/>
  <c r="AB389" i="1"/>
  <c r="AB390" i="1"/>
  <c r="AB391" i="1"/>
  <c r="AB400" i="1"/>
  <c r="AB401" i="1"/>
  <c r="AB406" i="1"/>
  <c r="AB407" i="1"/>
  <c r="AB408" i="1"/>
  <c r="AB409" i="1"/>
  <c r="AB412" i="1"/>
  <c r="AB413" i="1"/>
  <c r="AB414" i="1"/>
  <c r="AB415" i="1"/>
  <c r="AB418" i="1"/>
  <c r="AB419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500" i="1"/>
  <c r="AB501" i="1"/>
  <c r="AB502" i="1"/>
  <c r="AB503" i="1"/>
  <c r="AB504" i="1"/>
  <c r="AB505" i="1"/>
  <c r="AB506" i="1"/>
  <c r="AB507" i="1"/>
  <c r="AB516" i="1"/>
  <c r="AB517" i="1"/>
  <c r="AB518" i="1"/>
  <c r="AB519" i="1"/>
  <c r="AB520" i="1"/>
  <c r="AB528" i="1"/>
  <c r="AB529" i="1"/>
  <c r="AB530" i="1"/>
  <c r="AB531" i="1"/>
  <c r="AB532" i="1"/>
  <c r="AB533" i="1"/>
  <c r="AB535" i="1"/>
  <c r="AA399" i="1" l="1"/>
  <c r="AA398" i="1"/>
  <c r="AA397" i="1"/>
  <c r="AA396" i="1"/>
  <c r="AA395" i="1"/>
  <c r="AA313" i="1"/>
  <c r="AA314" i="1"/>
  <c r="AA529" i="1" l="1"/>
  <c r="AA530" i="1"/>
  <c r="AA505" i="1" l="1"/>
  <c r="AA506" i="1"/>
  <c r="AA507" i="1"/>
  <c r="AA532" i="1"/>
  <c r="AA533" i="1"/>
  <c r="AA544" i="1" l="1"/>
  <c r="AA552" i="1"/>
  <c r="I120" i="39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8" i="1"/>
  <c r="AA60" i="1"/>
  <c r="AA61" i="1"/>
  <c r="AA62" i="1"/>
  <c r="AA63" i="1"/>
  <c r="AA64" i="1"/>
  <c r="AA65" i="1"/>
  <c r="AA66" i="1"/>
  <c r="AA67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3" i="1"/>
  <c r="AA154" i="1"/>
  <c r="AA155" i="1"/>
  <c r="AA156" i="1"/>
  <c r="AA157" i="1"/>
  <c r="AA163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9" i="1"/>
  <c r="AA290" i="1"/>
  <c r="AA291" i="1"/>
  <c r="AA292" i="1"/>
  <c r="AA293" i="1"/>
  <c r="AA294" i="1"/>
  <c r="AA295" i="1"/>
  <c r="AA298" i="1"/>
  <c r="AA299" i="1"/>
  <c r="AA300" i="1"/>
  <c r="AA301" i="1"/>
  <c r="AA302" i="1"/>
  <c r="AA303" i="1"/>
  <c r="AA304" i="1"/>
  <c r="AA305" i="1"/>
  <c r="AA306" i="1"/>
  <c r="AA308" i="1"/>
  <c r="AA309" i="1"/>
  <c r="AA310" i="1"/>
  <c r="AA311" i="1"/>
  <c r="AA312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5" i="1"/>
  <c r="AA376" i="1"/>
  <c r="AA377" i="1"/>
  <c r="AA378" i="1"/>
  <c r="AA379" i="1"/>
  <c r="AA380" i="1"/>
  <c r="AA381" i="1"/>
  <c r="AA382" i="1"/>
  <c r="AA388" i="1"/>
  <c r="AA389" i="1"/>
  <c r="AA390" i="1"/>
  <c r="AA391" i="1"/>
  <c r="AA392" i="1"/>
  <c r="AA393" i="1"/>
  <c r="AA394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500" i="1"/>
  <c r="AA501" i="1"/>
  <c r="AA502" i="1"/>
  <c r="AA503" i="1"/>
  <c r="AA504" i="1"/>
  <c r="AA514" i="1"/>
  <c r="AA515" i="1"/>
  <c r="AA516" i="1"/>
  <c r="AA517" i="1"/>
  <c r="AA518" i="1"/>
  <c r="AA519" i="1"/>
  <c r="AA520" i="1"/>
  <c r="AA528" i="1"/>
  <c r="AA531" i="1"/>
  <c r="AA534" i="1"/>
  <c r="AA535" i="1"/>
  <c r="AA2" i="1"/>
  <c r="I136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I135" i="39" l="1"/>
  <c r="I134" i="39"/>
  <c r="I11" i="39"/>
  <c r="I12" i="39"/>
  <c r="I13" i="39"/>
  <c r="I14" i="39"/>
  <c r="I16" i="39"/>
  <c r="I17" i="39"/>
  <c r="I18" i="39"/>
  <c r="I19" i="39"/>
  <c r="I20" i="39"/>
  <c r="I21" i="39"/>
  <c r="I22" i="39"/>
  <c r="I23" i="39"/>
  <c r="I24" i="39"/>
  <c r="I25" i="39"/>
  <c r="I26" i="39"/>
  <c r="I27" i="39"/>
  <c r="I28" i="39"/>
  <c r="I29" i="39"/>
  <c r="I30" i="39"/>
  <c r="I31" i="39"/>
  <c r="I32" i="39"/>
  <c r="I33" i="39"/>
  <c r="I34" i="39"/>
  <c r="I35" i="39"/>
  <c r="I36" i="39"/>
  <c r="I37" i="39"/>
  <c r="I38" i="39"/>
  <c r="I39" i="39"/>
  <c r="I40" i="39"/>
  <c r="I41" i="39"/>
  <c r="I42" i="39"/>
  <c r="I43" i="39"/>
  <c r="I44" i="39"/>
  <c r="I45" i="39"/>
  <c r="I46" i="39"/>
  <c r="I47" i="39"/>
  <c r="I48" i="39"/>
  <c r="I49" i="39"/>
  <c r="I50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0" i="39"/>
  <c r="I71" i="39"/>
  <c r="I72" i="39"/>
  <c r="I73" i="39"/>
  <c r="I74" i="39"/>
  <c r="I75" i="39"/>
  <c r="I76" i="39"/>
  <c r="I77" i="39"/>
  <c r="I78" i="39"/>
  <c r="I79" i="39"/>
  <c r="I80" i="39"/>
  <c r="I81" i="39"/>
  <c r="I82" i="39"/>
  <c r="I83" i="39"/>
  <c r="I84" i="39"/>
  <c r="I85" i="39"/>
  <c r="I86" i="39"/>
  <c r="I87" i="39"/>
  <c r="I88" i="39"/>
  <c r="I89" i="39"/>
  <c r="I91" i="39"/>
  <c r="I92" i="39"/>
  <c r="I93" i="39"/>
  <c r="I94" i="39"/>
  <c r="I95" i="39"/>
  <c r="I96" i="39"/>
  <c r="I97" i="39"/>
  <c r="I98" i="39"/>
  <c r="I99" i="39"/>
  <c r="I100" i="39"/>
  <c r="I101" i="39"/>
  <c r="I102" i="39"/>
  <c r="I103" i="39"/>
  <c r="I104" i="39"/>
  <c r="I105" i="39"/>
  <c r="I106" i="39"/>
  <c r="I107" i="39"/>
  <c r="I108" i="39"/>
  <c r="I109" i="39"/>
  <c r="I110" i="39"/>
  <c r="I111" i="39"/>
  <c r="I112" i="39"/>
  <c r="I113" i="39"/>
  <c r="I114" i="39"/>
  <c r="I115" i="39"/>
  <c r="I116" i="39"/>
  <c r="I117" i="39"/>
  <c r="I118" i="39"/>
  <c r="I119" i="39"/>
  <c r="I121" i="39"/>
  <c r="I122" i="39"/>
  <c r="I123" i="39"/>
  <c r="I124" i="39"/>
  <c r="I125" i="39"/>
  <c r="I126" i="39"/>
  <c r="I127" i="39"/>
  <c r="I128" i="39"/>
  <c r="I129" i="39"/>
  <c r="I130" i="39"/>
  <c r="I131" i="39"/>
  <c r="I132" i="39"/>
  <c r="I133" i="39"/>
  <c r="I2" i="39"/>
  <c r="I3" i="39"/>
  <c r="I10" i="39"/>
  <c r="I9" i="39"/>
  <c r="I8" i="39"/>
  <c r="I7" i="39"/>
  <c r="I6" i="39"/>
  <c r="I5" i="39"/>
  <c r="I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H1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DBAB46D6-1840-457F-BD64-C99F0A752DD5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D1" authorId="0" shapeId="0" xr:uid="{B5925462-E552-4145-B604-6180FEA92904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0EADE2-6F6B-4E8C-B7F8-5A2775244350}" keepAlive="1" name="Query - C174 LHD" description="Connection to the 'C174 LHD' query in the workbook." type="5" refreshedVersion="8" background="1" saveData="1">
    <dbPr connection="Provider=Microsoft.Mashup.OleDb.1;Data Source=$Workbook$;Location=&quot;C174 LHD&quot;;Extended Properties=&quot;&quot;" command="SELECT * FROM [C174 LHD]"/>
  </connection>
  <connection id="2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3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4" xr16:uid="{250CC2AF-7F89-4B34-A966-6A78C3A38B77}" keepAlive="1" name="Query - H248 SA BOARDS CSUB-14" description="Connection to the 'H248 SA BOARDS CSUB-14' query in the workbook." type="5" refreshedVersion="8" background="1" saveData="1">
    <dbPr connection="Provider=Microsoft.Mashup.OleDb.1;Data Source=$Workbook$;Location=&quot;H248 SA BOARDS CSUB-14&quot;;Extended Properties=&quot;&quot;" command="SELECT * FROM [H248 SA BOARDS CSUB-14]"/>
  </connection>
  <connection id="5" xr16:uid="{C5399746-FFEF-4776-B1D5-67A49B5962E3}" keepAlive="1" name="Query - h248EngineAdd" description="Connection to the 'h248EngineAdd' query in the workbook." type="5" refreshedVersion="8" background="1" saveData="1">
    <dbPr connection="Provider=Microsoft.Mashup.OleDb.1;Data Source=$Workbook$;Location=h248EngineAdd;Extended Properties=&quot;&quot;" command="SELECT * FROM [h248EngineAdd]"/>
  </connection>
  <connection id="6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7" xr16:uid="{4C6CF620-ED6B-4470-B940-EB050941FCD8}" keepAlive="1" name="Query - h248RL" description="Connection to the 'h248RL' query in the workbook." type="5" refreshedVersion="8" background="1" saveData="1">
    <dbPr connection="Provider=Microsoft.Mashup.OleDb.1;Data Source=$Workbook$;Location=h248RL;Extended Properties=&quot;&quot;" command="SELECT * FROM [h248RL]"/>
  </connection>
  <connection id="8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9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10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11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12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3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4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5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6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<sst xmlns="http://schemas.openxmlformats.org/spreadsheetml/2006/main" count="12021" uniqueCount="2628">
  <si>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</si>
  <si>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</si>
  <si>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</si>
  <si>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</si>
  <si>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</si>
  <si>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</si>
  <si>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</si>
  <si>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</si>
  <si>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</si>
  <si>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</si>
  <si>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</si>
  <si>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</si>
  <si>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</si>
  <si>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</si>
  <si>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</si>
  <si>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</si>
  <si>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</si>
  <si>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</si>
  <si>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</si>
  <si>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</si>
  <si>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</si>
  <si>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</si>
  <si>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</si>
  <si>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</si>
  <si>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</si>
  <si>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</si>
  <si>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</si>
  <si>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</si>
  <si>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</si>
  <si>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</si>
  <si>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</si>
  <si>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</si>
  <si>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</si>
  <si>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</si>
  <si>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</si>
  <si>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</si>
  <si>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</si>
  <si>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</si>
  <si>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</si>
  <si>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</si>
  <si>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</si>
  <si>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</si>
  <si>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</si>
  <si>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</si>
  <si>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</si>
  <si>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</si>
  <si>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</si>
  <si>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</si>
  <si>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</si>
  <si>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</si>
  <si>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</si>
  <si>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</si>
  <si>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</si>
  <si>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</si>
  <si>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</si>
  <si>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</si>
  <si>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</si>
  <si>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</si>
  <si>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</si>
  <si>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</si>
  <si>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</si>
  <si>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</si>
  <si>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</si>
  <si>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</si>
  <si>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</si>
  <si>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</si>
  <si>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</si>
  <si>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</si>
  <si>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</si>
  <si>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</si>
  <si>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</si>
  <si>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</si>
  <si>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</si>
  <si>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</si>
  <si>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</si>
  <si>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</si>
  <si>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</si>
  <si>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</si>
  <si>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</si>
  <si>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</si>
  <si>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</si>
  <si>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</si>
  <si>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</si>
  <si>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</si>
  <si>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</si>
  <si>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</si>
  <si>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</si>
  <si>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</si>
  <si>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</si>
  <si>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</si>
  <si>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</si>
  <si>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</si>
  <si>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</si>
  <si>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</si>
  <si>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</si>
  <si>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</si>
  <si>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</si>
  <si>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</si>
  <si>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</si>
  <si>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</si>
  <si>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</si>
  <si>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</si>
  <si>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</si>
  <si>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</si>
  <si>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</si>
  <si>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</si>
  <si>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</si>
  <si>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</si>
  <si>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</si>
  <si>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</si>
  <si>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</si>
  <si>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</si>
  <si>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</si>
  <si>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</si>
  <si>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</si>
  <si>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</si>
  <si>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</si>
  <si>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</si>
  <si>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</si>
  <si>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</si>
  <si>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</si>
  <si>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</si>
  <si>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</si>
  <si>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</si>
  <si>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</si>
  <si>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</si>
  <si>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</si>
  <si>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</si>
  <si>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</si>
  <si>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</si>
  <si>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</si>
  <si>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</si>
  <si>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</si>
  <si>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</si>
  <si>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</si>
  <si>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</si>
  <si>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</si>
  <si>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</si>
  <si>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</si>
  <si>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</si>
  <si>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</si>
  <si>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</si>
  <si>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</si>
  <si>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</si>
  <si>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</si>
  <si>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</si>
  <si>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</si>
  <si>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</si>
  <si>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</si>
  <si>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</si>
  <si>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</si>
  <si>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</si>
  <si>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</si>
  <si>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</si>
  <si>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</si>
  <si>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</si>
  <si>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</si>
  <si>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</si>
  <si>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</si>
  <si>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</si>
  <si>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</si>
  <si>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</si>
  <si>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</si>
  <si>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</si>
  <si>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</si>
  <si>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</si>
  <si>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</si>
  <si>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</si>
  <si>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</si>
  <si>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</si>
  <si>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</si>
  <si>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</si>
  <si>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</si>
  <si>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</si>
  <si>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</si>
  <si>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</si>
  <si>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</si>
  <si>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</si>
  <si>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</si>
  <si>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</si>
  <si>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</si>
  <si>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</si>
  <si>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</si>
  <si>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</si>
  <si>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</si>
  <si>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</si>
  <si>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</si>
  <si>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</si>
  <si>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</si>
  <si>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</si>
  <si>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</si>
  <si>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</si>
  <si>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</si>
  <si>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</si>
  <si>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</si>
  <si>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</si>
  <si>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</si>
  <si>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</si>
  <si>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</si>
  <si>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</si>
  <si>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</si>
  <si>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</si>
  <si>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</si>
  <si>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</si>
  <si>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</si>
  <si>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</si>
  <si>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</si>
  <si>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</si>
  <si>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</si>
  <si>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</si>
  <si>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</si>
  <si>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</si>
  <si>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</si>
  <si>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</si>
  <si>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</si>
  <si>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</si>
  <si>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</si>
  <si>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</si>
  <si>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</si>
  <si>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</si>
  <si>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</si>
  <si>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</si>
  <si>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</si>
  <si>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</si>
  <si>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</si>
  <si>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</si>
  <si>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</si>
  <si>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</si>
  <si>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</si>
  <si>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</si>
  <si>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</si>
  <si>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</si>
  <si>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</si>
  <si>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</si>
  <si>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</si>
  <si>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</si>
  <si>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</si>
  <si>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</si>
  <si>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</si>
  <si>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</si>
  <si>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</si>
  <si>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</si>
  <si>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</si>
  <si>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</si>
  <si>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</si>
  <si>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</si>
  <si>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</si>
  <si>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</si>
  <si>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</si>
  <si>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</si>
  <si>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</si>
  <si>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</si>
  <si>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</si>
  <si>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</si>
  <si>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</si>
  <si>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</si>
  <si>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</si>
  <si>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</si>
  <si>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</si>
  <si>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</si>
  <si>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</si>
  <si>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</si>
  <si>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</si>
  <si>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</si>
  <si>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</si>
  <si>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</si>
  <si>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</si>
  <si>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</si>
  <si>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</si>
  <si>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</si>
  <si>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</si>
  <si>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</si>
  <si>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</si>
  <si>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</si>
  <si>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</si>
  <si>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</si>
  <si>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</si>
  <si>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</si>
  <si>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</si>
  <si>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</si>
  <si>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</si>
  <si>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</si>
  <si>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</si>
  <si>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</si>
  <si>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</si>
  <si>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</si>
  <si>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</si>
  <si>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</si>
  <si>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</si>
  <si>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</si>
  <si>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</si>
  <si>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</si>
  <si>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</si>
  <si>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</si>
  <si>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</si>
  <si>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</si>
  <si>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</si>
  <si>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</si>
  <si>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</si>
  <si>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</si>
  <si>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</si>
  <si>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</si>
  <si>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</si>
  <si>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</si>
  <si>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</si>
  <si>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</si>
  <si>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</si>
  <si>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</si>
  <si>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</si>
  <si>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</si>
  <si>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</si>
  <si>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</si>
  <si>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</si>
  <si>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</si>
  <si>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</si>
  <si>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</si>
  <si>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</si>
  <si>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</si>
  <si>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</si>
  <si>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</si>
  <si>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</si>
  <si>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</si>
  <si>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</si>
  <si>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</si>
  <si>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</si>
  <si>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</si>
  <si>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</si>
  <si>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</si>
  <si>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</si>
  <si>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</si>
  <si>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</si>
  <si>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</si>
  <si>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</si>
  <si>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</si>
  <si>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</si>
  <si>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</si>
  <si>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</si>
  <si>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</si>
  <si>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</si>
  <si>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</si>
  <si>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</si>
  <si>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</si>
  <si>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</si>
  <si>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</si>
  <si>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</si>
  <si>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</si>
  <si>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</si>
  <si>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</si>
  <si>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</si>
  <si>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</si>
  <si>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</si>
  <si>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</si>
  <si>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</si>
  <si>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</si>
  <si>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</si>
  <si>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</si>
  <si>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</si>
  <si>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</si>
  <si>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</si>
  <si>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</si>
  <si>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</si>
  <si>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</si>
  <si>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</si>
  <si>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</si>
  <si>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</si>
  <si>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</si>
  <si>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</si>
  <si>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</si>
  <si>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</si>
  <si>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</si>
  <si>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</si>
  <si>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</si>
  <si>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</si>
  <si>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</si>
  <si>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</si>
  <si>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</si>
  <si>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</si>
  <si>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</si>
  <si>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</si>
  <si>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</si>
  <si>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</si>
  <si>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</si>
  <si>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</si>
  <si>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</si>
  <si>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</si>
  <si>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</si>
  <si>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</si>
  <si>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</si>
  <si>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</si>
  <si>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</si>
  <si>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</si>
  <si>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</si>
  <si>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</si>
  <si>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</si>
  <si>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</si>
  <si>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</si>
  <si>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</si>
  <si>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</si>
  <si>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</si>
  <si>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</si>
  <si>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</si>
  <si>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</si>
  <si>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</si>
  <si>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</si>
  <si>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</si>
  <si>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</si>
  <si>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</si>
  <si>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</si>
  <si>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</si>
  <si>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</si>
  <si>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</si>
  <si>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</si>
  <si>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</si>
  <si>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</si>
  <si>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</si>
  <si>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</si>
  <si>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</si>
  <si>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</si>
  <si>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</si>
  <si>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</si>
  <si>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</si>
  <si>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</si>
  <si>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</si>
  <si>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</si>
  <si>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</si>
  <si>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</si>
  <si>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</si>
  <si>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</si>
  <si>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</si>
  <si>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</si>
  <si>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</si>
  <si>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</si>
  <si>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</si>
  <si>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</si>
  <si>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</si>
  <si>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</si>
  <si>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</si>
  <si>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</si>
  <si>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</si>
  <si>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</si>
  <si>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</si>
  <si>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</si>
  <si>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</si>
  <si>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</si>
  <si>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</si>
  <si>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</si>
  <si>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</si>
  <si>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</si>
  <si>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</si>
  <si>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</si>
  <si>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</si>
  <si>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</si>
  <si>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</si>
  <si>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</si>
  <si>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</si>
  <si>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</si>
  <si>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</si>
  <si>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</si>
  <si>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</si>
  <si>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</si>
  <si>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</si>
  <si>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</si>
  <si>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</si>
  <si>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</si>
  <si>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</si>
  <si>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</si>
  <si>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</si>
  <si>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</si>
  <si>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</si>
  <si>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</si>
  <si>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</si>
  <si>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</si>
  <si>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</si>
  <si>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</si>
  <si>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</si>
  <si>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</si>
  <si>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</si>
  <si>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</si>
  <si>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</si>
  <si>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</si>
  <si>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</si>
  <si>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</si>
  <si>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</si>
  <si>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</si>
  <si>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</si>
  <si>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</si>
  <si>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</si>
  <si>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</si>
  <si>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</si>
  <si>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</si>
  <si>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</si>
  <si>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</si>
  <si>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</si>
  <si>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</si>
  <si>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</si>
  <si>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</si>
  <si>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</si>
  <si>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</si>
  <si>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</si>
  <si>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</si>
  <si>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</si>
  <si>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</si>
  <si>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</si>
  <si>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</si>
  <si>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</si>
  <si>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</si>
  <si>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</si>
  <si>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</si>
  <si>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</si>
  <si>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</si>
  <si>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</si>
  <si>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</si>
  <si>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</si>
  <si>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</si>
  <si>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</si>
  <si>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</si>
  <si>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</si>
  <si>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</si>
  <si>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</si>
  <si>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</si>
  <si>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</si>
  <si>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</si>
  <si>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</si>
  <si>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</si>
  <si>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</si>
  <si>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</si>
  <si>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</si>
  <si>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</si>
  <si>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</si>
  <si>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</si>
  <si>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</si>
  <si>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</si>
  <si>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</si>
  <si>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</si>
  <si>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</si>
  <si>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</si>
  <si>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</si>
  <si>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</si>
  <si>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</si>
  <si>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</si>
  <si>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</si>
  <si>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</si>
  <si>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</si>
  <si>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</si>
  <si>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</si>
  <si>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</si>
  <si>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</si>
  <si>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</si>
  <si>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</si>
  <si>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</si>
  <si>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</si>
  <si>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</si>
  <si>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</si>
  <si>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</si>
  <si>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</si>
  <si>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</si>
  <si>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</si>
  <si>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</si>
  <si>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</si>
  <si>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</si>
  <si>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</si>
  <si>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</si>
  <si>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</si>
  <si>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</si>
  <si>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</si>
  <si>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</si>
  <si>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</si>
  <si>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</si>
  <si>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</si>
  <si>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</si>
  <si>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</si>
  <si>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</si>
  <si>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</si>
  <si>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</si>
  <si>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</si>
  <si>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</si>
  <si>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</si>
  <si>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</si>
  <si>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</si>
  <si>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</si>
  <si>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</si>
  <si>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</si>
  <si>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</si>
  <si>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</si>
  <si>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</si>
  <si>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</si>
  <si>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</si>
  <si>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</si>
  <si>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</si>
  <si>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</si>
  <si>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</si>
  <si>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</si>
  <si>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</si>
  <si>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</si>
  <si>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</si>
  <si>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</si>
  <si>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</si>
  <si>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</si>
  <si>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</si>
  <si>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</si>
  <si>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</si>
  <si>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</si>
  <si>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</si>
  <si>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</si>
  <si>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</si>
  <si>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</si>
  <si>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</si>
  <si>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</si>
  <si>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</si>
  <si>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</si>
  <si>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</si>
  <si>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</si>
  <si>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</si>
  <si>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</si>
  <si>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</si>
  <si>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</si>
  <si>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</si>
  <si>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</si>
  <si>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</si>
  <si>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</si>
  <si>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</si>
  <si>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</si>
  <si>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</si>
  <si>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</si>
  <si>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</si>
  <si>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</si>
  <si>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</si>
  <si>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</si>
  <si>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</si>
  <si>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</si>
  <si>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</si>
  <si>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</si>
  <si>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</si>
  <si>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</si>
  <si>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</si>
  <si>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</si>
  <si>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</si>
  <si>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</si>
  <si>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</si>
  <si>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</si>
  <si>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</si>
  <si>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</si>
  <si>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</si>
  <si>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</si>
  <si>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</si>
  <si>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</si>
  <si>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</si>
  <si>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</si>
  <si>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</si>
  <si>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</si>
  <si>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</si>
  <si>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</si>
  <si>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</si>
  <si>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</si>
  <si>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</si>
  <si>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</si>
  <si>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</si>
  <si>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</si>
  <si>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</si>
  <si>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</si>
  <si>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</si>
  <si>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</si>
  <si>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</si>
  <si>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</si>
  <si>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</si>
  <si>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</si>
  <si>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</si>
  <si>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</si>
  <si>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</si>
  <si>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</si>
  <si>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</si>
  <si>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</si>
  <si>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</si>
  <si>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</si>
  <si>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</si>
  <si>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</si>
  <si>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</si>
  <si>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</si>
  <si>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</si>
  <si>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</si>
  <si>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</si>
  <si>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</si>
  <si>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</si>
  <si>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</si>
  <si>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</si>
  <si>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</si>
  <si>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</si>
  <si>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</si>
  <si>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</si>
  <si>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</si>
  <si>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</si>
  <si>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</si>
  <si>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</si>
  <si>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</si>
  <si>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</si>
  <si>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</si>
  <si>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</si>
  <si>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</si>
  <si>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</si>
  <si>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</si>
  <si>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</si>
  <si>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</si>
  <si>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</si>
  <si>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</si>
  <si>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</si>
  <si>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</si>
  <si>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</si>
  <si>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</si>
  <si>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</si>
  <si>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</si>
  <si>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</si>
  <si>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</si>
  <si>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</si>
  <si>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</si>
  <si>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</si>
  <si>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</si>
  <si>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</si>
  <si>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</si>
  <si>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</si>
  <si>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</si>
  <si>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</si>
  <si>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</si>
  <si>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</si>
  <si>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</si>
  <si>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</si>
  <si>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</si>
  <si>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</si>
  <si>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</si>
  <si>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</si>
  <si>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</si>
  <si>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</si>
  <si>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</si>
  <si>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</si>
  <si>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</si>
  <si>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</si>
  <si>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</si>
  <si>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</si>
  <si>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</si>
  <si>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</si>
  <si>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</si>
  <si>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</si>
  <si>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</si>
  <si>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</si>
  <si>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</si>
  <si>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</si>
  <si>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</si>
  <si>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</si>
  <si>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</si>
  <si>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</si>
  <si>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</si>
  <si>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</si>
  <si>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</si>
  <si>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</si>
  <si>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project_name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</si>
  <si>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</si>
  <si>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</si>
  <si>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</si>
  <si>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</si>
  <si>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</si>
  <si>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</si>
  <si>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</si>
  <si>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</si>
  <si>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</si>
  <si>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</si>
  <si>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</si>
  <si>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</si>
  <si>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</si>
  <si>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</si>
  <si>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</si>
  <si>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</si>
  <si>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</si>
  <si>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</si>
  <si>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</si>
  <si>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</si>
  <si>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</si>
  <si>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</si>
  <si>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</si>
  <si>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</si>
  <si>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</si>
  <si>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</si>
  <si>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</si>
  <si>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</si>
  <si>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</si>
  <si>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10.21.72976A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</si>
  <si>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</si>
  <si>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</si>
  <si>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</si>
  <si>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</si>
  <si>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</si>
  <si>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</si>
  <si>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</si>
  <si>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</si>
  <si>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</si>
  <si>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</si>
  <si>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</si>
  <si>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</si>
  <si>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</si>
  <si>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</si>
  <si>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</si>
  <si>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</si>
  <si>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</si>
  <si>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</si>
  <si>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</si>
  <si>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</si>
  <si>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</si>
  <si>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</si>
  <si>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</si>
  <si>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</si>
  <si>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</si>
  <si>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</si>
  <si>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</si>
  <si>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</si>
  <si>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</si>
  <si>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</si>
  <si>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</si>
  <si>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</si>
  <si>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</si>
  <si>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</si>
  <si>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</si>
  <si>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</si>
  <si>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</si>
  <si>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</si>
  <si>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</si>
  <si>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</si>
  <si>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</si>
  <si>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</si>
  <si>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</si>
  <si>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</si>
  <si>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</si>
  <si>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</si>
  <si>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</si>
  <si>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</si>
  <si>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</si>
  <si>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</si>
  <si>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</si>
  <si>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</si>
  <si>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</si>
  <si>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</si>
  <si>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</si>
  <si>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</si>
  <si>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</si>
  <si>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</si>
  <si>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</si>
  <si>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</si>
  <si>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</si>
  <si>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</si>
  <si>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</si>
  <si>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</si>
  <si>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</si>
  <si>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</si>
  <si>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</si>
  <si>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</si>
  <si>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</si>
  <si>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</si>
  <si>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</si>
  <si>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</si>
  <si>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</si>
  <si>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</si>
  <si>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</si>
  <si>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</si>
  <si>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</si>
  <si>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</si>
  <si>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</si>
  <si>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</si>
  <si>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</si>
  <si>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</si>
  <si>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</si>
  <si>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</si>
  <si>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</si>
  <si>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</si>
  <si>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</si>
  <si>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</si>
  <si>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</si>
  <si>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</si>
  <si>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</si>
  <si>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</si>
  <si>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</si>
  <si>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</si>
  <si>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</si>
  <si>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</si>
  <si>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</si>
  <si>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</si>
  <si>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</si>
  <si>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</si>
  <si>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</si>
  <si>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</si>
  <si>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</si>
  <si>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</si>
  <si>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</si>
  <si>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</si>
  <si>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</si>
  <si>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</si>
  <si>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</si>
  <si>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</si>
  <si>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</si>
  <si>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</si>
  <si>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</si>
  <si>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</si>
  <si>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</si>
  <si>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</si>
  <si>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</si>
  <si>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</si>
  <si>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</si>
  <si>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</si>
  <si>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</si>
  <si>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</si>
  <si>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</si>
  <si>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</si>
  <si>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</si>
  <si>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</si>
  <si>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</si>
  <si>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</si>
  <si>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</si>
  <si>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</si>
  <si>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</si>
  <si>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</si>
  <si>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</si>
  <si>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</si>
  <si>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</si>
  <si>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</si>
  <si>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</si>
  <si>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</si>
  <si>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</si>
  <si>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</si>
  <si>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</si>
  <si>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</si>
  <si>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</si>
  <si>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</si>
  <si>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</si>
  <si>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</si>
  <si>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</si>
  <si>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</si>
  <si>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</si>
  <si>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</si>
  <si>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</si>
  <si>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</si>
  <si>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</si>
  <si>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</si>
  <si>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</si>
  <si>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</si>
  <si>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</si>
  <si>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</si>
  <si>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</si>
  <si>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</si>
  <si>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</si>
  <si>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</si>
  <si>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</si>
  <si>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</si>
  <si>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</si>
  <si>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</si>
  <si>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</si>
  <si>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</si>
  <si>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</si>
  <si>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</si>
  <si>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</si>
  <si>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</si>
  <si>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</si>
  <si>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</si>
  <si>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</si>
  <si>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</si>
  <si>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</si>
  <si>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</si>
  <si>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</si>
  <si>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</si>
  <si>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</si>
  <si>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</si>
  <si>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</si>
  <si>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</si>
  <si>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</si>
  <si>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</si>
  <si>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</si>
  <si>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</si>
  <si>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</si>
  <si>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</si>
  <si>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</si>
  <si>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</si>
  <si>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</si>
  <si>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</si>
  <si>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</si>
  <si>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</si>
  <si>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</si>
  <si>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</si>
  <si>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</si>
  <si>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</si>
  <si>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</si>
  <si>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</si>
  <si>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</si>
  <si>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</si>
  <si>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</si>
  <si>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</si>
  <si>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</si>
  <si>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</si>
  <si>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</si>
  <si>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</si>
  <si>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</si>
  <si>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</si>
  <si>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</si>
  <si>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</si>
  <si>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</si>
  <si>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</si>
  <si>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</si>
  <si>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</si>
  <si>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</si>
  <si>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</si>
  <si>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</si>
  <si>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</si>
  <si>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</si>
  <si>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</si>
  <si>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</si>
  <si>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</si>
  <si>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</si>
  <si>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</si>
  <si>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</si>
  <si>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</si>
  <si>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</si>
  <si>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</si>
  <si>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</si>
  <si>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</si>
  <si>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</si>
  <si>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</si>
  <si>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</si>
  <si>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</si>
  <si>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</si>
  <si>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</si>
  <si>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</si>
  <si>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</si>
  <si>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</si>
  <si>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</si>
  <si>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</si>
  <si>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</si>
  <si>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</si>
  <si>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</si>
  <si>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</si>
  <si>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</si>
  <si>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</si>
  <si>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</si>
  <si>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</si>
  <si>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</si>
  <si>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</si>
  <si>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</si>
  <si>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</si>
  <si>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</si>
  <si>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</si>
  <si>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</si>
  <si>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</si>
  <si>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</si>
  <si>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</si>
  <si>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</si>
  <si>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</si>
  <si>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</si>
  <si>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</si>
  <si>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</si>
  <si>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</si>
  <si>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</si>
  <si>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</si>
  <si>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</si>
  <si>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</si>
  <si>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</si>
  <si>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</si>
  <si>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</si>
  <si>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</si>
  <si>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</si>
  <si>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</si>
  <si>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</si>
  <si>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</si>
  <si>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</si>
  <si>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</si>
  <si>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</si>
  <si>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</si>
  <si>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</si>
  <si>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</si>
  <si>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</si>
  <si>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</si>
  <si>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</si>
  <si>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</si>
  <si>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</si>
  <si>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</si>
  <si>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</si>
  <si>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</si>
  <si>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</si>
  <si>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</si>
  <si>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</si>
  <si>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</si>
  <si>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</si>
  <si>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</si>
  <si>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</si>
  <si>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</si>
  <si>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</si>
  <si>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</si>
  <si>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</si>
  <si>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</si>
  <si>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</si>
  <si>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</si>
  <si>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</si>
  <si>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</si>
  <si>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</si>
  <si>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</si>
  <si>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</si>
  <si>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</si>
  <si>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</si>
  <si>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</si>
  <si>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</si>
  <si>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</si>
  <si>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</si>
  <si>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</si>
  <si>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</si>
  <si>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</si>
  <si>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</si>
  <si>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</si>
  <si>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</si>
  <si>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</si>
  <si>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</si>
  <si>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</si>
  <si>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</si>
  <si>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</si>
  <si>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</si>
  <si>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</si>
  <si>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</si>
  <si>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</si>
  <si>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</si>
  <si>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</si>
  <si>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</si>
  <si>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</si>
  <si>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</si>
  <si>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</si>
  <si>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</si>
  <si>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</si>
  <si>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</si>
  <si>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</si>
  <si>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</si>
  <si>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</si>
  <si>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</si>
  <si>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</si>
  <si>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</si>
  <si>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</si>
  <si>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</si>
  <si>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</si>
  <si>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</si>
  <si>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</si>
  <si>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</si>
  <si>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</si>
  <si>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</si>
  <si>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</si>
  <si>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</si>
  <si>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</si>
  <si>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</si>
  <si>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</si>
  <si>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</si>
  <si>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</si>
  <si>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</si>
  <si>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</si>
  <si>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</si>
  <si>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</si>
  <si>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</si>
  <si>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</si>
  <si>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</si>
  <si>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</si>
  <si>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</si>
  <si>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</si>
  <si>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</si>
  <si>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</si>
  <si>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</si>
  <si>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</si>
  <si>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</si>
  <si>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</si>
  <si>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</si>
  <si>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</si>
  <si>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</si>
  <si>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</si>
  <si>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</si>
  <si>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</si>
  <si>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</si>
  <si>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</si>
  <si>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</si>
  <si>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</si>
  <si>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</si>
  <si>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</si>
  <si>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</si>
  <si>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</si>
  <si>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</si>
  <si>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</si>
  <si>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</si>
  <si>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</si>
  <si>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</si>
  <si>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</si>
  <si>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</si>
  <si>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</si>
  <si>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</si>
  <si>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</si>
  <si>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</si>
  <si>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</si>
  <si>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</si>
  <si>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</si>
  <si>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</si>
  <si>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</si>
  <si>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</si>
  <si>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</si>
  <si>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</si>
  <si>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</si>
  <si>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</si>
  <si>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</si>
  <si>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WRFT10</t>
  </si>
  <si>
    <t>10.78.11960</t>
  </si>
  <si>
    <t>ASSY_123024501+ASSY_023024521</t>
  </si>
  <si>
    <t>WAVES_3</t>
  </si>
  <si>
    <t>10.21.77088A</t>
  </si>
  <si>
    <t>10.21.77146A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</si>
  <si>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</si>
  <si>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</si>
  <si>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</si>
  <si>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</si>
  <si>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</si>
  <si>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</si>
  <si>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</si>
  <si>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</si>
  <si>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</si>
  <si>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</si>
  <si>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</si>
  <si>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</si>
  <si>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</si>
  <si>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</si>
  <si>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</si>
  <si>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</si>
  <si>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</si>
  <si>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</si>
  <si>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</si>
  <si>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</si>
  <si>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</si>
  <si>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</si>
  <si>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</si>
  <si>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</si>
  <si>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</si>
  <si>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</si>
  <si>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</si>
  <si>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7187903970+7187904070+7274060970</t>
  </si>
  <si>
    <t>clip</t>
  </si>
  <si>
    <t>gr</t>
  </si>
  <si>
    <t>special</t>
  </si>
  <si>
    <t>clip db</t>
  </si>
  <si>
    <t>removed, new layout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</si>
  <si>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</si>
  <si>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</si>
  <si>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</si>
  <si>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</si>
  <si>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</si>
  <si>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</si>
  <si>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</si>
  <si>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</si>
  <si>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</si>
  <si>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</si>
  <si>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</si>
  <si>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</si>
  <si>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</si>
  <si>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</si>
  <si>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</si>
  <si>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</si>
  <si>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</si>
  <si>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</si>
  <si>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</si>
  <si>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</si>
  <si>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</si>
  <si>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</si>
  <si>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</si>
  <si>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</si>
  <si>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</si>
  <si>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</si>
  <si>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</si>
  <si>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</si>
  <si>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</si>
  <si>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</si>
  <si>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</si>
  <si>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</si>
  <si>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</si>
  <si>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</si>
  <si>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</si>
  <si>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</si>
  <si>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</si>
  <si>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</si>
  <si>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</si>
  <si>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</si>
  <si>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</si>
  <si>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</si>
  <si>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</si>
  <si>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</si>
  <si>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</si>
  <si>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</si>
  <si>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</si>
  <si>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</si>
  <si>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</si>
  <si>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</si>
  <si>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</si>
  <si>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</si>
  <si>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</si>
  <si>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</si>
  <si>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</si>
  <si>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</si>
  <si>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</si>
  <si>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</si>
  <si>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</si>
  <si>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</si>
  <si>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</si>
  <si>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</si>
  <si>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</si>
  <si>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</si>
  <si>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</si>
  <si>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</si>
  <si>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</si>
  <si>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</si>
  <si>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</si>
  <si>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</si>
  <si>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</si>
  <si>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</si>
  <si>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</si>
  <si>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</si>
  <si>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</si>
  <si>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</si>
  <si>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</si>
  <si>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</si>
  <si>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</si>
  <si>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</si>
  <si>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</si>
  <si>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</si>
  <si>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</si>
  <si>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</si>
  <si>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</si>
  <si>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</si>
  <si>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</si>
  <si>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</si>
  <si>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</si>
  <si>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</si>
  <si>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</si>
  <si>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</si>
  <si>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</si>
  <si>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</si>
  <si>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</si>
  <si>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</si>
  <si>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</si>
  <si>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</si>
  <si>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</si>
  <si>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</si>
  <si>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</si>
  <si>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</si>
  <si>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</si>
  <si>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</si>
  <si>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</si>
  <si>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</si>
  <si>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</si>
  <si>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</si>
  <si>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</si>
  <si>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</si>
  <si>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</si>
  <si>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</si>
  <si>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</si>
  <si>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</si>
  <si>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</si>
  <si>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</si>
  <si>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</si>
  <si>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</si>
  <si>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</si>
  <si>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</si>
  <si>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</si>
  <si>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</si>
  <si>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</si>
  <si>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</si>
  <si>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</si>
  <si>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</si>
  <si>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</si>
  <si>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</si>
  <si>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</si>
  <si>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</si>
  <si>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</si>
  <si>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</si>
  <si>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</si>
  <si>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</si>
  <si>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</si>
  <si>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</si>
  <si>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</si>
  <si>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</si>
  <si>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</si>
  <si>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</si>
  <si>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</si>
  <si>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</si>
  <si>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</si>
  <si>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</si>
  <si>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</si>
  <si>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</si>
  <si>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</si>
  <si>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</si>
  <si>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</si>
  <si>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</si>
  <si>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</si>
  <si>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</si>
  <si>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</si>
  <si>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</si>
  <si>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</si>
  <si>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</si>
  <si>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</si>
  <si>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</si>
  <si>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</si>
  <si>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</si>
  <si>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</si>
  <si>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</si>
  <si>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</si>
  <si>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</si>
  <si>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</si>
  <si>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</si>
  <si>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</si>
  <si>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</si>
  <si>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</si>
  <si>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</si>
  <si>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</si>
  <si>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</si>
  <si>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</si>
  <si>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</si>
  <si>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</si>
  <si>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</si>
  <si>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</si>
  <si>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</si>
  <si>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</si>
  <si>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</si>
  <si>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</si>
  <si>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</si>
  <si>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</si>
  <si>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</si>
  <si>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</si>
  <si>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</si>
  <si>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</si>
  <si>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</si>
  <si>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</si>
  <si>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</si>
  <si>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</si>
  <si>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</si>
  <si>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</si>
  <si>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</si>
  <si>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</si>
  <si>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</si>
  <si>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</si>
  <si>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</si>
  <si>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</si>
  <si>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</si>
  <si>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</si>
  <si>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</si>
  <si>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</si>
  <si>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</si>
  <si>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</si>
  <si>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</si>
  <si>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</si>
  <si>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</si>
  <si>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</si>
  <si>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</si>
  <si>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</si>
  <si>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</si>
  <si>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</si>
  <si>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</si>
  <si>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</si>
  <si>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</si>
  <si>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</si>
  <si>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</si>
  <si>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</si>
  <si>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</si>
  <si>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</si>
  <si>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</si>
  <si>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</si>
  <si>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</si>
  <si>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</si>
  <si>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</si>
  <si>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</si>
  <si>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</si>
  <si>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</si>
  <si>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</si>
  <si>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</si>
  <si>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</si>
  <si>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</si>
  <si>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</si>
  <si>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</si>
  <si>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</si>
  <si>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</si>
  <si>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</si>
  <si>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</si>
  <si>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</si>
  <si>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</si>
  <si>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</si>
  <si>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</si>
  <si>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</si>
  <si>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</si>
  <si>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</si>
  <si>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</si>
  <si>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</si>
  <si>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</si>
  <si>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</si>
  <si>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</si>
  <si>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</si>
  <si>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</si>
  <si>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</si>
  <si>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</si>
  <si>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</si>
  <si>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</si>
  <si>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</si>
  <si>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</si>
  <si>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</si>
  <si>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</si>
  <si>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</si>
  <si>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</si>
  <si>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</si>
  <si>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</si>
  <si>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</si>
  <si>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</si>
  <si>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</si>
  <si>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</si>
  <si>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</si>
  <si>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</si>
  <si>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</si>
  <si>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</si>
  <si>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</si>
  <si>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</si>
  <si>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</si>
  <si>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</si>
  <si>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</si>
  <si>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</si>
  <si>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</si>
  <si>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</si>
  <si>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</si>
  <si>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</si>
  <si>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</si>
  <si>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</si>
  <si>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</si>
  <si>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</si>
  <si>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</si>
  <si>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</si>
  <si>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</si>
  <si>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</si>
  <si>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</si>
  <si>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</si>
  <si>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</si>
  <si>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</si>
  <si>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</si>
  <si>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</si>
  <si>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</si>
  <si>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</si>
  <si>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</si>
  <si>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</si>
  <si>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</si>
  <si>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</si>
  <si>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</si>
  <si>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</si>
  <si>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</si>
  <si>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</si>
  <si>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</si>
  <si>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</si>
  <si>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</si>
  <si>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</si>
  <si>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</si>
  <si>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</si>
  <si>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</si>
  <si>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</si>
  <si>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</si>
  <si>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</si>
  <si>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</si>
  <si>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</si>
  <si>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</si>
  <si>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</si>
  <si>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</si>
  <si>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</si>
  <si>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</si>
  <si>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</si>
  <si>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</si>
  <si>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</si>
  <si>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</si>
  <si>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</si>
  <si>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</si>
  <si>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</si>
  <si>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</si>
  <si>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</si>
  <si>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</si>
  <si>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</si>
  <si>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</si>
  <si>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</si>
  <si>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</si>
  <si>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</si>
  <si>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</si>
  <si>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</si>
  <si>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</si>
  <si>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</si>
  <si>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</si>
  <si>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</si>
  <si>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</si>
  <si>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</si>
  <si>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</si>
  <si>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</si>
  <si>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</si>
  <si>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</si>
  <si>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</si>
  <si>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</si>
  <si>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</si>
  <si>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</si>
  <si>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</si>
  <si>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</si>
  <si>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</si>
  <si>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</si>
  <si>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</si>
  <si>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</si>
  <si>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</si>
  <si>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</si>
  <si>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</si>
  <si>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</si>
  <si>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</si>
  <si>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</si>
  <si>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</si>
  <si>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</si>
  <si>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</si>
  <si>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</si>
  <si>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</si>
  <si>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</si>
  <si>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</si>
  <si>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</si>
  <si>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</si>
  <si>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</si>
  <si>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</si>
  <si>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</si>
  <si>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</si>
  <si>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</si>
  <si>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</si>
  <si>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</si>
  <si>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</si>
  <si>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</si>
  <si>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</si>
  <si>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</si>
  <si>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</si>
  <si>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</si>
  <si>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</si>
  <si>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</si>
  <si>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</si>
  <si>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</si>
  <si>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</si>
  <si>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</si>
  <si>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</si>
  <si>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</si>
  <si>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</si>
  <si>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</si>
  <si>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</si>
  <si>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</si>
  <si>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</si>
  <si>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</si>
  <si>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</si>
  <si>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</si>
  <si>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</si>
  <si>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</si>
  <si>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</si>
  <si>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</si>
  <si>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</si>
  <si>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</si>
  <si>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</si>
  <si>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</si>
  <si>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</si>
  <si>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</si>
  <si>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</si>
  <si>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</si>
  <si>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</si>
  <si>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</si>
  <si>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</si>
  <si>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</si>
  <si>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</si>
  <si>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</si>
  <si>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</si>
  <si>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</si>
  <si>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</si>
  <si>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</si>
  <si>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</si>
  <si>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</si>
  <si>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</si>
  <si>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</si>
  <si>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</si>
  <si>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</si>
  <si>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</si>
  <si>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</si>
  <si>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</si>
  <si>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</si>
  <si>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</si>
  <si>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</si>
  <si>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</si>
  <si>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</si>
  <si>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</si>
  <si>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</si>
  <si>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</si>
  <si>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</si>
  <si>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</si>
  <si>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</si>
  <si>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</si>
  <si>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</si>
  <si>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</si>
  <si>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</si>
  <si>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</si>
  <si>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</si>
  <si>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</si>
  <si>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</si>
  <si>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</si>
  <si>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</si>
  <si>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</si>
  <si>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</si>
  <si>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</si>
  <si>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</si>
  <si>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</si>
  <si>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</si>
  <si>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</si>
  <si>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</si>
  <si>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</si>
  <si>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</si>
  <si>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</si>
  <si>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</si>
  <si>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</si>
  <si>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</si>
  <si>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</si>
  <si>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</si>
  <si>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</si>
  <si>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</si>
  <si>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</si>
  <si>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</si>
  <si>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</si>
  <si>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</si>
  <si>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</si>
  <si>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</si>
  <si>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</si>
  <si>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</si>
  <si>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</si>
  <si>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</si>
  <si>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</si>
  <si>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</si>
  <si>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</si>
  <si>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</si>
  <si>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</si>
  <si>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</si>
  <si>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</si>
  <si>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</si>
  <si>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</si>
  <si>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</si>
  <si>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</si>
  <si>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</si>
  <si>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</si>
  <si>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</si>
  <si>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</si>
  <si>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</si>
  <si>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</si>
  <si>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</si>
  <si>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</si>
  <si>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</si>
  <si>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</si>
  <si>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</si>
  <si>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</si>
  <si>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</si>
  <si>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</si>
  <si>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</si>
  <si>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</si>
  <si>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</si>
  <si>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</si>
  <si>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</si>
  <si>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</si>
  <si>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</si>
  <si>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</si>
  <si>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</si>
  <si>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</si>
  <si>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</si>
  <si>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</si>
  <si>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</si>
  <si>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</si>
  <si>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</si>
  <si>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</si>
  <si>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</si>
  <si>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</si>
  <si>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</si>
  <si>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</si>
  <si>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</si>
  <si>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</si>
  <si>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</si>
  <si>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</si>
  <si>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</si>
  <si>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</si>
  <si>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</si>
  <si>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</si>
  <si>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</si>
  <si>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</si>
  <si>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</si>
  <si>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</si>
  <si>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</si>
  <si>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</si>
  <si>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</si>
  <si>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</si>
  <si>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</si>
  <si>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</si>
  <si>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</si>
  <si>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</si>
  <si>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</si>
  <si>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</si>
  <si>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</si>
  <si>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</si>
  <si>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</si>
  <si>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</si>
  <si>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</si>
  <si>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</si>
  <si>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</si>
  <si>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</si>
  <si>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</si>
  <si>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</si>
  <si>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</si>
  <si>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</si>
  <si>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</si>
  <si>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</si>
  <si>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</si>
  <si>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</si>
  <si>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</si>
  <si>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</si>
  <si>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</si>
  <si>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</si>
  <si>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</si>
  <si>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</si>
  <si>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</si>
  <si>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</si>
  <si>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</si>
  <si>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</si>
  <si>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</si>
  <si>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</si>
  <si>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</si>
  <si>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</si>
  <si>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</si>
  <si>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</si>
  <si>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</si>
  <si>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</si>
  <si>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</si>
  <si>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</si>
  <si>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</si>
  <si>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</si>
  <si>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</si>
  <si>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</si>
  <si>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</si>
  <si>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</si>
  <si>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</si>
  <si>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</si>
  <si>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</si>
  <si>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</si>
  <si>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</si>
  <si>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</si>
  <si>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</si>
  <si>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</si>
  <si>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</si>
  <si>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</si>
  <si>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</si>
  <si>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</si>
  <si>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</si>
  <si>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</si>
  <si>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</si>
  <si>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</si>
  <si>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</si>
  <si>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</si>
  <si>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</si>
  <si>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</si>
  <si>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</si>
  <si>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</si>
  <si>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</si>
  <si>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</si>
  <si>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</si>
  <si>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</si>
  <si>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</si>
  <si>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</si>
  <si>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</si>
  <si>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</si>
  <si>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</si>
  <si>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</si>
  <si>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</si>
  <si>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</si>
  <si>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</si>
  <si>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</si>
  <si>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</si>
  <si>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</si>
  <si>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</si>
  <si>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</si>
  <si>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</si>
  <si>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</si>
  <si>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Item</t>
  </si>
  <si>
    <t>Purchase Order No-Item</t>
  </si>
  <si>
    <t>Offer NO</t>
  </si>
  <si>
    <t>Product Description</t>
  </si>
  <si>
    <t>MA number</t>
  </si>
  <si>
    <t>Quantity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</si>
  <si>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</si>
  <si>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</si>
  <si>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</si>
  <si>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</si>
  <si>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</si>
  <si>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</si>
  <si>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</si>
  <si>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</si>
  <si>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</si>
  <si>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</si>
  <si>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</si>
  <si>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</si>
  <si>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</si>
  <si>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</si>
  <si>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</si>
  <si>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</si>
  <si>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</si>
  <si>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</si>
  <si>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</si>
  <si>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</si>
  <si>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</si>
  <si>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</si>
  <si>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</si>
  <si>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</si>
  <si>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</si>
  <si>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</si>
  <si>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</si>
  <si>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</si>
  <si>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</si>
  <si>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</si>
  <si>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</si>
  <si>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</si>
  <si>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</si>
  <si>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</si>
  <si>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</si>
  <si>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</si>
  <si>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</si>
  <si>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</si>
  <si>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</si>
  <si>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</si>
  <si>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</si>
  <si>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</si>
  <si>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</si>
  <si>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</si>
  <si>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</si>
  <si>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</si>
  <si>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</si>
  <si>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</si>
  <si>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</si>
  <si>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</si>
  <si>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</si>
  <si>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</si>
  <si>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</si>
  <si>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</si>
  <si>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</si>
  <si>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</si>
  <si>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</si>
  <si>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</si>
  <si>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</si>
  <si>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</si>
  <si>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</si>
  <si>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</si>
  <si>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</si>
  <si>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</si>
  <si>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</si>
  <si>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</si>
  <si>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</si>
  <si>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</si>
  <si>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</si>
  <si>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</si>
  <si>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</si>
  <si>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</si>
  <si>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</si>
  <si>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</si>
  <si>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</si>
  <si>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</si>
  <si>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</si>
  <si>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</si>
  <si>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</si>
  <si>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</si>
  <si>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</si>
  <si>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</si>
  <si>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</si>
  <si>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</si>
  <si>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</si>
  <si>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</si>
  <si>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</si>
  <si>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</si>
  <si>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</si>
  <si>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</si>
  <si>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</si>
  <si>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</si>
  <si>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</si>
  <si>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</si>
  <si>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</si>
  <si>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</si>
  <si>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</si>
  <si>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</si>
  <si>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</si>
  <si>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</si>
  <si>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</si>
  <si>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</si>
  <si>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</si>
  <si>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</si>
  <si>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</si>
  <si>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</si>
  <si>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</si>
  <si>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</si>
  <si>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</si>
  <si>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</si>
  <si>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</si>
  <si>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</si>
  <si>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</si>
  <si>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</si>
  <si>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</si>
  <si>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</si>
  <si>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</si>
  <si>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</si>
  <si>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</si>
  <si>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</si>
  <si>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</si>
  <si>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</si>
  <si>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</si>
  <si>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</si>
  <si>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</si>
  <si>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</si>
  <si>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</si>
  <si>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</si>
  <si>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</si>
  <si>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</si>
  <si>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</si>
  <si>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</si>
  <si>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</si>
  <si>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</si>
  <si>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</si>
  <si>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</si>
  <si>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</si>
  <si>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</si>
  <si>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</si>
  <si>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</si>
  <si>
    <t>qty, pcs</t>
  </si>
  <si>
    <t xml:space="preserve">      </t>
  </si>
  <si>
    <t>262958</t>
  </si>
  <si>
    <t>262957</t>
  </si>
  <si>
    <t>262960</t>
  </si>
  <si>
    <t>262955</t>
  </si>
  <si>
    <t>262959</t>
  </si>
  <si>
    <t>262956</t>
  </si>
  <si>
    <t>total qty</t>
  </si>
  <si>
    <t>count</t>
  </si>
  <si>
    <t>sum</t>
  </si>
  <si>
    <t>processing…</t>
  </si>
  <si>
    <t>10.21.47236A-M</t>
  </si>
  <si>
    <t>10.21.91924A</t>
  </si>
  <si>
    <t>10.21.91924A-1</t>
  </si>
  <si>
    <t>10.21.91924A-2</t>
  </si>
  <si>
    <t>10.21.49114C</t>
  </si>
  <si>
    <t>3d</t>
  </si>
  <si>
    <t>10.21.36860A</t>
  </si>
  <si>
    <t>10.21.91929A</t>
  </si>
  <si>
    <t>10.21.91929A-1</t>
  </si>
  <si>
    <t>10.21.91929A-2</t>
  </si>
  <si>
    <t>263001</t>
  </si>
  <si>
    <t>263004</t>
  </si>
  <si>
    <t>7119172930</t>
  </si>
  <si>
    <t>263006</t>
  </si>
  <si>
    <t>263005</t>
  </si>
  <si>
    <t>263002</t>
  </si>
  <si>
    <t>71196506</t>
  </si>
  <si>
    <t>263003</t>
  </si>
  <si>
    <t>a30</t>
  </si>
  <si>
    <t>10.21.42632B-M</t>
  </si>
  <si>
    <t>10.21.96672A</t>
  </si>
  <si>
    <t>special requrment from Todor</t>
  </si>
  <si>
    <t>no sample</t>
  </si>
  <si>
    <t>10.21.89494A</t>
  </si>
  <si>
    <t>no need</t>
  </si>
  <si>
    <t>263008</t>
  </si>
  <si>
    <t>7119163630</t>
  </si>
  <si>
    <t>263009</t>
  </si>
  <si>
    <t>7119668820</t>
  </si>
  <si>
    <t>263010</t>
  </si>
  <si>
    <t>H248 Engine additional</t>
  </si>
  <si>
    <t>7119140530+7119140640A</t>
  </si>
  <si>
    <t>10.21.77041A-M</t>
  </si>
  <si>
    <t>263021</t>
  </si>
  <si>
    <t>10.21.83655B</t>
  </si>
  <si>
    <t>10.21.96679B</t>
  </si>
  <si>
    <t>H248 Engine</t>
  </si>
  <si>
    <t>10.21.96681B</t>
  </si>
  <si>
    <t>10.21.96678B</t>
  </si>
  <si>
    <t>10.21.96680A</t>
  </si>
  <si>
    <t>h248 lhd/h248 engine</t>
  </si>
  <si>
    <t>263011</t>
  </si>
  <si>
    <t>263012</t>
  </si>
  <si>
    <t>263013</t>
  </si>
  <si>
    <t>263014</t>
  </si>
  <si>
    <t>7035990830</t>
  </si>
  <si>
    <t>263015</t>
  </si>
  <si>
    <t>263016</t>
  </si>
  <si>
    <t>263017</t>
  </si>
  <si>
    <t>7003789102</t>
  </si>
  <si>
    <t>263018</t>
  </si>
  <si>
    <t>7003803702</t>
  </si>
  <si>
    <t>263019</t>
  </si>
  <si>
    <t>7009741502</t>
  </si>
  <si>
    <t>263020</t>
  </si>
  <si>
    <t>7003803502</t>
  </si>
  <si>
    <t>263029</t>
  </si>
  <si>
    <t>263030</t>
  </si>
  <si>
    <t>7009630402</t>
  </si>
  <si>
    <t>263031</t>
  </si>
  <si>
    <t>7009639402</t>
  </si>
  <si>
    <t>263032</t>
  </si>
  <si>
    <t>263033</t>
  </si>
  <si>
    <t>7003292202</t>
  </si>
  <si>
    <t>263034</t>
  </si>
  <si>
    <t>10.21.96682</t>
  </si>
  <si>
    <t>10.21.96683</t>
  </si>
  <si>
    <t>h248 engine</t>
  </si>
  <si>
    <t>10.21.96684</t>
  </si>
  <si>
    <t>263035</t>
  </si>
  <si>
    <t>263036</t>
  </si>
  <si>
    <t>7289921730</t>
  </si>
  <si>
    <t>263037</t>
  </si>
  <si>
    <t>72895381</t>
  </si>
  <si>
    <t>Main RHD H248 14+3jb</t>
  </si>
  <si>
    <t>263038</t>
  </si>
  <si>
    <t xml:space="preserve"> </t>
  </si>
  <si>
    <t>10.21.92202A</t>
  </si>
  <si>
    <t>10.21.92202A-1</t>
  </si>
  <si>
    <t>10.21.92202A-2</t>
  </si>
  <si>
    <t>10.21.96677A</t>
  </si>
  <si>
    <t>10.21.96677A-1</t>
  </si>
  <si>
    <t>10.21.96677A-2</t>
  </si>
  <si>
    <t>10.21.89505A-M</t>
  </si>
  <si>
    <t>263041</t>
  </si>
  <si>
    <t>263040</t>
  </si>
  <si>
    <t>263039</t>
  </si>
  <si>
    <t>A1729821302_EYELET</t>
  </si>
  <si>
    <t>A1729821302_EYELET V3</t>
  </si>
  <si>
    <t>ASSY_59Z006T00B/ASSY_59Z006T00B ASSY_59Z006-T00B</t>
  </si>
  <si>
    <t>h248 rhd</t>
  </si>
  <si>
    <t>h248 l/r hd</t>
  </si>
  <si>
    <t>h49 rhd</t>
  </si>
  <si>
    <t>263062</t>
  </si>
  <si>
    <t>263067</t>
  </si>
  <si>
    <t>263068</t>
  </si>
  <si>
    <t>263076</t>
  </si>
  <si>
    <t>263059</t>
  </si>
  <si>
    <t>263054</t>
  </si>
  <si>
    <t>263050</t>
  </si>
  <si>
    <t>263045</t>
  </si>
  <si>
    <t>263047</t>
  </si>
  <si>
    <t>263053</t>
  </si>
  <si>
    <t>263058</t>
  </si>
  <si>
    <t>263051</t>
  </si>
  <si>
    <t>263077</t>
  </si>
  <si>
    <t>263078</t>
  </si>
  <si>
    <t>263048</t>
  </si>
  <si>
    <t>263074</t>
  </si>
  <si>
    <t>263056</t>
  </si>
  <si>
    <t>263075</t>
  </si>
  <si>
    <t>263066</t>
  </si>
  <si>
    <t>263072</t>
  </si>
  <si>
    <t>263069</t>
  </si>
  <si>
    <t>263052</t>
  </si>
  <si>
    <t>263065</t>
  </si>
  <si>
    <t>263063</t>
  </si>
  <si>
    <t>263079</t>
  </si>
  <si>
    <t>263055</t>
  </si>
  <si>
    <t>263080</t>
  </si>
  <si>
    <t>263071</t>
  </si>
  <si>
    <t>263046</t>
  </si>
  <si>
    <t>263070</t>
  </si>
  <si>
    <t>263064</t>
  </si>
  <si>
    <t>263049</t>
  </si>
  <si>
    <t>7289063430</t>
  </si>
  <si>
    <t>263060</t>
  </si>
  <si>
    <t>263073</t>
  </si>
  <si>
    <t>263057</t>
  </si>
  <si>
    <t>263061</t>
  </si>
  <si>
    <t>Word</t>
  </si>
  <si>
    <t>Count</t>
  </si>
  <si>
    <t>up</t>
  </si>
  <si>
    <t>left</t>
  </si>
  <si>
    <t>right</t>
  </si>
  <si>
    <t>rotary</t>
  </si>
  <si>
    <t xml:space="preserve">RIGHT </t>
  </si>
  <si>
    <t>part 2</t>
  </si>
  <si>
    <t>v2 527,203,521,204</t>
  </si>
  <si>
    <t>v1 525,472</t>
  </si>
  <si>
    <t>v3 440</t>
  </si>
  <si>
    <t>v4 241,284,281,179,188,149,135,166,190</t>
  </si>
  <si>
    <t>209, 212, 232, 267, 221,  239</t>
  </si>
  <si>
    <t>215, 237, 277, 229</t>
  </si>
  <si>
    <t>Указание за монтаж на SC35H - H248 RHD /серия 30 - 40/</t>
  </si>
  <si>
    <t>qtyx14+3</t>
  </si>
  <si>
    <t>C313</t>
  </si>
  <si>
    <t>C149</t>
  </si>
  <si>
    <t>Указание за монтаж на клипс-холдър - H248 RHD</t>
  </si>
  <si>
    <t>I10202</t>
  </si>
  <si>
    <t xml:space="preserve">Указание за монтаж на SC35H - H248 LHD </t>
  </si>
  <si>
    <t>ready</t>
  </si>
  <si>
    <t>h248 lhd/rhd</t>
  </si>
  <si>
    <t>10.21.97019A</t>
  </si>
  <si>
    <t>10.21.97019A-1</t>
  </si>
  <si>
    <t>10.21.97019A-2</t>
  </si>
  <si>
    <t>12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</si>
  <si>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</si>
  <si>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</si>
  <si>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</si>
  <si>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</si>
  <si>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</si>
  <si>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</si>
  <si>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</si>
  <si>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</si>
  <si>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</si>
  <si>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</si>
  <si>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</si>
  <si>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</si>
  <si>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</si>
  <si>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</si>
  <si>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</si>
  <si>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</si>
  <si>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</si>
  <si>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</si>
  <si>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</si>
  <si>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</si>
  <si>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</si>
  <si>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</si>
  <si>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</si>
  <si>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</si>
  <si>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</si>
  <si>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</si>
  <si>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</si>
  <si>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exeption</t>
  </si>
  <si>
    <t>added in last layout need price difference</t>
  </si>
  <si>
    <t>removed last layout</t>
  </si>
  <si>
    <t>DN</t>
  </si>
  <si>
    <t>Pof</t>
  </si>
  <si>
    <t>DN new</t>
  </si>
  <si>
    <t>263102</t>
  </si>
  <si>
    <t>7298949030</t>
  </si>
  <si>
    <t>263101</t>
  </si>
  <si>
    <t>7298948930</t>
  </si>
  <si>
    <t>263103</t>
  </si>
  <si>
    <t>263104</t>
  </si>
  <si>
    <t>I10206</t>
  </si>
  <si>
    <t>263099</t>
  </si>
  <si>
    <t>317, 318</t>
  </si>
  <si>
    <t>155, 491</t>
  </si>
  <si>
    <t>134, 490</t>
  </si>
  <si>
    <t>10.21.70526A-3</t>
  </si>
  <si>
    <t>10.21.98948A</t>
  </si>
  <si>
    <t>H248 MAIN LHD</t>
  </si>
  <si>
    <t>I10202, I10162</t>
  </si>
  <si>
    <t>H248 MAIN RHD</t>
  </si>
  <si>
    <t>263120</t>
  </si>
  <si>
    <t>7278246930</t>
  </si>
  <si>
    <t>263123</t>
  </si>
  <si>
    <t>263124</t>
  </si>
  <si>
    <t>263122</t>
  </si>
  <si>
    <t>263121</t>
  </si>
  <si>
    <t>zone</t>
  </si>
  <si>
    <t>section</t>
  </si>
  <si>
    <t>386, 108</t>
  </si>
  <si>
    <t>222,93,258</t>
  </si>
  <si>
    <t>193, 194</t>
  </si>
  <si>
    <t>485, 486</t>
  </si>
  <si>
    <t>4, 26</t>
  </si>
  <si>
    <t>29, 30</t>
  </si>
  <si>
    <t>281, 284, 166, 190, 135, 188, 179, 249, 69,241</t>
  </si>
  <si>
    <t>11, 11</t>
  </si>
  <si>
    <t>1, 3, 10, 11, 13, 20, 21, 31, 29, 31</t>
  </si>
  <si>
    <t>9, 21</t>
  </si>
  <si>
    <t>20, 10</t>
  </si>
  <si>
    <t>10, 25, 33</t>
  </si>
  <si>
    <t>178, 164</t>
  </si>
  <si>
    <t>9, 22</t>
  </si>
  <si>
    <t>132, 239</t>
  </si>
  <si>
    <t>22, 21</t>
  </si>
  <si>
    <t>172, 169</t>
  </si>
  <si>
    <t>167, 176</t>
  </si>
  <si>
    <t>22, 9</t>
  </si>
  <si>
    <t>174, 170</t>
  </si>
  <si>
    <t>208, 233</t>
  </si>
  <si>
    <t>238, 213</t>
  </si>
  <si>
    <t>22, 7</t>
  </si>
  <si>
    <t>212, 209, 267, 221</t>
  </si>
  <si>
    <t>8, 9, 2, 29</t>
  </si>
  <si>
    <t>237, 215, 277, 229</t>
  </si>
  <si>
    <t>22, 7, 8, 27</t>
  </si>
  <si>
    <t>vZone</t>
  </si>
  <si>
    <t>vSector</t>
  </si>
  <si>
    <t>25, 32</t>
  </si>
  <si>
    <t>192, 184, 496</t>
  </si>
  <si>
    <t>11, 18, 32</t>
  </si>
  <si>
    <t>117, 129</t>
  </si>
  <si>
    <t>12, 25</t>
  </si>
  <si>
    <t>x15JB</t>
  </si>
  <si>
    <t>525, 472</t>
  </si>
  <si>
    <t>29, 13</t>
  </si>
  <si>
    <t>95, 177</t>
  </si>
  <si>
    <t>16, 22</t>
  </si>
  <si>
    <t>s</t>
  </si>
  <si>
    <t>246, 248</t>
  </si>
  <si>
    <t>32, 32</t>
  </si>
  <si>
    <t>232, 55</t>
  </si>
  <si>
    <t>203, 204, 521, 527</t>
  </si>
  <si>
    <t>7, 23, 29, 3</t>
  </si>
  <si>
    <t>312, 313, 317, 318</t>
  </si>
  <si>
    <t>27,27,25,25</t>
  </si>
  <si>
    <t>292, 483</t>
  </si>
  <si>
    <t>3, 32</t>
  </si>
  <si>
    <t>C292 - 7 бр.</t>
  </si>
  <si>
    <t>C483 - 7 бр.</t>
  </si>
  <si>
    <t>I10207</t>
  </si>
  <si>
    <t>I10208</t>
  </si>
  <si>
    <t>H248 SA BOARDS SERIE_AMG</t>
  </si>
  <si>
    <t>H248 SA BOARDS CSUB-14</t>
  </si>
  <si>
    <t>UP</t>
  </si>
  <si>
    <t xml:space="preserve">7289464330+7174907130
</t>
  </si>
  <si>
    <t>I10220</t>
  </si>
  <si>
    <t>10.21.96671A</t>
  </si>
  <si>
    <t>10.21.96671A-1</t>
  </si>
  <si>
    <t>10.21.96671A-2</t>
  </si>
  <si>
    <t>SA boards H248 position LEFT</t>
  </si>
  <si>
    <t>H248 SA BOARDS C-SUB15_16</t>
  </si>
  <si>
    <t>SA boards H248</t>
  </si>
  <si>
    <t>7252785330D_DP - 21 бр.</t>
  </si>
  <si>
    <t>7252785330S_DP - 7 бр.</t>
  </si>
  <si>
    <t>C312, C317, C318 - 21 бр.</t>
  </si>
  <si>
    <t>C313 - 7 бр.</t>
  </si>
  <si>
    <t xml:space="preserve">C397 - 7 бр. </t>
  </si>
  <si>
    <t>C203, C204 - 14 бр.</t>
  </si>
  <si>
    <t>C521, C527 - 14 бр.</t>
  </si>
  <si>
    <t>H248 lhd/rhd</t>
  </si>
  <si>
    <t>10.21.91939A</t>
  </si>
  <si>
    <t>10.21.91939A-1</t>
  </si>
  <si>
    <t>10.21.91939A-2</t>
  </si>
  <si>
    <t>10.21.91939A-3</t>
  </si>
  <si>
    <t>H248 lhd/rhd rotary</t>
  </si>
  <si>
    <t>10.21.98949B</t>
  </si>
  <si>
    <t>10.21.83695H</t>
  </si>
  <si>
    <t>spcer 12 o'clock</t>
  </si>
  <si>
    <t>h248 l/r hd, spacer  9 o'clock</t>
  </si>
  <si>
    <t>247, 243</t>
  </si>
  <si>
    <t>263203</t>
  </si>
  <si>
    <t>263204</t>
  </si>
  <si>
    <t>263202</t>
  </si>
  <si>
    <t>263205</t>
  </si>
  <si>
    <t>263207</t>
  </si>
  <si>
    <t>263208</t>
  </si>
  <si>
    <t>263206</t>
  </si>
  <si>
    <t>282, 231</t>
  </si>
  <si>
    <t>3, 30</t>
  </si>
  <si>
    <t>426, 320</t>
  </si>
  <si>
    <t>8, 9</t>
  </si>
  <si>
    <t>design</t>
  </si>
  <si>
    <t>10.21.98967B</t>
  </si>
  <si>
    <t>10.21.91967A</t>
  </si>
  <si>
    <t>H248 lhd/rhd, cover orientation 90°</t>
  </si>
  <si>
    <t>10.21.77000B-1</t>
  </si>
  <si>
    <t>10.21.77000B-2</t>
  </si>
  <si>
    <t>10.21.77000B-3</t>
  </si>
  <si>
    <t>LED</t>
  </si>
  <si>
    <t>SWITCH</t>
  </si>
  <si>
    <t>Черен</t>
  </si>
  <si>
    <t>Бял</t>
  </si>
  <si>
    <t>Син</t>
  </si>
  <si>
    <t>Зелен</t>
  </si>
  <si>
    <t>Жълт</t>
  </si>
  <si>
    <t>Кафяв</t>
  </si>
  <si>
    <t>Сив</t>
  </si>
  <si>
    <t>Лилав</t>
  </si>
  <si>
    <t>Червен</t>
  </si>
  <si>
    <t>Цветова маркировка на проводниците  – LED и SWITCH</t>
  </si>
  <si>
    <t>GND</t>
  </si>
  <si>
    <t>LED_2 '+'</t>
  </si>
  <si>
    <t>LED_1 '+'</t>
  </si>
  <si>
    <t>LED_3 '+'</t>
  </si>
  <si>
    <t>LED_4 '+'</t>
  </si>
  <si>
    <t>ЦВЯТ НА ПРОВОДНИКА</t>
  </si>
  <si>
    <t>ФУНКЦИЯ</t>
  </si>
  <si>
    <t>KEY_1*</t>
  </si>
  <si>
    <t>KEY_2*</t>
  </si>
  <si>
    <t>KEY_3*</t>
  </si>
  <si>
    <t>KEY_4*</t>
  </si>
  <si>
    <t>* затваря между двете посочени жила</t>
  </si>
  <si>
    <t>189, 182</t>
  </si>
  <si>
    <t>11, 19</t>
  </si>
  <si>
    <t>217, 401, 400</t>
  </si>
  <si>
    <t>8, 12, 19</t>
  </si>
  <si>
    <t>MMA C174_MAIN_AJ27.1 PRO1_FB_A1745409904_RBA LL_A174</t>
  </si>
  <si>
    <t>I10218</t>
  </si>
  <si>
    <t>71196683+7173344320</t>
  </si>
  <si>
    <t>10.21.76941</t>
  </si>
  <si>
    <t>7247075530S</t>
  </si>
  <si>
    <t>7247374930S</t>
  </si>
  <si>
    <t>7247760830S</t>
  </si>
  <si>
    <t>7247760930S</t>
  </si>
  <si>
    <t>7247761330S</t>
  </si>
  <si>
    <t>7247761330U</t>
  </si>
  <si>
    <t>7247776330D</t>
  </si>
  <si>
    <t>7247781230D</t>
  </si>
  <si>
    <t>7247781230S</t>
  </si>
  <si>
    <t>7247781230U</t>
  </si>
  <si>
    <t>7247781730S</t>
  </si>
  <si>
    <t>7247787730S</t>
  </si>
  <si>
    <t>72478572D</t>
  </si>
  <si>
    <t>72478572U</t>
  </si>
  <si>
    <t>7252779130U</t>
  </si>
  <si>
    <t>7252815130D</t>
  </si>
  <si>
    <t>7047135830S</t>
  </si>
  <si>
    <t>7047178330D</t>
  </si>
  <si>
    <t>7047273930D</t>
  </si>
  <si>
    <t>7047275330D</t>
  </si>
  <si>
    <t>7047305630S</t>
  </si>
  <si>
    <t>7047797530D</t>
  </si>
  <si>
    <t>7052161430S</t>
  </si>
  <si>
    <t>10.21.77157_A</t>
  </si>
  <si>
    <t>ASSY_AMZ005DC0B</t>
  </si>
  <si>
    <t>10.21.76985_A</t>
  </si>
  <si>
    <t>vname</t>
  </si>
  <si>
    <t>vqty</t>
  </si>
  <si>
    <t>vma</t>
  </si>
  <si>
    <t>product_list</t>
  </si>
  <si>
    <t>ma_status</t>
  </si>
  <si>
    <t>calc</t>
  </si>
  <si>
    <t>530, 143, 121, 522</t>
  </si>
  <si>
    <t>5,4,25,29</t>
  </si>
  <si>
    <t>10.21.98977C</t>
  </si>
  <si>
    <t>10.21.98979C</t>
  </si>
  <si>
    <t>10.21.98979C-1</t>
  </si>
  <si>
    <t>10.21.98979C-2</t>
  </si>
  <si>
    <t>H248 lhd cover orientation 180°</t>
  </si>
  <si>
    <t>10.21.92170A</t>
  </si>
  <si>
    <t>H248 lhd/rhd right</t>
  </si>
  <si>
    <t>H248 lhd/rhd left</t>
  </si>
  <si>
    <t>10.21.92170A-1</t>
  </si>
  <si>
    <t>10.21.92170A-2</t>
  </si>
  <si>
    <t>10.21.92170A-3</t>
  </si>
  <si>
    <t>10.21.92419A</t>
  </si>
  <si>
    <t>10.21.92419A-1</t>
  </si>
  <si>
    <t>10.21.92419A-2</t>
  </si>
  <si>
    <t>10.21.92419A-3</t>
  </si>
  <si>
    <t>263411</t>
  </si>
  <si>
    <t>7178270480</t>
  </si>
  <si>
    <t>263412</t>
  </si>
  <si>
    <t>263414</t>
  </si>
  <si>
    <t>7177097330</t>
  </si>
  <si>
    <t>263413</t>
  </si>
  <si>
    <t>263415</t>
  </si>
  <si>
    <t>263197</t>
  </si>
  <si>
    <t>263198</t>
  </si>
  <si>
    <t>263172</t>
  </si>
  <si>
    <t>263177</t>
  </si>
  <si>
    <t>263170</t>
  </si>
  <si>
    <t>263174</t>
  </si>
  <si>
    <t>263186</t>
  </si>
  <si>
    <t>263176</t>
  </si>
  <si>
    <t>263169</t>
  </si>
  <si>
    <t>263168</t>
  </si>
  <si>
    <t>263171</t>
  </si>
  <si>
    <t>263173</t>
  </si>
  <si>
    <t>263166</t>
  </si>
  <si>
    <t>263178</t>
  </si>
  <si>
    <t>263182</t>
  </si>
  <si>
    <t>263180</t>
  </si>
  <si>
    <t>263187</t>
  </si>
  <si>
    <t>263167</t>
  </si>
  <si>
    <t>263181</t>
  </si>
  <si>
    <t>263183</t>
  </si>
  <si>
    <t>263175</t>
  </si>
  <si>
    <t>263184</t>
  </si>
  <si>
    <t>263179</t>
  </si>
  <si>
    <t>263185</t>
  </si>
  <si>
    <t>298, 396</t>
  </si>
  <si>
    <t>3, 9</t>
  </si>
  <si>
    <t>263396</t>
  </si>
  <si>
    <t>263392</t>
  </si>
  <si>
    <t>263339</t>
  </si>
  <si>
    <t>263368</t>
  </si>
  <si>
    <t>263346</t>
  </si>
  <si>
    <t>263322</t>
  </si>
  <si>
    <t>263372</t>
  </si>
  <si>
    <t>263359</t>
  </si>
  <si>
    <t>263348</t>
  </si>
  <si>
    <t>263380</t>
  </si>
  <si>
    <t>263347</t>
  </si>
  <si>
    <t>263369</t>
  </si>
  <si>
    <t>263331</t>
  </si>
  <si>
    <t>263333</t>
  </si>
  <si>
    <t>263320</t>
  </si>
  <si>
    <t>263366</t>
  </si>
  <si>
    <t>263381</t>
  </si>
  <si>
    <t>7009741102</t>
  </si>
  <si>
    <t>263332</t>
  </si>
  <si>
    <t>263335</t>
  </si>
  <si>
    <t>263344</t>
  </si>
  <si>
    <t>263308</t>
  </si>
  <si>
    <t>7075231830</t>
  </si>
  <si>
    <t>263341</t>
  </si>
  <si>
    <t>263370</t>
  </si>
  <si>
    <t>263383</t>
  </si>
  <si>
    <t>263360</t>
  </si>
  <si>
    <t>263350</t>
  </si>
  <si>
    <t>263371</t>
  </si>
  <si>
    <t>263355</t>
  </si>
  <si>
    <t>263358</t>
  </si>
  <si>
    <t>263376</t>
  </si>
  <si>
    <t>263351</t>
  </si>
  <si>
    <t>263393</t>
  </si>
  <si>
    <t>263367</t>
  </si>
  <si>
    <t>263342</t>
  </si>
  <si>
    <t>263377</t>
  </si>
  <si>
    <t>7075226730</t>
  </si>
  <si>
    <t>263337</t>
  </si>
  <si>
    <t>263345</t>
  </si>
  <si>
    <t>263399</t>
  </si>
  <si>
    <t>7119665630</t>
  </si>
  <si>
    <t>263403</t>
  </si>
  <si>
    <t>263334</t>
  </si>
  <si>
    <t>263388</t>
  </si>
  <si>
    <t>263361</t>
  </si>
  <si>
    <t>263317</t>
  </si>
  <si>
    <t>263379</t>
  </si>
  <si>
    <t>263382</t>
  </si>
  <si>
    <t>263312</t>
  </si>
  <si>
    <t>263352</t>
  </si>
  <si>
    <t>263325</t>
  </si>
  <si>
    <t>263362</t>
  </si>
  <si>
    <t>263324</t>
  </si>
  <si>
    <t>263313</t>
  </si>
  <si>
    <t>263390</t>
  </si>
  <si>
    <t>263397</t>
  </si>
  <si>
    <t>263340</t>
  </si>
  <si>
    <t>263353</t>
  </si>
  <si>
    <t>263391</t>
  </si>
  <si>
    <t>7075226830</t>
  </si>
  <si>
    <t>263310</t>
  </si>
  <si>
    <t>7075236930</t>
  </si>
  <si>
    <t>263364</t>
  </si>
  <si>
    <t>263401</t>
  </si>
  <si>
    <t>263329</t>
  </si>
  <si>
    <t>263378</t>
  </si>
  <si>
    <t>263354</t>
  </si>
  <si>
    <t>263314</t>
  </si>
  <si>
    <t>263400</t>
  </si>
  <si>
    <t>7119637880</t>
  </si>
  <si>
    <t>263327</t>
  </si>
  <si>
    <t>263395</t>
  </si>
  <si>
    <t>263394</t>
  </si>
  <si>
    <t>263349</t>
  </si>
  <si>
    <t>263321</t>
  </si>
  <si>
    <t>263319</t>
  </si>
  <si>
    <t>71196180</t>
  </si>
  <si>
    <t>263318</t>
  </si>
  <si>
    <t>263404</t>
  </si>
  <si>
    <t>263309</t>
  </si>
  <si>
    <t>263315</t>
  </si>
  <si>
    <t>263323</t>
  </si>
  <si>
    <t>263385</t>
  </si>
  <si>
    <t>263356</t>
  </si>
  <si>
    <t>263384</t>
  </si>
  <si>
    <t>71196350</t>
  </si>
  <si>
    <t>263343</t>
  </si>
  <si>
    <t>263326</t>
  </si>
  <si>
    <t>263387</t>
  </si>
  <si>
    <t>72186417</t>
  </si>
  <si>
    <t>263398</t>
  </si>
  <si>
    <t>263363</t>
  </si>
  <si>
    <t>263375</t>
  </si>
  <si>
    <t>263316</t>
  </si>
  <si>
    <t>263389</t>
  </si>
  <si>
    <t>263336</t>
  </si>
  <si>
    <t>263402</t>
  </si>
  <si>
    <t>263328</t>
  </si>
  <si>
    <t>263330</t>
  </si>
  <si>
    <t>263357</t>
  </si>
  <si>
    <t>72988085</t>
  </si>
  <si>
    <t>263365</t>
  </si>
  <si>
    <t>263374</t>
  </si>
  <si>
    <t>263338</t>
  </si>
  <si>
    <t>263311</t>
  </si>
  <si>
    <t>263386</t>
  </si>
  <si>
    <t>263373</t>
  </si>
  <si>
    <t>sample no</t>
  </si>
  <si>
    <t>n/a</t>
  </si>
  <si>
    <t>ma</t>
  </si>
  <si>
    <t>06/10/2026 емаил</t>
  </si>
  <si>
    <t>10.21.34996A</t>
  </si>
  <si>
    <t>C174</t>
  </si>
  <si>
    <t>10.21.45560B</t>
  </si>
  <si>
    <t>263482</t>
  </si>
  <si>
    <t>263481</t>
  </si>
  <si>
    <t>7247776330</t>
  </si>
  <si>
    <t>263462</t>
  </si>
  <si>
    <t>263487</t>
  </si>
  <si>
    <t>263464</t>
  </si>
  <si>
    <t>263468</t>
  </si>
  <si>
    <t>263494</t>
  </si>
  <si>
    <t>7047797530</t>
  </si>
  <si>
    <t>263484</t>
  </si>
  <si>
    <t>263473</t>
  </si>
  <si>
    <t>263493</t>
  </si>
  <si>
    <t>71191277</t>
  </si>
  <si>
    <t>263486</t>
  </si>
  <si>
    <t>263467</t>
  </si>
  <si>
    <t>263463</t>
  </si>
  <si>
    <t>263485</t>
  </si>
  <si>
    <t>263470</t>
  </si>
  <si>
    <t>263478</t>
  </si>
  <si>
    <t>263460</t>
  </si>
  <si>
    <t>263490</t>
  </si>
  <si>
    <t>71799512</t>
  </si>
  <si>
    <t>263479</t>
  </si>
  <si>
    <t>263475</t>
  </si>
  <si>
    <t>263465</t>
  </si>
  <si>
    <t>263491</t>
  </si>
  <si>
    <t>7047275330</t>
  </si>
  <si>
    <t>263466</t>
  </si>
  <si>
    <t>263471</t>
  </si>
  <si>
    <t>263492</t>
  </si>
  <si>
    <t>7298808730</t>
  </si>
  <si>
    <t>263461</t>
  </si>
  <si>
    <t>263483</t>
  </si>
  <si>
    <t>263469</t>
  </si>
  <si>
    <t>263480</t>
  </si>
  <si>
    <t>263474</t>
  </si>
  <si>
    <t>7047178330</t>
  </si>
  <si>
    <t>263489</t>
  </si>
  <si>
    <t>263472</t>
  </si>
  <si>
    <t>7047305630</t>
  </si>
  <si>
    <t>263488</t>
  </si>
  <si>
    <t>263476</t>
  </si>
  <si>
    <t>7247075530</t>
  </si>
  <si>
    <t>263477</t>
  </si>
  <si>
    <t>7247374930</t>
  </si>
  <si>
    <t>263458</t>
  </si>
  <si>
    <t>263459</t>
  </si>
  <si>
    <t>263456</t>
  </si>
  <si>
    <t>263455</t>
  </si>
  <si>
    <t>263457</t>
  </si>
  <si>
    <t>prototyping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</si>
</sst>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  <font>
      <b/>
      <i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6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27ACB"/>
        <bgColor indexed="64"/>
      </patternFill>
    </fill>
  </fills>
  <borders count="5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808080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rgb="FFFFFFF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FFFFFF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FFFFF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indexed="64"/>
      </top>
      <bottom/>
      <diagonal/>
    </border>
    <border>
      <left/>
      <right style="thin">
        <color rgb="FFFFFFFF"/>
      </right>
      <top style="thin">
        <color indexed="64"/>
      </top>
      <bottom/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15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12" fillId="0" borderId="4" xfId="0" applyFont="1" applyBorder="1"/>
    <xf numFmtId="0" fontId="0" fillId="10" borderId="0" xfId="0" applyFill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0" fillId="0" borderId="4" xfId="0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0" fillId="0" borderId="4" xfId="0" applyFont="1" applyBorder="1"/>
    <xf numFmtId="0" fontId="0" fillId="14" borderId="0" xfId="0" applyFill="1"/>
    <xf numFmtId="0" fontId="12" fillId="14" borderId="0" xfId="0" applyFont="1" applyFill="1"/>
    <xf numFmtId="0" fontId="0" fillId="3" borderId="5" xfId="0" applyFill="1" applyBorder="1" applyAlignment="1">
      <alignment horizontal="left" vertical="top"/>
    </xf>
    <xf numFmtId="0" fontId="0" fillId="11" borderId="4" xfId="0" applyFill="1" applyBorder="1" applyAlignment="1">
      <alignment horizontal="left"/>
    </xf>
    <xf numFmtId="0" fontId="0" fillId="11" borderId="4" xfId="0" applyFill="1" applyBorder="1"/>
    <xf numFmtId="3" fontId="0" fillId="0" borderId="0" xfId="0" applyNumberFormat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10" fillId="0" borderId="21" xfId="0" applyFont="1" applyBorder="1" applyAlignment="1">
      <alignment horizontal="left" wrapText="1"/>
    </xf>
    <xf numFmtId="0" fontId="10" fillId="0" borderId="22" xfId="0" applyFont="1" applyBorder="1"/>
    <xf numFmtId="0" fontId="15" fillId="0" borderId="22" xfId="0" applyFont="1" applyBorder="1"/>
    <xf numFmtId="0" fontId="10" fillId="0" borderId="20" xfId="0" applyFont="1" applyBorder="1"/>
    <xf numFmtId="0" fontId="17" fillId="0" borderId="11" xfId="0" applyFont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23" xfId="0" applyFont="1" applyFill="1" applyBorder="1" applyAlignment="1">
      <alignment horizontal="center" vertical="center"/>
    </xf>
    <xf numFmtId="0" fontId="0" fillId="5" borderId="0" xfId="0" applyFill="1"/>
    <xf numFmtId="0" fontId="22" fillId="0" borderId="4" xfId="0" applyFont="1" applyBorder="1" applyAlignment="1">
      <alignment horizontal="center" vertical="center"/>
    </xf>
    <xf numFmtId="0" fontId="0" fillId="5" borderId="4" xfId="0" applyFill="1" applyBorder="1"/>
    <xf numFmtId="0" fontId="22" fillId="0" borderId="4" xfId="0" applyFont="1" applyBorder="1" applyAlignment="1">
      <alignment horizontal="left" vertical="center"/>
    </xf>
    <xf numFmtId="0" fontId="0" fillId="17" borderId="4" xfId="0" applyFill="1" applyBorder="1" applyAlignment="1">
      <alignment horizontal="left"/>
    </xf>
    <xf numFmtId="0" fontId="0" fillId="17" borderId="4" xfId="0" applyFill="1" applyBorder="1"/>
    <xf numFmtId="0" fontId="0" fillId="17" borderId="0" xfId="0" applyFill="1"/>
    <xf numFmtId="0" fontId="0" fillId="10" borderId="4" xfId="0" applyFill="1" applyBorder="1"/>
    <xf numFmtId="0" fontId="8" fillId="22" borderId="4" xfId="0" applyFont="1" applyFill="1" applyBorder="1"/>
    <xf numFmtId="0" fontId="12" fillId="14" borderId="4" xfId="0" applyFont="1" applyFill="1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2" fillId="0" borderId="22" xfId="0" applyFont="1" applyBorder="1"/>
    <xf numFmtId="0" fontId="8" fillId="23" borderId="44" xfId="0" applyFont="1" applyFill="1" applyBorder="1"/>
    <xf numFmtId="0" fontId="8" fillId="18" borderId="43" xfId="0" applyFont="1" applyFill="1" applyBorder="1" applyAlignment="1">
      <alignment horizontal="right"/>
    </xf>
    <xf numFmtId="0" fontId="8" fillId="18" borderId="45" xfId="0" applyFont="1" applyFill="1" applyBorder="1" applyAlignment="1">
      <alignment horizontal="right"/>
    </xf>
    <xf numFmtId="0" fontId="8" fillId="18" borderId="16" xfId="0" applyFont="1" applyFill="1" applyBorder="1" applyAlignment="1">
      <alignment horizontal="right"/>
    </xf>
    <xf numFmtId="0" fontId="8" fillId="18" borderId="44" xfId="0" applyFont="1" applyFill="1" applyBorder="1" applyAlignment="1">
      <alignment horizontal="right"/>
    </xf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0" borderId="35" xfId="0" applyBorder="1"/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25" fillId="0" borderId="56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0" fontId="8" fillId="0" borderId="51" xfId="0" applyFont="1" applyBorder="1" applyAlignment="1">
      <alignment horizontal="center"/>
    </xf>
    <xf numFmtId="0" fontId="12" fillId="14" borderId="33" xfId="0" applyFont="1" applyFill="1" applyBorder="1" applyAlignment="1">
      <alignment horizontal="left"/>
    </xf>
    <xf numFmtId="0" fontId="12" fillId="14" borderId="40" xfId="0" applyFont="1" applyFill="1" applyBorder="1" applyAlignment="1">
      <alignment horizontal="left"/>
    </xf>
    <xf numFmtId="0" fontId="12" fillId="0" borderId="39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2" fillId="0" borderId="48" xfId="0" applyFont="1" applyBorder="1" applyAlignment="1">
      <alignment horizontal="center"/>
    </xf>
    <xf numFmtId="0" fontId="12" fillId="0" borderId="47" xfId="0" applyFont="1" applyBorder="1" applyAlignment="1">
      <alignment horizontal="center"/>
    </xf>
    <xf numFmtId="0" fontId="12" fillId="20" borderId="4" xfId="0" applyFont="1" applyFill="1" applyBorder="1" applyAlignment="1">
      <alignment horizont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5" borderId="4" xfId="0" applyFont="1" applyFill="1" applyBorder="1" applyAlignment="1">
      <alignment horizontal="center"/>
    </xf>
    <xf numFmtId="0" fontId="12" fillId="21" borderId="4" xfId="0" applyFont="1" applyFill="1" applyBorder="1" applyAlignment="1">
      <alignment horizontal="center"/>
    </xf>
    <xf numFmtId="0" fontId="23" fillId="10" borderId="4" xfId="0" applyFont="1" applyFill="1" applyBorder="1" applyAlignment="1">
      <alignment horizontal="center"/>
    </xf>
    <xf numFmtId="0" fontId="8" fillId="22" borderId="32" xfId="0" applyFont="1" applyFill="1" applyBorder="1" applyAlignment="1">
      <alignment horizontal="left"/>
    </xf>
    <xf numFmtId="0" fontId="8" fillId="22" borderId="38" xfId="0" applyFont="1" applyFill="1" applyBorder="1" applyAlignment="1">
      <alignment horizontal="left"/>
    </xf>
    <xf numFmtId="0" fontId="12" fillId="0" borderId="32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23" fillId="19" borderId="32" xfId="0" applyFont="1" applyFill="1" applyBorder="1" applyAlignment="1">
      <alignment horizontal="left"/>
    </xf>
    <xf numFmtId="0" fontId="23" fillId="19" borderId="38" xfId="0" applyFont="1" applyFill="1" applyBorder="1" applyAlignment="1">
      <alignment horizontal="left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23" fillId="18" borderId="46" xfId="0" applyFont="1" applyFill="1" applyBorder="1" applyAlignment="1">
      <alignment horizontal="left"/>
    </xf>
    <xf numFmtId="0" fontId="23" fillId="18" borderId="29" xfId="0" applyFont="1" applyFill="1" applyBorder="1" applyAlignment="1">
      <alignment horizontal="left"/>
    </xf>
    <xf numFmtId="0" fontId="0" fillId="0" borderId="0" xfId="0" applyNumberFormat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52">
    <dxf>
      <numFmt numFmtId="0" formatCode="General"/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000000"/>
      <color rgb="FF503FF1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694B3FA-E632-4E57-A81B-6F5C0DC2E279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8D91F45-14D9-4748-8851-430AE42D0FF5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B19FB17-96EF-44B9-B5DF-5F57057A3A6B}" autoFormatId="16" applyNumberFormats="0" applyBorderFormats="0" applyFontFormats="0" applyPatternFormats="0" applyAlignmentFormats="0" applyWidthHeightFormats="0">
  <queryTableRefresh nextId="45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48ED3E88-01ED-489E-B42B-493CEB7FC138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4" dataBound="0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4F4F81E-F028-414B-9D26-0836B0316BFB}" autoFormatId="16" applyNumberFormats="0" applyBorderFormats="0" applyFontFormats="0" applyPatternFormats="0" applyAlignmentFormats="0" applyWidthHeightFormats="0">
  <queryTableRefresh nextId="19" unboundColumnsRight="3">
    <queryTableFields count="14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6" dataBound="0" tableColumnId="14"/>
      <queryTableField id="17" dataBound="0" tableColumnId="15"/>
      <queryTableField id="18" dataBound="0" tableColumnId="1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G618" totalsRowShown="0" headerRowDxfId="151" dataDxfId="150">
  <autoFilter ref="A1:AG618" xr:uid="{4FD4EFE6-1099-438A-9D64-1AFEA3E877E1}">
    <filterColumn colId="23">
      <filters>
        <filter val="61"/>
      </filters>
    </filterColumn>
  </autoFilter>
  <tableColumns count="33">
    <tableColumn id="1" xr3:uid="{3B7E460A-E4F8-4748-BDB7-69F9DF95E095}" name="MA_Number" dataDxfId="149"/>
    <tableColumn id="2" xr3:uid="{0C86C14C-C734-4C14-9D15-5BF628634433}" name="Product_Name" dataDxfId="148"/>
    <tableColumn id="30" xr3:uid="{050D8DE9-BC74-4050-94FA-10894F23596C}" name="alt_name" dataDxfId="147"/>
    <tableColumn id="5" xr3:uid="{B7270D78-2CE2-41E9-A475-02143C2A7D02}" name="type_code" dataDxfId="146"/>
    <tableColumn id="3" xr3:uid="{80614BD7-785D-4865-A2C0-9EC9C8EACE03}" name="Description" dataDxfId="145"/>
    <tableColumn id="4" xr3:uid="{712E4162-81D9-47C7-8EEF-73A898972DF4}" name="Is_Assembly" dataDxfId="144"/>
    <tableColumn id="16" xr3:uid="{499F8FD0-A2A3-4176-A552-313DDDC5BA39}" name="parent_ma" dataDxfId="143"/>
    <tableColumn id="7" xr3:uid="{D05F0B8F-F449-4B71-BFD4-5C771658ED9C}" name="Part_Number" dataDxfId="142"/>
    <tableColumn id="8" xr3:uid="{B643C364-3099-4EEB-AED1-F61689849DDE}" name="Part_Qty" dataDxfId="141"/>
    <tableColumn id="9" xr3:uid="{1FB793F0-5C0E-4E9E-A553-69662201D95E}" name="Part_Length" dataDxfId="140"/>
    <tableColumn id="10" xr3:uid="{A46D0FCB-3E53-48F9-A53C-473B67948093}" name="Part_Width" dataDxfId="139"/>
    <tableColumn id="11" xr3:uid="{60D16FF4-D45B-4799-81B5-5A76D0C9B75F}" name="Part_Height" dataDxfId="138"/>
    <tableColumn id="12" xr3:uid="{9236BC38-CC48-4A88-8E0F-CC0CF0FD23E8}" name="color_code" dataDxfId="137"/>
    <tableColumn id="13" xr3:uid="{733327CD-E162-4FAD-AEA1-3C7B2D569A38}" name="material_code" dataDxfId="136"/>
    <tableColumn id="18" xr3:uid="{71BB0E28-DF33-49EB-86CF-D06CFB367F4F}" name="process_cut" dataDxfId="135"/>
    <tableColumn id="19" xr3:uid="{A88BCE54-C957-4D13-B884-66299105378A}" name="process_mill" dataDxfId="134"/>
    <tableColumn id="22" xr3:uid="{470DB65E-5747-4C8C-9238-C17C0675B78F}" name="group_processing" dataDxfId="133"/>
    <tableColumn id="25" xr3:uid="{30741311-55D9-429E-B38B-6427F3C29609}" name="dimension_x_g" dataDxfId="132"/>
    <tableColumn id="24" xr3:uid="{18A9B155-40E3-47EE-8E28-F4D7F3F4192C}" name="dimension_y_g" dataDxfId="131"/>
    <tableColumn id="23" xr3:uid="{F373FF10-9E7B-464C-898A-9AC55A93F09E}" name="dimension_z_g" dataDxfId="130"/>
    <tableColumn id="26" xr3:uid="{7F78AD9C-5261-4F67-A5CE-87A37B6268AB}" name="qty_per_group" dataDxfId="129"/>
    <tableColumn id="21" xr3:uid="{9058C990-680C-4FA0-A028-47CC2085F6BD}" name="is_3d_part" dataDxfId="128"/>
    <tableColumn id="14" xr3:uid="{02DB0385-C9D0-43F2-90B3-4B0F2B4A9E03}" name="Assembly_Order" dataDxfId="127"/>
    <tableColumn id="6" xr3:uid="{FF75CC84-E8C7-4A41-8450-E0DE1E70A57B}" name="batch_id" dataDxfId="126"/>
    <tableColumn id="28" xr3:uid="{03B3B8F9-EB68-4209-AA14-D3B5927A7071}" name="project_name" dataDxfId="125"/>
    <tableColumn id="29" xr3:uid="{12B189CF-C74C-455B-9190-7429F88EABD4}" name="price_offer_num" dataDxfId="124"/>
    <tableColumn id="15" xr3:uid="{CA727344-6660-47E3-8037-BC628C2DE7FA}" name="qty" dataDxfId="123">
      <calculatedColumnFormula>Table1[[#This Row],[qPer board]]*Table1[[#This Row],[boards]]</calculatedColumnFormula>
    </tableColumn>
    <tableColumn id="20" xr3:uid="{3A0B6352-4B27-4D73-AFD3-C44D92AE0AF6}" name="qPer board" dataDxfId="122">
      <calculatedColumnFormula>VLOOKUP(Table1[[#This Row],[MA_Number]],#REF!, 2,FALSE)</calculatedColumnFormula>
    </tableColumn>
    <tableColumn id="27" xr3:uid="{A532D005-1250-4010-B0C4-372C0604AEAE}" name="boards" dataDxfId="121"/>
    <tableColumn id="17" xr3:uid="{77C80D63-D394-4A59-82DE-17BE2EEAD971}" name="vname" dataDxfId="120">
      <calculatedColumnFormula>VLOOKUP(Table1[[#This Row],[Product_Name]],'c174_calc'!$A$2:$C$153, 1, FALSE)</calculatedColumnFormula>
    </tableColumn>
    <tableColumn id="31" xr3:uid="{F6FDC7A2-E4B2-446B-9578-5AA62C0F523F}" name="vma" dataDxfId="119">
      <calculatedColumnFormula>VLOOKUP(Table1[[#This Row],[Product_Name]],'c174_calc'!$A$2:$C$153, 2, FALSE)</calculatedColumnFormula>
    </tableColumn>
    <tableColumn id="32" xr3:uid="{339C5F04-1BC9-466F-B3FB-F7ED9CDE0F5B}" name="vqty" dataDxfId="118">
      <calculatedColumnFormula>VLOOKUP(Table1[[#This Row],[Product_Name]],'c174_calc'!$A$2:$C$153, 3, FALSE)</calculatedColumnFormula>
    </tableColumn>
    <tableColumn id="33" xr3:uid="{21599902-9DF1-403E-936A-27B7FE0E04CE}" name="ma_status" dataDxfId="117">
      <calculatedColumnFormula>Table1[[#This Row],[vma]]=Table1[[#This Row],[MA_Number]]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96225F7-34CD-4B21-95AD-F900B0174548}" name="_C174_LHD" displayName="_C174_LHD" ref="A1:K133" tableType="queryTable" totalsRowShown="0">
  <autoFilter ref="A1:K133" xr:uid="{496225F7-34CD-4B21-95AD-F900B0174548}">
    <filterColumn colId="3">
      <filters>
        <filter val="7118670020"/>
      </filters>
    </filterColumn>
  </autoFilter>
  <tableColumns count="11">
    <tableColumn id="12" xr3:uid="{E5FDD9D2-44B0-4A13-A4C4-601929478653}" uniqueName="12" name="job_order_id" queryTableFieldId="1"/>
    <tableColumn id="2" xr3:uid="{9AAB30B4-DDD4-4EB3-A698-8222B4A4AB3E}" uniqueName="2" name="job_order_number" queryTableFieldId="2" dataDxfId="53"/>
    <tableColumn id="3" xr3:uid="{626DFBDC-53F1-4A32-8CEE-5D00EFCB9608}" uniqueName="3" name="ma_number" queryTableFieldId="3" dataDxfId="52"/>
    <tableColumn id="4" xr3:uid="{46560C93-8EA7-4ECC-9E12-B0C394792F5C}" uniqueName="4" name="name" queryTableFieldId="4" dataDxfId="51"/>
    <tableColumn id="5" xr3:uid="{BA7AD44F-E56F-409C-83FE-D3928E2F1397}" uniqueName="5" name="type_id" queryTableFieldId="5"/>
    <tableColumn id="6" xr3:uid="{475BFEA8-C495-4B08-8DF2-16A81438DE59}" uniqueName="6" name="batch_id" queryTableFieldId="6"/>
    <tableColumn id="7" xr3:uid="{153D73D6-52BF-487E-ADCB-00674D193F85}" uniqueName="7" name="quantity" queryTableFieldId="7"/>
    <tableColumn id="8" xr3:uid="{4859B8A5-9FB9-42E7-872F-29F7B1849DC5}" uniqueName="8" name="cut" queryTableFieldId="8" dataDxfId="50"/>
    <tableColumn id="9" xr3:uid="{01B79D75-E9D4-4642-A5AE-B53314E71396}" uniqueName="9" name="cnc" queryTableFieldId="9" dataDxfId="49"/>
    <tableColumn id="10" xr3:uid="{69C3E0D1-6F2E-492D-A61B-5F17DB58993B}" uniqueName="10" name="assembly" queryTableFieldId="10" dataDxfId="48"/>
    <tableColumn id="11" xr3:uid="{08BAB48D-EE51-4981-9889-EA25A6A0C7B1}" uniqueName="11" name="qc" queryTableFieldId="11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D35F57F-8B0F-4E9E-B1B7-FB3955C3D5C0}" name="projects" displayName="projects" ref="A1:D10" totalsRowShown="0">
  <autoFilter ref="A1:D10" xr:uid="{5D35F57F-8B0F-4E9E-B1B7-FB3955C3D5C0}"/>
  <tableColumns count="4">
    <tableColumn id="1" xr3:uid="{3EF169EA-4F24-4F86-86B3-656049131683}" name="project_name"/>
    <tableColumn id="2" xr3:uid="{7F554C48-7C99-458F-88E7-50BADE2ECA94}" name="created_at"/>
    <tableColumn id="3" xr3:uid="{BD3FB8D4-3DF9-4F22-879A-B11B1DAC2D82}" name="updated_at"/>
    <tableColumn id="4" xr3:uid="{8D4CD8E8-3270-4745-B056-06F13208798E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F64" totalsRowShown="0">
  <autoFilter ref="A1:F64" xr:uid="{FCEE75A9-4206-42D9-9E61-31E926C19243}"/>
  <tableColumns count="6">
    <tableColumn id="1" xr3:uid="{4FA8D71F-A016-41AC-B792-FE5D9238CC29}" name="batch_id"/>
    <tableColumn id="6" xr3:uid="{C0452C06-CB7B-48BE-9F61-C811394C4CE5}" name="project_name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2E7538-ED61-4653-9331-0412FCFA21F8}" name="H248_SA_BOARDS_CSUB_14" displayName="H248_SA_BOARDS_CSUB_14" ref="A1:K25" tableType="queryTable" totalsRowShown="0">
  <autoFilter ref="A1:K25" xr:uid="{652E7538-ED61-4653-9331-0412FCFA21F8}"/>
  <tableColumns count="11">
    <tableColumn id="12" xr3:uid="{89FF0806-EC37-4482-AFD4-584486535C8E}" uniqueName="12" name="job_order_id" queryTableFieldId="1" dataDxfId="115"/>
    <tableColumn id="2" xr3:uid="{A7BDD06A-4CCC-4DA8-8EC5-56105EC51867}" uniqueName="2" name="job_order_number" queryTableFieldId="2" dataDxfId="114"/>
    <tableColumn id="3" xr3:uid="{CD59D38F-7C51-4725-A4B4-9A1F71154A0C}" uniqueName="3" name="ma_number" queryTableFieldId="3" dataDxfId="113"/>
    <tableColumn id="4" xr3:uid="{33A884D6-4CD4-40BD-BD1A-61E57275D9DD}" uniqueName="4" name="name" queryTableFieldId="4" dataDxfId="112"/>
    <tableColumn id="5" xr3:uid="{640B4578-1519-48FC-9C2B-9D6065E5C578}" uniqueName="5" name="type_id" queryTableFieldId="5" dataDxfId="111"/>
    <tableColumn id="6" xr3:uid="{6C8A4111-C1A3-4E34-94FE-E8FF4A5283C8}" uniqueName="6" name="batch_id" queryTableFieldId="6" dataDxfId="110"/>
    <tableColumn id="7" xr3:uid="{04E3B576-08E8-4BE7-99B8-942A87FD4646}" uniqueName="7" name="quantity" queryTableFieldId="7" dataDxfId="109"/>
    <tableColumn id="8" xr3:uid="{ADC94444-2C43-4F62-8AA3-775DE2A71224}" uniqueName="8" name="cut" queryTableFieldId="8" dataDxfId="108"/>
    <tableColumn id="9" xr3:uid="{F5885463-6D64-4587-975F-3A857D6F0696}" uniqueName="9" name="cnc" queryTableFieldId="9" dataDxfId="107"/>
    <tableColumn id="10" xr3:uid="{A025B080-03D4-4B6F-9D5C-B045D83D66B1}" uniqueName="10" name="assembly" queryTableFieldId="10" dataDxfId="106"/>
    <tableColumn id="11" xr3:uid="{1A2579A6-7B49-4AA1-B627-655DF58D51EE}" uniqueName="11" name="qc" queryTableFieldId="11" dataDxfId="10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133" tableType="queryTable" totalsRowShown="0">
  <autoFilter ref="A1:K133" xr:uid="{204FEE07-DC93-4E55-8744-E19738550E80}">
    <filterColumn colId="10">
      <filters>
        <filter val="not passed"/>
      </filters>
    </filterColumn>
  </autoFilter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104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RL" displayName="h248RL" ref="A1:K131" tableType="queryTable" totalsRowShown="0">
  <autoFilter ref="A1:K131" xr:uid="{A19E5BE4-3314-481D-B5D9-FBDB974CBE79}"/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0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B6D6ACE-34A4-432C-A78A-6A7213C2CDA0}" name="Table2118" displayName="Table2118" ref="A2:E28" totalsRowShown="0" headerRowDxfId="103" dataDxfId="102">
  <autoFilter ref="A2:E28" xr:uid="{9AA6459D-2BA3-4DCE-8DD8-A89C7C049A96}">
    <filterColumn colId="0">
      <filters>
        <filter val="7252785330D"/>
        <filter val="7252785330D_DP"/>
        <filter val="7252785330S"/>
        <filter val="7252785330U"/>
      </filters>
    </filterColumn>
  </autoFilter>
  <tableColumns count="5">
    <tableColumn id="1" xr3:uid="{1A055051-0F2E-46ED-9488-2F49E27AE4FC}" name="name" dataDxfId="101"/>
    <tableColumn id="2" xr3:uid="{850339EB-3085-40C9-B81B-57A137155111}" name="qtyx1" dataDxfId="100"/>
    <tableColumn id="3" xr3:uid="{A0D2C954-52EA-4F73-BAD9-081BE7B13E7F}" name="qtyx14+3" dataDxfId="99">
      <calculatedColumnFormula>B3*17</calculatedColumnFormula>
    </tableColumn>
    <tableColumn id="4" xr3:uid="{0C4812C8-14FE-4F91-A1FE-8E1F712D2A84}" name="assembly_position" dataDxfId="98"/>
    <tableColumn id="5" xr3:uid="{A7AC0F75-1A0C-4E0A-9440-7DDFD1DE61C1}" name="status" dataDxfId="97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96" dataDxfId="95">
  <autoFilter ref="A2:E31" xr:uid="{9AA6459D-2BA3-4DCE-8DD8-A89C7C049A96}">
    <filterColumn colId="0">
      <filters>
        <filter val="7047186030D"/>
        <filter val="7047186030D_DP"/>
        <filter val="7047186030S"/>
        <filter val="7047186030S_DP"/>
        <filter val="7047186030U_DP"/>
      </filters>
    </filterColumn>
  </autoFilter>
  <tableColumns count="5">
    <tableColumn id="1" xr3:uid="{756A7530-3445-4E09-B2D4-E6220A7C7E4B}" name="name" dataDxfId="94"/>
    <tableColumn id="2" xr3:uid="{12AA66ED-01B7-416F-A504-6DB7FFA8A29D}" name="qtyx1" dataDxfId="93"/>
    <tableColumn id="3" xr3:uid="{592CF1E9-C507-4794-AC13-0255DD011EF8}" name="qtyx28" dataDxfId="92">
      <calculatedColumnFormula>B3*28</calculatedColumnFormula>
    </tableColumn>
    <tableColumn id="4" xr3:uid="{0C73800E-0FF5-45BE-823F-6BB8ACABDBA8}" name="assembly_position" dataDxfId="91"/>
    <tableColumn id="5" xr3:uid="{907E01ED-22E9-41C1-A066-6E71847DDDF4}" name="status" dataDxfId="90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8C7DDD-0B6F-4464-B0A2-09F92ABA5AEE}" name="Table212314" displayName="Table212314" ref="C2:G123" totalsRowShown="0" headerRowDxfId="89" dataDxfId="88">
  <autoFilter ref="C2:G123" xr:uid="{9AA6459D-2BA3-4DCE-8DD8-A89C7C049A96}">
    <filterColumn colId="4">
      <customFilters>
        <customFilter operator="notEqual" val=" "/>
      </customFilters>
    </filterColumn>
  </autoFilter>
  <tableColumns count="5">
    <tableColumn id="1" xr3:uid="{D79F54D6-D649-4357-A0B6-3496C191F496}" name="name" dataDxfId="87"/>
    <tableColumn id="2" xr3:uid="{5B119DB2-F242-4B3F-A724-85FBE765F7FD}" name="qtyx1" dataDxfId="86"/>
    <tableColumn id="3" xr3:uid="{06E332DB-BA2C-4F3D-ACDD-D7B5358D55E0}" name="qtyx14+3" dataDxfId="85">
      <calculatedColumnFormula>Table212314[[#This Row],[qtyx1]]*17</calculatedColumnFormula>
    </tableColumn>
    <tableColumn id="4" xr3:uid="{CA51266A-9CD5-422F-BD44-AD898FA7FA28}" name="Zone" dataDxfId="84"/>
    <tableColumn id="5" xr3:uid="{E9908AC7-96CD-4844-9608-AB30A0908F9F}" name="status" dataDxfId="8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4" totalsRowShown="0" headerRowDxfId="82" dataDxfId="81">
  <autoFilter ref="C2:G44" xr:uid="{9AA6459D-2BA3-4DCE-8DD8-A89C7C049A96}">
    <filterColumn colId="0">
      <filters>
        <filter val="7118670020"/>
      </filters>
    </filterColumn>
  </autoFilter>
  <tableColumns count="5">
    <tableColumn id="1" xr3:uid="{41AD1F83-D5D1-4960-B725-0ABBCC60E358}" name="name" dataDxfId="80"/>
    <tableColumn id="2" xr3:uid="{5FA011EA-38FD-4A81-B8A4-2D659771776A}" name="qtyx1" dataDxfId="79"/>
    <tableColumn id="3" xr3:uid="{8EAF81D7-2BAF-43F9-9678-235C01E0D50A}" name="qtyx28" dataDxfId="78">
      <calculatedColumnFormula>Table2123[[#This Row],[qtyx1]]*28</calculatedColumnFormula>
    </tableColumn>
    <tableColumn id="4" xr3:uid="{D9532E54-4950-4B3D-8CB6-A95BAA789078}" name="Zone" dataDxfId="77"/>
    <tableColumn id="5" xr3:uid="{F8F1C49E-3F8C-42D4-9FDA-4E5ADD122B93}" name="status" dataDxfId="7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11" totalsRowShown="0" headerRowDxfId="75" dataDxfId="73" headerRowBorderDxfId="74" tableBorderDxfId="72">
  <autoFilter ref="A1:F11" xr:uid="{E9933DB6-918E-4FEA-999F-8E2F371FD542}"/>
  <tableColumns count="6">
    <tableColumn id="1" xr3:uid="{1D09E4AC-6D58-4BE4-BC90-DFEC76898D89}" name="Item" dataDxfId="71"/>
    <tableColumn id="2" xr3:uid="{A2CE1B8C-DBD4-4C83-8917-697CA1986FD4}" name="Purchase Order No-Item" dataDxfId="70"/>
    <tableColumn id="3" xr3:uid="{EEE537D3-7E73-406F-A614-6B74A315CF42}" name="Offer NO" dataDxfId="69"/>
    <tableColumn id="4" xr3:uid="{0FEBE92D-3744-4748-AD70-1678488652A2}" name="Product Description" dataDxfId="68"/>
    <tableColumn id="5" xr3:uid="{0066E08B-BEF2-4D9A-A801-494D08E8536D}" name="MA number" dataDxfId="67"/>
    <tableColumn id="6" xr3:uid="{8B6E2938-CF5D-42D9-B3C9-4E094B70314D}" name="Quantity" dataDxfId="6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12" totalsRowShown="0">
  <autoFilter ref="A1:D12" xr:uid="{B6A92250-65D3-4736-A483-3D1D4A61531C}"/>
  <tableColumns count="4">
    <tableColumn id="1" xr3:uid="{5D985C09-8D29-4404-A2F9-7EA438EF64D2}" name="price_offer_num" dataDxfId="65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6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63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62">
  <autoFilter ref="A1:G489" xr:uid="{8003C9C0-5B77-46A7-96FA-AD43C9191ADA}"/>
  <tableColumns count="7">
    <tableColumn id="1" xr3:uid="{A8CED59A-1BC4-4ED2-84AB-9F7502AA4B79}" name="ypn" dataDxfId="61"/>
    <tableColumn id="6" xr3:uid="{0B5D0403-385A-41EE-8D3C-DE6487E266A8}" name="trim" dataDxfId="60">
      <calculatedColumnFormula>TRIM(Table4[[#This Row],[ypn]])</calculatedColumnFormula>
    </tableColumn>
    <tableColumn id="7" xr3:uid="{761C3012-0CF8-4D0E-9149-F4D039E6FC4A}" name="check equal" dataDxfId="59">
      <calculatedColumnFormula>Table4[[#This Row],[ypn]]=Table4[[#This Row],[trim]]</calculatedColumnFormula>
    </tableColumn>
    <tableColumn id="8" xr3:uid="{89621021-7EC7-4A86-AE34-00ED0C97D3B3}" name="check string" dataDxfId="58">
      <calculatedColumnFormula>Table4[[#This Row],[ypn]]*1</calculatedColumnFormula>
    </tableColumn>
    <tableColumn id="10" xr3:uid="{23BD3994-3453-4EB6-B6EF-F287F710DDE4}" name="type" dataDxfId="57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5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L69" tableType="queryTable" totalsRowShown="0">
  <autoFilter ref="A1:L69" xr:uid="{7712BAE5-B718-4CEC-B5A0-5B4332D66C09}"/>
  <tableColumns count="12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55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  <tableColumn id="12" xr3:uid="{A126FB1C-A71D-467A-9EF8-9ECD12C37332}" uniqueName="12" name="Column1" queryTableFieldId="1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7879B-F9C5-4499-A362-AD0E613FCD8B}" name="h248EngineAdd" displayName="h248EngineAdd" ref="A1:N21" tableType="queryTable" totalsRowShown="0">
  <autoFilter ref="A1:N21" xr:uid="{A19E5BE4-3314-481D-B5D9-FBDB974CBE79}"/>
  <tableColumns count="14">
    <tableColumn id="10" xr3:uid="{001BD385-5FEF-4085-86A5-5BEA06DDCD83}" uniqueName="10" name="job_order_id" queryTableFieldId="1"/>
    <tableColumn id="2" xr3:uid="{8BA3CA7E-8409-40A9-85B0-981C5927079F}" uniqueName="2" name="job_order_number" queryTableFieldId="2"/>
    <tableColumn id="1" xr3:uid="{A33C537C-6D6F-4C13-928D-8BBB19CCEC62}" uniqueName="1" name="ma_number" queryTableFieldId="12" dataDxfId="54"/>
    <tableColumn id="3" xr3:uid="{700946F1-21C3-4D78-8D3B-B0E05BCAF872}" uniqueName="3" name="name" queryTableFieldId="3"/>
    <tableColumn id="11" xr3:uid="{2A8C78B9-C0E6-44D3-B1C1-3802B80289DF}" uniqueName="11" name="type_id" queryTableFieldId="10"/>
    <tableColumn id="4" xr3:uid="{15512A4E-5F12-452D-8955-9CE98434F564}" uniqueName="4" name="batch_id" queryTableFieldId="4"/>
    <tableColumn id="5" xr3:uid="{F6869693-0690-4E72-9EF6-77F3149158A8}" uniqueName="5" name="quantity" queryTableFieldId="5"/>
    <tableColumn id="6" xr3:uid="{CEEB724A-D8FB-481C-A17B-BF4E84A1082D}" uniqueName="6" name="cut" queryTableFieldId="6"/>
    <tableColumn id="7" xr3:uid="{F48B1ADB-557E-4ED4-B287-BBE85D8195F5}" uniqueName="7" name="cnc" queryTableFieldId="7"/>
    <tableColumn id="8" xr3:uid="{A2B4CEC6-1163-48EF-AC59-93591380FF5A}" uniqueName="8" name="assembly" queryTableFieldId="8"/>
    <tableColumn id="9" xr3:uid="{D09221A3-E716-405E-8610-58ED322D147C}" uniqueName="9" name="qc" queryTableFieldId="9"/>
    <tableColumn id="14" xr3:uid="{84C049B9-8450-47FD-97C9-4AF2EB8C9FF5}" uniqueName="14" name="Pof" queryTableFieldId="16"/>
    <tableColumn id="15" xr3:uid="{E8483F68-4D0A-49CC-8BB6-02BC694F715D}" uniqueName="15" name="DN" queryTableFieldId="17"/>
    <tableColumn id="16" xr3:uid="{EA7C6BF5-BAFC-4AEA-A488-145DAF63185B}" uniqueName="16" name="DN new" queryTableField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G618"/>
  <sheetViews>
    <sheetView zoomScaleNormal="100" workbookViewId="0">
      <selection activeCell="E122" sqref="E122"/>
    </sheetView>
  </sheetViews>
  <sheetFormatPr defaultColWidth="56.6640625" defaultRowHeight="14.4" x14ac:dyDescent="0.3"/>
  <cols>
    <col min="1" max="1" width="14.6640625" bestFit="1" customWidth="1"/>
    <col min="2" max="2" width="65.109375" style="1" bestFit="1" customWidth="1"/>
    <col min="3" max="3" width="31.33203125" bestFit="1" customWidth="1"/>
    <col min="4" max="4" width="12.109375" bestFit="1" customWidth="1"/>
    <col min="5" max="5" width="108.6640625" bestFit="1" customWidth="1"/>
    <col min="6" max="6" width="13.5546875" bestFit="1" customWidth="1"/>
    <col min="7" max="7" width="12.44140625" bestFit="1" customWidth="1"/>
    <col min="8" max="8" width="15.33203125" bestFit="1" customWidth="1"/>
    <col min="9" max="9" width="10.6640625" bestFit="1" customWidth="1"/>
    <col min="10" max="10" width="13.44140625" bestFit="1" customWidth="1"/>
    <col min="11" max="11" width="12.77734375" bestFit="1" customWidth="1"/>
    <col min="12" max="12" width="13.109375" bestFit="1" customWidth="1"/>
    <col min="13" max="13" width="12.5546875" bestFit="1" customWidth="1"/>
    <col min="14" max="14" width="15.33203125" bestFit="1" customWidth="1"/>
    <col min="15" max="15" width="13.21875" bestFit="1" customWidth="1"/>
    <col min="16" max="16" width="13.5546875" bestFit="1" customWidth="1"/>
    <col min="17" max="17" width="18.21875" bestFit="1" customWidth="1"/>
    <col min="18" max="18" width="16" bestFit="1" customWidth="1"/>
    <col min="19" max="19" width="16.109375" bestFit="1" customWidth="1"/>
    <col min="20" max="21" width="15.88671875" bestFit="1" customWidth="1"/>
    <col min="22" max="22" width="12" bestFit="1" customWidth="1"/>
    <col min="23" max="23" width="17.109375" bestFit="1" customWidth="1"/>
    <col min="24" max="24" width="10.5546875" bestFit="1" customWidth="1"/>
    <col min="25" max="25" width="54.88671875" bestFit="1" customWidth="1"/>
    <col min="26" max="26" width="17.44140625" bestFit="1" customWidth="1"/>
    <col min="27" max="27" width="6" bestFit="1" customWidth="1"/>
    <col min="28" max="28" width="12.5546875" bestFit="1" customWidth="1"/>
    <col min="29" max="29" width="9" bestFit="1" customWidth="1"/>
  </cols>
  <sheetData>
    <row r="1" spans="1:33" x14ac:dyDescent="0.3">
      <c r="A1" t="s">
        <v>0</v>
      </c>
      <c r="B1" t="s">
        <v>1</v>
      </c>
      <c r="C1" t="s">
        <v>794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748</v>
      </c>
      <c r="R1" t="s">
        <v>749</v>
      </c>
      <c r="S1" t="s">
        <v>750</v>
      </c>
      <c r="T1" t="s">
        <v>751</v>
      </c>
      <c r="U1" t="s">
        <v>747</v>
      </c>
      <c r="V1" t="s">
        <v>414</v>
      </c>
      <c r="W1" t="s">
        <v>9</v>
      </c>
      <c r="X1" t="s">
        <v>22</v>
      </c>
      <c r="Y1" t="s">
        <v>753</v>
      </c>
      <c r="Z1" t="s">
        <v>12</v>
      </c>
      <c r="AA1" t="s">
        <v>23</v>
      </c>
      <c r="AB1" t="s">
        <v>1755</v>
      </c>
      <c r="AC1" t="s">
        <v>1756</v>
      </c>
      <c r="AD1" t="s">
        <v>2406</v>
      </c>
      <c r="AE1" t="s">
        <v>2408</v>
      </c>
      <c r="AF1" t="s">
        <v>2407</v>
      </c>
      <c r="AG1" t="s">
        <v>2410</v>
      </c>
    </row>
    <row r="2" spans="1:33" hidden="1" x14ac:dyDescent="0.3">
      <c r="A2" t="s">
        <v>74</v>
      </c>
      <c r="B2" s="1">
        <v>7075231830</v>
      </c>
      <c r="C2" s="1" t="s">
        <v>632</v>
      </c>
      <c r="D2" t="s">
        <v>278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X2">
        <v>60</v>
      </c>
      <c r="Y2" t="s">
        <v>2376</v>
      </c>
      <c r="Z2" t="s">
        <v>2377</v>
      </c>
      <c r="AA2">
        <f>Table1[[#This Row],[qPer board]]*Table1[[#This Row],[boards]]</f>
        <v>15</v>
      </c>
      <c r="AB2">
        <f>Table1[[#This Row],[vqty]]</f>
        <v>1</v>
      </c>
      <c r="AC2">
        <v>15</v>
      </c>
      <c r="AD2">
        <f>VLOOKUP(Table1[[#This Row],[Product_Name]],'c174_calc'!$A$2:$C$153, 1, FALSE)</f>
        <v>7075231830</v>
      </c>
      <c r="AE2" t="str">
        <f>VLOOKUP(Table1[[#This Row],[Product_Name]],'c174_calc'!$A$2:$C$153, 2, FALSE)</f>
        <v>10.21.80758A</v>
      </c>
      <c r="AF2">
        <f>VLOOKUP(Table1[[#This Row],[Product_Name]],'c174_calc'!$A$2:$C$153, 3, FALSE)</f>
        <v>1</v>
      </c>
      <c r="AG2" t="b">
        <f>Table1[[#This Row],[vma]]=Table1[[#This Row],[MA_Number]]</f>
        <v>1</v>
      </c>
    </row>
    <row r="3" spans="1:33" hidden="1" x14ac:dyDescent="0.3">
      <c r="A3" t="s">
        <v>75</v>
      </c>
      <c r="B3" s="1">
        <v>7075231930</v>
      </c>
      <c r="C3" s="1" t="s">
        <v>867</v>
      </c>
      <c r="D3" t="s">
        <v>278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60</v>
      </c>
      <c r="Y3" t="s">
        <v>2376</v>
      </c>
      <c r="Z3" t="s">
        <v>2377</v>
      </c>
      <c r="AA3">
        <f>Table1[[#This Row],[qPer board]]*Table1[[#This Row],[boards]]</f>
        <v>15</v>
      </c>
      <c r="AB3">
        <f>Table1[[#This Row],[vqty]]</f>
        <v>1</v>
      </c>
      <c r="AC3">
        <v>15</v>
      </c>
      <c r="AD3">
        <f>VLOOKUP(Table1[[#This Row],[Product_Name]],'c174_calc'!$A$2:$C$153, 1, FALSE)</f>
        <v>7075231930</v>
      </c>
      <c r="AE3" t="str">
        <f>VLOOKUP(Table1[[#This Row],[Product_Name]],'c174_calc'!$A$2:$C$153, 2, FALSE)</f>
        <v>10.21.72966C</v>
      </c>
      <c r="AF3">
        <f>VLOOKUP(Table1[[#This Row],[Product_Name]],'c174_calc'!$A$2:$C$153, 3, FALSE)</f>
        <v>1</v>
      </c>
      <c r="AG3" t="b">
        <f>Table1[[#This Row],[vma]]=Table1[[#This Row],[MA_Number]]</f>
        <v>1</v>
      </c>
    </row>
    <row r="4" spans="1:33" hidden="1" x14ac:dyDescent="0.3">
      <c r="A4" t="s">
        <v>76</v>
      </c>
      <c r="B4" s="1">
        <v>7075236930</v>
      </c>
      <c r="C4" s="1" t="s">
        <v>790</v>
      </c>
      <c r="D4" t="s">
        <v>278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X4">
        <v>60</v>
      </c>
      <c r="Y4" t="s">
        <v>2376</v>
      </c>
      <c r="Z4" t="s">
        <v>2377</v>
      </c>
      <c r="AA4">
        <f>Table1[[#This Row],[qPer board]]*Table1[[#This Row],[boards]]</f>
        <v>15</v>
      </c>
      <c r="AB4">
        <f>Table1[[#This Row],[vqty]]</f>
        <v>1</v>
      </c>
      <c r="AC4">
        <v>15</v>
      </c>
      <c r="AD4">
        <f>VLOOKUP(Table1[[#This Row],[Product_Name]],'c174_calc'!$A$2:$C$153, 1, FALSE)</f>
        <v>7075236930</v>
      </c>
      <c r="AE4" t="str">
        <f>VLOOKUP(Table1[[#This Row],[Product_Name]],'c174_calc'!$A$2:$C$153, 2, FALSE)</f>
        <v>10.21.72968A</v>
      </c>
      <c r="AF4">
        <f>VLOOKUP(Table1[[#This Row],[Product_Name]],'c174_calc'!$A$2:$C$153, 3, FALSE)</f>
        <v>1</v>
      </c>
      <c r="AG4" t="b">
        <f>Table1[[#This Row],[vma]]=Table1[[#This Row],[MA_Number]]</f>
        <v>1</v>
      </c>
    </row>
    <row r="5" spans="1:33" hidden="1" x14ac:dyDescent="0.3">
      <c r="A5" t="s">
        <v>77</v>
      </c>
      <c r="B5" s="1">
        <v>7075244730</v>
      </c>
      <c r="C5" s="1"/>
      <c r="D5" t="s">
        <v>278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AA5" t="e">
        <f>Table1[[#This Row],[qPer board]]*Table1[[#This Row],[boards]]</f>
        <v>#REF!</v>
      </c>
      <c r="AB5" t="e">
        <f>VLOOKUP(Table1[[#This Row],[MA_Number]],#REF!, 2,FALSE)</f>
        <v>#REF!</v>
      </c>
      <c r="AD5" t="e">
        <f>VLOOKUP(Table1[[#This Row],[Product_Name]],'c174_calc'!$A$2:$C$153, 1, FALSE)</f>
        <v>#N/A</v>
      </c>
      <c r="AE5" t="e">
        <f>VLOOKUP(Table1[[#This Row],[Product_Name]],'c174_calc'!$A$2:$C$153, 2, FALSE)</f>
        <v>#N/A</v>
      </c>
      <c r="AF5" t="e">
        <f>VLOOKUP(Table1[[#This Row],[Product_Name]],'c174_calc'!$A$2:$C$153, 3, FALSE)</f>
        <v>#N/A</v>
      </c>
      <c r="AG5" t="e">
        <f>Table1[[#This Row],[vma]]=Table1[[#This Row],[MA_Number]]</f>
        <v>#N/A</v>
      </c>
    </row>
    <row r="6" spans="1:33" hidden="1" x14ac:dyDescent="0.3">
      <c r="A6" t="s">
        <v>78</v>
      </c>
      <c r="B6" s="1">
        <v>71186354</v>
      </c>
      <c r="C6" s="1"/>
      <c r="D6" t="s">
        <v>278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60</v>
      </c>
      <c r="Y6" t="s">
        <v>2376</v>
      </c>
      <c r="Z6" t="s">
        <v>2377</v>
      </c>
      <c r="AA6">
        <f>Table1[[#This Row],[qPer board]]*Table1[[#This Row],[boards]]</f>
        <v>30</v>
      </c>
      <c r="AB6">
        <f>Table1[[#This Row],[vqty]]</f>
        <v>2</v>
      </c>
      <c r="AC6">
        <v>15</v>
      </c>
      <c r="AD6">
        <f>VLOOKUP(Table1[[#This Row],[Product_Name]],'c174_calc'!$A$2:$C$153, 1, FALSE)</f>
        <v>71186354</v>
      </c>
      <c r="AE6" t="str">
        <f>VLOOKUP(Table1[[#This Row],[Product_Name]],'c174_calc'!$A$2:$C$153, 2, FALSE)</f>
        <v>10.21.35131A</v>
      </c>
      <c r="AF6">
        <f>VLOOKUP(Table1[[#This Row],[Product_Name]],'c174_calc'!$A$2:$C$153, 3, FALSE)</f>
        <v>2</v>
      </c>
      <c r="AG6" t="b">
        <f>Table1[[#This Row],[vma]]=Table1[[#This Row],[MA_Number]]</f>
        <v>1</v>
      </c>
    </row>
    <row r="7" spans="1:33" hidden="1" x14ac:dyDescent="0.3">
      <c r="A7" t="s">
        <v>79</v>
      </c>
      <c r="B7" s="1" t="s">
        <v>212</v>
      </c>
      <c r="C7" s="1">
        <v>7177515230</v>
      </c>
      <c r="D7" t="s">
        <v>278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X7">
        <v>60</v>
      </c>
      <c r="Y7" t="s">
        <v>2376</v>
      </c>
      <c r="Z7" t="s">
        <v>2377</v>
      </c>
      <c r="AA7">
        <f>Table1[[#This Row],[qPer board]]*Table1[[#This Row],[boards]]</f>
        <v>15</v>
      </c>
      <c r="AB7">
        <f>Table1[[#This Row],[vqty]]</f>
        <v>1</v>
      </c>
      <c r="AC7">
        <v>15</v>
      </c>
      <c r="AD7" t="str">
        <f>VLOOKUP(Table1[[#This Row],[Product_Name]],'c174_calc'!$A$2:$C$153, 1, FALSE)</f>
        <v>7118641830+7173344320</v>
      </c>
      <c r="AE7" t="str">
        <f>VLOOKUP(Table1[[#This Row],[Product_Name]],'c174_calc'!$A$2:$C$153, 2, FALSE)</f>
        <v>10.21.35334A</v>
      </c>
      <c r="AF7">
        <f>VLOOKUP(Table1[[#This Row],[Product_Name]],'c174_calc'!$A$2:$C$153, 3, FALSE)</f>
        <v>1</v>
      </c>
      <c r="AG7" t="b">
        <f>Table1[[#This Row],[vma]]=Table1[[#This Row],[MA_Number]]</f>
        <v>1</v>
      </c>
    </row>
    <row r="8" spans="1:33" x14ac:dyDescent="0.3">
      <c r="A8" t="s">
        <v>80</v>
      </c>
      <c r="B8" s="1" t="s">
        <v>514</v>
      </c>
      <c r="C8" s="1"/>
      <c r="D8" t="s">
        <v>278</v>
      </c>
      <c r="E8" t="s">
        <v>1746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61</v>
      </c>
      <c r="Y8" t="s">
        <v>2376</v>
      </c>
      <c r="Z8" t="s">
        <v>2377</v>
      </c>
      <c r="AA8">
        <f>Table1[[#This Row],[qPer board]]*Table1[[#This Row],[boards]]</f>
        <v>15</v>
      </c>
      <c r="AB8">
        <v>1</v>
      </c>
      <c r="AC8">
        <v>15</v>
      </c>
      <c r="AD8" t="e">
        <f>VLOOKUP(Table1[[#This Row],[Product_Name]],'c174_calc'!$A$2:$C$153, 1, FALSE)</f>
        <v>#N/A</v>
      </c>
      <c r="AE8" t="e">
        <f>VLOOKUP(Table1[[#This Row],[Product_Name]],'c174_calc'!$A$2:$C$153, 2, FALSE)</f>
        <v>#N/A</v>
      </c>
      <c r="AF8" t="e">
        <f>VLOOKUP(Table1[[#This Row],[Product_Name]],'c174_calc'!$A$2:$C$153, 3, FALSE)</f>
        <v>#N/A</v>
      </c>
      <c r="AG8" t="e">
        <f>Table1[[#This Row],[vma]]=Table1[[#This Row],[MA_Number]]</f>
        <v>#N/A</v>
      </c>
    </row>
    <row r="9" spans="1:33" hidden="1" x14ac:dyDescent="0.3">
      <c r="A9" t="s">
        <v>81</v>
      </c>
      <c r="B9" s="1">
        <v>7118670020</v>
      </c>
      <c r="C9" s="1"/>
      <c r="D9" t="s">
        <v>278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60</v>
      </c>
      <c r="Y9" t="s">
        <v>2376</v>
      </c>
      <c r="Z9" t="s">
        <v>2377</v>
      </c>
      <c r="AA9">
        <f>Table1[[#This Row],[qPer board]]*Table1[[#This Row],[boards]]</f>
        <v>30</v>
      </c>
      <c r="AB9">
        <f>Table1[[#This Row],[vqty]]</f>
        <v>2</v>
      </c>
      <c r="AC9">
        <v>15</v>
      </c>
      <c r="AD9">
        <f>VLOOKUP(Table1[[#This Row],[Product_Name]],'c174_calc'!$A$2:$C$153, 1, FALSE)</f>
        <v>7118670020</v>
      </c>
      <c r="AE9" t="str">
        <f>VLOOKUP(Table1[[#This Row],[Product_Name]],'c174_calc'!$A$2:$C$153, 2, FALSE)</f>
        <v>10.21.77121A</v>
      </c>
      <c r="AF9">
        <f>VLOOKUP(Table1[[#This Row],[Product_Name]],'c174_calc'!$A$2:$C$153, 3, FALSE)</f>
        <v>2</v>
      </c>
      <c r="AG9" t="b">
        <f>Table1[[#This Row],[vma]]=Table1[[#This Row],[MA_Number]]</f>
        <v>1</v>
      </c>
    </row>
    <row r="10" spans="1:33" x14ac:dyDescent="0.3">
      <c r="A10" t="s">
        <v>82</v>
      </c>
      <c r="B10" s="1" t="s">
        <v>1212</v>
      </c>
      <c r="C10" s="1"/>
      <c r="D10" t="s">
        <v>278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X10">
        <v>61</v>
      </c>
      <c r="Y10" t="s">
        <v>2376</v>
      </c>
      <c r="Z10" t="s">
        <v>2377</v>
      </c>
      <c r="AA10">
        <f>Table1[[#This Row],[qPer board]]*Table1[[#This Row],[boards]]</f>
        <v>15</v>
      </c>
      <c r="AB10">
        <v>1</v>
      </c>
      <c r="AC10">
        <v>15</v>
      </c>
      <c r="AD10" t="e">
        <f>VLOOKUP(Table1[[#This Row],[Product_Name]],'c174_calc'!$A$2:$C$153, 1, FALSE)</f>
        <v>#N/A</v>
      </c>
      <c r="AE10" t="e">
        <f>VLOOKUP(Table1[[#This Row],[Product_Name]],'c174_calc'!$A$2:$C$153, 2, FALSE)</f>
        <v>#N/A</v>
      </c>
      <c r="AF10" t="e">
        <f>VLOOKUP(Table1[[#This Row],[Product_Name]],'c174_calc'!$A$2:$C$153, 3, FALSE)</f>
        <v>#N/A</v>
      </c>
      <c r="AG10" t="e">
        <f>Table1[[#This Row],[vma]]=Table1[[#This Row],[MA_Number]]</f>
        <v>#N/A</v>
      </c>
    </row>
    <row r="11" spans="1:33" hidden="1" x14ac:dyDescent="0.3">
      <c r="A11" t="s">
        <v>83</v>
      </c>
      <c r="B11" s="1" t="s">
        <v>214</v>
      </c>
      <c r="C11" s="1"/>
      <c r="D11" t="s">
        <v>278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X11">
        <v>60</v>
      </c>
      <c r="Y11" t="s">
        <v>2376</v>
      </c>
      <c r="Z11" t="s">
        <v>2377</v>
      </c>
      <c r="AA11">
        <f>Table1[[#This Row],[qPer board]]*Table1[[#This Row],[boards]]</f>
        <v>15</v>
      </c>
      <c r="AB11">
        <f>Table1[[#This Row],[vqty]]</f>
        <v>1</v>
      </c>
      <c r="AC11">
        <v>15</v>
      </c>
      <c r="AD11" t="str">
        <f>VLOOKUP(Table1[[#This Row],[Product_Name]],'c174_calc'!$A$2:$C$153, 1, FALSE)</f>
        <v>7119127830+7234894130A</v>
      </c>
      <c r="AE11" t="str">
        <f>VLOOKUP(Table1[[#This Row],[Product_Name]],'c174_calc'!$A$2:$C$153, 2, FALSE)</f>
        <v>10.21.36860F</v>
      </c>
      <c r="AF11">
        <f>VLOOKUP(Table1[[#This Row],[Product_Name]],'c174_calc'!$A$2:$C$153, 3, FALSE)</f>
        <v>1</v>
      </c>
      <c r="AG11" t="b">
        <f>Table1[[#This Row],[vma]]=Table1[[#This Row],[MA_Number]]</f>
        <v>1</v>
      </c>
    </row>
    <row r="12" spans="1:33" hidden="1" x14ac:dyDescent="0.3">
      <c r="A12" t="s">
        <v>84</v>
      </c>
      <c r="B12" s="1">
        <v>7119131530</v>
      </c>
      <c r="C12" s="1"/>
      <c r="D12" t="s">
        <v>278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60</v>
      </c>
      <c r="Y12" t="s">
        <v>2376</v>
      </c>
      <c r="Z12" t="s">
        <v>2377</v>
      </c>
      <c r="AA12">
        <f>Table1[[#This Row],[qPer board]]*Table1[[#This Row],[boards]]</f>
        <v>15</v>
      </c>
      <c r="AB12">
        <f>Table1[[#This Row],[vqty]]</f>
        <v>1</v>
      </c>
      <c r="AC12">
        <v>15</v>
      </c>
      <c r="AD12">
        <f>VLOOKUP(Table1[[#This Row],[Product_Name]],'c174_calc'!$A$2:$C$153, 1, FALSE)</f>
        <v>7119131530</v>
      </c>
      <c r="AE12" t="str">
        <f>VLOOKUP(Table1[[#This Row],[Product_Name]],'c174_calc'!$A$2:$C$153, 2, FALSE)</f>
        <v>10.21.54168C</v>
      </c>
      <c r="AF12">
        <f>VLOOKUP(Table1[[#This Row],[Product_Name]],'c174_calc'!$A$2:$C$153, 3, FALSE)</f>
        <v>1</v>
      </c>
      <c r="AG12" t="b">
        <f>Table1[[#This Row],[vma]]=Table1[[#This Row],[MA_Number]]</f>
        <v>1</v>
      </c>
    </row>
    <row r="13" spans="1:33" hidden="1" x14ac:dyDescent="0.3">
      <c r="A13" t="s">
        <v>85</v>
      </c>
      <c r="B13" s="1" t="s">
        <v>520</v>
      </c>
      <c r="C13" s="1"/>
      <c r="D13" t="s">
        <v>278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X13">
        <v>60</v>
      </c>
      <c r="Y13" t="s">
        <v>2376</v>
      </c>
      <c r="Z13" t="s">
        <v>2377</v>
      </c>
      <c r="AA13">
        <f>Table1[[#This Row],[qPer board]]*Table1[[#This Row],[boards]]</f>
        <v>30</v>
      </c>
      <c r="AB13">
        <f>Table1[[#This Row],[vqty]]</f>
        <v>2</v>
      </c>
      <c r="AC13">
        <v>15</v>
      </c>
      <c r="AD13" t="str">
        <f>VLOOKUP(Table1[[#This Row],[Product_Name]],'c174_calc'!$A$2:$C$153, 1, FALSE)</f>
        <v>7119140530+7119140640+72741359</v>
      </c>
      <c r="AE13" t="str">
        <f>VLOOKUP(Table1[[#This Row],[Product_Name]],'c174_calc'!$A$2:$C$153, 2, FALSE)</f>
        <v>10.21.80751A</v>
      </c>
      <c r="AF13">
        <f>VLOOKUP(Table1[[#This Row],[Product_Name]],'c174_calc'!$A$2:$C$153, 3, FALSE)</f>
        <v>2</v>
      </c>
      <c r="AG13" t="b">
        <f>Table1[[#This Row],[vma]]=Table1[[#This Row],[MA_Number]]</f>
        <v>1</v>
      </c>
    </row>
    <row r="14" spans="1:33" hidden="1" x14ac:dyDescent="0.3">
      <c r="A14" t="s">
        <v>86</v>
      </c>
      <c r="B14" s="1">
        <v>7119146730</v>
      </c>
      <c r="C14" s="1"/>
      <c r="D14" t="s">
        <v>278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60</v>
      </c>
      <c r="Y14" t="s">
        <v>2376</v>
      </c>
      <c r="Z14" t="s">
        <v>2377</v>
      </c>
      <c r="AA14">
        <f>Table1[[#This Row],[qPer board]]*Table1[[#This Row],[boards]]</f>
        <v>15</v>
      </c>
      <c r="AB14">
        <f>Table1[[#This Row],[vqty]]</f>
        <v>1</v>
      </c>
      <c r="AC14">
        <v>15</v>
      </c>
      <c r="AD14">
        <f>VLOOKUP(Table1[[#This Row],[Product_Name]],'c174_calc'!$A$2:$C$153, 1, FALSE)</f>
        <v>7119146730</v>
      </c>
      <c r="AE14" t="str">
        <f>VLOOKUP(Table1[[#This Row],[Product_Name]],'c174_calc'!$A$2:$C$153, 2, FALSE)</f>
        <v>10.21.35002C</v>
      </c>
      <c r="AF14">
        <f>VLOOKUP(Table1[[#This Row],[Product_Name]],'c174_calc'!$A$2:$C$153, 3, FALSE)</f>
        <v>1</v>
      </c>
      <c r="AG14" t="b">
        <f>Table1[[#This Row],[vma]]=Table1[[#This Row],[MA_Number]]</f>
        <v>1</v>
      </c>
    </row>
    <row r="15" spans="1:33" hidden="1" x14ac:dyDescent="0.3">
      <c r="A15" t="s">
        <v>87</v>
      </c>
      <c r="B15" s="1">
        <v>71191993</v>
      </c>
      <c r="C15" s="1"/>
      <c r="D15" t="s">
        <v>278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60</v>
      </c>
      <c r="Y15" t="s">
        <v>2376</v>
      </c>
      <c r="Z15" t="s">
        <v>2377</v>
      </c>
      <c r="AA15">
        <f>Table1[[#This Row],[qPer board]]*Table1[[#This Row],[boards]]</f>
        <v>15</v>
      </c>
      <c r="AB15">
        <f>Table1[[#This Row],[vqty]]</f>
        <v>1</v>
      </c>
      <c r="AC15">
        <v>15</v>
      </c>
      <c r="AD15">
        <f>VLOOKUP(Table1[[#This Row],[Product_Name]],'c174_calc'!$A$2:$C$153, 1, FALSE)</f>
        <v>71191993</v>
      </c>
      <c r="AE15" t="str">
        <f>VLOOKUP(Table1[[#This Row],[Product_Name]],'c174_calc'!$A$2:$C$153, 2, FALSE)</f>
        <v>10.21.35003A</v>
      </c>
      <c r="AF15">
        <f>VLOOKUP(Table1[[#This Row],[Product_Name]],'c174_calc'!$A$2:$C$153, 3, FALSE)</f>
        <v>1</v>
      </c>
      <c r="AG15" t="b">
        <f>Table1[[#This Row],[vma]]=Table1[[#This Row],[MA_Number]]</f>
        <v>1</v>
      </c>
    </row>
    <row r="16" spans="1:33" hidden="1" x14ac:dyDescent="0.3">
      <c r="A16" t="s">
        <v>88</v>
      </c>
      <c r="B16" s="1">
        <v>71196180</v>
      </c>
      <c r="C16" s="1"/>
      <c r="D16" t="s">
        <v>278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X16">
        <v>60</v>
      </c>
      <c r="Y16" t="s">
        <v>2376</v>
      </c>
      <c r="Z16" t="s">
        <v>2377</v>
      </c>
      <c r="AA16">
        <f>Table1[[#This Row],[qPer board]]*Table1[[#This Row],[boards]]</f>
        <v>15</v>
      </c>
      <c r="AB16">
        <f>Table1[[#This Row],[vqty]]</f>
        <v>1</v>
      </c>
      <c r="AC16">
        <v>15</v>
      </c>
      <c r="AD16">
        <f>VLOOKUP(Table1[[#This Row],[Product_Name]],'c174_calc'!$A$2:$C$153, 1, FALSE)</f>
        <v>71196180</v>
      </c>
      <c r="AE16" t="str">
        <f>VLOOKUP(Table1[[#This Row],[Product_Name]],'c174_calc'!$A$2:$C$153, 2, FALSE)</f>
        <v>10.21.77073A</v>
      </c>
      <c r="AF16">
        <f>VLOOKUP(Table1[[#This Row],[Product_Name]],'c174_calc'!$A$2:$C$153, 3, FALSE)</f>
        <v>1</v>
      </c>
      <c r="AG16" t="b">
        <f>Table1[[#This Row],[vma]]=Table1[[#This Row],[MA_Number]]</f>
        <v>1</v>
      </c>
    </row>
    <row r="17" spans="1:33" x14ac:dyDescent="0.3">
      <c r="A17" t="s">
        <v>89</v>
      </c>
      <c r="B17" s="1" t="s">
        <v>746</v>
      </c>
      <c r="C17" s="1"/>
      <c r="D17" t="s">
        <v>278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X17">
        <v>61</v>
      </c>
      <c r="Y17" t="s">
        <v>2376</v>
      </c>
      <c r="Z17" t="s">
        <v>2377</v>
      </c>
      <c r="AA17">
        <f>Table1[[#This Row],[qPer board]]*Table1[[#This Row],[boards]]</f>
        <v>15</v>
      </c>
      <c r="AB17">
        <v>1</v>
      </c>
      <c r="AC17">
        <v>15</v>
      </c>
      <c r="AD17" t="e">
        <f>VLOOKUP(Table1[[#This Row],[Product_Name]],'c174_calc'!$A$2:$C$153, 1, FALSE)</f>
        <v>#N/A</v>
      </c>
      <c r="AE17" t="e">
        <f>VLOOKUP(Table1[[#This Row],[Product_Name]],'c174_calc'!$A$2:$C$153, 2, FALSE)</f>
        <v>#N/A</v>
      </c>
      <c r="AF17" t="e">
        <f>VLOOKUP(Table1[[#This Row],[Product_Name]],'c174_calc'!$A$2:$C$153, 3, FALSE)</f>
        <v>#N/A</v>
      </c>
      <c r="AG17" t="e">
        <f>Table1[[#This Row],[vma]]=Table1[[#This Row],[MA_Number]]</f>
        <v>#N/A</v>
      </c>
    </row>
    <row r="18" spans="1:33" hidden="1" x14ac:dyDescent="0.3">
      <c r="A18" t="s">
        <v>90</v>
      </c>
      <c r="B18" s="1">
        <v>7119639830</v>
      </c>
      <c r="C18" s="1"/>
      <c r="D18" t="s">
        <v>278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60</v>
      </c>
      <c r="Y18" t="s">
        <v>2376</v>
      </c>
      <c r="Z18" t="s">
        <v>2377</v>
      </c>
      <c r="AA18">
        <f>Table1[[#This Row],[qPer board]]*Table1[[#This Row],[boards]]</f>
        <v>15</v>
      </c>
      <c r="AB18">
        <f>Table1[[#This Row],[vqty]]</f>
        <v>1</v>
      </c>
      <c r="AC18">
        <v>15</v>
      </c>
      <c r="AD18">
        <f>VLOOKUP(Table1[[#This Row],[Product_Name]],'c174_calc'!$A$2:$C$153, 1, FALSE)</f>
        <v>7119639830</v>
      </c>
      <c r="AE18" t="str">
        <f>VLOOKUP(Table1[[#This Row],[Product_Name]],'c174_calc'!$A$2:$C$153, 2, FALSE)</f>
        <v>10.21.83680A</v>
      </c>
      <c r="AF18">
        <f>VLOOKUP(Table1[[#This Row],[Product_Name]],'c174_calc'!$A$2:$C$153, 3, FALSE)</f>
        <v>1</v>
      </c>
      <c r="AG18" t="b">
        <f>Table1[[#This Row],[vma]]=Table1[[#This Row],[MA_Number]]</f>
        <v>1</v>
      </c>
    </row>
    <row r="19" spans="1:33" hidden="1" x14ac:dyDescent="0.3">
      <c r="A19" t="s">
        <v>91</v>
      </c>
      <c r="B19" s="1">
        <v>71196401</v>
      </c>
      <c r="C19" s="1"/>
      <c r="D19" t="s">
        <v>278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60</v>
      </c>
      <c r="Y19" t="s">
        <v>2376</v>
      </c>
      <c r="Z19" t="s">
        <v>2377</v>
      </c>
      <c r="AA19">
        <f>Table1[[#This Row],[qPer board]]*Table1[[#This Row],[boards]]</f>
        <v>15</v>
      </c>
      <c r="AB19">
        <f>Table1[[#This Row],[vqty]]</f>
        <v>1</v>
      </c>
      <c r="AC19">
        <v>15</v>
      </c>
      <c r="AD19">
        <f>VLOOKUP(Table1[[#This Row],[Product_Name]],'c174_calc'!$A$2:$C$153, 1, FALSE)</f>
        <v>71196401</v>
      </c>
      <c r="AE19" t="str">
        <f>VLOOKUP(Table1[[#This Row],[Product_Name]],'c174_calc'!$A$2:$C$153, 2, FALSE)</f>
        <v>10.21.36271A</v>
      </c>
      <c r="AF19">
        <f>VLOOKUP(Table1[[#This Row],[Product_Name]],'c174_calc'!$A$2:$C$153, 3, FALSE)</f>
        <v>1</v>
      </c>
      <c r="AG19" t="b">
        <f>Table1[[#This Row],[vma]]=Table1[[#This Row],[MA_Number]]</f>
        <v>1</v>
      </c>
    </row>
    <row r="20" spans="1:33" hidden="1" x14ac:dyDescent="0.3">
      <c r="A20" t="s">
        <v>92</v>
      </c>
      <c r="B20" s="1">
        <v>7119641970</v>
      </c>
      <c r="C20" s="1"/>
      <c r="D20" t="s">
        <v>278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AA20">
        <f>Table1[[#This Row],[qPer board]]*Table1[[#This Row],[boards]]</f>
        <v>0</v>
      </c>
      <c r="AB20">
        <f>Table1[[#This Row],[vqty]]</f>
        <v>0</v>
      </c>
      <c r="AD20">
        <f>VLOOKUP(Table1[[#This Row],[Product_Name]],'c174_calc'!$A$2:$C$153, 1, FALSE)</f>
        <v>7119641970</v>
      </c>
      <c r="AE20" t="str">
        <f>VLOOKUP(Table1[[#This Row],[Product_Name]],'c174_calc'!$A$2:$C$153, 2, FALSE)</f>
        <v>10.21.83709A</v>
      </c>
      <c r="AF20">
        <f>VLOOKUP(Table1[[#This Row],[Product_Name]],'c174_calc'!$A$2:$C$153, 3, FALSE)</f>
        <v>0</v>
      </c>
      <c r="AG20" t="b">
        <f>Table1[[#This Row],[vma]]=Table1[[#This Row],[MA_Number]]</f>
        <v>1</v>
      </c>
    </row>
    <row r="21" spans="1:33" hidden="1" x14ac:dyDescent="0.3">
      <c r="A21" t="s">
        <v>93</v>
      </c>
      <c r="B21" s="1">
        <v>71196506</v>
      </c>
      <c r="C21" s="1"/>
      <c r="D21" t="s">
        <v>278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X21">
        <v>60</v>
      </c>
      <c r="Y21" t="s">
        <v>2376</v>
      </c>
      <c r="Z21" t="s">
        <v>2377</v>
      </c>
      <c r="AA21">
        <f>Table1[[#This Row],[qPer board]]*Table1[[#This Row],[boards]]</f>
        <v>15</v>
      </c>
      <c r="AB21">
        <f>Table1[[#This Row],[vqty]]</f>
        <v>1</v>
      </c>
      <c r="AC21">
        <v>15</v>
      </c>
      <c r="AD21">
        <f>VLOOKUP(Table1[[#This Row],[Product_Name]],'c174_calc'!$A$2:$C$153, 1, FALSE)</f>
        <v>71196506</v>
      </c>
      <c r="AE21" t="str">
        <f>VLOOKUP(Table1[[#This Row],[Product_Name]],'c174_calc'!$A$2:$C$153, 2, FALSE)</f>
        <v>10.21.47236A</v>
      </c>
      <c r="AF21">
        <f>VLOOKUP(Table1[[#This Row],[Product_Name]],'c174_calc'!$A$2:$C$153, 3, FALSE)</f>
        <v>1</v>
      </c>
      <c r="AG21" t="b">
        <f>Table1[[#This Row],[vma]]=Table1[[#This Row],[MA_Number]]</f>
        <v>1</v>
      </c>
    </row>
    <row r="22" spans="1:33" hidden="1" x14ac:dyDescent="0.3">
      <c r="A22" t="s">
        <v>94</v>
      </c>
      <c r="B22" s="1" t="s">
        <v>216</v>
      </c>
      <c r="C22" s="1"/>
      <c r="D22" t="s">
        <v>278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X22">
        <v>60</v>
      </c>
      <c r="Y22" t="s">
        <v>2376</v>
      </c>
      <c r="Z22" t="s">
        <v>2377</v>
      </c>
      <c r="AA22">
        <f>Table1[[#This Row],[qPer board]]*Table1[[#This Row],[boards]]</f>
        <v>15</v>
      </c>
      <c r="AB22">
        <f>Table1[[#This Row],[vqty]]</f>
        <v>1</v>
      </c>
      <c r="AC22">
        <v>15</v>
      </c>
      <c r="AD22" t="str">
        <f>VLOOKUP(Table1[[#This Row],[Product_Name]],'c174_calc'!$A$2:$C$153, 1, FALSE)</f>
        <v>71196683+7173344320+X1PO2488</v>
      </c>
      <c r="AE22" t="str">
        <f>VLOOKUP(Table1[[#This Row],[Product_Name]],'c174_calc'!$A$2:$C$153, 2, FALSE)</f>
        <v>10.21.83671B</v>
      </c>
      <c r="AF22">
        <f>VLOOKUP(Table1[[#This Row],[Product_Name]],'c174_calc'!$A$2:$C$153, 3, FALSE)</f>
        <v>1</v>
      </c>
      <c r="AG22" t="b">
        <f>Table1[[#This Row],[vma]]=Table1[[#This Row],[MA_Number]]</f>
        <v>1</v>
      </c>
    </row>
    <row r="23" spans="1:33" hidden="1" x14ac:dyDescent="0.3">
      <c r="A23" t="s">
        <v>95</v>
      </c>
      <c r="B23" s="1">
        <v>7119668820</v>
      </c>
      <c r="C23" s="1"/>
      <c r="D23" t="s">
        <v>278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X23">
        <v>60</v>
      </c>
      <c r="Y23" t="s">
        <v>2376</v>
      </c>
      <c r="Z23" t="s">
        <v>2377</v>
      </c>
      <c r="AA23">
        <f>Table1[[#This Row],[qPer board]]*Table1[[#This Row],[boards]]</f>
        <v>15</v>
      </c>
      <c r="AB23">
        <f>Table1[[#This Row],[vqty]]</f>
        <v>1</v>
      </c>
      <c r="AC23">
        <v>15</v>
      </c>
      <c r="AD23">
        <f>VLOOKUP(Table1[[#This Row],[Product_Name]],'c174_calc'!$A$2:$C$153, 1, FALSE)</f>
        <v>7119668820</v>
      </c>
      <c r="AE23" t="str">
        <f>VLOOKUP(Table1[[#This Row],[Product_Name]],'c174_calc'!$A$2:$C$153, 2, FALSE)</f>
        <v>10.21.77085A</v>
      </c>
      <c r="AF23">
        <f>VLOOKUP(Table1[[#This Row],[Product_Name]],'c174_calc'!$A$2:$C$153, 3, FALSE)</f>
        <v>1</v>
      </c>
      <c r="AG23" t="b">
        <f>Table1[[#This Row],[vma]]=Table1[[#This Row],[MA_Number]]</f>
        <v>1</v>
      </c>
    </row>
    <row r="24" spans="1:33" hidden="1" x14ac:dyDescent="0.3">
      <c r="A24" t="s">
        <v>96</v>
      </c>
      <c r="B24" s="1" t="s">
        <v>217</v>
      </c>
      <c r="C24" s="1"/>
      <c r="D24" t="s">
        <v>278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X24">
        <v>60</v>
      </c>
      <c r="Y24" t="s">
        <v>2376</v>
      </c>
      <c r="Z24" t="s">
        <v>2377</v>
      </c>
      <c r="AA24">
        <f>Table1[[#This Row],[qPer board]]*Table1[[#This Row],[boards]]</f>
        <v>30</v>
      </c>
      <c r="AB24">
        <f>Table1[[#This Row],[vqty]]</f>
        <v>2</v>
      </c>
      <c r="AC24">
        <v>15</v>
      </c>
      <c r="AD24" t="str">
        <f>VLOOKUP(Table1[[#This Row],[Product_Name]],'c174_calc'!$A$2:$C$153, 1, FALSE)</f>
        <v>7119670830+7274290770A</v>
      </c>
      <c r="AE24" t="str">
        <f>VLOOKUP(Table1[[#This Row],[Product_Name]],'c174_calc'!$A$2:$C$153, 2, FALSE)</f>
        <v>10.21.73050A</v>
      </c>
      <c r="AF24">
        <f>VLOOKUP(Table1[[#This Row],[Product_Name]],'c174_calc'!$A$2:$C$153, 3, FALSE)</f>
        <v>2</v>
      </c>
      <c r="AG24" t="b">
        <f>Table1[[#This Row],[vma]]=Table1[[#This Row],[MA_Number]]</f>
        <v>1</v>
      </c>
    </row>
    <row r="25" spans="1:33" hidden="1" x14ac:dyDescent="0.3">
      <c r="A25" t="s">
        <v>97</v>
      </c>
      <c r="B25" s="1">
        <v>71196714</v>
      </c>
      <c r="C25" s="1"/>
      <c r="D25" t="s">
        <v>278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60</v>
      </c>
      <c r="Y25" t="s">
        <v>2376</v>
      </c>
      <c r="Z25" t="s">
        <v>2377</v>
      </c>
      <c r="AA25">
        <f>Table1[[#This Row],[qPer board]]*Table1[[#This Row],[boards]]</f>
        <v>30</v>
      </c>
      <c r="AB25">
        <f>Table1[[#This Row],[vqty]]</f>
        <v>2</v>
      </c>
      <c r="AC25">
        <v>15</v>
      </c>
      <c r="AD25">
        <f>VLOOKUP(Table1[[#This Row],[Product_Name]],'c174_calc'!$A$2:$C$153, 1, FALSE)</f>
        <v>71196714</v>
      </c>
      <c r="AE25" t="str">
        <f>VLOOKUP(Table1[[#This Row],[Product_Name]],'c174_calc'!$A$2:$C$153, 2, FALSE)</f>
        <v>10.21.80748A</v>
      </c>
      <c r="AF25">
        <f>VLOOKUP(Table1[[#This Row],[Product_Name]],'c174_calc'!$A$2:$C$153, 3, FALSE)</f>
        <v>2</v>
      </c>
      <c r="AG25" t="b">
        <f>Table1[[#This Row],[vma]]=Table1[[#This Row],[MA_Number]]</f>
        <v>1</v>
      </c>
    </row>
    <row r="26" spans="1:33" hidden="1" x14ac:dyDescent="0.3">
      <c r="A26" t="s">
        <v>98</v>
      </c>
      <c r="B26" s="1" t="s">
        <v>218</v>
      </c>
      <c r="C26" s="1"/>
      <c r="D26" t="s">
        <v>278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X26">
        <v>60</v>
      </c>
      <c r="Y26" t="s">
        <v>2376</v>
      </c>
      <c r="Z26" t="s">
        <v>2377</v>
      </c>
      <c r="AA26">
        <f>Table1[[#This Row],[qPer board]]*Table1[[#This Row],[boards]]</f>
        <v>15</v>
      </c>
      <c r="AB26">
        <f>Table1[[#This Row],[vqty]]</f>
        <v>1</v>
      </c>
      <c r="AC26">
        <v>15</v>
      </c>
      <c r="AD26" t="str">
        <f>VLOOKUP(Table1[[#This Row],[Product_Name]],'c174_calc'!$A$2:$C$153, 1, FALSE)</f>
        <v>7119648630+7274171430A</v>
      </c>
      <c r="AE26" t="str">
        <f>VLOOKUP(Table1[[#This Row],[Product_Name]],'c174_calc'!$A$2:$C$153, 2, FALSE)</f>
        <v>10.21.42593A</v>
      </c>
      <c r="AF26">
        <f>VLOOKUP(Table1[[#This Row],[Product_Name]],'c174_calc'!$A$2:$C$153, 3, FALSE)</f>
        <v>1</v>
      </c>
      <c r="AG26" t="b">
        <f>Table1[[#This Row],[vma]]=Table1[[#This Row],[MA_Number]]</f>
        <v>1</v>
      </c>
    </row>
    <row r="27" spans="1:33" hidden="1" x14ac:dyDescent="0.3">
      <c r="A27" t="s">
        <v>99</v>
      </c>
      <c r="B27" s="1">
        <v>71781405</v>
      </c>
      <c r="C27" s="1"/>
      <c r="D27" t="s">
        <v>278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AA27" t="e">
        <f>Table1[[#This Row],[qPer board]]*Table1[[#This Row],[boards]]</f>
        <v>#REF!</v>
      </c>
      <c r="AB27" t="e">
        <f>VLOOKUP(Table1[[#This Row],[MA_Number]],#REF!, 2,FALSE)</f>
        <v>#REF!</v>
      </c>
      <c r="AD27" t="e">
        <f>VLOOKUP(Table1[[#This Row],[Product_Name]],'c174_calc'!$A$2:$C$153, 1, FALSE)</f>
        <v>#N/A</v>
      </c>
      <c r="AE27" t="e">
        <f>VLOOKUP(Table1[[#This Row],[Product_Name]],'c174_calc'!$A$2:$C$153, 2, FALSE)</f>
        <v>#N/A</v>
      </c>
      <c r="AF27" t="e">
        <f>VLOOKUP(Table1[[#This Row],[Product_Name]],'c174_calc'!$A$2:$C$153, 3, FALSE)</f>
        <v>#N/A</v>
      </c>
      <c r="AG27" t="e">
        <f>Table1[[#This Row],[vma]]=Table1[[#This Row],[MA_Number]]</f>
        <v>#N/A</v>
      </c>
    </row>
    <row r="28" spans="1:33" hidden="1" x14ac:dyDescent="0.3">
      <c r="A28" t="s">
        <v>100</v>
      </c>
      <c r="B28" s="1" t="s">
        <v>219</v>
      </c>
      <c r="C28" s="1"/>
      <c r="D28" t="s">
        <v>278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X28">
        <v>60</v>
      </c>
      <c r="Y28" t="s">
        <v>2376</v>
      </c>
      <c r="Z28" t="s">
        <v>2377</v>
      </c>
      <c r="AA28">
        <f>Table1[[#This Row],[qPer board]]*Table1[[#This Row],[boards]]</f>
        <v>15</v>
      </c>
      <c r="AB28">
        <f>Table1[[#This Row],[vqty]]</f>
        <v>1</v>
      </c>
      <c r="AC28">
        <v>15</v>
      </c>
      <c r="AD28" t="str">
        <f>VLOOKUP(Table1[[#This Row],[Product_Name]],'c174_calc'!$A$2:$C$153, 1, FALSE)</f>
        <v>7183288530+7183288630+72742612A</v>
      </c>
      <c r="AE28" t="str">
        <f>VLOOKUP(Table1[[#This Row],[Product_Name]],'c174_calc'!$A$2:$C$153, 2, FALSE)</f>
        <v>10.21.72974A</v>
      </c>
      <c r="AF28">
        <f>VLOOKUP(Table1[[#This Row],[Product_Name]],'c174_calc'!$A$2:$C$153, 3, FALSE)</f>
        <v>1</v>
      </c>
      <c r="AG28" t="b">
        <f>Table1[[#This Row],[vma]]=Table1[[#This Row],[MA_Number]]</f>
        <v>1</v>
      </c>
    </row>
    <row r="29" spans="1:33" hidden="1" x14ac:dyDescent="0.3">
      <c r="A29" t="s">
        <v>101</v>
      </c>
      <c r="B29" s="1" t="s">
        <v>546</v>
      </c>
      <c r="C29" s="1"/>
      <c r="D29" t="s">
        <v>278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X29">
        <v>60</v>
      </c>
      <c r="Y29" t="s">
        <v>2376</v>
      </c>
      <c r="Z29" t="s">
        <v>2377</v>
      </c>
      <c r="AA29">
        <f>Table1[[#This Row],[qPer board]]*Table1[[#This Row],[boards]]</f>
        <v>15</v>
      </c>
      <c r="AB29">
        <f>Table1[[#This Row],[vqty]]</f>
        <v>1</v>
      </c>
      <c r="AC29">
        <v>15</v>
      </c>
      <c r="AD29" t="str">
        <f>VLOOKUP(Table1[[#This Row],[Product_Name]],'c174_calc'!$A$2:$C$153, 1, FALSE)</f>
        <v>7185173030+7185173130+72742608</v>
      </c>
      <c r="AE29" t="str">
        <f>VLOOKUP(Table1[[#This Row],[Product_Name]],'c174_calc'!$A$2:$C$153, 2, FALSE)</f>
        <v>10.21.77049A</v>
      </c>
      <c r="AF29">
        <f>VLOOKUP(Table1[[#This Row],[Product_Name]],'c174_calc'!$A$2:$C$153, 3, FALSE)</f>
        <v>1</v>
      </c>
      <c r="AG29" t="b">
        <f>Table1[[#This Row],[vma]]=Table1[[#This Row],[MA_Number]]</f>
        <v>1</v>
      </c>
    </row>
    <row r="30" spans="1:33" hidden="1" x14ac:dyDescent="0.3">
      <c r="A30" t="s">
        <v>102</v>
      </c>
      <c r="B30" s="1" t="s">
        <v>1234</v>
      </c>
      <c r="C30" s="1"/>
      <c r="D30" t="s">
        <v>278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X30">
        <v>60</v>
      </c>
      <c r="Y30" t="s">
        <v>2376</v>
      </c>
      <c r="Z30" t="s">
        <v>2377</v>
      </c>
      <c r="AA30">
        <f>Table1[[#This Row],[qPer board]]*Table1[[#This Row],[boards]]</f>
        <v>15</v>
      </c>
      <c r="AB30">
        <f>Table1[[#This Row],[vqty]]</f>
        <v>1</v>
      </c>
      <c r="AC30">
        <v>15</v>
      </c>
      <c r="AD30" t="str">
        <f>VLOOKUP(Table1[[#This Row],[Product_Name]],'c174_calc'!$A$2:$C$153, 1, FALSE)</f>
        <v>7187903970+7187904070+7274060970</v>
      </c>
      <c r="AE30" t="str">
        <f>VLOOKUP(Table1[[#This Row],[Product_Name]],'c174_calc'!$A$2:$C$153, 2, FALSE)</f>
        <v>10.21.42674D</v>
      </c>
      <c r="AF30">
        <f>VLOOKUP(Table1[[#This Row],[Product_Name]],'c174_calc'!$A$2:$C$153, 3, FALSE)</f>
        <v>1</v>
      </c>
      <c r="AG30" t="b">
        <f>Table1[[#This Row],[vma]]=Table1[[#This Row],[MA_Number]]</f>
        <v>1</v>
      </c>
    </row>
    <row r="31" spans="1:33" hidden="1" x14ac:dyDescent="0.3">
      <c r="A31" t="s">
        <v>103</v>
      </c>
      <c r="B31" s="1" t="s">
        <v>221</v>
      </c>
      <c r="C31" s="1"/>
      <c r="D31" t="s">
        <v>278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60</v>
      </c>
      <c r="Y31" t="s">
        <v>2376</v>
      </c>
      <c r="Z31" t="s">
        <v>2377</v>
      </c>
      <c r="AA31">
        <f>Table1[[#This Row],[qPer board]]*Table1[[#This Row],[boards]]</f>
        <v>15</v>
      </c>
      <c r="AB31">
        <f>Table1[[#This Row],[vqty]]</f>
        <v>1</v>
      </c>
      <c r="AC31">
        <v>15</v>
      </c>
      <c r="AD31" t="str">
        <f>VLOOKUP(Table1[[#This Row],[Product_Name]],'c174_calc'!$A$2:$C$153, 1, FALSE)</f>
        <v>71884821+7134425740</v>
      </c>
      <c r="AE31" t="str">
        <f>VLOOKUP(Table1[[#This Row],[Product_Name]],'c174_calc'!$A$2:$C$153, 2, FALSE)</f>
        <v>10.21.72978A</v>
      </c>
      <c r="AF31">
        <f>VLOOKUP(Table1[[#This Row],[Product_Name]],'c174_calc'!$A$2:$C$153, 3, FALSE)</f>
        <v>1</v>
      </c>
      <c r="AG31" t="b">
        <f>Table1[[#This Row],[vma]]=Table1[[#This Row],[MA_Number]]</f>
        <v>1</v>
      </c>
    </row>
    <row r="32" spans="1:33" hidden="1" x14ac:dyDescent="0.3">
      <c r="A32" t="s">
        <v>104</v>
      </c>
      <c r="B32" s="1" t="s">
        <v>222</v>
      </c>
      <c r="C32" s="1"/>
      <c r="D32" t="s">
        <v>278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X32">
        <v>60</v>
      </c>
      <c r="Y32" t="s">
        <v>2376</v>
      </c>
      <c r="Z32" t="s">
        <v>2377</v>
      </c>
      <c r="AA32">
        <f>Table1[[#This Row],[qPer board]]*Table1[[#This Row],[boards]]</f>
        <v>15</v>
      </c>
      <c r="AB32">
        <f>Table1[[#This Row],[vqty]]</f>
        <v>1</v>
      </c>
      <c r="AC32">
        <v>15</v>
      </c>
      <c r="AD32" t="str">
        <f>VLOOKUP(Table1[[#This Row],[Product_Name]],'c174_calc'!$A$2:$C$153, 1, FALSE)</f>
        <v>7188503730+7174152230A(7177097330)</v>
      </c>
      <c r="AE32" t="str">
        <f>VLOOKUP(Table1[[#This Row],[Product_Name]],'c174_calc'!$A$2:$C$153, 2, FALSE)</f>
        <v>10.21.83656D</v>
      </c>
      <c r="AF32">
        <f>VLOOKUP(Table1[[#This Row],[Product_Name]],'c174_calc'!$A$2:$C$153, 3, FALSE)</f>
        <v>1</v>
      </c>
      <c r="AG32" t="b">
        <f>Table1[[#This Row],[vma]]=Table1[[#This Row],[MA_Number]]</f>
        <v>1</v>
      </c>
    </row>
    <row r="33" spans="1:33" hidden="1" x14ac:dyDescent="0.3">
      <c r="A33" t="s">
        <v>105</v>
      </c>
      <c r="B33" s="1" t="s">
        <v>222</v>
      </c>
      <c r="C33" s="1"/>
      <c r="D33" t="s">
        <v>278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AA33">
        <f>Table1[[#This Row],[qPer board]]*Table1[[#This Row],[boards]]</f>
        <v>0</v>
      </c>
      <c r="AB33">
        <f>Table1[[#This Row],[vqty]]</f>
        <v>1</v>
      </c>
      <c r="AD33" t="str">
        <f>VLOOKUP(Table1[[#This Row],[Product_Name]],'c174_calc'!$A$2:$C$153, 1, FALSE)</f>
        <v>7188503730+7174152230A(7177097330)</v>
      </c>
      <c r="AE33" t="str">
        <f>VLOOKUP(Table1[[#This Row],[Product_Name]],'c174_calc'!$A$2:$C$153, 2, FALSE)</f>
        <v>10.21.83656D</v>
      </c>
      <c r="AF33">
        <f>VLOOKUP(Table1[[#This Row],[Product_Name]],'c174_calc'!$A$2:$C$153, 3, FALSE)</f>
        <v>1</v>
      </c>
      <c r="AG33" t="b">
        <f>Table1[[#This Row],[vma]]=Table1[[#This Row],[MA_Number]]</f>
        <v>0</v>
      </c>
    </row>
    <row r="34" spans="1:33" hidden="1" x14ac:dyDescent="0.3">
      <c r="A34" t="s">
        <v>106</v>
      </c>
      <c r="B34" s="1">
        <v>7189663170</v>
      </c>
      <c r="C34" s="1"/>
      <c r="D34" t="s">
        <v>278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60</v>
      </c>
      <c r="Y34" t="s">
        <v>2376</v>
      </c>
      <c r="Z34" t="s">
        <v>2377</v>
      </c>
      <c r="AA34">
        <f>Table1[[#This Row],[qPer board]]*Table1[[#This Row],[boards]]</f>
        <v>30</v>
      </c>
      <c r="AB34">
        <f>Table1[[#This Row],[vqty]]</f>
        <v>2</v>
      </c>
      <c r="AC34">
        <v>15</v>
      </c>
      <c r="AD34">
        <f>VLOOKUP(Table1[[#This Row],[Product_Name]],'c174_calc'!$A$2:$C$153, 1, FALSE)</f>
        <v>7189663170</v>
      </c>
      <c r="AE34" t="str">
        <f>VLOOKUP(Table1[[#This Row],[Product_Name]],'c174_calc'!$A$2:$C$153, 2, FALSE)</f>
        <v>10.21.35851A</v>
      </c>
      <c r="AF34">
        <f>VLOOKUP(Table1[[#This Row],[Product_Name]],'c174_calc'!$A$2:$C$153, 3, FALSE)</f>
        <v>2</v>
      </c>
      <c r="AG34" t="b">
        <f>Table1[[#This Row],[vma]]=Table1[[#This Row],[MA_Number]]</f>
        <v>1</v>
      </c>
    </row>
    <row r="35" spans="1:33" x14ac:dyDescent="0.3">
      <c r="A35" t="s">
        <v>745</v>
      </c>
      <c r="B35" s="1" t="s">
        <v>1217</v>
      </c>
      <c r="C35" s="1"/>
      <c r="D35" t="s">
        <v>278</v>
      </c>
      <c r="E35" t="s">
        <v>1746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X35">
        <v>61</v>
      </c>
      <c r="Y35" t="s">
        <v>2376</v>
      </c>
      <c r="Z35" t="s">
        <v>2377</v>
      </c>
      <c r="AA35">
        <f>Table1[[#This Row],[qPer board]]*Table1[[#This Row],[boards]]</f>
        <v>15</v>
      </c>
      <c r="AB35">
        <v>1</v>
      </c>
      <c r="AC35">
        <v>15</v>
      </c>
      <c r="AD35" t="e">
        <f>VLOOKUP(Table1[[#This Row],[Product_Name]],'c174_calc'!$A$2:$C$153, 1, FALSE)</f>
        <v>#N/A</v>
      </c>
      <c r="AE35" t="e">
        <f>VLOOKUP(Table1[[#This Row],[Product_Name]],'c174_calc'!$A$2:$C$153, 2, FALSE)</f>
        <v>#N/A</v>
      </c>
      <c r="AF35" t="e">
        <f>VLOOKUP(Table1[[#This Row],[Product_Name]],'c174_calc'!$A$2:$C$153, 3, FALSE)</f>
        <v>#N/A</v>
      </c>
      <c r="AG35" t="e">
        <f>Table1[[#This Row],[vma]]=Table1[[#This Row],[MA_Number]]</f>
        <v>#N/A</v>
      </c>
    </row>
    <row r="36" spans="1:33" hidden="1" x14ac:dyDescent="0.3">
      <c r="A36" t="s">
        <v>107</v>
      </c>
      <c r="B36" s="1">
        <v>71899503</v>
      </c>
      <c r="C36" s="1"/>
      <c r="D36" t="s">
        <v>278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60</v>
      </c>
      <c r="Y36" t="s">
        <v>2376</v>
      </c>
      <c r="Z36" t="s">
        <v>2377</v>
      </c>
      <c r="AA36">
        <f>Table1[[#This Row],[qPer board]]*Table1[[#This Row],[boards]]</f>
        <v>30</v>
      </c>
      <c r="AB36">
        <f>Table1[[#This Row],[vqty]]</f>
        <v>2</v>
      </c>
      <c r="AC36">
        <v>15</v>
      </c>
      <c r="AD36">
        <f>VLOOKUP(Table1[[#This Row],[Product_Name]],'c174_calc'!$A$2:$C$153, 1, FALSE)</f>
        <v>71899503</v>
      </c>
      <c r="AE36" t="str">
        <f>VLOOKUP(Table1[[#This Row],[Product_Name]],'c174_calc'!$A$2:$C$153, 2, FALSE)</f>
        <v>10.21.28074A</v>
      </c>
      <c r="AF36">
        <f>VLOOKUP(Table1[[#This Row],[Product_Name]],'c174_calc'!$A$2:$C$153, 3, FALSE)</f>
        <v>2</v>
      </c>
      <c r="AG36" t="b">
        <f>Table1[[#This Row],[vma]]=Table1[[#This Row],[MA_Number]]</f>
        <v>1</v>
      </c>
    </row>
    <row r="37" spans="1:33" hidden="1" x14ac:dyDescent="0.3">
      <c r="A37" t="s">
        <v>108</v>
      </c>
      <c r="B37" s="1">
        <v>7189982830</v>
      </c>
      <c r="C37" s="1"/>
      <c r="D37" t="s">
        <v>278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60</v>
      </c>
      <c r="Y37" t="s">
        <v>2376</v>
      </c>
      <c r="Z37" t="s">
        <v>2377</v>
      </c>
      <c r="AA37">
        <f>Table1[[#This Row],[qPer board]]*Table1[[#This Row],[boards]]</f>
        <v>15</v>
      </c>
      <c r="AB37">
        <f>Table1[[#This Row],[vqty]]</f>
        <v>1</v>
      </c>
      <c r="AC37">
        <v>15</v>
      </c>
      <c r="AD37">
        <f>VLOOKUP(Table1[[#This Row],[Product_Name]],'c174_calc'!$A$2:$C$153, 1, FALSE)</f>
        <v>7189982830</v>
      </c>
      <c r="AE37" t="str">
        <f>VLOOKUP(Table1[[#This Row],[Product_Name]],'c174_calc'!$A$2:$C$153, 2, FALSE)</f>
        <v>10.21.76956B</v>
      </c>
      <c r="AF37">
        <f>VLOOKUP(Table1[[#This Row],[Product_Name]],'c174_calc'!$A$2:$C$153, 3, FALSE)</f>
        <v>1</v>
      </c>
      <c r="AG37" t="b">
        <f>Table1[[#This Row],[vma]]=Table1[[#This Row],[MA_Number]]</f>
        <v>1</v>
      </c>
    </row>
    <row r="38" spans="1:33" hidden="1" x14ac:dyDescent="0.3">
      <c r="A38" t="s">
        <v>109</v>
      </c>
      <c r="B38" s="1" t="s">
        <v>842</v>
      </c>
      <c r="C38" s="1"/>
      <c r="D38" t="s">
        <v>278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X38">
        <v>60</v>
      </c>
      <c r="Y38" t="s">
        <v>2376</v>
      </c>
      <c r="Z38" t="s">
        <v>2377</v>
      </c>
      <c r="AA38">
        <f>Table1[[#This Row],[qPer board]]*Table1[[#This Row],[boards]]</f>
        <v>15</v>
      </c>
      <c r="AB38">
        <f>Table1[[#This Row],[vqty]]</f>
        <v>1</v>
      </c>
      <c r="AC38">
        <v>15</v>
      </c>
      <c r="AD38" t="str">
        <f>VLOOKUP(Table1[[#This Row],[Product_Name]],'c174_calc'!$A$2:$C$153, 1, FALSE)</f>
        <v>7189668330+7274135020A</v>
      </c>
      <c r="AE38" t="str">
        <f>VLOOKUP(Table1[[#This Row],[Product_Name]],'c174_calc'!$A$2:$C$153, 2, FALSE)</f>
        <v>10.21.47066D</v>
      </c>
      <c r="AF38">
        <f>VLOOKUP(Table1[[#This Row],[Product_Name]],'c174_calc'!$A$2:$C$153, 3, FALSE)</f>
        <v>1</v>
      </c>
      <c r="AG38" t="b">
        <f>Table1[[#This Row],[vma]]=Table1[[#This Row],[MA_Number]]</f>
        <v>1</v>
      </c>
    </row>
    <row r="39" spans="1:33" hidden="1" x14ac:dyDescent="0.3">
      <c r="A39" t="s">
        <v>110</v>
      </c>
      <c r="B39" s="1" t="s">
        <v>224</v>
      </c>
      <c r="C39" s="1"/>
      <c r="D39" t="s">
        <v>278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X39">
        <v>60</v>
      </c>
      <c r="Y39" t="s">
        <v>2376</v>
      </c>
      <c r="Z39" t="s">
        <v>2377</v>
      </c>
      <c r="AA39">
        <f>Table1[[#This Row],[qPer board]]*Table1[[#This Row],[boards]]</f>
        <v>15</v>
      </c>
      <c r="AB39">
        <f>Table1[[#This Row],[vqty]]</f>
        <v>1</v>
      </c>
      <c r="AC39">
        <v>15</v>
      </c>
      <c r="AD39" t="str">
        <f>VLOOKUP(Table1[[#This Row],[Product_Name]],'c174_calc'!$A$2:$C$153, 1, FALSE)</f>
        <v>7189668330+7274136090A</v>
      </c>
      <c r="AE39" t="str">
        <f>VLOOKUP(Table1[[#This Row],[Product_Name]],'c174_calc'!$A$2:$C$153, 2, FALSE)</f>
        <v>10.21.47047D</v>
      </c>
      <c r="AF39">
        <f>VLOOKUP(Table1[[#This Row],[Product_Name]],'c174_calc'!$A$2:$C$153, 3, FALSE)</f>
        <v>1</v>
      </c>
      <c r="AG39" t="b">
        <f>Table1[[#This Row],[vma]]=Table1[[#This Row],[MA_Number]]</f>
        <v>1</v>
      </c>
    </row>
    <row r="40" spans="1:33" hidden="1" x14ac:dyDescent="0.3">
      <c r="A40" t="s">
        <v>111</v>
      </c>
      <c r="B40" s="1" t="s">
        <v>225</v>
      </c>
      <c r="C40" s="1"/>
      <c r="D40" t="s">
        <v>278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X40">
        <v>60</v>
      </c>
      <c r="Y40" t="s">
        <v>2376</v>
      </c>
      <c r="Z40" t="s">
        <v>2377</v>
      </c>
      <c r="AA40">
        <f>Table1[[#This Row],[qPer board]]*Table1[[#This Row],[boards]]</f>
        <v>15</v>
      </c>
      <c r="AB40">
        <f>Table1[[#This Row],[vqty]]</f>
        <v>1</v>
      </c>
      <c r="AC40">
        <v>15</v>
      </c>
      <c r="AD40" t="str">
        <f>VLOOKUP(Table1[[#This Row],[Product_Name]],'c174_calc'!$A$2:$C$153, 1, FALSE)</f>
        <v>7189730210+7274146260A</v>
      </c>
      <c r="AE40" t="str">
        <f>VLOOKUP(Table1[[#This Row],[Product_Name]],'c174_calc'!$A$2:$C$153, 2, FALSE)</f>
        <v>10.21.47065D</v>
      </c>
      <c r="AF40">
        <f>VLOOKUP(Table1[[#This Row],[Product_Name]],'c174_calc'!$A$2:$C$153, 3, FALSE)</f>
        <v>1</v>
      </c>
      <c r="AG40" t="b">
        <f>Table1[[#This Row],[vma]]=Table1[[#This Row],[MA_Number]]</f>
        <v>1</v>
      </c>
    </row>
    <row r="41" spans="1:33" hidden="1" x14ac:dyDescent="0.3">
      <c r="A41" t="s">
        <v>112</v>
      </c>
      <c r="B41" s="1">
        <v>71980943</v>
      </c>
      <c r="C41" s="1"/>
      <c r="D41" t="s">
        <v>278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AA41" t="e">
        <f>Table1[[#This Row],[qPer board]]*Table1[[#This Row],[boards]]</f>
        <v>#REF!</v>
      </c>
      <c r="AB41" t="e">
        <f>VLOOKUP(Table1[[#This Row],[MA_Number]],#REF!, 2,FALSE)</f>
        <v>#REF!</v>
      </c>
      <c r="AD41" t="e">
        <f>VLOOKUP(Table1[[#This Row],[Product_Name]],'c174_calc'!$A$2:$C$153, 1, FALSE)</f>
        <v>#N/A</v>
      </c>
      <c r="AE41" t="e">
        <f>VLOOKUP(Table1[[#This Row],[Product_Name]],'c174_calc'!$A$2:$C$153, 2, FALSE)</f>
        <v>#N/A</v>
      </c>
      <c r="AF41" t="e">
        <f>VLOOKUP(Table1[[#This Row],[Product_Name]],'c174_calc'!$A$2:$C$153, 3, FALSE)</f>
        <v>#N/A</v>
      </c>
      <c r="AG41" t="e">
        <f>Table1[[#This Row],[vma]]=Table1[[#This Row],[MA_Number]]</f>
        <v>#N/A</v>
      </c>
    </row>
    <row r="42" spans="1:33" hidden="1" x14ac:dyDescent="0.3">
      <c r="A42" t="s">
        <v>113</v>
      </c>
      <c r="B42" s="1" t="s">
        <v>1218</v>
      </c>
      <c r="C42" s="1"/>
      <c r="D42" t="s">
        <v>278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X42">
        <v>60</v>
      </c>
      <c r="Y42" t="s">
        <v>2376</v>
      </c>
      <c r="Z42" t="s">
        <v>2377</v>
      </c>
      <c r="AA42">
        <f>Table1[[#This Row],[qPer board]]*Table1[[#This Row],[boards]]</f>
        <v>30</v>
      </c>
      <c r="AB42">
        <f>Table1[[#This Row],[vqty]]</f>
        <v>2</v>
      </c>
      <c r="AC42">
        <v>15</v>
      </c>
      <c r="AD42" t="str">
        <f>VLOOKUP(Table1[[#This Row],[Product_Name]],'c174_calc'!$A$2:$C$153, 1, FALSE)</f>
        <v>7198277430+7198277530+72741954</v>
      </c>
      <c r="AE42" t="str">
        <f>VLOOKUP(Table1[[#This Row],[Product_Name]],'c174_calc'!$A$2:$C$153, 2, FALSE)</f>
        <v>10.21.80753C</v>
      </c>
      <c r="AF42">
        <f>VLOOKUP(Table1[[#This Row],[Product_Name]],'c174_calc'!$A$2:$C$153, 3, FALSE)</f>
        <v>2</v>
      </c>
      <c r="AG42" t="b">
        <f>Table1[[#This Row],[vma]]=Table1[[#This Row],[MA_Number]]</f>
        <v>1</v>
      </c>
    </row>
    <row r="43" spans="1:33" hidden="1" x14ac:dyDescent="0.3">
      <c r="A43" t="s">
        <v>744</v>
      </c>
      <c r="B43" s="1">
        <v>71986562</v>
      </c>
      <c r="C43" s="1"/>
      <c r="D43" t="s">
        <v>278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60</v>
      </c>
      <c r="Y43" t="s">
        <v>2376</v>
      </c>
      <c r="Z43" t="s">
        <v>2377</v>
      </c>
      <c r="AA43">
        <f>Table1[[#This Row],[qPer board]]*Table1[[#This Row],[boards]]</f>
        <v>15</v>
      </c>
      <c r="AB43">
        <f>Table1[[#This Row],[vqty]]</f>
        <v>1</v>
      </c>
      <c r="AC43">
        <v>15</v>
      </c>
      <c r="AD43">
        <f>VLOOKUP(Table1[[#This Row],[Product_Name]],'c174_calc'!$A$2:$C$153, 1, FALSE)</f>
        <v>71986562</v>
      </c>
      <c r="AE43" t="str">
        <f>VLOOKUP(Table1[[#This Row],[Product_Name]],'c174_calc'!$A$2:$C$153, 2, FALSE)</f>
        <v>10.21.77125A</v>
      </c>
      <c r="AF43">
        <f>VLOOKUP(Table1[[#This Row],[Product_Name]],'c174_calc'!$A$2:$C$153, 3, FALSE)</f>
        <v>1</v>
      </c>
      <c r="AG43" t="b">
        <f>Table1[[#This Row],[vma]]=Table1[[#This Row],[MA_Number]]</f>
        <v>1</v>
      </c>
    </row>
    <row r="44" spans="1:33" hidden="1" x14ac:dyDescent="0.3">
      <c r="A44" t="s">
        <v>114</v>
      </c>
      <c r="B44" s="1" t="s">
        <v>227</v>
      </c>
      <c r="C44" s="1"/>
      <c r="D44" t="s">
        <v>278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X44">
        <v>60</v>
      </c>
      <c r="Y44" t="s">
        <v>2376</v>
      </c>
      <c r="Z44" t="s">
        <v>2377</v>
      </c>
      <c r="AA44">
        <f>Table1[[#This Row],[qPer board]]*Table1[[#This Row],[boards]]</f>
        <v>30</v>
      </c>
      <c r="AB44">
        <f>Table1[[#This Row],[vqty]]</f>
        <v>2</v>
      </c>
      <c r="AC44">
        <v>15</v>
      </c>
      <c r="AD44" t="str">
        <f>VLOOKUP(Table1[[#This Row],[Product_Name]],'c174_calc'!$A$2:$C$153, 1, FALSE)</f>
        <v>7198762530+7198600430+7274261190A</v>
      </c>
      <c r="AE44" t="str">
        <f>VLOOKUP(Table1[[#This Row],[Product_Name]],'c174_calc'!$A$2:$C$153, 2, FALSE)</f>
        <v>10.21.83630A</v>
      </c>
      <c r="AF44">
        <f>VLOOKUP(Table1[[#This Row],[Product_Name]],'c174_calc'!$A$2:$C$153, 3, FALSE)</f>
        <v>2</v>
      </c>
      <c r="AG44" t="b">
        <f>Table1[[#This Row],[vma]]=Table1[[#This Row],[MA_Number]]</f>
        <v>1</v>
      </c>
    </row>
    <row r="45" spans="1:33" hidden="1" x14ac:dyDescent="0.3">
      <c r="A45" t="s">
        <v>115</v>
      </c>
      <c r="B45" s="1" t="s">
        <v>1219</v>
      </c>
      <c r="C45" s="1"/>
      <c r="D45" t="s">
        <v>278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X45">
        <v>60</v>
      </c>
      <c r="Y45" t="s">
        <v>2376</v>
      </c>
      <c r="Z45" t="s">
        <v>2377</v>
      </c>
      <c r="AA45">
        <f>Table1[[#This Row],[qPer board]]*Table1[[#This Row],[boards]]</f>
        <v>30</v>
      </c>
      <c r="AB45">
        <f>Table1[[#This Row],[vqty]]</f>
        <v>2</v>
      </c>
      <c r="AC45">
        <v>15</v>
      </c>
      <c r="AD45" t="str">
        <f>VLOOKUP(Table1[[#This Row],[Product_Name]],'c174_calc'!$A$2:$C$153, 1, FALSE)</f>
        <v>7198774930+7198947430+72742908</v>
      </c>
      <c r="AE45" t="str">
        <f>VLOOKUP(Table1[[#This Row],[Product_Name]],'c174_calc'!$A$2:$C$153, 2, FALSE)</f>
        <v>10.21.80775B</v>
      </c>
      <c r="AF45">
        <f>VLOOKUP(Table1[[#This Row],[Product_Name]],'c174_calc'!$A$2:$C$153, 3, FALSE)</f>
        <v>2</v>
      </c>
      <c r="AG45" t="b">
        <f>Table1[[#This Row],[vma]]=Table1[[#This Row],[MA_Number]]</f>
        <v>1</v>
      </c>
    </row>
    <row r="46" spans="1:33" x14ac:dyDescent="0.3">
      <c r="A46" t="s">
        <v>116</v>
      </c>
      <c r="B46" s="1" t="s">
        <v>1220</v>
      </c>
      <c r="C46" s="1"/>
      <c r="D46" t="s">
        <v>278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X46">
        <v>61</v>
      </c>
      <c r="Y46" t="s">
        <v>2376</v>
      </c>
      <c r="Z46" t="s">
        <v>2377</v>
      </c>
      <c r="AA46">
        <f>Table1[[#This Row],[qPer board]]*Table1[[#This Row],[boards]]</f>
        <v>30</v>
      </c>
      <c r="AB46">
        <v>2</v>
      </c>
      <c r="AC46">
        <v>15</v>
      </c>
      <c r="AD46" t="e">
        <f>VLOOKUP(Table1[[#This Row],[Product_Name]],'c174_calc'!$A$2:$C$153, 1, FALSE)</f>
        <v>#N/A</v>
      </c>
      <c r="AE46" t="e">
        <f>VLOOKUP(Table1[[#This Row],[Product_Name]],'c174_calc'!$A$2:$C$153, 2, FALSE)</f>
        <v>#N/A</v>
      </c>
      <c r="AF46" t="e">
        <f>VLOOKUP(Table1[[#This Row],[Product_Name]],'c174_calc'!$A$2:$C$153, 3, FALSE)</f>
        <v>#N/A</v>
      </c>
      <c r="AG46" t="e">
        <f>Table1[[#This Row],[vma]]=Table1[[#This Row],[MA_Number]]</f>
        <v>#N/A</v>
      </c>
    </row>
    <row r="47" spans="1:33" hidden="1" x14ac:dyDescent="0.3">
      <c r="A47" t="s">
        <v>117</v>
      </c>
      <c r="B47" s="1">
        <v>7198796290</v>
      </c>
      <c r="C47" s="1"/>
      <c r="D47" t="s">
        <v>278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60</v>
      </c>
      <c r="Y47" t="s">
        <v>2376</v>
      </c>
      <c r="Z47" t="s">
        <v>2377</v>
      </c>
      <c r="AA47">
        <f>Table1[[#This Row],[qPer board]]*Table1[[#This Row],[boards]]</f>
        <v>60</v>
      </c>
      <c r="AB47">
        <f>Table1[[#This Row],[vqty]]</f>
        <v>4</v>
      </c>
      <c r="AC47">
        <v>15</v>
      </c>
      <c r="AD47">
        <f>VLOOKUP(Table1[[#This Row],[Product_Name]],'c174_calc'!$A$2:$C$153, 1, FALSE)</f>
        <v>7198796290</v>
      </c>
      <c r="AE47" t="str">
        <f>VLOOKUP(Table1[[#This Row],[Product_Name]],'c174_calc'!$A$2:$C$153, 2, FALSE)</f>
        <v>10.21.73031A</v>
      </c>
      <c r="AF47">
        <f>VLOOKUP(Table1[[#This Row],[Product_Name]],'c174_calc'!$A$2:$C$153, 3, FALSE)</f>
        <v>4</v>
      </c>
      <c r="AG47" t="b">
        <f>Table1[[#This Row],[vma]]=Table1[[#This Row],[MA_Number]]</f>
        <v>1</v>
      </c>
    </row>
    <row r="48" spans="1:33" hidden="1" x14ac:dyDescent="0.3">
      <c r="A48" t="s">
        <v>118</v>
      </c>
      <c r="B48" s="1">
        <v>71988082</v>
      </c>
      <c r="C48" s="1"/>
      <c r="D48" t="s">
        <v>278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AA48" t="e">
        <f>Table1[[#This Row],[qPer board]]*Table1[[#This Row],[boards]]</f>
        <v>#REF!</v>
      </c>
      <c r="AB48" t="e">
        <f>VLOOKUP(Table1[[#This Row],[MA_Number]],#REF!, 2,FALSE)</f>
        <v>#REF!</v>
      </c>
      <c r="AD48" t="e">
        <f>VLOOKUP(Table1[[#This Row],[Product_Name]],'c174_calc'!$A$2:$C$153, 1, FALSE)</f>
        <v>#N/A</v>
      </c>
      <c r="AE48" t="e">
        <f>VLOOKUP(Table1[[#This Row],[Product_Name]],'c174_calc'!$A$2:$C$153, 2, FALSE)</f>
        <v>#N/A</v>
      </c>
      <c r="AF48" t="e">
        <f>VLOOKUP(Table1[[#This Row],[Product_Name]],'c174_calc'!$A$2:$C$153, 3, FALSE)</f>
        <v>#N/A</v>
      </c>
      <c r="AG48" t="e">
        <f>Table1[[#This Row],[vma]]=Table1[[#This Row],[MA_Number]]</f>
        <v>#N/A</v>
      </c>
    </row>
    <row r="49" spans="1:33" hidden="1" x14ac:dyDescent="0.3">
      <c r="A49" t="s">
        <v>119</v>
      </c>
      <c r="B49" s="1" t="s">
        <v>647</v>
      </c>
      <c r="C49" s="1"/>
      <c r="D49" t="s">
        <v>278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X49">
        <v>60</v>
      </c>
      <c r="Y49" t="s">
        <v>2376</v>
      </c>
      <c r="Z49" t="s">
        <v>2377</v>
      </c>
      <c r="AA49">
        <f>Table1[[#This Row],[qPer board]]*Table1[[#This Row],[boards]]</f>
        <v>15</v>
      </c>
      <c r="AB49">
        <f>Table1[[#This Row],[vqty]]</f>
        <v>1</v>
      </c>
      <c r="AC49">
        <v>15</v>
      </c>
      <c r="AD49" t="str">
        <f>VLOOKUP(Table1[[#This Row],[Product_Name]],'c174_calc'!$A$2:$C$153, 1, FALSE)</f>
        <v>7198809140+7274268930</v>
      </c>
      <c r="AE49" t="str">
        <f>VLOOKUP(Table1[[#This Row],[Product_Name]],'c174_calc'!$A$2:$C$153, 2, FALSE)</f>
        <v>10.21.83758A</v>
      </c>
      <c r="AF49">
        <f>VLOOKUP(Table1[[#This Row],[Product_Name]],'c174_calc'!$A$2:$C$153, 3, FALSE)</f>
        <v>1</v>
      </c>
      <c r="AG49" t="b">
        <f>Table1[[#This Row],[vma]]=Table1[[#This Row],[MA_Number]]</f>
        <v>1</v>
      </c>
    </row>
    <row r="50" spans="1:33" hidden="1" x14ac:dyDescent="0.3">
      <c r="A50" t="s">
        <v>120</v>
      </c>
      <c r="B50" s="1" t="s">
        <v>230</v>
      </c>
      <c r="C50" s="1"/>
      <c r="D50" t="s">
        <v>278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X50">
        <v>60</v>
      </c>
      <c r="Y50" t="s">
        <v>2376</v>
      </c>
      <c r="Z50" t="s">
        <v>2377</v>
      </c>
      <c r="AA50">
        <f>Table1[[#This Row],[qPer board]]*Table1[[#This Row],[boards]]</f>
        <v>15</v>
      </c>
      <c r="AB50">
        <f>Table1[[#This Row],[vqty]]</f>
        <v>1</v>
      </c>
      <c r="AC50">
        <v>15</v>
      </c>
      <c r="AD50" t="str">
        <f>VLOOKUP(Table1[[#This Row],[Product_Name]],'c174_calc'!$A$2:$C$153, 1, FALSE)</f>
        <v>7198914830+7234497030</v>
      </c>
      <c r="AE50" t="str">
        <f>VLOOKUP(Table1[[#This Row],[Product_Name]],'c174_calc'!$A$2:$C$153, 2, FALSE)</f>
        <v>10.21.80743B</v>
      </c>
      <c r="AF50">
        <f>VLOOKUP(Table1[[#This Row],[Product_Name]],'c174_calc'!$A$2:$C$153, 3, FALSE)</f>
        <v>1</v>
      </c>
      <c r="AG50" t="b">
        <f>Table1[[#This Row],[vma]]=Table1[[#This Row],[MA_Number]]</f>
        <v>1</v>
      </c>
    </row>
    <row r="51" spans="1:33" hidden="1" x14ac:dyDescent="0.3">
      <c r="A51" t="s">
        <v>121</v>
      </c>
      <c r="B51" s="1">
        <v>7198916130</v>
      </c>
      <c r="C51" s="1"/>
      <c r="D51" t="s">
        <v>278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60</v>
      </c>
      <c r="Y51" t="s">
        <v>2376</v>
      </c>
      <c r="Z51" t="s">
        <v>2377</v>
      </c>
      <c r="AA51">
        <f>Table1[[#This Row],[qPer board]]*Table1[[#This Row],[boards]]</f>
        <v>15</v>
      </c>
      <c r="AB51">
        <f>Table1[[#This Row],[vqty]]</f>
        <v>1</v>
      </c>
      <c r="AC51">
        <v>15</v>
      </c>
      <c r="AD51">
        <f>VLOOKUP(Table1[[#This Row],[Product_Name]],'c174_calc'!$A$2:$C$153, 1, FALSE)</f>
        <v>7198916130</v>
      </c>
      <c r="AE51" t="str">
        <f>VLOOKUP(Table1[[#This Row],[Product_Name]],'c174_calc'!$A$2:$C$153, 2, FALSE)</f>
        <v>10.21.77054A</v>
      </c>
      <c r="AF51">
        <f>VLOOKUP(Table1[[#This Row],[Product_Name]],'c174_calc'!$A$2:$C$153, 3, FALSE)</f>
        <v>1</v>
      </c>
      <c r="AG51" t="b">
        <f>Table1[[#This Row],[vma]]=Table1[[#This Row],[MA_Number]]</f>
        <v>1</v>
      </c>
    </row>
    <row r="52" spans="1:33" hidden="1" x14ac:dyDescent="0.3">
      <c r="A52" t="s">
        <v>122</v>
      </c>
      <c r="B52" s="1">
        <v>71989162</v>
      </c>
      <c r="C52" s="1"/>
      <c r="D52" t="s">
        <v>278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60</v>
      </c>
      <c r="Y52" t="s">
        <v>2376</v>
      </c>
      <c r="Z52" t="s">
        <v>2377</v>
      </c>
      <c r="AA52">
        <f>Table1[[#This Row],[qPer board]]*Table1[[#This Row],[boards]]</f>
        <v>45</v>
      </c>
      <c r="AB52">
        <f>Table1[[#This Row],[vqty]]</f>
        <v>3</v>
      </c>
      <c r="AC52">
        <v>15</v>
      </c>
      <c r="AD52">
        <f>VLOOKUP(Table1[[#This Row],[Product_Name]],'c174_calc'!$A$2:$C$153, 1, FALSE)</f>
        <v>71989162</v>
      </c>
      <c r="AE52" t="str">
        <f>VLOOKUP(Table1[[#This Row],[Product_Name]],'c174_calc'!$A$2:$C$153, 2, FALSE)</f>
        <v>10.21.77084A</v>
      </c>
      <c r="AF52">
        <f>VLOOKUP(Table1[[#This Row],[Product_Name]],'c174_calc'!$A$2:$C$153, 3, FALSE)</f>
        <v>3</v>
      </c>
      <c r="AG52" t="b">
        <f>Table1[[#This Row],[vma]]=Table1[[#This Row],[MA_Number]]</f>
        <v>1</v>
      </c>
    </row>
    <row r="53" spans="1:33" hidden="1" x14ac:dyDescent="0.3">
      <c r="A53" t="s">
        <v>123</v>
      </c>
      <c r="B53" s="1">
        <v>7198948560</v>
      </c>
      <c r="C53" s="1"/>
      <c r="D53" t="s">
        <v>278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60</v>
      </c>
      <c r="Y53" t="s">
        <v>2376</v>
      </c>
      <c r="Z53" t="s">
        <v>2377</v>
      </c>
      <c r="AA53">
        <f>Table1[[#This Row],[qPer board]]*Table1[[#This Row],[boards]]</f>
        <v>45</v>
      </c>
      <c r="AB53">
        <f>Table1[[#This Row],[vqty]]</f>
        <v>3</v>
      </c>
      <c r="AC53">
        <v>15</v>
      </c>
      <c r="AD53">
        <f>VLOOKUP(Table1[[#This Row],[Product_Name]],'c174_calc'!$A$2:$C$153, 1, FALSE)</f>
        <v>7198948560</v>
      </c>
      <c r="AE53" t="str">
        <f>VLOOKUP(Table1[[#This Row],[Product_Name]],'c174_calc'!$A$2:$C$153, 2, FALSE)</f>
        <v>10.21.77047A</v>
      </c>
      <c r="AF53">
        <f>VLOOKUP(Table1[[#This Row],[Product_Name]],'c174_calc'!$A$2:$C$153, 3, FALSE)</f>
        <v>3</v>
      </c>
      <c r="AG53" t="b">
        <f>Table1[[#This Row],[vma]]=Table1[[#This Row],[MA_Number]]</f>
        <v>1</v>
      </c>
    </row>
    <row r="54" spans="1:33" hidden="1" x14ac:dyDescent="0.3">
      <c r="A54" t="s">
        <v>124</v>
      </c>
      <c r="B54" s="1">
        <v>7223686530</v>
      </c>
      <c r="C54" s="1"/>
      <c r="D54" t="s">
        <v>278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X54">
        <v>60</v>
      </c>
      <c r="Y54" t="s">
        <v>2376</v>
      </c>
      <c r="Z54" t="s">
        <v>2377</v>
      </c>
      <c r="AA54">
        <f>Table1[[#This Row],[qPer board]]*Table1[[#This Row],[boards]]</f>
        <v>15</v>
      </c>
      <c r="AB54">
        <f>Table1[[#This Row],[vqty]]</f>
        <v>1</v>
      </c>
      <c r="AC54">
        <v>15</v>
      </c>
      <c r="AD54">
        <f>VLOOKUP(Table1[[#This Row],[Product_Name]],'c174_calc'!$A$2:$C$153, 1, FALSE)</f>
        <v>7223686530</v>
      </c>
      <c r="AE54" t="str">
        <f>VLOOKUP(Table1[[#This Row],[Product_Name]],'c174_calc'!$A$2:$C$153, 2, FALSE)</f>
        <v>10.21.35898A</v>
      </c>
      <c r="AF54">
        <f>VLOOKUP(Table1[[#This Row],[Product_Name]],'c174_calc'!$A$2:$C$153, 3, FALSE)</f>
        <v>1</v>
      </c>
      <c r="AG54" t="b">
        <f>Table1[[#This Row],[vma]]=Table1[[#This Row],[MA_Number]]</f>
        <v>1</v>
      </c>
    </row>
    <row r="55" spans="1:33" hidden="1" x14ac:dyDescent="0.3">
      <c r="A55" t="s">
        <v>125</v>
      </c>
      <c r="B55" s="1">
        <v>7271007030</v>
      </c>
      <c r="C55" s="1" t="s">
        <v>1207</v>
      </c>
      <c r="D55" t="s">
        <v>278</v>
      </c>
      <c r="F55" t="b">
        <v>1</v>
      </c>
      <c r="I55">
        <v>1</v>
      </c>
      <c r="X55">
        <v>60</v>
      </c>
      <c r="Y55" t="s">
        <v>2376</v>
      </c>
      <c r="Z55" t="s">
        <v>2377</v>
      </c>
      <c r="AA55">
        <f>Table1[[#This Row],[qPer board]]*Table1[[#This Row],[boards]]</f>
        <v>15</v>
      </c>
      <c r="AB55">
        <f>Table1[[#This Row],[vqty]]</f>
        <v>1</v>
      </c>
      <c r="AC55">
        <v>15</v>
      </c>
      <c r="AD55">
        <f>VLOOKUP(Table1[[#This Row],[Product_Name]],'c174_calc'!$A$2:$C$153, 1, FALSE)</f>
        <v>7271007030</v>
      </c>
      <c r="AE55" t="str">
        <f>VLOOKUP(Table1[[#This Row],[Product_Name]],'c174_calc'!$A$2:$C$153, 2, FALSE)</f>
        <v>10.21.77160A</v>
      </c>
      <c r="AF55">
        <f>VLOOKUP(Table1[[#This Row],[Product_Name]],'c174_calc'!$A$2:$C$153, 3, FALSE)</f>
        <v>1</v>
      </c>
      <c r="AG55" t="b">
        <f>Table1[[#This Row],[vma]]=Table1[[#This Row],[MA_Number]]</f>
        <v>1</v>
      </c>
    </row>
    <row r="56" spans="1:33" hidden="1" x14ac:dyDescent="0.3">
      <c r="B56" s="1">
        <v>7271007030</v>
      </c>
      <c r="C56" s="1"/>
      <c r="G56" t="s">
        <v>125</v>
      </c>
      <c r="H56" t="s">
        <v>1302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AA56">
        <f>Table1[[#This Row],[qPer board]]*Table1[[#This Row],[boards]]</f>
        <v>0</v>
      </c>
      <c r="AB56">
        <f>Table1[[#This Row],[vqty]]</f>
        <v>1</v>
      </c>
      <c r="AD56">
        <f>VLOOKUP(Table1[[#This Row],[Product_Name]],'c174_calc'!$A$2:$C$153, 1, FALSE)</f>
        <v>7271007030</v>
      </c>
      <c r="AE56" t="str">
        <f>VLOOKUP(Table1[[#This Row],[Product_Name]],'c174_calc'!$A$2:$C$153, 2, FALSE)</f>
        <v>10.21.77160A</v>
      </c>
      <c r="AF56">
        <f>VLOOKUP(Table1[[#This Row],[Product_Name]],'c174_calc'!$A$2:$C$153, 3, FALSE)</f>
        <v>1</v>
      </c>
      <c r="AG56" t="b">
        <f>Table1[[#This Row],[vma]]=Table1[[#This Row],[MA_Number]]</f>
        <v>0</v>
      </c>
    </row>
    <row r="57" spans="1:33" hidden="1" x14ac:dyDescent="0.3">
      <c r="B57" s="1">
        <v>7271007030</v>
      </c>
      <c r="C57" s="1"/>
      <c r="G57" t="s">
        <v>125</v>
      </c>
      <c r="H57" t="s">
        <v>1303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AA57">
        <f>Table1[[#This Row],[qPer board]]*Table1[[#This Row],[boards]]</f>
        <v>0</v>
      </c>
      <c r="AB57">
        <f>Table1[[#This Row],[vqty]]</f>
        <v>1</v>
      </c>
      <c r="AD57">
        <f>VLOOKUP(Table1[[#This Row],[Product_Name]],'c174_calc'!$A$2:$C$153, 1, FALSE)</f>
        <v>7271007030</v>
      </c>
      <c r="AE57" t="str">
        <f>VLOOKUP(Table1[[#This Row],[Product_Name]],'c174_calc'!$A$2:$C$153, 2, FALSE)</f>
        <v>10.21.77160A</v>
      </c>
      <c r="AF57">
        <f>VLOOKUP(Table1[[#This Row],[Product_Name]],'c174_calc'!$A$2:$C$153, 3, FALSE)</f>
        <v>1</v>
      </c>
      <c r="AG57" t="b">
        <f>Table1[[#This Row],[vma]]=Table1[[#This Row],[MA_Number]]</f>
        <v>0</v>
      </c>
    </row>
    <row r="58" spans="1:33" hidden="1" x14ac:dyDescent="0.3">
      <c r="A58" t="s">
        <v>127</v>
      </c>
      <c r="B58" s="1" t="s">
        <v>843</v>
      </c>
      <c r="C58" s="1"/>
      <c r="D58" t="s">
        <v>278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X58">
        <v>60</v>
      </c>
      <c r="Y58" t="s">
        <v>2376</v>
      </c>
      <c r="Z58" t="s">
        <v>2377</v>
      </c>
      <c r="AA58">
        <f>Table1[[#This Row],[qPer board]]*Table1[[#This Row],[boards]]</f>
        <v>15</v>
      </c>
      <c r="AB58">
        <f>Table1[[#This Row],[vqty]]</f>
        <v>1</v>
      </c>
      <c r="AC58">
        <v>15</v>
      </c>
      <c r="AD58" t="str">
        <f>VLOOKUP(Table1[[#This Row],[Product_Name]],'c174_calc'!$A$2:$C$153, 1, FALSE)</f>
        <v>7289811630+7289811730+7274166590A</v>
      </c>
      <c r="AE58" t="str">
        <f>VLOOKUP(Table1[[#This Row],[Product_Name]],'c174_calc'!$A$2:$C$153, 2, FALSE)</f>
        <v>10.21.47100C</v>
      </c>
      <c r="AF58">
        <f>VLOOKUP(Table1[[#This Row],[Product_Name]],'c174_calc'!$A$2:$C$153, 3, FALSE)</f>
        <v>1</v>
      </c>
      <c r="AG58" t="b">
        <f>Table1[[#This Row],[vma]]=Table1[[#This Row],[MA_Number]]</f>
        <v>1</v>
      </c>
    </row>
    <row r="59" spans="1:33" hidden="1" x14ac:dyDescent="0.3">
      <c r="A59" t="s">
        <v>128</v>
      </c>
      <c r="B59" s="1">
        <v>7278246930</v>
      </c>
      <c r="C59" s="1"/>
      <c r="D59" t="s">
        <v>278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AA59">
        <f>Table1[[#This Row],[qPer board]]*Table1[[#This Row],[boards]]</f>
        <v>0</v>
      </c>
      <c r="AB59">
        <f>Table1[[#This Row],[vqty]]</f>
        <v>2</v>
      </c>
      <c r="AD59">
        <f>VLOOKUP(Table1[[#This Row],[Product_Name]],'c174_calc'!$A$2:$C$153, 1, FALSE)</f>
        <v>7278246930</v>
      </c>
      <c r="AE59" t="str">
        <f>VLOOKUP(Table1[[#This Row],[Product_Name]],'c174_calc'!$A$2:$C$153, 2, FALSE)</f>
        <v>10.21.63361A</v>
      </c>
      <c r="AF59">
        <f>VLOOKUP(Table1[[#This Row],[Product_Name]],'c174_calc'!$A$2:$C$153, 3, FALSE)</f>
        <v>2</v>
      </c>
      <c r="AG59" t="b">
        <f>Table1[[#This Row],[vma]]=Table1[[#This Row],[MA_Number]]</f>
        <v>0</v>
      </c>
    </row>
    <row r="60" spans="1:33" hidden="1" x14ac:dyDescent="0.3">
      <c r="A60" t="s">
        <v>129</v>
      </c>
      <c r="B60" s="1">
        <v>7283837230</v>
      </c>
      <c r="C60" s="1"/>
      <c r="D60" t="s">
        <v>278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AA60" t="e">
        <f>Table1[[#This Row],[qPer board]]*Table1[[#This Row],[boards]]</f>
        <v>#REF!</v>
      </c>
      <c r="AB60" t="e">
        <f>VLOOKUP(Table1[[#This Row],[MA_Number]],#REF!, 2,FALSE)</f>
        <v>#REF!</v>
      </c>
      <c r="AD60" t="e">
        <f>VLOOKUP(Table1[[#This Row],[Product_Name]],'c174_calc'!$A$2:$C$153, 1, FALSE)</f>
        <v>#N/A</v>
      </c>
      <c r="AE60" t="e">
        <f>VLOOKUP(Table1[[#This Row],[Product_Name]],'c174_calc'!$A$2:$C$153, 2, FALSE)</f>
        <v>#N/A</v>
      </c>
      <c r="AF60" t="e">
        <f>VLOOKUP(Table1[[#This Row],[Product_Name]],'c174_calc'!$A$2:$C$153, 3, FALSE)</f>
        <v>#N/A</v>
      </c>
      <c r="AG60" t="e">
        <f>Table1[[#This Row],[vma]]=Table1[[#This Row],[MA_Number]]</f>
        <v>#N/A</v>
      </c>
    </row>
    <row r="61" spans="1:33" hidden="1" x14ac:dyDescent="0.3">
      <c r="A61" t="s">
        <v>130</v>
      </c>
      <c r="B61" s="1" t="s">
        <v>1230</v>
      </c>
      <c r="C61" s="1"/>
      <c r="D61" t="s">
        <v>278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X61">
        <v>60</v>
      </c>
      <c r="Y61" t="s">
        <v>2376</v>
      </c>
      <c r="Z61" t="s">
        <v>2377</v>
      </c>
      <c r="AA61">
        <f>Table1[[#This Row],[qPer board]]*Table1[[#This Row],[boards]]</f>
        <v>15</v>
      </c>
      <c r="AB61">
        <f>Table1[[#This Row],[vqty]]</f>
        <v>1</v>
      </c>
      <c r="AC61">
        <v>15</v>
      </c>
      <c r="AD61" t="str">
        <f>VLOOKUP(Table1[[#This Row],[Product_Name]],'c174_calc'!$A$2:$C$153, 1, FALSE)</f>
        <v>7289811630+7289811730+72741551</v>
      </c>
      <c r="AE61" t="str">
        <f>VLOOKUP(Table1[[#This Row],[Product_Name]],'c174_calc'!$A$2:$C$153, 2, FALSE)</f>
        <v>10.21.76940C</v>
      </c>
      <c r="AF61">
        <f>VLOOKUP(Table1[[#This Row],[Product_Name]],'c174_calc'!$A$2:$C$153, 3, FALSE)</f>
        <v>1</v>
      </c>
      <c r="AG61" t="b">
        <f>Table1[[#This Row],[vma]]=Table1[[#This Row],[MA_Number]]</f>
        <v>1</v>
      </c>
    </row>
    <row r="62" spans="1:33" hidden="1" x14ac:dyDescent="0.3">
      <c r="A62" t="s">
        <v>131</v>
      </c>
      <c r="B62" s="1" t="s">
        <v>1231</v>
      </c>
      <c r="C62" s="1"/>
      <c r="D62" t="s">
        <v>278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X62">
        <v>60</v>
      </c>
      <c r="Y62" t="s">
        <v>2376</v>
      </c>
      <c r="Z62" t="s">
        <v>2377</v>
      </c>
      <c r="AA62">
        <f>Table1[[#This Row],[qPer board]]*Table1[[#This Row],[boards]]</f>
        <v>15</v>
      </c>
      <c r="AB62">
        <f>Table1[[#This Row],[vqty]]</f>
        <v>1</v>
      </c>
      <c r="AC62">
        <v>15</v>
      </c>
      <c r="AD62" t="str">
        <f>VLOOKUP(Table1[[#This Row],[Product_Name]],'c174_calc'!$A$2:$C$153, 1, FALSE)</f>
        <v>7289811630+7289811730+7274155220</v>
      </c>
      <c r="AE62" t="str">
        <f>VLOOKUP(Table1[[#This Row],[Product_Name]],'c174_calc'!$A$2:$C$153, 2, FALSE)</f>
        <v>10.21.80752A</v>
      </c>
      <c r="AF62">
        <f>VLOOKUP(Table1[[#This Row],[Product_Name]],'c174_calc'!$A$2:$C$153, 3, FALSE)</f>
        <v>1</v>
      </c>
      <c r="AG62" t="b">
        <f>Table1[[#This Row],[vma]]=Table1[[#This Row],[MA_Number]]</f>
        <v>1</v>
      </c>
    </row>
    <row r="63" spans="1:33" hidden="1" x14ac:dyDescent="0.3">
      <c r="A63" t="s">
        <v>132</v>
      </c>
      <c r="B63" s="1">
        <v>7289896430</v>
      </c>
      <c r="C63" s="1"/>
      <c r="D63" t="s">
        <v>278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60</v>
      </c>
      <c r="Y63" t="s">
        <v>2376</v>
      </c>
      <c r="Z63" t="s">
        <v>2377</v>
      </c>
      <c r="AA63">
        <f>Table1[[#This Row],[qPer board]]*Table1[[#This Row],[boards]]</f>
        <v>15</v>
      </c>
      <c r="AB63">
        <f>Table1[[#This Row],[vqty]]</f>
        <v>1</v>
      </c>
      <c r="AC63">
        <v>15</v>
      </c>
      <c r="AD63">
        <f>VLOOKUP(Table1[[#This Row],[Product_Name]],'c174_calc'!$A$2:$C$153, 1, FALSE)</f>
        <v>7289896430</v>
      </c>
      <c r="AE63" t="str">
        <f>VLOOKUP(Table1[[#This Row],[Product_Name]],'c174_calc'!$A$2:$C$153, 2, FALSE)</f>
        <v>10.21.47195A</v>
      </c>
      <c r="AF63">
        <f>VLOOKUP(Table1[[#This Row],[Product_Name]],'c174_calc'!$A$2:$C$153, 3, FALSE)</f>
        <v>1</v>
      </c>
      <c r="AG63" t="b">
        <f>Table1[[#This Row],[vma]]=Table1[[#This Row],[MA_Number]]</f>
        <v>1</v>
      </c>
    </row>
    <row r="64" spans="1:33" hidden="1" x14ac:dyDescent="0.3">
      <c r="A64" t="s">
        <v>133</v>
      </c>
      <c r="B64" s="1">
        <v>72897304</v>
      </c>
      <c r="C64" s="1"/>
      <c r="D64" t="s">
        <v>278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60</v>
      </c>
      <c r="Y64" t="s">
        <v>2376</v>
      </c>
      <c r="Z64" t="s">
        <v>2377</v>
      </c>
      <c r="AA64">
        <f>Table1[[#This Row],[qPer board]]*Table1[[#This Row],[boards]]</f>
        <v>30</v>
      </c>
      <c r="AB64">
        <f>Table1[[#This Row],[vqty]]</f>
        <v>2</v>
      </c>
      <c r="AC64">
        <v>15</v>
      </c>
      <c r="AD64">
        <f>VLOOKUP(Table1[[#This Row],[Product_Name]],'c174_calc'!$A$2:$C$153, 1, FALSE)</f>
        <v>72897304</v>
      </c>
      <c r="AE64" t="str">
        <f>VLOOKUP(Table1[[#This Row],[Product_Name]],'c174_calc'!$A$2:$C$153, 2, FALSE)</f>
        <v>10.21.76987A</v>
      </c>
      <c r="AF64">
        <f>VLOOKUP(Table1[[#This Row],[Product_Name]],'c174_calc'!$A$2:$C$153, 3, FALSE)</f>
        <v>2</v>
      </c>
      <c r="AG64" t="b">
        <f>Table1[[#This Row],[vma]]=Table1[[#This Row],[MA_Number]]</f>
        <v>1</v>
      </c>
    </row>
    <row r="65" spans="1:33" hidden="1" x14ac:dyDescent="0.3">
      <c r="A65" t="s">
        <v>134</v>
      </c>
      <c r="B65" s="1">
        <v>7297944190</v>
      </c>
      <c r="C65" s="1"/>
      <c r="D65" t="s">
        <v>278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60</v>
      </c>
      <c r="Y65" t="s">
        <v>2376</v>
      </c>
      <c r="Z65" t="s">
        <v>2377</v>
      </c>
      <c r="AA65">
        <f>Table1[[#This Row],[qPer board]]*Table1[[#This Row],[boards]]</f>
        <v>30</v>
      </c>
      <c r="AB65">
        <f>Table1[[#This Row],[vqty]]</f>
        <v>2</v>
      </c>
      <c r="AC65">
        <v>15</v>
      </c>
      <c r="AD65">
        <f>VLOOKUP(Table1[[#This Row],[Product_Name]],'c174_calc'!$A$2:$C$153, 1, FALSE)</f>
        <v>7297944190</v>
      </c>
      <c r="AE65" t="str">
        <f>VLOOKUP(Table1[[#This Row],[Product_Name]],'c174_calc'!$A$2:$C$153, 2, FALSE)</f>
        <v>10.21.76981A</v>
      </c>
      <c r="AF65">
        <f>VLOOKUP(Table1[[#This Row],[Product_Name]],'c174_calc'!$A$2:$C$153, 3, FALSE)</f>
        <v>2</v>
      </c>
      <c r="AG65" t="b">
        <f>Table1[[#This Row],[vma]]=Table1[[#This Row],[MA_Number]]</f>
        <v>1</v>
      </c>
    </row>
    <row r="66" spans="1:33" hidden="1" x14ac:dyDescent="0.3">
      <c r="A66" t="s">
        <v>289</v>
      </c>
      <c r="B66" s="1">
        <v>72988085</v>
      </c>
      <c r="C66" s="1"/>
      <c r="D66" t="s">
        <v>278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X66">
        <v>60</v>
      </c>
      <c r="Y66" t="s">
        <v>2376</v>
      </c>
      <c r="Z66" t="s">
        <v>2377</v>
      </c>
      <c r="AA66">
        <f>Table1[[#This Row],[qPer board]]*Table1[[#This Row],[boards]]</f>
        <v>15</v>
      </c>
      <c r="AB66">
        <f>Table1[[#This Row],[vqty]]</f>
        <v>1</v>
      </c>
      <c r="AC66">
        <v>15</v>
      </c>
      <c r="AD66">
        <f>VLOOKUP(Table1[[#This Row],[Product_Name]],'c174_calc'!$A$2:$C$153, 1, FALSE)</f>
        <v>72988085</v>
      </c>
      <c r="AE66" t="str">
        <f>VLOOKUP(Table1[[#This Row],[Product_Name]],'c174_calc'!$A$2:$C$153, 2, FALSE)</f>
        <v>10.21.73078A</v>
      </c>
      <c r="AF66">
        <f>VLOOKUP(Table1[[#This Row],[Product_Name]],'c174_calc'!$A$2:$C$153, 3, FALSE)</f>
        <v>1</v>
      </c>
      <c r="AG66" t="b">
        <f>Table1[[#This Row],[vma]]=Table1[[#This Row],[MA_Number]]</f>
        <v>1</v>
      </c>
    </row>
    <row r="67" spans="1:33" hidden="1" x14ac:dyDescent="0.3">
      <c r="A67" t="s">
        <v>135</v>
      </c>
      <c r="B67" s="1" t="s">
        <v>234</v>
      </c>
      <c r="C67" s="1"/>
      <c r="D67" t="s">
        <v>278</v>
      </c>
      <c r="E67" t="s">
        <v>2124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AA67">
        <f>Table1[[#This Row],[qPer board]]*Table1[[#This Row],[boards]]</f>
        <v>0</v>
      </c>
      <c r="AB67">
        <v>4</v>
      </c>
      <c r="AD67" t="e">
        <f>VLOOKUP(Table1[[#This Row],[Product_Name]],'c174_calc'!$A$2:$C$153, 1, FALSE)</f>
        <v>#N/A</v>
      </c>
      <c r="AE67" t="e">
        <f>VLOOKUP(Table1[[#This Row],[Product_Name]],'c174_calc'!$A$2:$C$153, 2, FALSE)</f>
        <v>#N/A</v>
      </c>
      <c r="AF67" t="e">
        <f>VLOOKUP(Table1[[#This Row],[Product_Name]],'c174_calc'!$A$2:$C$153, 3, FALSE)</f>
        <v>#N/A</v>
      </c>
      <c r="AG67" t="e">
        <f>Table1[[#This Row],[vma]]=Table1[[#This Row],[MA_Number]]</f>
        <v>#N/A</v>
      </c>
    </row>
    <row r="68" spans="1:33" x14ac:dyDescent="0.3">
      <c r="A68" t="s">
        <v>1347</v>
      </c>
      <c r="B68" s="1" t="s">
        <v>235</v>
      </c>
      <c r="C68" s="1"/>
      <c r="D68" t="s">
        <v>278</v>
      </c>
      <c r="E68" t="s">
        <v>1746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61</v>
      </c>
      <c r="Y68" t="s">
        <v>2376</v>
      </c>
      <c r="Z68" t="s">
        <v>2377</v>
      </c>
      <c r="AA68">
        <f>Table1[[#This Row],[qPer board]]*Table1[[#This Row],[boards]]</f>
        <v>30</v>
      </c>
      <c r="AB68">
        <f>Table1[[#This Row],[vqty]]</f>
        <v>2</v>
      </c>
      <c r="AC68">
        <v>15</v>
      </c>
      <c r="AD68" t="str">
        <f>VLOOKUP(Table1[[#This Row],[Product_Name]],'c174_calc'!$A$2:$C$153, 1, FALSE)</f>
        <v>A1729821302_EYELET V3 2-KS</v>
      </c>
      <c r="AE68" t="str">
        <f>VLOOKUP(Table1[[#This Row],[Product_Name]],'c174_calc'!$A$2:$C$153, 2, FALSE)</f>
        <v>10.21.77157_A</v>
      </c>
      <c r="AF68">
        <f>VLOOKUP(Table1[[#This Row],[Product_Name]],'c174_calc'!$A$2:$C$153, 3, FALSE)</f>
        <v>2</v>
      </c>
      <c r="AG68" t="b">
        <f>Table1[[#This Row],[vma]]=Table1[[#This Row],[MA_Number]]</f>
        <v>0</v>
      </c>
    </row>
    <row r="69" spans="1:33" hidden="1" x14ac:dyDescent="0.3">
      <c r="A69" t="s">
        <v>136</v>
      </c>
      <c r="B69" s="1" t="s">
        <v>236</v>
      </c>
      <c r="C69" s="1"/>
      <c r="D69" t="s">
        <v>278</v>
      </c>
      <c r="E69" t="s">
        <v>2124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X69">
        <v>60</v>
      </c>
      <c r="Y69" t="s">
        <v>2376</v>
      </c>
      <c r="Z69" t="s">
        <v>2377</v>
      </c>
      <c r="AA69">
        <f>Table1[[#This Row],[qPer board]]*Table1[[#This Row],[boards]]</f>
        <v>15</v>
      </c>
      <c r="AB69">
        <f>Table1[[#This Row],[vqty]]</f>
        <v>1</v>
      </c>
      <c r="AC69">
        <v>15</v>
      </c>
      <c r="AD69" t="str">
        <f>VLOOKUP(Table1[[#This Row],[Product_Name]],'c174_calc'!$A$2:$C$153, 1, FALSE)</f>
        <v>A1729821302_EYELET V3 3-KS</v>
      </c>
      <c r="AE69" t="str">
        <f>VLOOKUP(Table1[[#This Row],[Product_Name]],'c174_calc'!$A$2:$C$153, 2, FALSE)</f>
        <v>10.21.77155A</v>
      </c>
      <c r="AF69">
        <f>VLOOKUP(Table1[[#This Row],[Product_Name]],'c174_calc'!$A$2:$C$153, 3, FALSE)</f>
        <v>1</v>
      </c>
      <c r="AG69" t="b">
        <f>Table1[[#This Row],[vma]]=Table1[[#This Row],[MA_Number]]</f>
        <v>1</v>
      </c>
    </row>
    <row r="70" spans="1:33" x14ac:dyDescent="0.3">
      <c r="A70" t="s">
        <v>137</v>
      </c>
      <c r="B70" s="1" t="s">
        <v>1232</v>
      </c>
      <c r="C70" s="1" t="s">
        <v>237</v>
      </c>
      <c r="D70" t="s">
        <v>278</v>
      </c>
      <c r="E70" t="s">
        <v>2125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X70">
        <v>61</v>
      </c>
      <c r="Y70" t="s">
        <v>2376</v>
      </c>
      <c r="Z70" t="s">
        <v>2377</v>
      </c>
      <c r="AA70">
        <f>Table1[[#This Row],[qPer board]]*Table1[[#This Row],[boards]]</f>
        <v>135</v>
      </c>
      <c r="AB70">
        <v>9</v>
      </c>
      <c r="AC70">
        <v>15</v>
      </c>
      <c r="AD70" t="e">
        <f>VLOOKUP(Table1[[#This Row],[Product_Name]],'c174_calc'!$A$2:$C$153, 1, FALSE)</f>
        <v>#N/A</v>
      </c>
      <c r="AE70" t="e">
        <f>VLOOKUP(Table1[[#This Row],[Product_Name]],'c174_calc'!$A$2:$C$153, 2, FALSE)</f>
        <v>#N/A</v>
      </c>
      <c r="AF70" t="e">
        <f>VLOOKUP(Table1[[#This Row],[Product_Name]],'c174_calc'!$A$2:$C$153, 3, FALSE)</f>
        <v>#N/A</v>
      </c>
      <c r="AG70" t="e">
        <f>Table1[[#This Row],[vma]]=Table1[[#This Row],[MA_Number]]</f>
        <v>#N/A</v>
      </c>
    </row>
    <row r="71" spans="1:33" hidden="1" x14ac:dyDescent="0.3">
      <c r="A71" t="s">
        <v>138</v>
      </c>
      <c r="B71" s="1" t="s">
        <v>591</v>
      </c>
      <c r="C71" s="1"/>
      <c r="D71" t="s">
        <v>278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60</v>
      </c>
      <c r="Y71" t="s">
        <v>2376</v>
      </c>
      <c r="Z71" t="s">
        <v>2377</v>
      </c>
      <c r="AA71">
        <f>Table1[[#This Row],[qPer board]]*Table1[[#This Row],[boards]]</f>
        <v>45</v>
      </c>
      <c r="AB71">
        <f>Table1[[#This Row],[vqty]]</f>
        <v>3</v>
      </c>
      <c r="AC71">
        <v>15</v>
      </c>
      <c r="AD71" t="str">
        <f>VLOOKUP(Table1[[#This Row],[Product_Name]],'c174_calc'!$A$2:$C$153, 1, FALSE)</f>
        <v>ASSY_123024542</v>
      </c>
      <c r="AE71" t="str">
        <f>VLOOKUP(Table1[[#This Row],[Product_Name]],'c174_calc'!$A$2:$C$153, 2, FALSE)</f>
        <v>10.21.76988A</v>
      </c>
      <c r="AF71">
        <f>VLOOKUP(Table1[[#This Row],[Product_Name]],'c174_calc'!$A$2:$C$153, 3, FALSE)</f>
        <v>3</v>
      </c>
      <c r="AG71" t="b">
        <f>Table1[[#This Row],[vma]]=Table1[[#This Row],[MA_Number]]</f>
        <v>1</v>
      </c>
    </row>
    <row r="72" spans="1:33" hidden="1" x14ac:dyDescent="0.3">
      <c r="A72" t="s">
        <v>139</v>
      </c>
      <c r="B72" s="1" t="s">
        <v>238</v>
      </c>
      <c r="C72" s="1"/>
      <c r="D72" t="s">
        <v>278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60</v>
      </c>
      <c r="Y72" t="s">
        <v>2376</v>
      </c>
      <c r="Z72" t="s">
        <v>2377</v>
      </c>
      <c r="AA72">
        <f>Table1[[#This Row],[qPer board]]*Table1[[#This Row],[boards]]</f>
        <v>30</v>
      </c>
      <c r="AB72">
        <f>Table1[[#This Row],[vqty]]</f>
        <v>2</v>
      </c>
      <c r="AC72">
        <v>15</v>
      </c>
      <c r="AD72" t="str">
        <f>VLOOKUP(Table1[[#This Row],[Product_Name]],'c174_calc'!$A$2:$C$153, 1, FALSE)</f>
        <v>ASSY_123024541</v>
      </c>
      <c r="AE72" t="str">
        <f>VLOOKUP(Table1[[#This Row],[Product_Name]],'c174_calc'!$A$2:$C$153, 2, FALSE)</f>
        <v>10.21.76967A</v>
      </c>
      <c r="AF72">
        <f>VLOOKUP(Table1[[#This Row],[Product_Name]],'c174_calc'!$A$2:$C$153, 3, FALSE)</f>
        <v>2</v>
      </c>
      <c r="AG72" t="b">
        <f>Table1[[#This Row],[vma]]=Table1[[#This Row],[MA_Number]]</f>
        <v>1</v>
      </c>
    </row>
    <row r="73" spans="1:33" hidden="1" x14ac:dyDescent="0.3">
      <c r="A73" t="s">
        <v>140</v>
      </c>
      <c r="B73" s="1" t="s">
        <v>239</v>
      </c>
      <c r="C73" s="1"/>
      <c r="D73" t="s">
        <v>278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X73">
        <v>60</v>
      </c>
      <c r="Y73" t="s">
        <v>2376</v>
      </c>
      <c r="Z73" t="s">
        <v>2377</v>
      </c>
      <c r="AA73">
        <f>Table1[[#This Row],[qPer board]]*Table1[[#This Row],[boards]]</f>
        <v>15</v>
      </c>
      <c r="AB73">
        <f>Table1[[#This Row],[vqty]]</f>
        <v>1</v>
      </c>
      <c r="AC73">
        <v>15</v>
      </c>
      <c r="AD73" t="str">
        <f>VLOOKUP(Table1[[#This Row],[Product_Name]],'c174_calc'!$A$2:$C$153, 1, FALSE)</f>
        <v>ASSY_59Z063DC0B</v>
      </c>
      <c r="AE73" t="str">
        <f>VLOOKUP(Table1[[#This Row],[Product_Name]],'c174_calc'!$A$2:$C$153, 2, FALSE)</f>
        <v>10.21.35998A</v>
      </c>
      <c r="AF73">
        <f>VLOOKUP(Table1[[#This Row],[Product_Name]],'c174_calc'!$A$2:$C$153, 3, FALSE)</f>
        <v>1</v>
      </c>
      <c r="AG73" t="b">
        <f>Table1[[#This Row],[vma]]=Table1[[#This Row],[MA_Number]]</f>
        <v>1</v>
      </c>
    </row>
    <row r="74" spans="1:33" hidden="1" x14ac:dyDescent="0.3">
      <c r="A74" t="s">
        <v>141</v>
      </c>
      <c r="B74" s="1" t="s">
        <v>240</v>
      </c>
      <c r="C74" s="1"/>
      <c r="D74" t="s">
        <v>278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60</v>
      </c>
      <c r="Y74" t="s">
        <v>2376</v>
      </c>
      <c r="Z74" t="s">
        <v>2377</v>
      </c>
      <c r="AA74">
        <f>Table1[[#This Row],[qPer board]]*Table1[[#This Row],[boards]]</f>
        <v>30</v>
      </c>
      <c r="AB74">
        <f>Table1[[#This Row],[vqty]]</f>
        <v>2</v>
      </c>
      <c r="AC74">
        <v>15</v>
      </c>
      <c r="AD74" t="str">
        <f>VLOOKUP(Table1[[#This Row],[Product_Name]],'c174_calc'!$A$2:$C$153, 1, FALSE)</f>
        <v>ASSY_59Z063DC0C</v>
      </c>
      <c r="AE74" t="str">
        <f>VLOOKUP(Table1[[#This Row],[Product_Name]],'c174_calc'!$A$2:$C$153, 2, FALSE)</f>
        <v>10.21.27982A</v>
      </c>
      <c r="AF74">
        <f>VLOOKUP(Table1[[#This Row],[Product_Name]],'c174_calc'!$A$2:$C$153, 3, FALSE)</f>
        <v>2</v>
      </c>
      <c r="AG74" t="b">
        <f>Table1[[#This Row],[vma]]=Table1[[#This Row],[MA_Number]]</f>
        <v>1</v>
      </c>
    </row>
    <row r="75" spans="1:33" x14ac:dyDescent="0.3">
      <c r="A75" t="s">
        <v>142</v>
      </c>
      <c r="B75" s="1" t="s">
        <v>844</v>
      </c>
      <c r="C75" s="1"/>
      <c r="D75" t="s">
        <v>278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61</v>
      </c>
      <c r="Y75" t="s">
        <v>2376</v>
      </c>
      <c r="Z75" t="s">
        <v>2377</v>
      </c>
      <c r="AA75">
        <f>Table1[[#This Row],[qPer board]]*Table1[[#This Row],[boards]]</f>
        <v>30</v>
      </c>
      <c r="AB75">
        <v>2</v>
      </c>
      <c r="AC75">
        <v>15</v>
      </c>
      <c r="AD75" t="e">
        <f>VLOOKUP(Table1[[#This Row],[Product_Name]],'c174_calc'!$A$2:$C$153, 1, FALSE)</f>
        <v>#N/A</v>
      </c>
      <c r="AE75" t="e">
        <f>VLOOKUP(Table1[[#This Row],[Product_Name]],'c174_calc'!$A$2:$C$153, 2, FALSE)</f>
        <v>#N/A</v>
      </c>
      <c r="AF75" t="e">
        <f>VLOOKUP(Table1[[#This Row],[Product_Name]],'c174_calc'!$A$2:$C$153, 3, FALSE)</f>
        <v>#N/A</v>
      </c>
      <c r="AG75" t="e">
        <f>Table1[[#This Row],[vma]]=Table1[[#This Row],[MA_Number]]</f>
        <v>#N/A</v>
      </c>
    </row>
    <row r="76" spans="1:33" hidden="1" x14ac:dyDescent="0.3">
      <c r="A76" t="s">
        <v>143</v>
      </c>
      <c r="B76" s="1" t="s">
        <v>241</v>
      </c>
      <c r="C76" s="1"/>
      <c r="D76" t="s">
        <v>278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60</v>
      </c>
      <c r="Y76" t="s">
        <v>2376</v>
      </c>
      <c r="Z76" t="s">
        <v>2377</v>
      </c>
      <c r="AA76">
        <f>Table1[[#This Row],[qPer board]]*Table1[[#This Row],[boards]]</f>
        <v>30</v>
      </c>
      <c r="AB76">
        <f>Table1[[#This Row],[vqty]]</f>
        <v>2</v>
      </c>
      <c r="AC76">
        <v>15</v>
      </c>
      <c r="AD76" t="str">
        <f>VLOOKUP(Table1[[#This Row],[Product_Name]],'c174_calc'!$A$2:$C$153, 1, FALSE)</f>
        <v>ASSY_AMZ005DC0C</v>
      </c>
      <c r="AE76" t="str">
        <f>VLOOKUP(Table1[[#This Row],[Product_Name]],'c174_calc'!$A$2:$C$153, 2, FALSE)</f>
        <v>10.21.73067A</v>
      </c>
      <c r="AF76">
        <f>VLOOKUP(Table1[[#This Row],[Product_Name]],'c174_calc'!$A$2:$C$153, 3, FALSE)</f>
        <v>2</v>
      </c>
      <c r="AG76" t="b">
        <f>Table1[[#This Row],[vma]]=Table1[[#This Row],[MA_Number]]</f>
        <v>1</v>
      </c>
    </row>
    <row r="77" spans="1:33" hidden="1" x14ac:dyDescent="0.3">
      <c r="A77" t="s">
        <v>144</v>
      </c>
      <c r="B77" s="1" t="s">
        <v>242</v>
      </c>
      <c r="C77" s="1"/>
      <c r="D77" t="s">
        <v>278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60</v>
      </c>
      <c r="Y77" t="s">
        <v>2376</v>
      </c>
      <c r="Z77" t="s">
        <v>2377</v>
      </c>
      <c r="AA77">
        <f>Table1[[#This Row],[qPer board]]*Table1[[#This Row],[boards]]</f>
        <v>15</v>
      </c>
      <c r="AB77">
        <f>Table1[[#This Row],[vqty]]</f>
        <v>1</v>
      </c>
      <c r="AC77">
        <v>15</v>
      </c>
      <c r="AD77" t="str">
        <f>VLOOKUP(Table1[[#This Row],[Product_Name]],'c174_calc'!$A$2:$C$153, 1, FALSE)</f>
        <v>ASSY_AMZ005DC0D</v>
      </c>
      <c r="AE77" t="str">
        <f>VLOOKUP(Table1[[#This Row],[Product_Name]],'c174_calc'!$A$2:$C$153, 2, FALSE)</f>
        <v>10.21.77187A</v>
      </c>
      <c r="AF77">
        <f>VLOOKUP(Table1[[#This Row],[Product_Name]],'c174_calc'!$A$2:$C$153, 3, FALSE)</f>
        <v>1</v>
      </c>
      <c r="AG77" t="b">
        <f>Table1[[#This Row],[vma]]=Table1[[#This Row],[MA_Number]]</f>
        <v>1</v>
      </c>
    </row>
    <row r="78" spans="1:33" hidden="1" x14ac:dyDescent="0.3">
      <c r="A78" t="s">
        <v>145</v>
      </c>
      <c r="B78" s="1" t="s">
        <v>845</v>
      </c>
      <c r="C78" s="1"/>
      <c r="D78" t="s">
        <v>278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60</v>
      </c>
      <c r="Y78" t="s">
        <v>2376</v>
      </c>
      <c r="Z78" t="s">
        <v>2377</v>
      </c>
      <c r="AA78">
        <f>Table1[[#This Row],[qPer board]]*Table1[[#This Row],[boards]]</f>
        <v>15</v>
      </c>
      <c r="AB78">
        <f>Table1[[#This Row],[vqty]]</f>
        <v>1</v>
      </c>
      <c r="AC78">
        <v>15</v>
      </c>
      <c r="AD78" t="str">
        <f>VLOOKUP(Table1[[#This Row],[Product_Name]],'c174_calc'!$A$2:$C$153, 1, FALSE)</f>
        <v>ASSY_AMZ005000F/ASSY_AMZ005DC0F</v>
      </c>
      <c r="AE78" t="str">
        <f>VLOOKUP(Table1[[#This Row],[Product_Name]],'c174_calc'!$A$2:$C$153, 2, FALSE)</f>
        <v>10.21.73076A</v>
      </c>
      <c r="AF78">
        <f>VLOOKUP(Table1[[#This Row],[Product_Name]],'c174_calc'!$A$2:$C$153, 3, FALSE)</f>
        <v>1</v>
      </c>
      <c r="AG78" t="b">
        <f>Table1[[#This Row],[vma]]=Table1[[#This Row],[MA_Number]]</f>
        <v>1</v>
      </c>
    </row>
    <row r="79" spans="1:33" x14ac:dyDescent="0.3">
      <c r="A79" t="s">
        <v>146</v>
      </c>
      <c r="B79" s="1" t="s">
        <v>846</v>
      </c>
      <c r="C79" s="1"/>
      <c r="D79" t="s">
        <v>278</v>
      </c>
      <c r="E79" t="s">
        <v>2328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X79">
        <v>61</v>
      </c>
      <c r="Y79" t="s">
        <v>2376</v>
      </c>
      <c r="Z79" t="s">
        <v>2377</v>
      </c>
      <c r="AA79">
        <f>Table1[[#This Row],[qPer board]]*Table1[[#This Row],[boards]]</f>
        <v>15</v>
      </c>
      <c r="AB79">
        <v>1</v>
      </c>
      <c r="AC79">
        <v>15</v>
      </c>
      <c r="AD79" t="e">
        <f>VLOOKUP(Table1[[#This Row],[Product_Name]],'c174_calc'!$A$2:$C$153, 1, FALSE)</f>
        <v>#N/A</v>
      </c>
      <c r="AE79" t="e">
        <f>VLOOKUP(Table1[[#This Row],[Product_Name]],'c174_calc'!$A$2:$C$153, 2, FALSE)</f>
        <v>#N/A</v>
      </c>
      <c r="AF79" t="e">
        <f>VLOOKUP(Table1[[#This Row],[Product_Name]],'c174_calc'!$A$2:$C$153, 3, FALSE)</f>
        <v>#N/A</v>
      </c>
      <c r="AG79" t="e">
        <f>Table1[[#This Row],[vma]]=Table1[[#This Row],[MA_Number]]</f>
        <v>#N/A</v>
      </c>
    </row>
    <row r="80" spans="1:33" hidden="1" x14ac:dyDescent="0.3">
      <c r="A80" t="s">
        <v>147</v>
      </c>
      <c r="B80" s="1" t="s">
        <v>243</v>
      </c>
      <c r="C80" s="1"/>
      <c r="D80" t="s">
        <v>278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60</v>
      </c>
      <c r="Y80" t="s">
        <v>2376</v>
      </c>
      <c r="Z80" t="s">
        <v>2377</v>
      </c>
      <c r="AA80">
        <f>Table1[[#This Row],[qPer board]]*Table1[[#This Row],[boards]]</f>
        <v>30</v>
      </c>
      <c r="AB80">
        <f>Table1[[#This Row],[vqty]]</f>
        <v>2</v>
      </c>
      <c r="AC80">
        <v>15</v>
      </c>
      <c r="AD80" t="str">
        <f>VLOOKUP(Table1[[#This Row],[Product_Name]],'c174_calc'!$A$2:$C$153, 1, FALSE)</f>
        <v>ASSY_AMZ040C00B</v>
      </c>
      <c r="AE80" t="str">
        <f>VLOOKUP(Table1[[#This Row],[Product_Name]],'c174_calc'!$A$2:$C$153, 2, FALSE)</f>
        <v>10.21.77066A</v>
      </c>
      <c r="AF80">
        <f>VLOOKUP(Table1[[#This Row],[Product_Name]],'c174_calc'!$A$2:$C$153, 3, FALSE)</f>
        <v>2</v>
      </c>
      <c r="AG80" t="b">
        <f>Table1[[#This Row],[vma]]=Table1[[#This Row],[MA_Number]]</f>
        <v>1</v>
      </c>
    </row>
    <row r="81" spans="1:33" hidden="1" x14ac:dyDescent="0.3">
      <c r="A81" t="s">
        <v>148</v>
      </c>
      <c r="B81" s="1" t="s">
        <v>244</v>
      </c>
      <c r="C81" s="1"/>
      <c r="D81" t="s">
        <v>278</v>
      </c>
      <c r="E81" t="s">
        <v>1746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60</v>
      </c>
      <c r="Y81" t="s">
        <v>2376</v>
      </c>
      <c r="Z81" t="s">
        <v>2377</v>
      </c>
      <c r="AA81">
        <f>Table1[[#This Row],[qPer board]]*Table1[[#This Row],[boards]]</f>
        <v>15</v>
      </c>
      <c r="AB81">
        <f>Table1[[#This Row],[vqty]]</f>
        <v>1</v>
      </c>
      <c r="AC81">
        <v>15</v>
      </c>
      <c r="AD81" t="str">
        <f>VLOOKUP(Table1[[#This Row],[Product_Name]],'c174_calc'!$A$2:$C$153, 1, FALSE)</f>
        <v>ASSY_AMZ040C00C</v>
      </c>
      <c r="AE81" t="str">
        <f>VLOOKUP(Table1[[#This Row],[Product_Name]],'c174_calc'!$A$2:$C$153, 2, FALSE)</f>
        <v>10.21.77068A</v>
      </c>
      <c r="AF81">
        <f>VLOOKUP(Table1[[#This Row],[Product_Name]],'c174_calc'!$A$2:$C$153, 3, FALSE)</f>
        <v>1</v>
      </c>
      <c r="AG81" t="b">
        <f>Table1[[#This Row],[vma]]=Table1[[#This Row],[MA_Number]]</f>
        <v>1</v>
      </c>
    </row>
    <row r="82" spans="1:33" hidden="1" x14ac:dyDescent="0.3">
      <c r="A82" t="s">
        <v>149</v>
      </c>
      <c r="B82" s="1" t="s">
        <v>245</v>
      </c>
      <c r="C82" s="1"/>
      <c r="D82" t="s">
        <v>278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60</v>
      </c>
      <c r="Y82" t="s">
        <v>2376</v>
      </c>
      <c r="Z82" t="s">
        <v>2377</v>
      </c>
      <c r="AA82">
        <f>Table1[[#This Row],[qPer board]]*Table1[[#This Row],[boards]]</f>
        <v>15</v>
      </c>
      <c r="AB82">
        <f>Table1[[#This Row],[vqty]]</f>
        <v>1</v>
      </c>
      <c r="AC82">
        <v>15</v>
      </c>
      <c r="AD82" t="str">
        <f>VLOOKUP(Table1[[#This Row],[Product_Name]],'c174_calc'!$A$2:$C$153, 1, FALSE)</f>
        <v>ASSY_AMZ040C00D</v>
      </c>
      <c r="AE82" t="str">
        <f>VLOOKUP(Table1[[#This Row],[Product_Name]],'c174_calc'!$A$2:$C$153, 2, FALSE)</f>
        <v>10.21.77069A</v>
      </c>
      <c r="AF82">
        <f>VLOOKUP(Table1[[#This Row],[Product_Name]],'c174_calc'!$A$2:$C$153, 3, FALSE)</f>
        <v>1</v>
      </c>
      <c r="AG82" t="b">
        <f>Table1[[#This Row],[vma]]=Table1[[#This Row],[MA_Number]]</f>
        <v>1</v>
      </c>
    </row>
    <row r="83" spans="1:33" hidden="1" x14ac:dyDescent="0.3">
      <c r="A83" t="s">
        <v>150</v>
      </c>
      <c r="B83" s="1" t="s">
        <v>246</v>
      </c>
      <c r="C83" s="1"/>
      <c r="D83" t="s">
        <v>278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60</v>
      </c>
      <c r="Y83" t="s">
        <v>2376</v>
      </c>
      <c r="Z83" t="s">
        <v>2377</v>
      </c>
      <c r="AA83">
        <f>Table1[[#This Row],[qPer board]]*Table1[[#This Row],[boards]]</f>
        <v>15</v>
      </c>
      <c r="AB83">
        <f>Table1[[#This Row],[vqty]]</f>
        <v>1</v>
      </c>
      <c r="AC83">
        <v>15</v>
      </c>
      <c r="AD83" t="str">
        <f>VLOOKUP(Table1[[#This Row],[Product_Name]],'c174_calc'!$A$2:$C$153, 1, FALSE)</f>
        <v>ASSY_AMZ040C00E</v>
      </c>
      <c r="AE83" t="str">
        <f>VLOOKUP(Table1[[#This Row],[Product_Name]],'c174_calc'!$A$2:$C$153, 2, FALSE)</f>
        <v>10.21.77070A</v>
      </c>
      <c r="AF83">
        <f>VLOOKUP(Table1[[#This Row],[Product_Name]],'c174_calc'!$A$2:$C$153, 3, FALSE)</f>
        <v>1</v>
      </c>
      <c r="AG83" t="b">
        <f>Table1[[#This Row],[vma]]=Table1[[#This Row],[MA_Number]]</f>
        <v>1</v>
      </c>
    </row>
    <row r="84" spans="1:33" hidden="1" x14ac:dyDescent="0.3">
      <c r="A84" t="s">
        <v>151</v>
      </c>
      <c r="B84" s="1" t="s">
        <v>247</v>
      </c>
      <c r="C84" s="1"/>
      <c r="D84" t="s">
        <v>278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X84">
        <v>60</v>
      </c>
      <c r="Y84" t="s">
        <v>2376</v>
      </c>
      <c r="Z84" t="s">
        <v>2377</v>
      </c>
      <c r="AA84">
        <f>Table1[[#This Row],[qPer board]]*Table1[[#This Row],[boards]]</f>
        <v>30</v>
      </c>
      <c r="AB84">
        <f>Table1[[#This Row],[vqty]]</f>
        <v>2</v>
      </c>
      <c r="AC84">
        <v>15</v>
      </c>
      <c r="AD84" t="str">
        <f>VLOOKUP(Table1[[#This Row],[Product_Name]],'c174_calc'!$A$2:$C$153, 1, FALSE)</f>
        <v>ASSY_CA288A15199XXX</v>
      </c>
      <c r="AE84" t="str">
        <f>VLOOKUP(Table1[[#This Row],[Product_Name]],'c174_calc'!$A$2:$C$153, 2, FALSE)</f>
        <v>10.21.77038A</v>
      </c>
      <c r="AF84">
        <f>VLOOKUP(Table1[[#This Row],[Product_Name]],'c174_calc'!$A$2:$C$153, 3, FALSE)</f>
        <v>2</v>
      </c>
      <c r="AG84" t="b">
        <f>Table1[[#This Row],[vma]]=Table1[[#This Row],[MA_Number]]</f>
        <v>1</v>
      </c>
    </row>
    <row r="85" spans="1:33" hidden="1" x14ac:dyDescent="0.3">
      <c r="A85" t="s">
        <v>152</v>
      </c>
      <c r="B85" s="1" t="s">
        <v>248</v>
      </c>
      <c r="C85" s="1"/>
      <c r="D85" t="s">
        <v>278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X85">
        <v>60</v>
      </c>
      <c r="Y85" t="s">
        <v>2376</v>
      </c>
      <c r="Z85" t="s">
        <v>2377</v>
      </c>
      <c r="AA85">
        <f>Table1[[#This Row],[qPer board]]*Table1[[#This Row],[boards]]</f>
        <v>30</v>
      </c>
      <c r="AB85">
        <f>Table1[[#This Row],[vqty]]</f>
        <v>2</v>
      </c>
      <c r="AC85">
        <v>15</v>
      </c>
      <c r="AD85" t="str">
        <f>VLOOKUP(Table1[[#This Row],[Product_Name]],'c174_calc'!$A$2:$C$153, 1, FALSE)</f>
        <v>ASSY_CA288A25199XXX</v>
      </c>
      <c r="AE85" t="str">
        <f>VLOOKUP(Table1[[#This Row],[Product_Name]],'c174_calc'!$A$2:$C$153, 2, FALSE)</f>
        <v>10.21.77040A</v>
      </c>
      <c r="AF85">
        <f>VLOOKUP(Table1[[#This Row],[Product_Name]],'c174_calc'!$A$2:$C$153, 3, FALSE)</f>
        <v>2</v>
      </c>
      <c r="AG85" t="b">
        <f>Table1[[#This Row],[vma]]=Table1[[#This Row],[MA_Number]]</f>
        <v>1</v>
      </c>
    </row>
    <row r="86" spans="1:33" hidden="1" x14ac:dyDescent="0.3">
      <c r="A86" t="s">
        <v>153</v>
      </c>
      <c r="B86" s="1" t="s">
        <v>249</v>
      </c>
      <c r="C86" s="1"/>
      <c r="D86" t="s">
        <v>278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X86">
        <v>60</v>
      </c>
      <c r="Y86" t="s">
        <v>2376</v>
      </c>
      <c r="Z86" t="s">
        <v>2377</v>
      </c>
      <c r="AA86">
        <f>Table1[[#This Row],[qPer board]]*Table1[[#This Row],[boards]]</f>
        <v>15</v>
      </c>
      <c r="AB86">
        <f>Table1[[#This Row],[vqty]]</f>
        <v>1</v>
      </c>
      <c r="AC86">
        <v>15</v>
      </c>
      <c r="AD86" t="str">
        <f>VLOOKUP(Table1[[#This Row],[Product_Name]],'c174_calc'!$A$2:$C$153, 1, FALSE)</f>
        <v>ASSY_CA288A35199XXX</v>
      </c>
      <c r="AE86" t="str">
        <f>VLOOKUP(Table1[[#This Row],[Product_Name]],'c174_calc'!$A$2:$C$153, 2, FALSE)</f>
        <v>10.21.77039A</v>
      </c>
      <c r="AF86">
        <f>VLOOKUP(Table1[[#This Row],[Product_Name]],'c174_calc'!$A$2:$C$153, 3, FALSE)</f>
        <v>1</v>
      </c>
      <c r="AG86" t="b">
        <f>Table1[[#This Row],[vma]]=Table1[[#This Row],[MA_Number]]</f>
        <v>1</v>
      </c>
    </row>
    <row r="87" spans="1:33" hidden="1" x14ac:dyDescent="0.3">
      <c r="A87" t="s">
        <v>154</v>
      </c>
      <c r="B87" s="1" t="s">
        <v>250</v>
      </c>
      <c r="C87" s="1"/>
      <c r="D87" t="s">
        <v>278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X87">
        <v>60</v>
      </c>
      <c r="Y87" t="s">
        <v>2376</v>
      </c>
      <c r="Z87" t="s">
        <v>2377</v>
      </c>
      <c r="AA87">
        <f>Table1[[#This Row],[qPer board]]*Table1[[#This Row],[boards]]</f>
        <v>30</v>
      </c>
      <c r="AB87">
        <f>Table1[[#This Row],[vqty]]</f>
        <v>2</v>
      </c>
      <c r="AC87">
        <v>15</v>
      </c>
      <c r="AD87" t="str">
        <f>VLOOKUP(Table1[[#This Row],[Product_Name]],'c174_calc'!$A$2:$C$153, 1, FALSE)</f>
        <v>ASSY_CA288B1519XXXX</v>
      </c>
      <c r="AE87" t="str">
        <f>VLOOKUP(Table1[[#This Row],[Product_Name]],'c174_calc'!$A$2:$C$153, 2, FALSE)</f>
        <v>10.21.77041A</v>
      </c>
      <c r="AF87">
        <f>VLOOKUP(Table1[[#This Row],[Product_Name]],'c174_calc'!$A$2:$C$153, 3, FALSE)</f>
        <v>2</v>
      </c>
      <c r="AG87" t="b">
        <f>Table1[[#This Row],[vma]]=Table1[[#This Row],[MA_Number]]</f>
        <v>1</v>
      </c>
    </row>
    <row r="88" spans="1:33" hidden="1" x14ac:dyDescent="0.3">
      <c r="A88" t="s">
        <v>155</v>
      </c>
      <c r="B88" s="1" t="s">
        <v>251</v>
      </c>
      <c r="C88" s="1"/>
      <c r="D88" t="s">
        <v>278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60</v>
      </c>
      <c r="Y88" t="s">
        <v>2376</v>
      </c>
      <c r="Z88" t="s">
        <v>2377</v>
      </c>
      <c r="AA88">
        <f>Table1[[#This Row],[qPer board]]*Table1[[#This Row],[boards]]</f>
        <v>15</v>
      </c>
      <c r="AB88">
        <f>Table1[[#This Row],[vqty]]</f>
        <v>1</v>
      </c>
      <c r="AC88">
        <v>15</v>
      </c>
      <c r="AD88" t="str">
        <f>VLOOKUP(Table1[[#This Row],[Product_Name]],'c174_calc'!$A$2:$C$153, 1, FALSE)</f>
        <v>ASSY_D4Z001DC0C</v>
      </c>
      <c r="AE88" t="str">
        <f>VLOOKUP(Table1[[#This Row],[Product_Name]],'c174_calc'!$A$2:$C$153, 2, FALSE)</f>
        <v>10.21.73066A</v>
      </c>
      <c r="AF88">
        <f>VLOOKUP(Table1[[#This Row],[Product_Name]],'c174_calc'!$A$2:$C$153, 3, FALSE)</f>
        <v>1</v>
      </c>
      <c r="AG88" t="b">
        <f>Table1[[#This Row],[vma]]=Table1[[#This Row],[MA_Number]]</f>
        <v>1</v>
      </c>
    </row>
    <row r="89" spans="1:33" hidden="1" x14ac:dyDescent="0.3">
      <c r="A89" t="s">
        <v>156</v>
      </c>
      <c r="B89" s="1" t="s">
        <v>656</v>
      </c>
      <c r="C89" s="1"/>
      <c r="D89" t="s">
        <v>278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60</v>
      </c>
      <c r="Y89" t="s">
        <v>2376</v>
      </c>
      <c r="Z89" t="s">
        <v>2377</v>
      </c>
      <c r="AA89">
        <f>Table1[[#This Row],[qPer board]]*Table1[[#This Row],[boards]]</f>
        <v>15</v>
      </c>
      <c r="AB89">
        <f>Table1[[#This Row],[vqty]]</f>
        <v>1</v>
      </c>
      <c r="AC89">
        <v>15</v>
      </c>
      <c r="AD89" t="str">
        <f>VLOOKUP(Table1[[#This Row],[Product_Name]],'c174_calc'!$A$2:$C$153, 1, FALSE)</f>
        <v>ASSY_D4K2RE1D5A5BDC/ASSY_D4K2RE1D5A5B</v>
      </c>
      <c r="AE89" t="str">
        <f>VLOOKUP(Table1[[#This Row],[Product_Name]],'c174_calc'!$A$2:$C$153, 2, FALSE)</f>
        <v>10.21.77089A</v>
      </c>
      <c r="AF89">
        <f>VLOOKUP(Table1[[#This Row],[Product_Name]],'c174_calc'!$A$2:$C$153, 3, FALSE)</f>
        <v>1</v>
      </c>
      <c r="AG89" t="b">
        <f>Table1[[#This Row],[vma]]=Table1[[#This Row],[MA_Number]]</f>
        <v>1</v>
      </c>
    </row>
    <row r="90" spans="1:33" hidden="1" x14ac:dyDescent="0.3">
      <c r="A90" t="s">
        <v>157</v>
      </c>
      <c r="B90" s="1">
        <v>7178270480</v>
      </c>
      <c r="C90" s="1" t="s">
        <v>792</v>
      </c>
      <c r="D90" t="s">
        <v>278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X90">
        <v>60</v>
      </c>
      <c r="Y90" t="s">
        <v>2376</v>
      </c>
      <c r="Z90" t="s">
        <v>2377</v>
      </c>
      <c r="AA90">
        <f>Table1[[#This Row],[qPer board]]*Table1[[#This Row],[boards]]</f>
        <v>15</v>
      </c>
      <c r="AB90">
        <f>Table1[[#This Row],[vqty]]</f>
        <v>1</v>
      </c>
      <c r="AC90">
        <v>15</v>
      </c>
      <c r="AD90">
        <f>VLOOKUP(Table1[[#This Row],[Product_Name]],'c174_calc'!$A$2:$C$153, 1, FALSE)</f>
        <v>7178270480</v>
      </c>
      <c r="AE90" t="str">
        <f>VLOOKUP(Table1[[#This Row],[Product_Name]],'c174_calc'!$A$2:$C$153, 2, FALSE)</f>
        <v>10.21.83646A</v>
      </c>
      <c r="AF90">
        <f>VLOOKUP(Table1[[#This Row],[Product_Name]],'c174_calc'!$A$2:$C$153, 3, FALSE)</f>
        <v>1</v>
      </c>
      <c r="AG90" t="b">
        <f>Table1[[#This Row],[vma]]=Table1[[#This Row],[MA_Number]]</f>
        <v>1</v>
      </c>
    </row>
    <row r="91" spans="1:33" hidden="1" x14ac:dyDescent="0.3">
      <c r="A91" t="s">
        <v>158</v>
      </c>
      <c r="B91" s="1">
        <v>7075226730</v>
      </c>
      <c r="C91" s="1" t="s">
        <v>793</v>
      </c>
      <c r="D91" t="s">
        <v>278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X91">
        <v>60</v>
      </c>
      <c r="Y91" t="s">
        <v>2376</v>
      </c>
      <c r="Z91" t="s">
        <v>2377</v>
      </c>
      <c r="AA91">
        <f>Table1[[#This Row],[qPer board]]*Table1[[#This Row],[boards]]</f>
        <v>15</v>
      </c>
      <c r="AB91">
        <f>Table1[[#This Row],[vqty]]</f>
        <v>1</v>
      </c>
      <c r="AC91">
        <v>15</v>
      </c>
      <c r="AD91">
        <f>VLOOKUP(Table1[[#This Row],[Product_Name]],'c174_calc'!$A$2:$C$153, 1, FALSE)</f>
        <v>7075226730</v>
      </c>
      <c r="AE91" t="str">
        <f>VLOOKUP(Table1[[#This Row],[Product_Name]],'c174_calc'!$A$2:$C$153, 2, FALSE)</f>
        <v>10.21.77128A</v>
      </c>
      <c r="AF91">
        <f>VLOOKUP(Table1[[#This Row],[Product_Name]],'c174_calc'!$A$2:$C$153, 3, FALSE)</f>
        <v>1</v>
      </c>
      <c r="AG91" t="b">
        <f>Table1[[#This Row],[vma]]=Table1[[#This Row],[MA_Number]]</f>
        <v>1</v>
      </c>
    </row>
    <row r="92" spans="1:33" hidden="1" x14ac:dyDescent="0.3">
      <c r="A92" t="s">
        <v>159</v>
      </c>
      <c r="B92" s="1" t="s">
        <v>253</v>
      </c>
      <c r="C92" s="1"/>
      <c r="D92" t="s">
        <v>278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AA92" t="e">
        <f>Table1[[#This Row],[qPer board]]*Table1[[#This Row],[boards]]</f>
        <v>#REF!</v>
      </c>
      <c r="AB92" t="e">
        <f>VLOOKUP(Table1[[#This Row],[MA_Number]],#REF!, 2,FALSE)</f>
        <v>#REF!</v>
      </c>
      <c r="AD92" t="e">
        <f>VLOOKUP(Table1[[#This Row],[Product_Name]],'c174_calc'!$A$2:$C$153, 1, FALSE)</f>
        <v>#N/A</v>
      </c>
      <c r="AE92" t="e">
        <f>VLOOKUP(Table1[[#This Row],[Product_Name]],'c174_calc'!$A$2:$C$153, 2, FALSE)</f>
        <v>#N/A</v>
      </c>
      <c r="AF92" t="e">
        <f>VLOOKUP(Table1[[#This Row],[Product_Name]],'c174_calc'!$A$2:$C$153, 3, FALSE)</f>
        <v>#N/A</v>
      </c>
      <c r="AG92" t="e">
        <f>Table1[[#This Row],[vma]]=Table1[[#This Row],[MA_Number]]</f>
        <v>#N/A</v>
      </c>
    </row>
    <row r="93" spans="1:33" hidden="1" x14ac:dyDescent="0.3">
      <c r="A93" t="s">
        <v>160</v>
      </c>
      <c r="B93" s="1" t="s">
        <v>253</v>
      </c>
      <c r="C93" s="1"/>
      <c r="D93" t="s">
        <v>278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AA93" t="e">
        <f>Table1[[#This Row],[qPer board]]*Table1[[#This Row],[boards]]</f>
        <v>#REF!</v>
      </c>
      <c r="AB93" t="e">
        <f>VLOOKUP(Table1[[#This Row],[MA_Number]],#REF!, 2,FALSE)</f>
        <v>#REF!</v>
      </c>
      <c r="AD93" t="e">
        <f>VLOOKUP(Table1[[#This Row],[Product_Name]],'c174_calc'!$A$2:$C$153, 1, FALSE)</f>
        <v>#N/A</v>
      </c>
      <c r="AE93" t="e">
        <f>VLOOKUP(Table1[[#This Row],[Product_Name]],'c174_calc'!$A$2:$C$153, 2, FALSE)</f>
        <v>#N/A</v>
      </c>
      <c r="AF93" t="e">
        <f>VLOOKUP(Table1[[#This Row],[Product_Name]],'c174_calc'!$A$2:$C$153, 3, FALSE)</f>
        <v>#N/A</v>
      </c>
      <c r="AG93" t="e">
        <f>Table1[[#This Row],[vma]]=Table1[[#This Row],[MA_Number]]</f>
        <v>#N/A</v>
      </c>
    </row>
    <row r="94" spans="1:33" hidden="1" x14ac:dyDescent="0.3">
      <c r="A94" t="s">
        <v>161</v>
      </c>
      <c r="B94" s="1" t="s">
        <v>595</v>
      </c>
      <c r="C94" s="1"/>
      <c r="D94" t="s">
        <v>278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60</v>
      </c>
      <c r="Y94" t="s">
        <v>2376</v>
      </c>
      <c r="Z94" t="s">
        <v>2377</v>
      </c>
      <c r="AA94">
        <f>Table1[[#This Row],[qPer board]]*Table1[[#This Row],[boards]]</f>
        <v>15</v>
      </c>
      <c r="AB94">
        <f>Table1[[#This Row],[vqty]]</f>
        <v>1</v>
      </c>
      <c r="AC94">
        <v>15</v>
      </c>
      <c r="AD94" t="str">
        <f>VLOOKUP(Table1[[#This Row],[Product_Name]],'c174_calc'!$A$2:$C$153, 1, FALSE)</f>
        <v>ASSY_59Z006T00D</v>
      </c>
      <c r="AE94" t="str">
        <f>VLOOKUP(Table1[[#This Row],[Product_Name]],'c174_calc'!$A$2:$C$153, 2, FALSE)</f>
        <v>10.21.83677A</v>
      </c>
      <c r="AF94">
        <f>VLOOKUP(Table1[[#This Row],[Product_Name]],'c174_calc'!$A$2:$C$153, 3, FALSE)</f>
        <v>1</v>
      </c>
      <c r="AG94" t="b">
        <f>Table1[[#This Row],[vma]]=Table1[[#This Row],[MA_Number]]</f>
        <v>1</v>
      </c>
    </row>
    <row r="95" spans="1:33" hidden="1" x14ac:dyDescent="0.3">
      <c r="A95" t="s">
        <v>162</v>
      </c>
      <c r="B95" s="1" t="s">
        <v>255</v>
      </c>
      <c r="C95" s="1"/>
      <c r="D95" t="s">
        <v>278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X95">
        <v>60</v>
      </c>
      <c r="Y95" t="s">
        <v>2376</v>
      </c>
      <c r="Z95" t="s">
        <v>2377</v>
      </c>
      <c r="AA95">
        <f>Table1[[#This Row],[qPer board]]*Table1[[#This Row],[boards]]</f>
        <v>15</v>
      </c>
      <c r="AB95">
        <f>Table1[[#This Row],[vqty]]</f>
        <v>1</v>
      </c>
      <c r="AC95">
        <v>15</v>
      </c>
      <c r="AD95" t="str">
        <f>VLOOKUP(Table1[[#This Row],[Product_Name]],'c174_calc'!$A$2:$C$153, 1, FALSE)</f>
        <v>7187903970+7187904070</v>
      </c>
      <c r="AE95" t="str">
        <f>VLOOKUP(Table1[[#This Row],[Product_Name]],'c174_calc'!$A$2:$C$153, 2, FALSE)</f>
        <v>10.21.50179G</v>
      </c>
      <c r="AF95">
        <f>VLOOKUP(Table1[[#This Row],[Product_Name]],'c174_calc'!$A$2:$C$153, 3, FALSE)</f>
        <v>1</v>
      </c>
      <c r="AG95" t="b">
        <f>Table1[[#This Row],[vma]]=Table1[[#This Row],[MA_Number]]</f>
        <v>1</v>
      </c>
    </row>
    <row r="96" spans="1:33" hidden="1" x14ac:dyDescent="0.3">
      <c r="A96" t="s">
        <v>163</v>
      </c>
      <c r="B96" s="1" t="s">
        <v>256</v>
      </c>
      <c r="C96" s="1"/>
      <c r="D96" t="s">
        <v>278</v>
      </c>
      <c r="E96" t="s">
        <v>293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X96">
        <v>60</v>
      </c>
      <c r="Y96" t="s">
        <v>2376</v>
      </c>
      <c r="Z96" t="s">
        <v>2377</v>
      </c>
      <c r="AA96">
        <f>Table1[[#This Row],[qPer board]]*Table1[[#This Row],[boards]]</f>
        <v>15</v>
      </c>
      <c r="AB96">
        <f>Table1[[#This Row],[vqty]]</f>
        <v>1</v>
      </c>
      <c r="AC96">
        <v>15</v>
      </c>
      <c r="AD96" t="str">
        <f>VLOOKUP(Table1[[#This Row],[Product_Name]],'c174_calc'!$A$2:$C$153, 1, FALSE)</f>
        <v>X1PO2539</v>
      </c>
      <c r="AE96" t="str">
        <f>VLOOKUP(Table1[[#This Row],[Product_Name]],'c174_calc'!$A$2:$C$153, 2, FALSE)</f>
        <v>10.21.77159A</v>
      </c>
      <c r="AF96">
        <f>VLOOKUP(Table1[[#This Row],[Product_Name]],'c174_calc'!$A$2:$C$153, 3, FALSE)</f>
        <v>1</v>
      </c>
      <c r="AG96" t="b">
        <f>Table1[[#This Row],[vma]]=Table1[[#This Row],[MA_Number]]</f>
        <v>1</v>
      </c>
    </row>
    <row r="97" spans="1:33" hidden="1" x14ac:dyDescent="0.3">
      <c r="A97" t="s">
        <v>164</v>
      </c>
      <c r="B97" s="1">
        <v>7009741102</v>
      </c>
      <c r="C97" s="1"/>
      <c r="D97" t="s">
        <v>278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X97">
        <v>60</v>
      </c>
      <c r="Y97" t="s">
        <v>2376</v>
      </c>
      <c r="Z97" t="s">
        <v>2377</v>
      </c>
      <c r="AA97">
        <f>Table1[[#This Row],[qPer board]]*Table1[[#This Row],[boards]]</f>
        <v>15</v>
      </c>
      <c r="AB97">
        <f>Table1[[#This Row],[vqty]]</f>
        <v>1</v>
      </c>
      <c r="AC97">
        <v>15</v>
      </c>
      <c r="AD97">
        <f>VLOOKUP(Table1[[#This Row],[Product_Name]],'c174_calc'!$A$2:$C$153, 1, FALSE)</f>
        <v>7009741102</v>
      </c>
      <c r="AE97" t="str">
        <f>VLOOKUP(Table1[[#This Row],[Product_Name]],'c174_calc'!$A$2:$C$153, 2, FALSE)</f>
        <v>10.21.80727A</v>
      </c>
      <c r="AF97">
        <f>VLOOKUP(Table1[[#This Row],[Product_Name]],'c174_calc'!$A$2:$C$153, 3, FALSE)</f>
        <v>1</v>
      </c>
      <c r="AG97" t="b">
        <f>Table1[[#This Row],[vma]]=Table1[[#This Row],[MA_Number]]</f>
        <v>1</v>
      </c>
    </row>
    <row r="98" spans="1:33" hidden="1" x14ac:dyDescent="0.3">
      <c r="A98" t="s">
        <v>1348</v>
      </c>
      <c r="B98" s="1" t="s">
        <v>257</v>
      </c>
      <c r="C98" s="1"/>
      <c r="D98" t="s">
        <v>278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AA98" t="e">
        <f>Table1[[#This Row],[qPer board]]*Table1[[#This Row],[boards]]</f>
        <v>#REF!</v>
      </c>
      <c r="AB98" t="e">
        <f>VLOOKUP(Table1[[#This Row],[MA_Number]],#REF!, 2,FALSE)</f>
        <v>#REF!</v>
      </c>
      <c r="AD98" t="e">
        <f>VLOOKUP(Table1[[#This Row],[Product_Name]],'c174_calc'!$A$2:$C$153, 1, FALSE)</f>
        <v>#N/A</v>
      </c>
      <c r="AE98" t="e">
        <f>VLOOKUP(Table1[[#This Row],[Product_Name]],'c174_calc'!$A$2:$C$153, 2, FALSE)</f>
        <v>#N/A</v>
      </c>
      <c r="AF98" t="e">
        <f>VLOOKUP(Table1[[#This Row],[Product_Name]],'c174_calc'!$A$2:$C$153, 3, FALSE)</f>
        <v>#N/A</v>
      </c>
      <c r="AG98" t="e">
        <f>Table1[[#This Row],[vma]]=Table1[[#This Row],[MA_Number]]</f>
        <v>#N/A</v>
      </c>
    </row>
    <row r="99" spans="1:33" hidden="1" x14ac:dyDescent="0.3">
      <c r="A99" t="s">
        <v>165</v>
      </c>
      <c r="B99" s="1">
        <v>7289063430</v>
      </c>
      <c r="C99" s="1"/>
      <c r="D99" t="s">
        <v>278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AA99">
        <f>Table1[[#This Row],[qPer board]]*Table1[[#This Row],[boards]]</f>
        <v>0</v>
      </c>
      <c r="AB99">
        <v>1</v>
      </c>
      <c r="AD99" t="e">
        <f>VLOOKUP(Table1[[#This Row],[Product_Name]],'c174_calc'!$A$2:$C$153, 1, FALSE)</f>
        <v>#N/A</v>
      </c>
      <c r="AE99" t="e">
        <f>VLOOKUP(Table1[[#This Row],[Product_Name]],'c174_calc'!$A$2:$C$153, 2, FALSE)</f>
        <v>#N/A</v>
      </c>
      <c r="AF99" t="e">
        <f>VLOOKUP(Table1[[#This Row],[Product_Name]],'c174_calc'!$A$2:$C$153, 3, FALSE)</f>
        <v>#N/A</v>
      </c>
      <c r="AG99" t="e">
        <f>Table1[[#This Row],[vma]]=Table1[[#This Row],[MA_Number]]</f>
        <v>#N/A</v>
      </c>
    </row>
    <row r="100" spans="1:33" hidden="1" x14ac:dyDescent="0.3">
      <c r="A100" t="s">
        <v>166</v>
      </c>
      <c r="B100" s="1" t="s">
        <v>258</v>
      </c>
      <c r="C100" s="1"/>
      <c r="D100" t="s">
        <v>278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X100">
        <v>37</v>
      </c>
      <c r="Y100" t="s">
        <v>2239</v>
      </c>
      <c r="Z100" t="s">
        <v>1753</v>
      </c>
      <c r="AA100">
        <f>Table1[[#This Row],[qPer board]]*Table1[[#This Row],[boards]]</f>
        <v>17</v>
      </c>
      <c r="AB100">
        <v>1</v>
      </c>
      <c r="AC100">
        <v>17</v>
      </c>
      <c r="AD100" t="str">
        <f>VLOOKUP(Table1[[#This Row],[Product_Name]],'c174_calc'!$A$2:$C$153, 1, FALSE)</f>
        <v>7289808930+7274153930</v>
      </c>
      <c r="AE100" t="str">
        <f>VLOOKUP(Table1[[#This Row],[Product_Name]],'c174_calc'!$A$2:$C$153, 2, FALSE)</f>
        <v>10.21.83685A</v>
      </c>
      <c r="AF100">
        <f>VLOOKUP(Table1[[#This Row],[Product_Name]],'c174_calc'!$A$2:$C$153, 3, FALSE)</f>
        <v>0</v>
      </c>
      <c r="AG100" t="b">
        <f>Table1[[#This Row],[vma]]=Table1[[#This Row],[MA_Number]]</f>
        <v>1</v>
      </c>
    </row>
    <row r="101" spans="1:33" hidden="1" x14ac:dyDescent="0.3">
      <c r="A101" t="s">
        <v>167</v>
      </c>
      <c r="B101" s="1" t="s">
        <v>593</v>
      </c>
      <c r="C101" s="1"/>
      <c r="D101" t="s">
        <v>278</v>
      </c>
      <c r="E101" t="s">
        <v>2126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AA101">
        <f>Table1[[#This Row],[qPer board]]*Table1[[#This Row],[boards]]</f>
        <v>0</v>
      </c>
      <c r="AB101">
        <v>1</v>
      </c>
      <c r="AD101" t="e">
        <f>VLOOKUP(Table1[[#This Row],[Product_Name]],'c174_calc'!$A$2:$C$153, 1, FALSE)</f>
        <v>#N/A</v>
      </c>
      <c r="AE101" t="e">
        <f>VLOOKUP(Table1[[#This Row],[Product_Name]],'c174_calc'!$A$2:$C$153, 2, FALSE)</f>
        <v>#N/A</v>
      </c>
      <c r="AF101" t="e">
        <f>VLOOKUP(Table1[[#This Row],[Product_Name]],'c174_calc'!$A$2:$C$153, 3, FALSE)</f>
        <v>#N/A</v>
      </c>
      <c r="AG101" t="e">
        <f>Table1[[#This Row],[vma]]=Table1[[#This Row],[MA_Number]]</f>
        <v>#N/A</v>
      </c>
    </row>
    <row r="102" spans="1:33" hidden="1" x14ac:dyDescent="0.3">
      <c r="A102" t="s">
        <v>168</v>
      </c>
      <c r="B102" s="1" t="s">
        <v>259</v>
      </c>
      <c r="C102" s="1"/>
      <c r="D102" t="s">
        <v>278</v>
      </c>
      <c r="E102" t="s">
        <v>2124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AA102">
        <f>Table1[[#This Row],[qPer board]]*Table1[[#This Row],[boards]]</f>
        <v>0</v>
      </c>
      <c r="AB102">
        <v>1</v>
      </c>
      <c r="AD102" t="e">
        <f>VLOOKUP(Table1[[#This Row],[Product_Name]],'c174_calc'!$A$2:$C$153, 1, FALSE)</f>
        <v>#N/A</v>
      </c>
      <c r="AE102" t="e">
        <f>VLOOKUP(Table1[[#This Row],[Product_Name]],'c174_calc'!$A$2:$C$153, 2, FALSE)</f>
        <v>#N/A</v>
      </c>
      <c r="AF102" t="e">
        <f>VLOOKUP(Table1[[#This Row],[Product_Name]],'c174_calc'!$A$2:$C$153, 3, FALSE)</f>
        <v>#N/A</v>
      </c>
      <c r="AG102" t="e">
        <f>Table1[[#This Row],[vma]]=Table1[[#This Row],[MA_Number]]</f>
        <v>#N/A</v>
      </c>
    </row>
    <row r="103" spans="1:33" hidden="1" x14ac:dyDescent="0.3">
      <c r="A103" t="s">
        <v>169</v>
      </c>
      <c r="B103" s="1" t="s">
        <v>626</v>
      </c>
      <c r="C103" s="1"/>
      <c r="D103" t="s">
        <v>278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60</v>
      </c>
      <c r="Y103" t="s">
        <v>2376</v>
      </c>
      <c r="Z103" t="s">
        <v>2377</v>
      </c>
      <c r="AA103">
        <f>Table1[[#This Row],[qPer board]]*Table1[[#This Row],[boards]]</f>
        <v>15</v>
      </c>
      <c r="AB103">
        <f>Table1[[#This Row],[vqty]]</f>
        <v>1</v>
      </c>
      <c r="AC103">
        <v>15</v>
      </c>
      <c r="AD103" t="str">
        <f>VLOOKUP(Table1[[#This Row],[Product_Name]],'c174_calc'!$A$2:$C$153, 1, FALSE)</f>
        <v>ASSY_D4Z001DC0D</v>
      </c>
      <c r="AE103" t="str">
        <f>VLOOKUP(Table1[[#This Row],[Product_Name]],'c174_calc'!$A$2:$C$153, 2, FALSE)</f>
        <v>10.21.73070A</v>
      </c>
      <c r="AF103">
        <f>VLOOKUP(Table1[[#This Row],[Product_Name]],'c174_calc'!$A$2:$C$153, 3, FALSE)</f>
        <v>1</v>
      </c>
      <c r="AG103" t="b">
        <f>Table1[[#This Row],[vma]]=Table1[[#This Row],[MA_Number]]</f>
        <v>1</v>
      </c>
    </row>
    <row r="104" spans="1:33" hidden="1" x14ac:dyDescent="0.3">
      <c r="A104" t="s">
        <v>170</v>
      </c>
      <c r="B104" s="1" t="s">
        <v>260</v>
      </c>
      <c r="C104" s="1"/>
      <c r="D104" t="s">
        <v>278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60</v>
      </c>
      <c r="Y104" t="s">
        <v>2376</v>
      </c>
      <c r="Z104" t="s">
        <v>2377</v>
      </c>
      <c r="AA104">
        <f>Table1[[#This Row],[qPer board]]*Table1[[#This Row],[boards]]</f>
        <v>15</v>
      </c>
      <c r="AB104">
        <f>Table1[[#This Row],[vqty]]</f>
        <v>1</v>
      </c>
      <c r="AC104">
        <v>15</v>
      </c>
      <c r="AD104" t="str">
        <f>VLOOKUP(Table1[[#This Row],[Product_Name]],'c174_calc'!$A$2:$C$153, 1, FALSE)</f>
        <v>ASSY_D4Z002DC0D</v>
      </c>
      <c r="AE104" t="str">
        <f>VLOOKUP(Table1[[#This Row],[Product_Name]],'c174_calc'!$A$2:$C$153, 2, FALSE)</f>
        <v>10.21.79593A</v>
      </c>
      <c r="AF104">
        <f>VLOOKUP(Table1[[#This Row],[Product_Name]],'c174_calc'!$A$2:$C$153, 3, FALSE)</f>
        <v>1</v>
      </c>
      <c r="AG104" t="b">
        <f>Table1[[#This Row],[vma]]=Table1[[#This Row],[MA_Number]]</f>
        <v>1</v>
      </c>
    </row>
    <row r="105" spans="1:33" x14ac:dyDescent="0.3">
      <c r="A105" t="s">
        <v>171</v>
      </c>
      <c r="B105" s="1">
        <v>7047135830</v>
      </c>
      <c r="C105" s="1"/>
      <c r="D105" t="s">
        <v>281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X105">
        <v>61</v>
      </c>
      <c r="Y105" t="s">
        <v>2376</v>
      </c>
      <c r="Z105" t="s">
        <v>2377</v>
      </c>
      <c r="AA105">
        <f>Table1[[#This Row],[qPer board]]*Table1[[#This Row],[boards]]</f>
        <v>15</v>
      </c>
      <c r="AB105">
        <v>1</v>
      </c>
      <c r="AC105">
        <v>15</v>
      </c>
      <c r="AD105" t="e">
        <f>VLOOKUP(Table1[[#This Row],[Product_Name]],'c174_calc'!$A$2:$C$153, 1, FALSE)</f>
        <v>#N/A</v>
      </c>
      <c r="AE105" t="e">
        <f>VLOOKUP(Table1[[#This Row],[Product_Name]],'c174_calc'!$A$2:$C$153, 2, FALSE)</f>
        <v>#N/A</v>
      </c>
      <c r="AF105" t="e">
        <f>VLOOKUP(Table1[[#This Row],[Product_Name]],'c174_calc'!$A$2:$C$153, 3, FALSE)</f>
        <v>#N/A</v>
      </c>
      <c r="AG105" t="e">
        <f>Table1[[#This Row],[vma]]=Table1[[#This Row],[MA_Number]]</f>
        <v>#N/A</v>
      </c>
    </row>
    <row r="106" spans="1:33" x14ac:dyDescent="0.3">
      <c r="A106" t="s">
        <v>1332</v>
      </c>
      <c r="B106" s="1">
        <v>7047186030</v>
      </c>
      <c r="C106" s="1"/>
      <c r="D106" t="s">
        <v>281</v>
      </c>
      <c r="E106" t="s">
        <v>269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61</v>
      </c>
      <c r="Y106" t="s">
        <v>2376</v>
      </c>
      <c r="Z106" t="s">
        <v>2377</v>
      </c>
      <c r="AA106">
        <f>Table1[[#This Row],[qPer board]]*Table1[[#This Row],[boards]]</f>
        <v>285</v>
      </c>
      <c r="AB106">
        <v>19</v>
      </c>
      <c r="AC106">
        <v>15</v>
      </c>
      <c r="AD106" t="e">
        <f>VLOOKUP(Table1[[#This Row],[Product_Name]],'c174_calc'!$A$2:$C$153, 1, FALSE)</f>
        <v>#N/A</v>
      </c>
      <c r="AE106" t="e">
        <f>VLOOKUP(Table1[[#This Row],[Product_Name]],'c174_calc'!$A$2:$C$153, 2, FALSE)</f>
        <v>#N/A</v>
      </c>
      <c r="AF106" t="e">
        <f>VLOOKUP(Table1[[#This Row],[Product_Name]],'c174_calc'!$A$2:$C$153, 3, FALSE)</f>
        <v>#N/A</v>
      </c>
      <c r="AG106" t="e">
        <f>Table1[[#This Row],[vma]]=Table1[[#This Row],[MA_Number]]</f>
        <v>#N/A</v>
      </c>
    </row>
    <row r="107" spans="1:33" x14ac:dyDescent="0.3">
      <c r="A107" t="s">
        <v>173</v>
      </c>
      <c r="B107" s="1">
        <v>7047273930</v>
      </c>
      <c r="C107" s="1"/>
      <c r="D107" t="s">
        <v>281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X107">
        <v>61</v>
      </c>
      <c r="Y107" t="s">
        <v>2376</v>
      </c>
      <c r="Z107" t="s">
        <v>2377</v>
      </c>
      <c r="AA107">
        <f>Table1[[#This Row],[qPer board]]*Table1[[#This Row],[boards]]</f>
        <v>30</v>
      </c>
      <c r="AB107">
        <v>2</v>
      </c>
      <c r="AC107">
        <v>15</v>
      </c>
      <c r="AD107" t="e">
        <f>VLOOKUP(Table1[[#This Row],[Product_Name]],'c174_calc'!$A$2:$C$153, 1, FALSE)</f>
        <v>#N/A</v>
      </c>
      <c r="AE107" t="e">
        <f>VLOOKUP(Table1[[#This Row],[Product_Name]],'c174_calc'!$A$2:$C$153, 2, FALSE)</f>
        <v>#N/A</v>
      </c>
      <c r="AF107" t="e">
        <f>VLOOKUP(Table1[[#This Row],[Product_Name]],'c174_calc'!$A$2:$C$153, 3, FALSE)</f>
        <v>#N/A</v>
      </c>
      <c r="AG107" t="e">
        <f>Table1[[#This Row],[vma]]=Table1[[#This Row],[MA_Number]]</f>
        <v>#N/A</v>
      </c>
    </row>
    <row r="108" spans="1:33" x14ac:dyDescent="0.3">
      <c r="A108" t="s">
        <v>174</v>
      </c>
      <c r="B108" s="1">
        <v>7047305630</v>
      </c>
      <c r="C108" s="1"/>
      <c r="D108" t="s">
        <v>281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X108">
        <v>61</v>
      </c>
      <c r="Y108" t="s">
        <v>2376</v>
      </c>
      <c r="Z108" t="s">
        <v>2377</v>
      </c>
      <c r="AA108">
        <f>Table1[[#This Row],[qPer board]]*Table1[[#This Row],[boards]]</f>
        <v>15</v>
      </c>
      <c r="AB108">
        <v>1</v>
      </c>
      <c r="AC108">
        <v>15</v>
      </c>
      <c r="AD108" t="e">
        <f>VLOOKUP(Table1[[#This Row],[Product_Name]],'c174_calc'!$A$2:$C$153, 1, FALSE)</f>
        <v>#N/A</v>
      </c>
      <c r="AE108" t="e">
        <f>VLOOKUP(Table1[[#This Row],[Product_Name]],'c174_calc'!$A$2:$C$153, 2, FALSE)</f>
        <v>#N/A</v>
      </c>
      <c r="AF108" t="e">
        <f>VLOOKUP(Table1[[#This Row],[Product_Name]],'c174_calc'!$A$2:$C$153, 3, FALSE)</f>
        <v>#N/A</v>
      </c>
      <c r="AG108" t="e">
        <f>Table1[[#This Row],[vma]]=Table1[[#This Row],[MA_Number]]</f>
        <v>#N/A</v>
      </c>
    </row>
    <row r="109" spans="1:33" x14ac:dyDescent="0.3">
      <c r="A109" t="s">
        <v>175</v>
      </c>
      <c r="B109" s="1">
        <v>7052161430</v>
      </c>
      <c r="C109" s="1"/>
      <c r="D109" t="s">
        <v>281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X109">
        <v>61</v>
      </c>
      <c r="Y109" t="s">
        <v>2376</v>
      </c>
      <c r="Z109" t="s">
        <v>2377</v>
      </c>
      <c r="AA109">
        <f>Table1[[#This Row],[qPer board]]*Table1[[#This Row],[boards]]</f>
        <v>30</v>
      </c>
      <c r="AB109">
        <v>2</v>
      </c>
      <c r="AC109">
        <v>15</v>
      </c>
      <c r="AD109" t="e">
        <f>VLOOKUP(Table1[[#This Row],[Product_Name]],'c174_calc'!$A$2:$C$153, 1, FALSE)</f>
        <v>#N/A</v>
      </c>
      <c r="AE109" t="e">
        <f>VLOOKUP(Table1[[#This Row],[Product_Name]],'c174_calc'!$A$2:$C$153, 2, FALSE)</f>
        <v>#N/A</v>
      </c>
      <c r="AF109" t="e">
        <f>VLOOKUP(Table1[[#This Row],[Product_Name]],'c174_calc'!$A$2:$C$153, 3, FALSE)</f>
        <v>#N/A</v>
      </c>
      <c r="AG109" t="e">
        <f>Table1[[#This Row],[vma]]=Table1[[#This Row],[MA_Number]]</f>
        <v>#N/A</v>
      </c>
    </row>
    <row r="110" spans="1:33" x14ac:dyDescent="0.3">
      <c r="A110" t="s">
        <v>176</v>
      </c>
      <c r="B110" s="1">
        <v>7047178330</v>
      </c>
      <c r="C110" s="1"/>
      <c r="D110" t="s">
        <v>281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X110">
        <v>61</v>
      </c>
      <c r="Y110" t="s">
        <v>2376</v>
      </c>
      <c r="Z110" t="s">
        <v>2377</v>
      </c>
      <c r="AA110">
        <f>Table1[[#This Row],[qPer board]]*Table1[[#This Row],[boards]]</f>
        <v>15</v>
      </c>
      <c r="AB110">
        <v>1</v>
      </c>
      <c r="AC110">
        <v>15</v>
      </c>
      <c r="AD110" t="e">
        <f>VLOOKUP(Table1[[#This Row],[Product_Name]],'c174_calc'!$A$2:$C$153, 1, FALSE)</f>
        <v>#N/A</v>
      </c>
      <c r="AE110" t="e">
        <f>VLOOKUP(Table1[[#This Row],[Product_Name]],'c174_calc'!$A$2:$C$153, 2, FALSE)</f>
        <v>#N/A</v>
      </c>
      <c r="AF110" t="e">
        <f>VLOOKUP(Table1[[#This Row],[Product_Name]],'c174_calc'!$A$2:$C$153, 3, FALSE)</f>
        <v>#N/A</v>
      </c>
      <c r="AG110" t="e">
        <f>Table1[[#This Row],[vma]]=Table1[[#This Row],[MA_Number]]</f>
        <v>#N/A</v>
      </c>
    </row>
    <row r="111" spans="1:33" x14ac:dyDescent="0.3">
      <c r="A111" t="s">
        <v>177</v>
      </c>
      <c r="B111" s="1">
        <v>7147882430</v>
      </c>
      <c r="C111" s="1"/>
      <c r="D111" t="s">
        <v>281</v>
      </c>
      <c r="E111" t="s">
        <v>270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61</v>
      </c>
      <c r="Y111" t="s">
        <v>2376</v>
      </c>
      <c r="Z111" t="s">
        <v>2377</v>
      </c>
      <c r="AA111">
        <f>Table1[[#This Row],[qPer board]]*Table1[[#This Row],[boards]]</f>
        <v>150</v>
      </c>
      <c r="AB111">
        <v>10</v>
      </c>
      <c r="AC111">
        <v>15</v>
      </c>
      <c r="AD111" t="e">
        <f>VLOOKUP(Table1[[#This Row],[Product_Name]],'c174_calc'!$A$2:$C$153, 1, FALSE)</f>
        <v>#N/A</v>
      </c>
      <c r="AE111" t="e">
        <f>VLOOKUP(Table1[[#This Row],[Product_Name]],'c174_calc'!$A$2:$C$153, 2, FALSE)</f>
        <v>#N/A</v>
      </c>
      <c r="AF111" t="e">
        <f>VLOOKUP(Table1[[#This Row],[Product_Name]],'c174_calc'!$A$2:$C$153, 3, FALSE)</f>
        <v>#N/A</v>
      </c>
      <c r="AG111" t="e">
        <f>Table1[[#This Row],[vma]]=Table1[[#This Row],[MA_Number]]</f>
        <v>#N/A</v>
      </c>
    </row>
    <row r="112" spans="1:33" x14ac:dyDescent="0.3">
      <c r="A112" t="s">
        <v>178</v>
      </c>
      <c r="B112" s="1">
        <v>7247075530</v>
      </c>
      <c r="C112" s="1"/>
      <c r="D112" t="s">
        <v>281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X112">
        <v>61</v>
      </c>
      <c r="Y112" t="s">
        <v>2376</v>
      </c>
      <c r="Z112" t="s">
        <v>2377</v>
      </c>
      <c r="AA112">
        <f>Table1[[#This Row],[qPer board]]*Table1[[#This Row],[boards]]</f>
        <v>15</v>
      </c>
      <c r="AB112">
        <v>1</v>
      </c>
      <c r="AC112">
        <v>15</v>
      </c>
      <c r="AD112" t="e">
        <f>VLOOKUP(Table1[[#This Row],[Product_Name]],'c174_calc'!$A$2:$C$153, 1, FALSE)</f>
        <v>#N/A</v>
      </c>
      <c r="AE112" t="e">
        <f>VLOOKUP(Table1[[#This Row],[Product_Name]],'c174_calc'!$A$2:$C$153, 2, FALSE)</f>
        <v>#N/A</v>
      </c>
      <c r="AF112" t="e">
        <f>VLOOKUP(Table1[[#This Row],[Product_Name]],'c174_calc'!$A$2:$C$153, 3, FALSE)</f>
        <v>#N/A</v>
      </c>
      <c r="AG112" t="e">
        <f>Table1[[#This Row],[vma]]=Table1[[#This Row],[MA_Number]]</f>
        <v>#N/A</v>
      </c>
    </row>
    <row r="113" spans="1:33" hidden="1" x14ac:dyDescent="0.3">
      <c r="A113" t="s">
        <v>179</v>
      </c>
      <c r="B113" s="1">
        <v>7247374530</v>
      </c>
      <c r="C113" s="1"/>
      <c r="D113" t="s">
        <v>281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AA113" t="e">
        <f>Table1[[#This Row],[qPer board]]*Table1[[#This Row],[boards]]</f>
        <v>#REF!</v>
      </c>
      <c r="AB113" t="e">
        <f>VLOOKUP(Table1[[#This Row],[MA_Number]],#REF!, 2,FALSE)</f>
        <v>#REF!</v>
      </c>
      <c r="AD113" t="e">
        <f>VLOOKUP(Table1[[#This Row],[Product_Name]],'c174_calc'!$A$2:$C$153, 1, FALSE)</f>
        <v>#N/A</v>
      </c>
      <c r="AE113" t="e">
        <f>VLOOKUP(Table1[[#This Row],[Product_Name]],'c174_calc'!$A$2:$C$153, 2, FALSE)</f>
        <v>#N/A</v>
      </c>
      <c r="AF113" t="e">
        <f>VLOOKUP(Table1[[#This Row],[Product_Name]],'c174_calc'!$A$2:$C$153, 3, FALSE)</f>
        <v>#N/A</v>
      </c>
      <c r="AG113" t="e">
        <f>Table1[[#This Row],[vma]]=Table1[[#This Row],[MA_Number]]</f>
        <v>#N/A</v>
      </c>
    </row>
    <row r="114" spans="1:33" x14ac:dyDescent="0.3">
      <c r="A114" t="s">
        <v>180</v>
      </c>
      <c r="B114" s="1">
        <v>7247374930</v>
      </c>
      <c r="C114" s="1"/>
      <c r="D114" t="s">
        <v>281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X114">
        <v>61</v>
      </c>
      <c r="Y114" t="s">
        <v>2376</v>
      </c>
      <c r="Z114" t="s">
        <v>2377</v>
      </c>
      <c r="AA114">
        <f>Table1[[#This Row],[qPer board]]*Table1[[#This Row],[boards]]</f>
        <v>30</v>
      </c>
      <c r="AB114">
        <v>2</v>
      </c>
      <c r="AC114">
        <v>15</v>
      </c>
      <c r="AD114" t="e">
        <f>VLOOKUP(Table1[[#This Row],[Product_Name]],'c174_calc'!$A$2:$C$153, 1, FALSE)</f>
        <v>#N/A</v>
      </c>
      <c r="AE114" t="e">
        <f>VLOOKUP(Table1[[#This Row],[Product_Name]],'c174_calc'!$A$2:$C$153, 2, FALSE)</f>
        <v>#N/A</v>
      </c>
      <c r="AF114" t="e">
        <f>VLOOKUP(Table1[[#This Row],[Product_Name]],'c174_calc'!$A$2:$C$153, 3, FALSE)</f>
        <v>#N/A</v>
      </c>
      <c r="AG114" t="e">
        <f>Table1[[#This Row],[vma]]=Table1[[#This Row],[MA_Number]]</f>
        <v>#N/A</v>
      </c>
    </row>
    <row r="115" spans="1:33" x14ac:dyDescent="0.3">
      <c r="A115" t="s">
        <v>181</v>
      </c>
      <c r="B115" s="1">
        <v>7247760830</v>
      </c>
      <c r="C115" s="1"/>
      <c r="D115" t="s">
        <v>281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X115">
        <v>61</v>
      </c>
      <c r="Y115" t="s">
        <v>2376</v>
      </c>
      <c r="Z115" t="s">
        <v>2377</v>
      </c>
      <c r="AA115">
        <f>Table1[[#This Row],[qPer board]]*Table1[[#This Row],[boards]]</f>
        <v>15</v>
      </c>
      <c r="AB115">
        <v>1</v>
      </c>
      <c r="AC115">
        <v>15</v>
      </c>
      <c r="AD115" t="e">
        <f>VLOOKUP(Table1[[#This Row],[Product_Name]],'c174_calc'!$A$2:$C$153, 1, FALSE)</f>
        <v>#N/A</v>
      </c>
      <c r="AE115" t="e">
        <f>VLOOKUP(Table1[[#This Row],[Product_Name]],'c174_calc'!$A$2:$C$153, 2, FALSE)</f>
        <v>#N/A</v>
      </c>
      <c r="AF115" t="e">
        <f>VLOOKUP(Table1[[#This Row],[Product_Name]],'c174_calc'!$A$2:$C$153, 3, FALSE)</f>
        <v>#N/A</v>
      </c>
      <c r="AG115" t="e">
        <f>Table1[[#This Row],[vma]]=Table1[[#This Row],[MA_Number]]</f>
        <v>#N/A</v>
      </c>
    </row>
    <row r="116" spans="1:33" x14ac:dyDescent="0.3">
      <c r="A116" t="s">
        <v>182</v>
      </c>
      <c r="B116" s="1">
        <v>7247760930</v>
      </c>
      <c r="C116" s="1"/>
      <c r="D116" t="s">
        <v>281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X116">
        <v>61</v>
      </c>
      <c r="Y116" t="s">
        <v>2376</v>
      </c>
      <c r="Z116" t="s">
        <v>2377</v>
      </c>
      <c r="AA116">
        <f>Table1[[#This Row],[qPer board]]*Table1[[#This Row],[boards]]</f>
        <v>15</v>
      </c>
      <c r="AB116">
        <v>1</v>
      </c>
      <c r="AC116">
        <v>15</v>
      </c>
      <c r="AD116" t="e">
        <f>VLOOKUP(Table1[[#This Row],[Product_Name]],'c174_calc'!$A$2:$C$153, 1, FALSE)</f>
        <v>#N/A</v>
      </c>
      <c r="AE116" t="e">
        <f>VLOOKUP(Table1[[#This Row],[Product_Name]],'c174_calc'!$A$2:$C$153, 2, FALSE)</f>
        <v>#N/A</v>
      </c>
      <c r="AF116" t="e">
        <f>VLOOKUP(Table1[[#This Row],[Product_Name]],'c174_calc'!$A$2:$C$153, 3, FALSE)</f>
        <v>#N/A</v>
      </c>
      <c r="AG116" t="e">
        <f>Table1[[#This Row],[vma]]=Table1[[#This Row],[MA_Number]]</f>
        <v>#N/A</v>
      </c>
    </row>
    <row r="117" spans="1:33" x14ac:dyDescent="0.3">
      <c r="A117" t="s">
        <v>183</v>
      </c>
      <c r="B117" s="1">
        <v>7247761330</v>
      </c>
      <c r="C117" s="1"/>
      <c r="D117" t="s">
        <v>281</v>
      </c>
      <c r="E117" t="s">
        <v>932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X117">
        <v>61</v>
      </c>
      <c r="Y117" t="s">
        <v>2376</v>
      </c>
      <c r="Z117" t="s">
        <v>2377</v>
      </c>
      <c r="AA117">
        <f>Table1[[#This Row],[qPer board]]*Table1[[#This Row],[boards]]</f>
        <v>30</v>
      </c>
      <c r="AB117">
        <v>2</v>
      </c>
      <c r="AC117">
        <v>15</v>
      </c>
      <c r="AD117" t="e">
        <f>VLOOKUP(Table1[[#This Row],[Product_Name]],'c174_calc'!$A$2:$C$153, 1, FALSE)</f>
        <v>#N/A</v>
      </c>
      <c r="AE117" t="e">
        <f>VLOOKUP(Table1[[#This Row],[Product_Name]],'c174_calc'!$A$2:$C$153, 2, FALSE)</f>
        <v>#N/A</v>
      </c>
      <c r="AF117" t="e">
        <f>VLOOKUP(Table1[[#This Row],[Product_Name]],'c174_calc'!$A$2:$C$153, 3, FALSE)</f>
        <v>#N/A</v>
      </c>
      <c r="AG117" t="e">
        <f>Table1[[#This Row],[vma]]=Table1[[#This Row],[MA_Number]]</f>
        <v>#N/A</v>
      </c>
    </row>
    <row r="118" spans="1:33" hidden="1" x14ac:dyDescent="0.3">
      <c r="A118" t="s">
        <v>184</v>
      </c>
      <c r="B118" s="1">
        <v>7247764130</v>
      </c>
      <c r="C118" s="1"/>
      <c r="D118" t="s">
        <v>281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AA118" t="e">
        <f>Table1[[#This Row],[qPer board]]*Table1[[#This Row],[boards]]</f>
        <v>#REF!</v>
      </c>
      <c r="AB118" t="e">
        <f>VLOOKUP(Table1[[#This Row],[MA_Number]],#REF!, 2,FALSE)</f>
        <v>#REF!</v>
      </c>
      <c r="AD118" t="e">
        <f>VLOOKUP(Table1[[#This Row],[Product_Name]],'c174_calc'!$A$2:$C$153, 1, FALSE)</f>
        <v>#N/A</v>
      </c>
      <c r="AE118" t="e">
        <f>VLOOKUP(Table1[[#This Row],[Product_Name]],'c174_calc'!$A$2:$C$153, 2, FALSE)</f>
        <v>#N/A</v>
      </c>
      <c r="AF118" t="e">
        <f>VLOOKUP(Table1[[#This Row],[Product_Name]],'c174_calc'!$A$2:$C$153, 3, FALSE)</f>
        <v>#N/A</v>
      </c>
      <c r="AG118" t="e">
        <f>Table1[[#This Row],[vma]]=Table1[[#This Row],[MA_Number]]</f>
        <v>#N/A</v>
      </c>
    </row>
    <row r="119" spans="1:33" x14ac:dyDescent="0.3">
      <c r="A119" t="s">
        <v>185</v>
      </c>
      <c r="B119" s="1">
        <v>7247776330</v>
      </c>
      <c r="C119" s="1"/>
      <c r="D119" t="s">
        <v>281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X119">
        <v>61</v>
      </c>
      <c r="Y119" t="s">
        <v>2376</v>
      </c>
      <c r="Z119" t="s">
        <v>2377</v>
      </c>
      <c r="AA119">
        <f>Table1[[#This Row],[qPer board]]*Table1[[#This Row],[boards]]</f>
        <v>15</v>
      </c>
      <c r="AB119">
        <v>1</v>
      </c>
      <c r="AC119">
        <v>15</v>
      </c>
      <c r="AD119" t="e">
        <f>VLOOKUP(Table1[[#This Row],[Product_Name]],'c174_calc'!$A$2:$C$153, 1, FALSE)</f>
        <v>#N/A</v>
      </c>
      <c r="AE119" t="e">
        <f>VLOOKUP(Table1[[#This Row],[Product_Name]],'c174_calc'!$A$2:$C$153, 2, FALSE)</f>
        <v>#N/A</v>
      </c>
      <c r="AF119" t="e">
        <f>VLOOKUP(Table1[[#This Row],[Product_Name]],'c174_calc'!$A$2:$C$153, 3, FALSE)</f>
        <v>#N/A</v>
      </c>
      <c r="AG119" t="e">
        <f>Table1[[#This Row],[vma]]=Table1[[#This Row],[MA_Number]]</f>
        <v>#N/A</v>
      </c>
    </row>
    <row r="120" spans="1:33" x14ac:dyDescent="0.3">
      <c r="A120" t="s">
        <v>186</v>
      </c>
      <c r="B120" s="1">
        <v>7247781230</v>
      </c>
      <c r="C120" s="1"/>
      <c r="D120" t="s">
        <v>281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X120">
        <v>61</v>
      </c>
      <c r="Y120" t="s">
        <v>2376</v>
      </c>
      <c r="Z120" t="s">
        <v>2377</v>
      </c>
      <c r="AA120">
        <f>Table1[[#This Row],[qPer board]]*Table1[[#This Row],[boards]]</f>
        <v>60</v>
      </c>
      <c r="AB120">
        <v>4</v>
      </c>
      <c r="AC120">
        <v>15</v>
      </c>
      <c r="AD120" t="e">
        <f>VLOOKUP(Table1[[#This Row],[Product_Name]],'c174_calc'!$A$2:$C$153, 1, FALSE)</f>
        <v>#N/A</v>
      </c>
      <c r="AE120" t="e">
        <f>VLOOKUP(Table1[[#This Row],[Product_Name]],'c174_calc'!$A$2:$C$153, 2, FALSE)</f>
        <v>#N/A</v>
      </c>
      <c r="AF120" t="e">
        <f>VLOOKUP(Table1[[#This Row],[Product_Name]],'c174_calc'!$A$2:$C$153, 3, FALSE)</f>
        <v>#N/A</v>
      </c>
      <c r="AG120" t="e">
        <f>Table1[[#This Row],[vma]]=Table1[[#This Row],[MA_Number]]</f>
        <v>#N/A</v>
      </c>
    </row>
    <row r="121" spans="1:33" x14ac:dyDescent="0.3">
      <c r="A121" t="s">
        <v>187</v>
      </c>
      <c r="B121" s="1">
        <v>7247781730</v>
      </c>
      <c r="C121" s="1"/>
      <c r="D121" t="s">
        <v>281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61</v>
      </c>
      <c r="Y121" t="s">
        <v>2376</v>
      </c>
      <c r="Z121" t="s">
        <v>2377</v>
      </c>
      <c r="AA121">
        <f>Table1[[#This Row],[qPer board]]*Table1[[#This Row],[boards]]</f>
        <v>45</v>
      </c>
      <c r="AB121">
        <v>3</v>
      </c>
      <c r="AC121">
        <v>15</v>
      </c>
      <c r="AD121" t="e">
        <f>VLOOKUP(Table1[[#This Row],[Product_Name]],'c174_calc'!$A$2:$C$153, 1, FALSE)</f>
        <v>#N/A</v>
      </c>
      <c r="AE121" t="e">
        <f>VLOOKUP(Table1[[#This Row],[Product_Name]],'c174_calc'!$A$2:$C$153, 2, FALSE)</f>
        <v>#N/A</v>
      </c>
      <c r="AF121" t="e">
        <f>VLOOKUP(Table1[[#This Row],[Product_Name]],'c174_calc'!$A$2:$C$153, 3, FALSE)</f>
        <v>#N/A</v>
      </c>
      <c r="AG121" t="e">
        <f>Table1[[#This Row],[vma]]=Table1[[#This Row],[MA_Number]]</f>
        <v>#N/A</v>
      </c>
    </row>
    <row r="122" spans="1:33" x14ac:dyDescent="0.3">
      <c r="A122" t="s">
        <v>188</v>
      </c>
      <c r="B122" s="1">
        <v>7247787730</v>
      </c>
      <c r="C122" s="1"/>
      <c r="D122" t="s">
        <v>281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X122">
        <v>61</v>
      </c>
      <c r="Y122" t="s">
        <v>2376</v>
      </c>
      <c r="Z122" t="s">
        <v>2377</v>
      </c>
      <c r="AA122">
        <f>Table1[[#This Row],[qPer board]]*Table1[[#This Row],[boards]]</f>
        <v>45</v>
      </c>
      <c r="AB122">
        <v>3</v>
      </c>
      <c r="AC122">
        <v>15</v>
      </c>
      <c r="AD122" t="e">
        <f>VLOOKUP(Table1[[#This Row],[Product_Name]],'c174_calc'!$A$2:$C$153, 1, FALSE)</f>
        <v>#N/A</v>
      </c>
      <c r="AE122" t="e">
        <f>VLOOKUP(Table1[[#This Row],[Product_Name]],'c174_calc'!$A$2:$C$153, 2, FALSE)</f>
        <v>#N/A</v>
      </c>
      <c r="AF122" t="e">
        <f>VLOOKUP(Table1[[#This Row],[Product_Name]],'c174_calc'!$A$2:$C$153, 3, FALSE)</f>
        <v>#N/A</v>
      </c>
      <c r="AG122" t="e">
        <f>Table1[[#This Row],[vma]]=Table1[[#This Row],[MA_Number]]</f>
        <v>#N/A</v>
      </c>
    </row>
    <row r="123" spans="1:33" x14ac:dyDescent="0.3">
      <c r="A123" t="s">
        <v>189</v>
      </c>
      <c r="B123" s="1">
        <v>72478572</v>
      </c>
      <c r="C123" s="1"/>
      <c r="D123" t="s">
        <v>281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X123">
        <v>61</v>
      </c>
      <c r="Y123" t="s">
        <v>2376</v>
      </c>
      <c r="Z123" t="s">
        <v>2377</v>
      </c>
      <c r="AA123">
        <f>Table1[[#This Row],[qPer board]]*Table1[[#This Row],[boards]]</f>
        <v>30</v>
      </c>
      <c r="AB123">
        <v>2</v>
      </c>
      <c r="AC123">
        <v>15</v>
      </c>
      <c r="AD123" t="e">
        <f>VLOOKUP(Table1[[#This Row],[Product_Name]],'c174_calc'!$A$2:$C$153, 1, FALSE)</f>
        <v>#N/A</v>
      </c>
      <c r="AE123" t="e">
        <f>VLOOKUP(Table1[[#This Row],[Product_Name]],'c174_calc'!$A$2:$C$153, 2, FALSE)</f>
        <v>#N/A</v>
      </c>
      <c r="AF123" t="e">
        <f>VLOOKUP(Table1[[#This Row],[Product_Name]],'c174_calc'!$A$2:$C$153, 3, FALSE)</f>
        <v>#N/A</v>
      </c>
      <c r="AG123" t="e">
        <f>Table1[[#This Row],[vma]]=Table1[[#This Row],[MA_Number]]</f>
        <v>#N/A</v>
      </c>
    </row>
    <row r="124" spans="1:33" x14ac:dyDescent="0.3">
      <c r="A124" t="s">
        <v>190</v>
      </c>
      <c r="B124" s="1">
        <v>7252726530</v>
      </c>
      <c r="C124" s="1"/>
      <c r="D124" t="s">
        <v>281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61</v>
      </c>
      <c r="Y124" t="s">
        <v>2376</v>
      </c>
      <c r="Z124" t="s">
        <v>2377</v>
      </c>
      <c r="AA124">
        <f>Table1[[#This Row],[qPer board]]*Table1[[#This Row],[boards]]</f>
        <v>15</v>
      </c>
      <c r="AB124">
        <v>1</v>
      </c>
      <c r="AC124">
        <v>15</v>
      </c>
      <c r="AD124" t="e">
        <f>VLOOKUP(Table1[[#This Row],[Product_Name]],'c174_calc'!$A$2:$C$153, 1, FALSE)</f>
        <v>#N/A</v>
      </c>
      <c r="AE124" t="e">
        <f>VLOOKUP(Table1[[#This Row],[Product_Name]],'c174_calc'!$A$2:$C$153, 2, FALSE)</f>
        <v>#N/A</v>
      </c>
      <c r="AF124" t="e">
        <f>VLOOKUP(Table1[[#This Row],[Product_Name]],'c174_calc'!$A$2:$C$153, 3, FALSE)</f>
        <v>#N/A</v>
      </c>
      <c r="AG124" t="e">
        <f>Table1[[#This Row],[vma]]=Table1[[#This Row],[MA_Number]]</f>
        <v>#N/A</v>
      </c>
    </row>
    <row r="125" spans="1:33" hidden="1" x14ac:dyDescent="0.3">
      <c r="A125" t="s">
        <v>295</v>
      </c>
      <c r="B125" s="1">
        <v>7252735930</v>
      </c>
      <c r="C125" s="1"/>
      <c r="D125" t="s">
        <v>281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AA125" t="e">
        <f>Table1[[#This Row],[qPer board]]*Table1[[#This Row],[boards]]</f>
        <v>#REF!</v>
      </c>
      <c r="AB125" t="e">
        <f>VLOOKUP(Table1[[#This Row],[MA_Number]],#REF!, 2,FALSE)</f>
        <v>#REF!</v>
      </c>
      <c r="AD125" t="e">
        <f>VLOOKUP(Table1[[#This Row],[Product_Name]],'c174_calc'!$A$2:$C$153, 1, FALSE)</f>
        <v>#N/A</v>
      </c>
      <c r="AE125" t="e">
        <f>VLOOKUP(Table1[[#This Row],[Product_Name]],'c174_calc'!$A$2:$C$153, 2, FALSE)</f>
        <v>#N/A</v>
      </c>
      <c r="AF125" t="e">
        <f>VLOOKUP(Table1[[#This Row],[Product_Name]],'c174_calc'!$A$2:$C$153, 3, FALSE)</f>
        <v>#N/A</v>
      </c>
      <c r="AG125" t="e">
        <f>Table1[[#This Row],[vma]]=Table1[[#This Row],[MA_Number]]</f>
        <v>#N/A</v>
      </c>
    </row>
    <row r="126" spans="1:33" x14ac:dyDescent="0.3">
      <c r="A126" t="s">
        <v>1349</v>
      </c>
      <c r="B126" s="1">
        <v>7252779130</v>
      </c>
      <c r="C126" s="1">
        <v>7252815130</v>
      </c>
      <c r="D126" t="s">
        <v>281</v>
      </c>
      <c r="E126" t="s">
        <v>271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61</v>
      </c>
      <c r="Y126" t="s">
        <v>2376</v>
      </c>
      <c r="Z126" t="s">
        <v>2377</v>
      </c>
      <c r="AA126">
        <f>Table1[[#This Row],[qPer board]]*Table1[[#This Row],[boards]]</f>
        <v>300</v>
      </c>
      <c r="AB126">
        <v>20</v>
      </c>
      <c r="AC126">
        <v>15</v>
      </c>
      <c r="AD126" t="e">
        <f>VLOOKUP(Table1[[#This Row],[Product_Name]],'c174_calc'!$A$2:$C$153, 1, FALSE)</f>
        <v>#N/A</v>
      </c>
      <c r="AE126" t="e">
        <f>VLOOKUP(Table1[[#This Row],[Product_Name]],'c174_calc'!$A$2:$C$153, 2, FALSE)</f>
        <v>#N/A</v>
      </c>
      <c r="AF126" t="e">
        <f>VLOOKUP(Table1[[#This Row],[Product_Name]],'c174_calc'!$A$2:$C$153, 3, FALSE)</f>
        <v>#N/A</v>
      </c>
      <c r="AG126" t="e">
        <f>Table1[[#This Row],[vma]]=Table1[[#This Row],[MA_Number]]</f>
        <v>#N/A</v>
      </c>
    </row>
    <row r="127" spans="1:33" x14ac:dyDescent="0.3">
      <c r="A127" t="s">
        <v>1331</v>
      </c>
      <c r="B127" s="1">
        <v>7252785330</v>
      </c>
      <c r="C127" s="1">
        <v>7247075530</v>
      </c>
      <c r="D127" t="s">
        <v>281</v>
      </c>
      <c r="E127" t="s">
        <v>272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61</v>
      </c>
      <c r="Y127" t="s">
        <v>2376</v>
      </c>
      <c r="Z127" t="s">
        <v>2377</v>
      </c>
      <c r="AA127">
        <f>Table1[[#This Row],[qPer board]]*Table1[[#This Row],[boards]]</f>
        <v>555</v>
      </c>
      <c r="AB127">
        <v>37</v>
      </c>
      <c r="AC127">
        <v>15</v>
      </c>
      <c r="AD127" t="e">
        <f>VLOOKUP(Table1[[#This Row],[Product_Name]],'c174_calc'!$A$2:$C$153, 1, FALSE)</f>
        <v>#N/A</v>
      </c>
      <c r="AE127" t="e">
        <f>VLOOKUP(Table1[[#This Row],[Product_Name]],'c174_calc'!$A$2:$C$153, 2, FALSE)</f>
        <v>#N/A</v>
      </c>
      <c r="AF127" t="e">
        <f>VLOOKUP(Table1[[#This Row],[Product_Name]],'c174_calc'!$A$2:$C$153, 3, FALSE)</f>
        <v>#N/A</v>
      </c>
      <c r="AG127" t="e">
        <f>Table1[[#This Row],[vma]]=Table1[[#This Row],[MA_Number]]</f>
        <v>#N/A</v>
      </c>
    </row>
    <row r="128" spans="1:33" hidden="1" x14ac:dyDescent="0.3">
      <c r="A128" t="s">
        <v>191</v>
      </c>
      <c r="B128" s="1">
        <v>7252815130</v>
      </c>
      <c r="C128" s="1">
        <v>7252779130</v>
      </c>
      <c r="D128" t="s">
        <v>281</v>
      </c>
      <c r="E128" t="s">
        <v>1304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AA128">
        <f>Table1[[#This Row],[qPer board]]*Table1[[#This Row],[boards]]</f>
        <v>0</v>
      </c>
      <c r="AB128">
        <v>12</v>
      </c>
      <c r="AD128" t="e">
        <f>VLOOKUP(Table1[[#This Row],[Product_Name]],'c174_calc'!$A$2:$C$153, 1, FALSE)</f>
        <v>#N/A</v>
      </c>
      <c r="AE128" t="e">
        <f>VLOOKUP(Table1[[#This Row],[Product_Name]],'c174_calc'!$A$2:$C$153, 2, FALSE)</f>
        <v>#N/A</v>
      </c>
      <c r="AF128" t="e">
        <f>VLOOKUP(Table1[[#This Row],[Product_Name]],'c174_calc'!$A$2:$C$153, 3, FALSE)</f>
        <v>#N/A</v>
      </c>
      <c r="AG128" t="e">
        <f>Table1[[#This Row],[vma]]=Table1[[#This Row],[MA_Number]]</f>
        <v>#N/A</v>
      </c>
    </row>
    <row r="129" spans="1:33" hidden="1" x14ac:dyDescent="0.3">
      <c r="A129" t="s">
        <v>193</v>
      </c>
      <c r="B129" s="1">
        <v>7252832130</v>
      </c>
      <c r="C129" s="1"/>
      <c r="D129" t="s">
        <v>281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AA129" t="e">
        <f>Table1[[#This Row],[qPer board]]*Table1[[#This Row],[boards]]</f>
        <v>#REF!</v>
      </c>
      <c r="AB129" t="e">
        <f>VLOOKUP(Table1[[#This Row],[MA_Number]],#REF!, 2,FALSE)</f>
        <v>#REF!</v>
      </c>
      <c r="AD129" t="e">
        <f>VLOOKUP(Table1[[#This Row],[Product_Name]],'c174_calc'!$A$2:$C$153, 1, FALSE)</f>
        <v>#N/A</v>
      </c>
      <c r="AE129" t="e">
        <f>VLOOKUP(Table1[[#This Row],[Product_Name]],'c174_calc'!$A$2:$C$153, 2, FALSE)</f>
        <v>#N/A</v>
      </c>
      <c r="AF129" t="e">
        <f>VLOOKUP(Table1[[#This Row],[Product_Name]],'c174_calc'!$A$2:$C$153, 3, FALSE)</f>
        <v>#N/A</v>
      </c>
      <c r="AG129" t="e">
        <f>Table1[[#This Row],[vma]]=Table1[[#This Row],[MA_Number]]</f>
        <v>#N/A</v>
      </c>
    </row>
    <row r="130" spans="1:33" hidden="1" x14ac:dyDescent="0.3">
      <c r="A130" t="s">
        <v>194</v>
      </c>
      <c r="B130" s="1">
        <v>7298331130</v>
      </c>
      <c r="C130" s="1"/>
      <c r="D130" t="s">
        <v>278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AA130">
        <f>Table1[[#This Row],[qPer board]]*Table1[[#This Row],[boards]]</f>
        <v>0</v>
      </c>
      <c r="AB130">
        <f>Table1[[#This Row],[vqty]]</f>
        <v>0</v>
      </c>
      <c r="AD130">
        <f>VLOOKUP(Table1[[#This Row],[Product_Name]],'c174_calc'!$A$2:$C$153, 1, FALSE)</f>
        <v>7298331130</v>
      </c>
      <c r="AE130" t="str">
        <f>VLOOKUP(Table1[[#This Row],[Product_Name]],'c174_calc'!$A$2:$C$153, 2, FALSE)</f>
        <v>10.21.83613A</v>
      </c>
      <c r="AF130">
        <f>VLOOKUP(Table1[[#This Row],[Product_Name]],'c174_calc'!$A$2:$C$153, 3, FALSE)</f>
        <v>0</v>
      </c>
      <c r="AG130" t="b">
        <f>Table1[[#This Row],[vma]]=Table1[[#This Row],[MA_Number]]</f>
        <v>1</v>
      </c>
    </row>
    <row r="131" spans="1:33" x14ac:dyDescent="0.3">
      <c r="A131" t="s">
        <v>195</v>
      </c>
      <c r="B131" s="1" t="s">
        <v>261</v>
      </c>
      <c r="C131" s="1"/>
      <c r="D131" t="s">
        <v>278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X131">
        <v>61</v>
      </c>
      <c r="Y131" t="s">
        <v>2376</v>
      </c>
      <c r="Z131" t="s">
        <v>2377</v>
      </c>
      <c r="AA131">
        <f>Table1[[#This Row],[qPer board]]*Table1[[#This Row],[boards]]</f>
        <v>30</v>
      </c>
      <c r="AB131">
        <v>2</v>
      </c>
      <c r="AC131">
        <v>15</v>
      </c>
      <c r="AD131" t="e">
        <f>VLOOKUP(Table1[[#This Row],[Product_Name]],'c174_calc'!$A$2:$C$153, 1, FALSE)</f>
        <v>#N/A</v>
      </c>
      <c r="AE131" t="e">
        <f>VLOOKUP(Table1[[#This Row],[Product_Name]],'c174_calc'!$A$2:$C$153, 2, FALSE)</f>
        <v>#N/A</v>
      </c>
      <c r="AF131" t="e">
        <f>VLOOKUP(Table1[[#This Row],[Product_Name]],'c174_calc'!$A$2:$C$153, 3, FALSE)</f>
        <v>#N/A</v>
      </c>
      <c r="AG131" t="e">
        <f>Table1[[#This Row],[vma]]=Table1[[#This Row],[MA_Number]]</f>
        <v>#N/A</v>
      </c>
    </row>
    <row r="132" spans="1:33" hidden="1" x14ac:dyDescent="0.3">
      <c r="A132" t="s">
        <v>196</v>
      </c>
      <c r="B132" s="1">
        <v>71196350</v>
      </c>
      <c r="C132" s="1"/>
      <c r="D132" t="s">
        <v>278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X132">
        <v>60</v>
      </c>
      <c r="Y132" t="s">
        <v>2376</v>
      </c>
      <c r="Z132" t="s">
        <v>2377</v>
      </c>
      <c r="AA132">
        <f>Table1[[#This Row],[qPer board]]*Table1[[#This Row],[boards]]</f>
        <v>30</v>
      </c>
      <c r="AB132">
        <f>Table1[[#This Row],[vqty]]</f>
        <v>2</v>
      </c>
      <c r="AC132">
        <v>15</v>
      </c>
      <c r="AD132">
        <f>VLOOKUP(Table1[[#This Row],[Product_Name]],'c174_calc'!$A$2:$C$153, 1, FALSE)</f>
        <v>71196350</v>
      </c>
      <c r="AE132" t="str">
        <f>VLOOKUP(Table1[[#This Row],[Product_Name]],'c174_calc'!$A$2:$C$153, 2, FALSE)</f>
        <v>10.21.77127C</v>
      </c>
      <c r="AF132">
        <f>VLOOKUP(Table1[[#This Row],[Product_Name]],'c174_calc'!$A$2:$C$153, 3, FALSE)</f>
        <v>2</v>
      </c>
      <c r="AG132" t="b">
        <f>Table1[[#This Row],[vma]]=Table1[[#This Row],[MA_Number]]</f>
        <v>1</v>
      </c>
    </row>
    <row r="133" spans="1:33" hidden="1" x14ac:dyDescent="0.3">
      <c r="A133" t="s">
        <v>1350</v>
      </c>
      <c r="B133" s="1" t="s">
        <v>263</v>
      </c>
      <c r="C133" s="1"/>
      <c r="D133" t="s">
        <v>278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AA133" t="e">
        <f>Table1[[#This Row],[qPer board]]*Table1[[#This Row],[boards]]</f>
        <v>#REF!</v>
      </c>
      <c r="AB133" t="e">
        <f>VLOOKUP(Table1[[#This Row],[MA_Number]],#REF!, 2,FALSE)</f>
        <v>#REF!</v>
      </c>
      <c r="AD133" t="e">
        <f>VLOOKUP(Table1[[#This Row],[Product_Name]],'c174_calc'!$A$2:$C$153, 1, FALSE)</f>
        <v>#N/A</v>
      </c>
      <c r="AE133" t="e">
        <f>VLOOKUP(Table1[[#This Row],[Product_Name]],'c174_calc'!$A$2:$C$153, 2, FALSE)</f>
        <v>#N/A</v>
      </c>
      <c r="AF133" t="e">
        <f>VLOOKUP(Table1[[#This Row],[Product_Name]],'c174_calc'!$A$2:$C$153, 3, FALSE)</f>
        <v>#N/A</v>
      </c>
      <c r="AG133" t="e">
        <f>Table1[[#This Row],[vma]]=Table1[[#This Row],[MA_Number]]</f>
        <v>#N/A</v>
      </c>
    </row>
    <row r="134" spans="1:33" hidden="1" x14ac:dyDescent="0.3">
      <c r="A134" t="s">
        <v>199</v>
      </c>
      <c r="B134" s="1">
        <v>72191763</v>
      </c>
      <c r="C134" s="1"/>
      <c r="D134" t="s">
        <v>278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AA134">
        <f>Table1[[#This Row],[qPer board]]*Table1[[#This Row],[boards]]</f>
        <v>0</v>
      </c>
      <c r="AB134">
        <f>Table1[[#This Row],[vqty]]</f>
        <v>0</v>
      </c>
      <c r="AD134">
        <f>VLOOKUP(Table1[[#This Row],[Product_Name]],'c174_calc'!$A$2:$C$153, 1, FALSE)</f>
        <v>72191763</v>
      </c>
      <c r="AE134" t="str">
        <f>VLOOKUP(Table1[[#This Row],[Product_Name]],'c174_calc'!$A$2:$C$153, 2, FALSE)</f>
        <v>10.21.77083A</v>
      </c>
      <c r="AF134">
        <f>VLOOKUP(Table1[[#This Row],[Product_Name]],'c174_calc'!$A$2:$C$153, 3, FALSE)</f>
        <v>0</v>
      </c>
      <c r="AG134" t="b">
        <f>Table1[[#This Row],[vma]]=Table1[[#This Row],[MA_Number]]</f>
        <v>1</v>
      </c>
    </row>
    <row r="135" spans="1:33" hidden="1" x14ac:dyDescent="0.3">
      <c r="A135" t="s">
        <v>200</v>
      </c>
      <c r="B135" s="1" t="s">
        <v>264</v>
      </c>
      <c r="C135" s="1"/>
      <c r="D135" t="s">
        <v>278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X135">
        <v>60</v>
      </c>
      <c r="Y135" t="s">
        <v>2376</v>
      </c>
      <c r="Z135" t="s">
        <v>2377</v>
      </c>
      <c r="AA135">
        <f>Table1[[#This Row],[qPer board]]*Table1[[#This Row],[boards]]</f>
        <v>15</v>
      </c>
      <c r="AB135">
        <f>Table1[[#This Row],[vqty]]</f>
        <v>1</v>
      </c>
      <c r="AC135">
        <v>15</v>
      </c>
      <c r="AD135" t="str">
        <f>VLOOKUP(Table1[[#This Row],[Product_Name]],'c174_calc'!$A$2:$C$153, 1, FALSE)</f>
        <v>7178412830+7198277430+72743637</v>
      </c>
      <c r="AE135" t="str">
        <f>VLOOKUP(Table1[[#This Row],[Product_Name]],'c174_calc'!$A$2:$C$153, 2, FALSE)</f>
        <v>10.21.83795A</v>
      </c>
      <c r="AF135">
        <f>VLOOKUP(Table1[[#This Row],[Product_Name]],'c174_calc'!$A$2:$C$153, 3, FALSE)</f>
        <v>1</v>
      </c>
      <c r="AG135" t="b">
        <f>Table1[[#This Row],[vma]]=Table1[[#This Row],[MA_Number]]</f>
        <v>1</v>
      </c>
    </row>
    <row r="136" spans="1:33" hidden="1" x14ac:dyDescent="0.3">
      <c r="A136" t="s">
        <v>197</v>
      </c>
      <c r="B136" s="1" t="s">
        <v>262</v>
      </c>
      <c r="C136" s="1"/>
      <c r="D136" t="s">
        <v>278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X136">
        <v>60</v>
      </c>
      <c r="Y136" t="s">
        <v>2376</v>
      </c>
      <c r="Z136" t="s">
        <v>2377</v>
      </c>
      <c r="AA136">
        <f>Table1[[#This Row],[qPer board]]*Table1[[#This Row],[boards]]</f>
        <v>15</v>
      </c>
      <c r="AB136">
        <f>Table1[[#This Row],[vqty]]</f>
        <v>1</v>
      </c>
      <c r="AC136">
        <v>15</v>
      </c>
      <c r="AD136" t="str">
        <f>VLOOKUP(Table1[[#This Row],[Product_Name]],'c174_calc'!$A$2:$C$153, 1, FALSE)</f>
        <v>7118673890+7173344320</v>
      </c>
      <c r="AE136" t="str">
        <f>VLOOKUP(Table1[[#This Row],[Product_Name]],'c174_calc'!$A$2:$C$153, 2, FALSE)</f>
        <v>10.21.77190A</v>
      </c>
      <c r="AF136">
        <f>VLOOKUP(Table1[[#This Row],[Product_Name]],'c174_calc'!$A$2:$C$153, 3, FALSE)</f>
        <v>1</v>
      </c>
      <c r="AG136" t="b">
        <f>Table1[[#This Row],[vma]]=Table1[[#This Row],[MA_Number]]</f>
        <v>1</v>
      </c>
    </row>
    <row r="137" spans="1:33" hidden="1" x14ac:dyDescent="0.3">
      <c r="A137" t="s">
        <v>1351</v>
      </c>
      <c r="B137" s="1" t="s">
        <v>265</v>
      </c>
      <c r="C137" s="1"/>
      <c r="D137" t="s">
        <v>278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AA137" t="e">
        <f>Table1[[#This Row],[qPer board]]*Table1[[#This Row],[boards]]</f>
        <v>#REF!</v>
      </c>
      <c r="AB137" t="e">
        <f>VLOOKUP(Table1[[#This Row],[MA_Number]],#REF!, 2,FALSE)</f>
        <v>#REF!</v>
      </c>
      <c r="AD137" t="e">
        <f>VLOOKUP(Table1[[#This Row],[Product_Name]],'c174_calc'!$A$2:$C$153, 1, FALSE)</f>
        <v>#N/A</v>
      </c>
      <c r="AE137" t="e">
        <f>VLOOKUP(Table1[[#This Row],[Product_Name]],'c174_calc'!$A$2:$C$153, 2, FALSE)</f>
        <v>#N/A</v>
      </c>
      <c r="AF137" t="e">
        <f>VLOOKUP(Table1[[#This Row],[Product_Name]],'c174_calc'!$A$2:$C$153, 3, FALSE)</f>
        <v>#N/A</v>
      </c>
      <c r="AG137" t="e">
        <f>Table1[[#This Row],[vma]]=Table1[[#This Row],[MA_Number]]</f>
        <v>#N/A</v>
      </c>
    </row>
    <row r="138" spans="1:33" hidden="1" x14ac:dyDescent="0.3">
      <c r="A138" t="s">
        <v>201</v>
      </c>
      <c r="B138" s="1">
        <v>71781227</v>
      </c>
      <c r="C138" s="1"/>
      <c r="D138" t="s">
        <v>278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AA138" t="e">
        <f>Table1[[#This Row],[qPer board]]*Table1[[#This Row],[boards]]</f>
        <v>#REF!</v>
      </c>
      <c r="AB138" t="e">
        <f>VLOOKUP(Table1[[#This Row],[MA_Number]],#REF!, 2,FALSE)</f>
        <v>#REF!</v>
      </c>
      <c r="AD138" t="e">
        <f>VLOOKUP(Table1[[#This Row],[Product_Name]],'c174_calc'!$A$2:$C$153, 1, FALSE)</f>
        <v>#N/A</v>
      </c>
      <c r="AE138" t="e">
        <f>VLOOKUP(Table1[[#This Row],[Product_Name]],'c174_calc'!$A$2:$C$153, 2, FALSE)</f>
        <v>#N/A</v>
      </c>
      <c r="AF138" t="e">
        <f>VLOOKUP(Table1[[#This Row],[Product_Name]],'c174_calc'!$A$2:$C$153, 3, FALSE)</f>
        <v>#N/A</v>
      </c>
      <c r="AG138" t="e">
        <f>Table1[[#This Row],[vma]]=Table1[[#This Row],[MA_Number]]</f>
        <v>#N/A</v>
      </c>
    </row>
    <row r="139" spans="1:33" x14ac:dyDescent="0.3">
      <c r="A139" t="s">
        <v>202</v>
      </c>
      <c r="B139" s="1">
        <v>71799512</v>
      </c>
      <c r="C139" s="1"/>
      <c r="D139" t="s">
        <v>278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X139">
        <v>61</v>
      </c>
      <c r="Y139" t="s">
        <v>2376</v>
      </c>
      <c r="Z139" t="s">
        <v>2377</v>
      </c>
      <c r="AA139">
        <f>Table1[[#This Row],[qPer board]]*Table1[[#This Row],[boards]]</f>
        <v>15</v>
      </c>
      <c r="AB139">
        <v>1</v>
      </c>
      <c r="AC139">
        <v>15</v>
      </c>
      <c r="AD139">
        <f>VLOOKUP(Table1[[#This Row],[Product_Name]],'c174_calc'!$A$2:$C$153, 1, FALSE)</f>
        <v>71799512</v>
      </c>
      <c r="AE139" t="str">
        <f>VLOOKUP(Table1[[#This Row],[Product_Name]],'c174_calc'!$A$2:$C$153, 2, FALSE)</f>
        <v>10.21.80734A</v>
      </c>
      <c r="AF139">
        <f>VLOOKUP(Table1[[#This Row],[Product_Name]],'c174_calc'!$A$2:$C$153, 3, FALSE)</f>
        <v>1</v>
      </c>
      <c r="AG139" t="b">
        <f>Table1[[#This Row],[vma]]=Table1[[#This Row],[MA_Number]]</f>
        <v>1</v>
      </c>
    </row>
    <row r="140" spans="1:33" hidden="1" x14ac:dyDescent="0.3">
      <c r="A140" t="s">
        <v>203</v>
      </c>
      <c r="B140" s="1">
        <v>7183753630</v>
      </c>
      <c r="C140" s="1"/>
      <c r="D140" t="s">
        <v>278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AA140" t="e">
        <f>Table1[[#This Row],[qPer board]]*Table1[[#This Row],[boards]]</f>
        <v>#REF!</v>
      </c>
      <c r="AB140" t="e">
        <f>VLOOKUP(Table1[[#This Row],[MA_Number]],#REF!, 2,FALSE)</f>
        <v>#REF!</v>
      </c>
      <c r="AD140" t="e">
        <f>VLOOKUP(Table1[[#This Row],[Product_Name]],'c174_calc'!$A$2:$C$153, 1, FALSE)</f>
        <v>#N/A</v>
      </c>
      <c r="AE140" t="e">
        <f>VLOOKUP(Table1[[#This Row],[Product_Name]],'c174_calc'!$A$2:$C$153, 2, FALSE)</f>
        <v>#N/A</v>
      </c>
      <c r="AF140" t="e">
        <f>VLOOKUP(Table1[[#This Row],[Product_Name]],'c174_calc'!$A$2:$C$153, 3, FALSE)</f>
        <v>#N/A</v>
      </c>
      <c r="AG140" t="e">
        <f>Table1[[#This Row],[vma]]=Table1[[#This Row],[MA_Number]]</f>
        <v>#N/A</v>
      </c>
    </row>
    <row r="141" spans="1:33" hidden="1" x14ac:dyDescent="0.3">
      <c r="A141" t="s">
        <v>204</v>
      </c>
      <c r="B141" s="1">
        <v>72186417</v>
      </c>
      <c r="C141" s="1"/>
      <c r="D141" t="s">
        <v>278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X141">
        <v>60</v>
      </c>
      <c r="Y141" t="s">
        <v>2376</v>
      </c>
      <c r="Z141" t="s">
        <v>2377</v>
      </c>
      <c r="AA141">
        <f>Table1[[#This Row],[qPer board]]*Table1[[#This Row],[boards]]</f>
        <v>15</v>
      </c>
      <c r="AB141">
        <f>Table1[[#This Row],[vqty]]</f>
        <v>1</v>
      </c>
      <c r="AC141">
        <v>15</v>
      </c>
      <c r="AD141">
        <f>VLOOKUP(Table1[[#This Row],[Product_Name]],'c174_calc'!$A$2:$C$153, 1, FALSE)</f>
        <v>72186417</v>
      </c>
      <c r="AE141" t="str">
        <f>VLOOKUP(Table1[[#This Row],[Product_Name]],'c174_calc'!$A$2:$C$153, 2, FALSE)</f>
        <v>10.21.79594A</v>
      </c>
      <c r="AF141">
        <f>VLOOKUP(Table1[[#This Row],[Product_Name]],'c174_calc'!$A$2:$C$153, 3, FALSE)</f>
        <v>1</v>
      </c>
      <c r="AG141" t="b">
        <f>Table1[[#This Row],[vma]]=Table1[[#This Row],[MA_Number]]</f>
        <v>1</v>
      </c>
    </row>
    <row r="142" spans="1:33" hidden="1" x14ac:dyDescent="0.3">
      <c r="A142" t="s">
        <v>205</v>
      </c>
      <c r="B142" s="1" t="s">
        <v>1216</v>
      </c>
      <c r="C142" s="1"/>
      <c r="D142" t="s">
        <v>278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X142">
        <v>60</v>
      </c>
      <c r="Y142" t="s">
        <v>2376</v>
      </c>
      <c r="Z142" t="s">
        <v>2377</v>
      </c>
      <c r="AA142">
        <f>Table1[[#This Row],[qPer board]]*Table1[[#This Row],[boards]]</f>
        <v>15</v>
      </c>
      <c r="AB142">
        <f>Table1[[#This Row],[vqty]]</f>
        <v>1</v>
      </c>
      <c r="AC142">
        <v>15</v>
      </c>
      <c r="AD142" t="str">
        <f>VLOOKUP(Table1[[#This Row],[Product_Name]],'c174_calc'!$A$2:$C$153, 1, FALSE)</f>
        <v>7189482930+72741357</v>
      </c>
      <c r="AE142" t="str">
        <f>VLOOKUP(Table1[[#This Row],[Product_Name]],'c174_calc'!$A$2:$C$153, 2, FALSE)</f>
        <v>10.21.79595A</v>
      </c>
      <c r="AF142">
        <f>VLOOKUP(Table1[[#This Row],[Product_Name]],'c174_calc'!$A$2:$C$153, 3, FALSE)</f>
        <v>1</v>
      </c>
      <c r="AG142" t="b">
        <f>Table1[[#This Row],[vma]]=Table1[[#This Row],[MA_Number]]</f>
        <v>1</v>
      </c>
    </row>
    <row r="143" spans="1:33" hidden="1" x14ac:dyDescent="0.3">
      <c r="A143" t="s">
        <v>206</v>
      </c>
      <c r="B143" s="1">
        <v>7271262590</v>
      </c>
      <c r="C143" s="1"/>
      <c r="D143" t="s">
        <v>278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AA143" t="e">
        <f>Table1[[#This Row],[qPer board]]*Table1[[#This Row],[boards]]</f>
        <v>#REF!</v>
      </c>
      <c r="AB143" t="e">
        <f>VLOOKUP(Table1[[#This Row],[MA_Number]],#REF!, 2,FALSE)</f>
        <v>#REF!</v>
      </c>
      <c r="AD143" t="e">
        <f>VLOOKUP(Table1[[#This Row],[Product_Name]],'c174_calc'!$A$2:$C$153, 1, FALSE)</f>
        <v>#N/A</v>
      </c>
      <c r="AE143" t="e">
        <f>VLOOKUP(Table1[[#This Row],[Product_Name]],'c174_calc'!$A$2:$C$153, 2, FALSE)</f>
        <v>#N/A</v>
      </c>
      <c r="AF143" t="e">
        <f>VLOOKUP(Table1[[#This Row],[Product_Name]],'c174_calc'!$A$2:$C$153, 3, FALSE)</f>
        <v>#N/A</v>
      </c>
      <c r="AG143" t="e">
        <f>Table1[[#This Row],[vma]]=Table1[[#This Row],[MA_Number]]</f>
        <v>#N/A</v>
      </c>
    </row>
    <row r="144" spans="1:33" hidden="1" x14ac:dyDescent="0.3">
      <c r="A144" t="s">
        <v>288</v>
      </c>
      <c r="B144" s="1" t="s">
        <v>598</v>
      </c>
      <c r="C144" s="1"/>
      <c r="D144" t="s">
        <v>278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60</v>
      </c>
      <c r="Y144" t="s">
        <v>2376</v>
      </c>
      <c r="Z144" t="s">
        <v>2377</v>
      </c>
      <c r="AA144">
        <f>Table1[[#This Row],[qPer board]]*Table1[[#This Row],[boards]]</f>
        <v>30</v>
      </c>
      <c r="AB144">
        <f>Table1[[#This Row],[vqty]]</f>
        <v>2</v>
      </c>
      <c r="AC144">
        <v>15</v>
      </c>
      <c r="AD144" t="str">
        <f>VLOOKUP(Table1[[#This Row],[Product_Name]],'c174_calc'!$A$2:$C$153, 1, FALSE)</f>
        <v>ASSY_59Z063DC0A</v>
      </c>
      <c r="AE144" t="str">
        <f>VLOOKUP(Table1[[#This Row],[Product_Name]],'c174_calc'!$A$2:$C$153, 2, FALSE)</f>
        <v>10.21.36176A</v>
      </c>
      <c r="AF144">
        <f>VLOOKUP(Table1[[#This Row],[Product_Name]],'c174_calc'!$A$2:$C$153, 3, FALSE)</f>
        <v>2</v>
      </c>
      <c r="AG144" t="b">
        <f>Table1[[#This Row],[vma]]=Table1[[#This Row],[MA_Number]]</f>
        <v>1</v>
      </c>
    </row>
    <row r="145" spans="1:33" hidden="1" x14ac:dyDescent="0.3">
      <c r="A145" t="s">
        <v>207</v>
      </c>
      <c r="B145" s="1" t="s">
        <v>266</v>
      </c>
      <c r="C145" s="1"/>
      <c r="D145" t="s">
        <v>278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AA145" t="e">
        <f>Table1[[#This Row],[qPer board]]*Table1[[#This Row],[boards]]</f>
        <v>#REF!</v>
      </c>
      <c r="AB145" t="e">
        <f>VLOOKUP(Table1[[#This Row],[MA_Number]],#REF!, 2,FALSE)</f>
        <v>#REF!</v>
      </c>
      <c r="AD145" t="e">
        <f>VLOOKUP(Table1[[#This Row],[Product_Name]],'c174_calc'!$A$2:$C$153, 1, FALSE)</f>
        <v>#N/A</v>
      </c>
      <c r="AE145" t="e">
        <f>VLOOKUP(Table1[[#This Row],[Product_Name]],'c174_calc'!$A$2:$C$153, 2, FALSE)</f>
        <v>#N/A</v>
      </c>
      <c r="AF145" t="e">
        <f>VLOOKUP(Table1[[#This Row],[Product_Name]],'c174_calc'!$A$2:$C$153, 3, FALSE)</f>
        <v>#N/A</v>
      </c>
      <c r="AG145" t="e">
        <f>Table1[[#This Row],[vma]]=Table1[[#This Row],[MA_Number]]</f>
        <v>#N/A</v>
      </c>
    </row>
    <row r="146" spans="1:33" hidden="1" x14ac:dyDescent="0.3">
      <c r="A146" t="s">
        <v>208</v>
      </c>
      <c r="B146" s="1">
        <v>7119141030</v>
      </c>
      <c r="C146" s="1"/>
      <c r="D146" t="s">
        <v>278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AA146" t="e">
        <f>Table1[[#This Row],[qPer board]]*Table1[[#This Row],[boards]]</f>
        <v>#REF!</v>
      </c>
      <c r="AB146" t="e">
        <f>VLOOKUP(Table1[[#This Row],[MA_Number]],#REF!, 2,FALSE)</f>
        <v>#REF!</v>
      </c>
      <c r="AD146" t="e">
        <f>VLOOKUP(Table1[[#This Row],[Product_Name]],'c174_calc'!$A$2:$C$153, 1, FALSE)</f>
        <v>#N/A</v>
      </c>
      <c r="AE146" t="e">
        <f>VLOOKUP(Table1[[#This Row],[Product_Name]],'c174_calc'!$A$2:$C$153, 2, FALSE)</f>
        <v>#N/A</v>
      </c>
      <c r="AF146" t="e">
        <f>VLOOKUP(Table1[[#This Row],[Product_Name]],'c174_calc'!$A$2:$C$153, 3, FALSE)</f>
        <v>#N/A</v>
      </c>
      <c r="AG146" t="e">
        <f>Table1[[#This Row],[vma]]=Table1[[#This Row],[MA_Number]]</f>
        <v>#N/A</v>
      </c>
    </row>
    <row r="147" spans="1:33" hidden="1" x14ac:dyDescent="0.3">
      <c r="A147" t="s">
        <v>209</v>
      </c>
      <c r="B147" s="1" t="s">
        <v>267</v>
      </c>
      <c r="C147" s="1"/>
      <c r="D147" t="s">
        <v>278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X147">
        <v>60</v>
      </c>
      <c r="Y147" t="s">
        <v>2376</v>
      </c>
      <c r="Z147" t="s">
        <v>2377</v>
      </c>
      <c r="AA147">
        <f>Table1[[#This Row],[qPer board]]*Table1[[#This Row],[boards]]</f>
        <v>15</v>
      </c>
      <c r="AB147">
        <f>Table1[[#This Row],[vqty]]</f>
        <v>1</v>
      </c>
      <c r="AC147">
        <v>15</v>
      </c>
      <c r="AD147" t="str">
        <f>VLOOKUP(Table1[[#This Row],[Product_Name]],'c174_calc'!$A$2:$C$153, 1, FALSE)</f>
        <v>7198810230+72742686A</v>
      </c>
      <c r="AE147" t="str">
        <f>VLOOKUP(Table1[[#This Row],[Product_Name]],'c174_calc'!$A$2:$C$153, 2, FALSE)</f>
        <v>10.21.80774C</v>
      </c>
      <c r="AF147">
        <f>VLOOKUP(Table1[[#This Row],[Product_Name]],'c174_calc'!$A$2:$C$153, 3, FALSE)</f>
        <v>1</v>
      </c>
      <c r="AG147" t="b">
        <f>Table1[[#This Row],[vma]]=Table1[[#This Row],[MA_Number]]</f>
        <v>1</v>
      </c>
    </row>
    <row r="148" spans="1:33" hidden="1" x14ac:dyDescent="0.3">
      <c r="A148" t="s">
        <v>210</v>
      </c>
      <c r="B148" s="1" t="s">
        <v>824</v>
      </c>
      <c r="C148" s="1"/>
      <c r="D148" t="s">
        <v>278</v>
      </c>
      <c r="E148" t="s">
        <v>2074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AA148">
        <f>Table1[[#This Row],[qPer board]]*Table1[[#This Row],[boards]]</f>
        <v>0</v>
      </c>
      <c r="AB148">
        <v>2</v>
      </c>
      <c r="AD148" t="e">
        <f>VLOOKUP(Table1[[#This Row],[Product_Name]],'c174_calc'!$A$2:$C$153, 1, FALSE)</f>
        <v>#N/A</v>
      </c>
      <c r="AE148" t="e">
        <f>VLOOKUP(Table1[[#This Row],[Product_Name]],'c174_calc'!$A$2:$C$153, 2, FALSE)</f>
        <v>#N/A</v>
      </c>
      <c r="AF148" t="e">
        <f>VLOOKUP(Table1[[#This Row],[Product_Name]],'c174_calc'!$A$2:$C$153, 3, FALSE)</f>
        <v>#N/A</v>
      </c>
      <c r="AG148" t="e">
        <f>Table1[[#This Row],[vma]]=Table1[[#This Row],[MA_Number]]</f>
        <v>#N/A</v>
      </c>
    </row>
    <row r="149" spans="1:33" hidden="1" x14ac:dyDescent="0.3">
      <c r="A149" t="s">
        <v>275</v>
      </c>
      <c r="B149" s="2">
        <v>7075226830</v>
      </c>
      <c r="C149" s="2" t="s">
        <v>791</v>
      </c>
      <c r="D149" t="s">
        <v>278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X149">
        <v>60</v>
      </c>
      <c r="Y149" t="s">
        <v>2376</v>
      </c>
      <c r="Z149" t="s">
        <v>2377</v>
      </c>
      <c r="AA149">
        <f>Table1[[#This Row],[qPer board]]*Table1[[#This Row],[boards]]</f>
        <v>15</v>
      </c>
      <c r="AB149">
        <f>Table1[[#This Row],[vqty]]</f>
        <v>1</v>
      </c>
      <c r="AC149">
        <v>15</v>
      </c>
      <c r="AD149">
        <f>VLOOKUP(Table1[[#This Row],[Product_Name]],'c174_calc'!$A$2:$C$153, 1, FALSE)</f>
        <v>7075226830</v>
      </c>
      <c r="AE149" t="str">
        <f>VLOOKUP(Table1[[#This Row],[Product_Name]],'c174_calc'!$A$2:$C$153, 2, FALSE)</f>
        <v>10.21.72967B</v>
      </c>
      <c r="AF149">
        <f>VLOOKUP(Table1[[#This Row],[Product_Name]],'c174_calc'!$A$2:$C$153, 3, FALSE)</f>
        <v>1</v>
      </c>
      <c r="AG149" t="b">
        <f>Table1[[#This Row],[vma]]=Table1[[#This Row],[MA_Number]]</f>
        <v>1</v>
      </c>
    </row>
    <row r="150" spans="1:33" hidden="1" x14ac:dyDescent="0.3">
      <c r="A150" t="s">
        <v>198</v>
      </c>
      <c r="B150" s="2" t="s">
        <v>283</v>
      </c>
      <c r="C150" s="2"/>
      <c r="D150" t="s">
        <v>278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AA150">
        <f>Table1[[#This Row],[qPer board]]*Table1[[#This Row],[boards]]</f>
        <v>0</v>
      </c>
      <c r="AB150">
        <f>Table1[[#This Row],[vqty]]</f>
        <v>0</v>
      </c>
      <c r="AD150" t="str">
        <f>VLOOKUP(Table1[[#This Row],[Product_Name]],'c174_calc'!$A$2:$C$153, 1, FALSE)</f>
        <v>X1PO2003A</v>
      </c>
      <c r="AE150" t="str">
        <f>VLOOKUP(Table1[[#This Row],[Product_Name]],'c174_calc'!$A$2:$C$153, 2, FALSE)</f>
        <v>10.21.77132A</v>
      </c>
      <c r="AF150">
        <f>VLOOKUP(Table1[[#This Row],[Product_Name]],'c174_calc'!$A$2:$C$153, 3, FALSE)</f>
        <v>0</v>
      </c>
      <c r="AG150" t="b">
        <f>Table1[[#This Row],[vma]]=Table1[[#This Row],[MA_Number]]</f>
        <v>1</v>
      </c>
    </row>
    <row r="151" spans="1:33" hidden="1" x14ac:dyDescent="0.3">
      <c r="A151" t="s">
        <v>296</v>
      </c>
      <c r="B151" s="1" t="s">
        <v>291</v>
      </c>
      <c r="C151" s="1"/>
      <c r="D151" t="s">
        <v>278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X151">
        <v>60</v>
      </c>
      <c r="Y151" t="s">
        <v>2376</v>
      </c>
      <c r="Z151" t="s">
        <v>2377</v>
      </c>
      <c r="AA151">
        <f>Table1[[#This Row],[qPer board]]*Table1[[#This Row],[boards]]</f>
        <v>15</v>
      </c>
      <c r="AB151">
        <f>Table1[[#This Row],[vqty]]</f>
        <v>1</v>
      </c>
      <c r="AC151">
        <v>15</v>
      </c>
      <c r="AD151" t="str">
        <f>VLOOKUP(Table1[[#This Row],[Product_Name]],'c174_calc'!$A$2:$C$153, 1, FALSE)</f>
        <v>ASSY_59Z006T00C</v>
      </c>
      <c r="AE151" t="str">
        <f>VLOOKUP(Table1[[#This Row],[Product_Name]],'c174_calc'!$A$2:$C$153, 2, FALSE)</f>
        <v>10.21.77067A</v>
      </c>
      <c r="AF151">
        <f>VLOOKUP(Table1[[#This Row],[Product_Name]],'c174_calc'!$A$2:$C$153, 3, FALSE)</f>
        <v>1</v>
      </c>
      <c r="AG151" t="b">
        <f>Table1[[#This Row],[vma]]=Table1[[#This Row],[MA_Number]]</f>
        <v>1</v>
      </c>
    </row>
    <row r="152" spans="1:33" hidden="1" x14ac:dyDescent="0.3">
      <c r="A152" t="s">
        <v>299</v>
      </c>
      <c r="B152" s="1" t="s">
        <v>298</v>
      </c>
      <c r="C152" s="1" t="s">
        <v>873</v>
      </c>
      <c r="D152" t="s">
        <v>278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AA152">
        <f>Table1[[#This Row],[qPer board]]*Table1[[#This Row],[boards]]</f>
        <v>0</v>
      </c>
      <c r="AB152">
        <f>Table1[[#This Row],[vqty]]</f>
        <v>3</v>
      </c>
      <c r="AD152" t="str">
        <f>VLOOKUP(Table1[[#This Row],[Product_Name]],'c174_calc'!$A$2:$C$153, 1, FALSE)</f>
        <v>ASSY_PPI0001107</v>
      </c>
      <c r="AE152" t="str">
        <f>VLOOKUP(Table1[[#This Row],[Product_Name]],'c174_calc'!$A$2:$C$153, 2, FALSE)</f>
        <v>10.21.96554A</v>
      </c>
      <c r="AF152">
        <f>VLOOKUP(Table1[[#This Row],[Product_Name]],'c174_calc'!$A$2:$C$153, 3, FALSE)</f>
        <v>3</v>
      </c>
      <c r="AG152" t="b">
        <f>Table1[[#This Row],[vma]]=Table1[[#This Row],[MA_Number]]</f>
        <v>0</v>
      </c>
    </row>
    <row r="153" spans="1:33" hidden="1" x14ac:dyDescent="0.3">
      <c r="A153" t="s">
        <v>276</v>
      </c>
      <c r="B153" s="2" t="s">
        <v>284</v>
      </c>
      <c r="C153" s="2"/>
      <c r="D153" t="s">
        <v>278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X153">
        <v>60</v>
      </c>
      <c r="Y153" t="s">
        <v>2376</v>
      </c>
      <c r="Z153" t="s">
        <v>2377</v>
      </c>
      <c r="AA153">
        <f>Table1[[#This Row],[qPer board]]*Table1[[#This Row],[boards]]</f>
        <v>15</v>
      </c>
      <c r="AB153">
        <f>Table1[[#This Row],[vqty]]</f>
        <v>1</v>
      </c>
      <c r="AC153">
        <v>15</v>
      </c>
      <c r="AD153" t="str">
        <f>VLOOKUP(Table1[[#This Row],[Product_Name]],'c174_calc'!$A$2:$C$153, 1, FALSE)</f>
        <v>7198913290+7189662430</v>
      </c>
      <c r="AE153" t="str">
        <f>VLOOKUP(Table1[[#This Row],[Product_Name]],'c174_calc'!$A$2:$C$153, 2, FALSE)</f>
        <v>10.21.73052A</v>
      </c>
      <c r="AF153">
        <f>VLOOKUP(Table1[[#This Row],[Product_Name]],'c174_calc'!$A$2:$C$153, 3, FALSE)</f>
        <v>1</v>
      </c>
      <c r="AG153" t="b">
        <f>Table1[[#This Row],[vma]]=Table1[[#This Row],[MA_Number]]</f>
        <v>1</v>
      </c>
    </row>
    <row r="154" spans="1:33" hidden="1" x14ac:dyDescent="0.3">
      <c r="A154" t="s">
        <v>292</v>
      </c>
      <c r="B154" s="1" t="s">
        <v>285</v>
      </c>
      <c r="C154" s="1"/>
      <c r="D154" t="s">
        <v>278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X154">
        <v>60</v>
      </c>
      <c r="Y154" t="s">
        <v>2376</v>
      </c>
      <c r="Z154" t="s">
        <v>2377</v>
      </c>
      <c r="AA154">
        <f>Table1[[#This Row],[qPer board]]*Table1[[#This Row],[boards]]</f>
        <v>15</v>
      </c>
      <c r="AB154">
        <f>Table1[[#This Row],[vqty]]</f>
        <v>1</v>
      </c>
      <c r="AC154">
        <v>15</v>
      </c>
      <c r="AD154" t="str">
        <f>VLOOKUP(Table1[[#This Row],[Product_Name]],'c174_calc'!$A$2:$C$153, 1, FALSE)</f>
        <v>7198279630+7274154030</v>
      </c>
      <c r="AE154" t="str">
        <f>VLOOKUP(Table1[[#This Row],[Product_Name]],'c174_calc'!$A$2:$C$153, 2, FALSE)</f>
        <v>10.21.83587A</v>
      </c>
      <c r="AF154">
        <f>VLOOKUP(Table1[[#This Row],[Product_Name]],'c174_calc'!$A$2:$C$153, 3, FALSE)</f>
        <v>1</v>
      </c>
      <c r="AG154" t="b">
        <f>Table1[[#This Row],[vma]]=Table1[[#This Row],[MA_Number]]</f>
        <v>1</v>
      </c>
    </row>
    <row r="155" spans="1:33" x14ac:dyDescent="0.3">
      <c r="A155" t="s">
        <v>297</v>
      </c>
      <c r="B155" s="1">
        <v>7047275330</v>
      </c>
      <c r="C155" s="1"/>
      <c r="D155" t="s">
        <v>281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X155">
        <v>61</v>
      </c>
      <c r="Y155" t="s">
        <v>2376</v>
      </c>
      <c r="Z155" t="s">
        <v>2377</v>
      </c>
      <c r="AA155">
        <f>Table1[[#This Row],[qPer board]]*Table1[[#This Row],[boards]]</f>
        <v>15</v>
      </c>
      <c r="AB155">
        <v>1</v>
      </c>
      <c r="AC155">
        <v>15</v>
      </c>
      <c r="AD155" t="e">
        <f>VLOOKUP(Table1[[#This Row],[Product_Name]],'c174_calc'!$A$2:$C$153, 1, FALSE)</f>
        <v>#N/A</v>
      </c>
      <c r="AE155" t="e">
        <f>VLOOKUP(Table1[[#This Row],[Product_Name]],'c174_calc'!$A$2:$C$153, 2, FALSE)</f>
        <v>#N/A</v>
      </c>
      <c r="AF155" t="e">
        <f>VLOOKUP(Table1[[#This Row],[Product_Name]],'c174_calc'!$A$2:$C$153, 3, FALSE)</f>
        <v>#N/A</v>
      </c>
      <c r="AG155" t="e">
        <f>Table1[[#This Row],[vma]]=Table1[[#This Row],[MA_Number]]</f>
        <v>#N/A</v>
      </c>
    </row>
    <row r="156" spans="1:33" hidden="1" x14ac:dyDescent="0.3">
      <c r="A156" t="s">
        <v>277</v>
      </c>
      <c r="B156" s="1" t="s">
        <v>286</v>
      </c>
      <c r="C156" s="1"/>
      <c r="D156" t="s">
        <v>278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X156">
        <v>60</v>
      </c>
      <c r="Y156" t="s">
        <v>2376</v>
      </c>
      <c r="Z156" t="s">
        <v>2377</v>
      </c>
      <c r="AA156">
        <f>Table1[[#This Row],[qPer board]]*Table1[[#This Row],[boards]]</f>
        <v>15</v>
      </c>
      <c r="AB156">
        <f>Table1[[#This Row],[vqty]]</f>
        <v>1</v>
      </c>
      <c r="AC156">
        <v>15</v>
      </c>
      <c r="AD156" t="str">
        <f>VLOOKUP(Table1[[#This Row],[Product_Name]],'c174_calc'!$A$2:$C$153, 1, FALSE)</f>
        <v>7119162130+7274025390</v>
      </c>
      <c r="AE156" t="str">
        <f>VLOOKUP(Table1[[#This Row],[Product_Name]],'c174_calc'!$A$2:$C$153, 2, FALSE)</f>
        <v>10.21.73082A</v>
      </c>
      <c r="AF156">
        <f>VLOOKUP(Table1[[#This Row],[Product_Name]],'c174_calc'!$A$2:$C$153, 3, FALSE)</f>
        <v>1</v>
      </c>
      <c r="AG156" t="b">
        <f>Table1[[#This Row],[vma]]=Table1[[#This Row],[MA_Number]]</f>
        <v>1</v>
      </c>
    </row>
    <row r="157" spans="1:33" hidden="1" x14ac:dyDescent="0.3">
      <c r="A157" t="s">
        <v>126</v>
      </c>
      <c r="B157" s="1">
        <v>7271007230</v>
      </c>
      <c r="C157" s="1" t="s">
        <v>636</v>
      </c>
      <c r="D157" t="s">
        <v>278</v>
      </c>
      <c r="F157" t="b">
        <v>1</v>
      </c>
      <c r="I157">
        <v>1</v>
      </c>
      <c r="X157">
        <v>60</v>
      </c>
      <c r="Y157" t="s">
        <v>2376</v>
      </c>
      <c r="Z157" t="s">
        <v>2377</v>
      </c>
      <c r="AA157">
        <f>Table1[[#This Row],[qPer board]]*Table1[[#This Row],[boards]]</f>
        <v>15</v>
      </c>
      <c r="AB157">
        <f>Table1[[#This Row],[vqty]]</f>
        <v>1</v>
      </c>
      <c r="AC157">
        <v>15</v>
      </c>
      <c r="AD157">
        <f>VLOOKUP(Table1[[#This Row],[Product_Name]],'c174_calc'!$A$2:$C$153, 1, FALSE)</f>
        <v>7271007230</v>
      </c>
      <c r="AE157" t="str">
        <f>VLOOKUP(Table1[[#This Row],[Product_Name]],'c174_calc'!$A$2:$C$153, 2, FALSE)</f>
        <v>10.21.77162A</v>
      </c>
      <c r="AF157">
        <f>VLOOKUP(Table1[[#This Row],[Product_Name]],'c174_calc'!$A$2:$C$153, 3, FALSE)</f>
        <v>1</v>
      </c>
      <c r="AG157" t="b">
        <f>Table1[[#This Row],[vma]]=Table1[[#This Row],[MA_Number]]</f>
        <v>1</v>
      </c>
    </row>
    <row r="158" spans="1:33" hidden="1" x14ac:dyDescent="0.3">
      <c r="B158" s="1">
        <v>7271007230</v>
      </c>
      <c r="C158" s="1"/>
      <c r="G158" t="s">
        <v>126</v>
      </c>
      <c r="H158" t="s">
        <v>416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AA158">
        <f>Table1[[#This Row],[qPer board]]*Table1[[#This Row],[boards]]</f>
        <v>0</v>
      </c>
      <c r="AB158">
        <f>Table1[[#This Row],[vqty]]</f>
        <v>1</v>
      </c>
      <c r="AD158">
        <f>VLOOKUP(Table1[[#This Row],[Product_Name]],'c174_calc'!$A$2:$C$153, 1, FALSE)</f>
        <v>7271007230</v>
      </c>
      <c r="AE158" t="str">
        <f>VLOOKUP(Table1[[#This Row],[Product_Name]],'c174_calc'!$A$2:$C$153, 2, FALSE)</f>
        <v>10.21.77162A</v>
      </c>
      <c r="AF158">
        <f>VLOOKUP(Table1[[#This Row],[Product_Name]],'c174_calc'!$A$2:$C$153, 3, FALSE)</f>
        <v>1</v>
      </c>
      <c r="AG158" t="b">
        <f>Table1[[#This Row],[vma]]=Table1[[#This Row],[MA_Number]]</f>
        <v>0</v>
      </c>
    </row>
    <row r="159" spans="1:33" hidden="1" x14ac:dyDescent="0.3">
      <c r="B159" s="1">
        <v>7271007230</v>
      </c>
      <c r="C159" s="1"/>
      <c r="G159" t="s">
        <v>126</v>
      </c>
      <c r="H159" t="s">
        <v>417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AA159">
        <f>Table1[[#This Row],[qPer board]]*Table1[[#This Row],[boards]]</f>
        <v>0</v>
      </c>
      <c r="AB159">
        <f>Table1[[#This Row],[vqty]]</f>
        <v>1</v>
      </c>
      <c r="AD159">
        <f>VLOOKUP(Table1[[#This Row],[Product_Name]],'c174_calc'!$A$2:$C$153, 1, FALSE)</f>
        <v>7271007230</v>
      </c>
      <c r="AE159" t="str">
        <f>VLOOKUP(Table1[[#This Row],[Product_Name]],'c174_calc'!$A$2:$C$153, 2, FALSE)</f>
        <v>10.21.77162A</v>
      </c>
      <c r="AF159">
        <f>VLOOKUP(Table1[[#This Row],[Product_Name]],'c174_calc'!$A$2:$C$153, 3, FALSE)</f>
        <v>1</v>
      </c>
      <c r="AG159" t="b">
        <f>Table1[[#This Row],[vma]]=Table1[[#This Row],[MA_Number]]</f>
        <v>0</v>
      </c>
    </row>
    <row r="160" spans="1:33" hidden="1" x14ac:dyDescent="0.3">
      <c r="B160" s="1">
        <v>7271007230</v>
      </c>
      <c r="C160" s="1"/>
      <c r="G160" t="s">
        <v>126</v>
      </c>
      <c r="H160" t="s">
        <v>418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AA160">
        <f>Table1[[#This Row],[qPer board]]*Table1[[#This Row],[boards]]</f>
        <v>0</v>
      </c>
      <c r="AB160">
        <f>Table1[[#This Row],[vqty]]</f>
        <v>1</v>
      </c>
      <c r="AD160">
        <f>VLOOKUP(Table1[[#This Row],[Product_Name]],'c174_calc'!$A$2:$C$153, 1, FALSE)</f>
        <v>7271007230</v>
      </c>
      <c r="AE160" t="str">
        <f>VLOOKUP(Table1[[#This Row],[Product_Name]],'c174_calc'!$A$2:$C$153, 2, FALSE)</f>
        <v>10.21.77162A</v>
      </c>
      <c r="AF160">
        <f>VLOOKUP(Table1[[#This Row],[Product_Name]],'c174_calc'!$A$2:$C$153, 3, FALSE)</f>
        <v>1</v>
      </c>
      <c r="AG160" t="b">
        <f>Table1[[#This Row],[vma]]=Table1[[#This Row],[MA_Number]]</f>
        <v>0</v>
      </c>
    </row>
    <row r="161" spans="1:33" hidden="1" x14ac:dyDescent="0.3">
      <c r="B161" s="1">
        <v>7271007230</v>
      </c>
      <c r="C161" s="1"/>
      <c r="G161" t="s">
        <v>126</v>
      </c>
      <c r="H161" t="s">
        <v>419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AA161">
        <f>Table1[[#This Row],[qPer board]]*Table1[[#This Row],[boards]]</f>
        <v>0</v>
      </c>
      <c r="AB161">
        <f>Table1[[#This Row],[vqty]]</f>
        <v>1</v>
      </c>
      <c r="AD161">
        <f>VLOOKUP(Table1[[#This Row],[Product_Name]],'c174_calc'!$A$2:$C$153, 1, FALSE)</f>
        <v>7271007230</v>
      </c>
      <c r="AE161" t="str">
        <f>VLOOKUP(Table1[[#This Row],[Product_Name]],'c174_calc'!$A$2:$C$153, 2, FALSE)</f>
        <v>10.21.77162A</v>
      </c>
      <c r="AF161">
        <f>VLOOKUP(Table1[[#This Row],[Product_Name]],'c174_calc'!$A$2:$C$153, 3, FALSE)</f>
        <v>1</v>
      </c>
      <c r="AG161" t="b">
        <f>Table1[[#This Row],[vma]]=Table1[[#This Row],[MA_Number]]</f>
        <v>0</v>
      </c>
    </row>
    <row r="162" spans="1:33" hidden="1" x14ac:dyDescent="0.3">
      <c r="B162" s="1">
        <v>7271007230</v>
      </c>
      <c r="C162" s="1"/>
      <c r="G162" t="s">
        <v>126</v>
      </c>
      <c r="H162" t="s">
        <v>420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AA162">
        <f>Table1[[#This Row],[qPer board]]*Table1[[#This Row],[boards]]</f>
        <v>0</v>
      </c>
      <c r="AB162">
        <f>Table1[[#This Row],[vqty]]</f>
        <v>1</v>
      </c>
      <c r="AD162">
        <f>VLOOKUP(Table1[[#This Row],[Product_Name]],'c174_calc'!$A$2:$C$153, 1, FALSE)</f>
        <v>7271007230</v>
      </c>
      <c r="AE162" t="str">
        <f>VLOOKUP(Table1[[#This Row],[Product_Name]],'c174_calc'!$A$2:$C$153, 2, FALSE)</f>
        <v>10.21.77162A</v>
      </c>
      <c r="AF162">
        <f>VLOOKUP(Table1[[#This Row],[Product_Name]],'c174_calc'!$A$2:$C$153, 3, FALSE)</f>
        <v>1</v>
      </c>
      <c r="AG162" t="b">
        <f>Table1[[#This Row],[vma]]=Table1[[#This Row],[MA_Number]]</f>
        <v>0</v>
      </c>
    </row>
    <row r="163" spans="1:33" hidden="1" x14ac:dyDescent="0.3">
      <c r="A163" t="s">
        <v>294</v>
      </c>
      <c r="B163" s="1" t="s">
        <v>557</v>
      </c>
      <c r="C163" s="1"/>
      <c r="D163" t="s">
        <v>278</v>
      </c>
      <c r="F163" t="b">
        <v>1</v>
      </c>
      <c r="I163">
        <v>1</v>
      </c>
      <c r="X163">
        <v>60</v>
      </c>
      <c r="Y163" t="s">
        <v>2376</v>
      </c>
      <c r="Z163" t="s">
        <v>2377</v>
      </c>
      <c r="AA163">
        <f>Table1[[#This Row],[qPer board]]*Table1[[#This Row],[boards]]</f>
        <v>15</v>
      </c>
      <c r="AB163">
        <f>Table1[[#This Row],[vqty]]</f>
        <v>1</v>
      </c>
      <c r="AC163">
        <v>15</v>
      </c>
      <c r="AD163" t="str">
        <f>VLOOKUP(Table1[[#This Row],[Product_Name]],'c174_calc'!$A$2:$C$153, 1, FALSE)</f>
        <v>7198762530+7198600430+72743034</v>
      </c>
      <c r="AE163" t="str">
        <f>VLOOKUP(Table1[[#This Row],[Product_Name]],'c174_calc'!$A$2:$C$153, 2, FALSE)</f>
        <v>10.21.76946A</v>
      </c>
      <c r="AF163">
        <f>VLOOKUP(Table1[[#This Row],[Product_Name]],'c174_calc'!$A$2:$C$153, 3, FALSE)</f>
        <v>1</v>
      </c>
      <c r="AG163" t="b">
        <f>Table1[[#This Row],[vma]]=Table1[[#This Row],[MA_Number]]</f>
        <v>1</v>
      </c>
    </row>
    <row r="164" spans="1:33" hidden="1" x14ac:dyDescent="0.3">
      <c r="B164" s="1" t="s">
        <v>557</v>
      </c>
      <c r="C164" s="1"/>
      <c r="G164" t="s">
        <v>294</v>
      </c>
      <c r="H164" t="s">
        <v>741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AA164">
        <f>Table1[[#This Row],[qPer board]]*Table1[[#This Row],[boards]]</f>
        <v>0</v>
      </c>
      <c r="AB164">
        <f>Table1[[#This Row],[vqty]]</f>
        <v>1</v>
      </c>
      <c r="AD164" t="str">
        <f>VLOOKUP(Table1[[#This Row],[Product_Name]],'c174_calc'!$A$2:$C$153, 1, FALSE)</f>
        <v>7198762530+7198600430+72743034</v>
      </c>
      <c r="AE164" t="str">
        <f>VLOOKUP(Table1[[#This Row],[Product_Name]],'c174_calc'!$A$2:$C$153, 2, FALSE)</f>
        <v>10.21.76946A</v>
      </c>
      <c r="AF164">
        <f>VLOOKUP(Table1[[#This Row],[Product_Name]],'c174_calc'!$A$2:$C$153, 3, FALSE)</f>
        <v>1</v>
      </c>
      <c r="AG164" t="b">
        <f>Table1[[#This Row],[vma]]=Table1[[#This Row],[MA_Number]]</f>
        <v>0</v>
      </c>
    </row>
    <row r="165" spans="1:33" hidden="1" x14ac:dyDescent="0.3">
      <c r="B165" s="1" t="s">
        <v>557</v>
      </c>
      <c r="C165" s="1"/>
      <c r="G165" t="s">
        <v>294</v>
      </c>
      <c r="H165" t="s">
        <v>742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AA165">
        <f>Table1[[#This Row],[qPer board]]*Table1[[#This Row],[boards]]</f>
        <v>0</v>
      </c>
      <c r="AB165">
        <f>Table1[[#This Row],[vqty]]</f>
        <v>1</v>
      </c>
      <c r="AD165" t="str">
        <f>VLOOKUP(Table1[[#This Row],[Product_Name]],'c174_calc'!$A$2:$C$153, 1, FALSE)</f>
        <v>7198762530+7198600430+72743034</v>
      </c>
      <c r="AE165" t="str">
        <f>VLOOKUP(Table1[[#This Row],[Product_Name]],'c174_calc'!$A$2:$C$153, 2, FALSE)</f>
        <v>10.21.76946A</v>
      </c>
      <c r="AF165">
        <f>VLOOKUP(Table1[[#This Row],[Product_Name]],'c174_calc'!$A$2:$C$153, 3, FALSE)</f>
        <v>1</v>
      </c>
      <c r="AG165" t="b">
        <f>Table1[[#This Row],[vma]]=Table1[[#This Row],[MA_Number]]</f>
        <v>0</v>
      </c>
    </row>
    <row r="166" spans="1:33" hidden="1" x14ac:dyDescent="0.3">
      <c r="B166" s="1" t="s">
        <v>557</v>
      </c>
      <c r="C166" s="1"/>
      <c r="G166" t="s">
        <v>294</v>
      </c>
      <c r="H166" t="s">
        <v>743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AA166">
        <f>Table1[[#This Row],[qPer board]]*Table1[[#This Row],[boards]]</f>
        <v>0</v>
      </c>
      <c r="AB166">
        <f>Table1[[#This Row],[vqty]]</f>
        <v>1</v>
      </c>
      <c r="AD166" t="str">
        <f>VLOOKUP(Table1[[#This Row],[Product_Name]],'c174_calc'!$A$2:$C$153, 1, FALSE)</f>
        <v>7198762530+7198600430+72743034</v>
      </c>
      <c r="AE166" t="str">
        <f>VLOOKUP(Table1[[#This Row],[Product_Name]],'c174_calc'!$A$2:$C$153, 2, FALSE)</f>
        <v>10.21.76946A</v>
      </c>
      <c r="AF166">
        <f>VLOOKUP(Table1[[#This Row],[Product_Name]],'c174_calc'!$A$2:$C$153, 3, FALSE)</f>
        <v>1</v>
      </c>
      <c r="AG166" t="b">
        <f>Table1[[#This Row],[vma]]=Table1[[#This Row],[MA_Number]]</f>
        <v>0</v>
      </c>
    </row>
    <row r="167" spans="1:33" hidden="1" x14ac:dyDescent="0.3">
      <c r="A167" t="s">
        <v>754</v>
      </c>
      <c r="B167" s="1">
        <v>7003293002</v>
      </c>
      <c r="C167" s="1"/>
      <c r="D167" t="s">
        <v>278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AA167" t="e">
        <f>Table1[[#This Row],[qPer board]]*Table1[[#This Row],[boards]]</f>
        <v>#REF!</v>
      </c>
      <c r="AB167" t="e">
        <f>VLOOKUP(Table1[[#This Row],[MA_Number]],#REF!, 2,FALSE)</f>
        <v>#REF!</v>
      </c>
      <c r="AD167" t="e">
        <f>VLOOKUP(Table1[[#This Row],[Product_Name]],'c174_calc'!$A$2:$C$153, 1, FALSE)</f>
        <v>#N/A</v>
      </c>
      <c r="AE167" t="e">
        <f>VLOOKUP(Table1[[#This Row],[Product_Name]],'c174_calc'!$A$2:$C$153, 2, FALSE)</f>
        <v>#N/A</v>
      </c>
      <c r="AF167" t="e">
        <f>VLOOKUP(Table1[[#This Row],[Product_Name]],'c174_calc'!$A$2:$C$153, 3, FALSE)</f>
        <v>#N/A</v>
      </c>
      <c r="AG167" t="e">
        <f>Table1[[#This Row],[vma]]=Table1[[#This Row],[MA_Number]]</f>
        <v>#N/A</v>
      </c>
    </row>
    <row r="168" spans="1:33" hidden="1" x14ac:dyDescent="0.3">
      <c r="A168" t="s">
        <v>755</v>
      </c>
      <c r="B168" s="1">
        <v>7003789102</v>
      </c>
      <c r="C168" s="1"/>
      <c r="D168" t="s">
        <v>278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AA168">
        <f>Table1[[#This Row],[qPer board]]*Table1[[#This Row],[boards]]</f>
        <v>0</v>
      </c>
      <c r="AB168">
        <v>1</v>
      </c>
      <c r="AD168" t="e">
        <f>VLOOKUP(Table1[[#This Row],[Product_Name]],'c174_calc'!$A$2:$C$153, 1, FALSE)</f>
        <v>#N/A</v>
      </c>
      <c r="AE168" t="e">
        <f>VLOOKUP(Table1[[#This Row],[Product_Name]],'c174_calc'!$A$2:$C$153, 2, FALSE)</f>
        <v>#N/A</v>
      </c>
      <c r="AF168" t="e">
        <f>VLOOKUP(Table1[[#This Row],[Product_Name]],'c174_calc'!$A$2:$C$153, 3, FALSE)</f>
        <v>#N/A</v>
      </c>
      <c r="AG168" t="e">
        <f>Table1[[#This Row],[vma]]=Table1[[#This Row],[MA_Number]]</f>
        <v>#N/A</v>
      </c>
    </row>
    <row r="169" spans="1:33" hidden="1" x14ac:dyDescent="0.3">
      <c r="A169" t="s">
        <v>756</v>
      </c>
      <c r="B169" s="1">
        <v>7003803702</v>
      </c>
      <c r="C169" s="1"/>
      <c r="D169" t="s">
        <v>278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AA169">
        <f>Table1[[#This Row],[qPer board]]*Table1[[#This Row],[boards]]</f>
        <v>0</v>
      </c>
      <c r="AB169">
        <v>1</v>
      </c>
      <c r="AD169" t="e">
        <f>VLOOKUP(Table1[[#This Row],[Product_Name]],'c174_calc'!$A$2:$C$153, 1, FALSE)</f>
        <v>#N/A</v>
      </c>
      <c r="AE169" t="e">
        <f>VLOOKUP(Table1[[#This Row],[Product_Name]],'c174_calc'!$A$2:$C$153, 2, FALSE)</f>
        <v>#N/A</v>
      </c>
      <c r="AF169" t="e">
        <f>VLOOKUP(Table1[[#This Row],[Product_Name]],'c174_calc'!$A$2:$C$153, 3, FALSE)</f>
        <v>#N/A</v>
      </c>
      <c r="AG169" t="e">
        <f>Table1[[#This Row],[vma]]=Table1[[#This Row],[MA_Number]]</f>
        <v>#N/A</v>
      </c>
    </row>
    <row r="170" spans="1:33" hidden="1" x14ac:dyDescent="0.3">
      <c r="A170" t="s">
        <v>757</v>
      </c>
      <c r="B170" s="1">
        <v>7003827402</v>
      </c>
      <c r="C170" s="1"/>
      <c r="D170" t="s">
        <v>278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AA170" t="e">
        <f>Table1[[#This Row],[qPer board]]*Table1[[#This Row],[boards]]</f>
        <v>#REF!</v>
      </c>
      <c r="AB170" t="e">
        <f>VLOOKUP(Table1[[#This Row],[MA_Number]],#REF!, 2,FALSE)</f>
        <v>#REF!</v>
      </c>
      <c r="AD170" t="e">
        <f>VLOOKUP(Table1[[#This Row],[Product_Name]],'c174_calc'!$A$2:$C$153, 1, FALSE)</f>
        <v>#N/A</v>
      </c>
      <c r="AE170" t="e">
        <f>VLOOKUP(Table1[[#This Row],[Product_Name]],'c174_calc'!$A$2:$C$153, 2, FALSE)</f>
        <v>#N/A</v>
      </c>
      <c r="AF170" t="e">
        <f>VLOOKUP(Table1[[#This Row],[Product_Name]],'c174_calc'!$A$2:$C$153, 3, FALSE)</f>
        <v>#N/A</v>
      </c>
      <c r="AG170" t="e">
        <f>Table1[[#This Row],[vma]]=Table1[[#This Row],[MA_Number]]</f>
        <v>#N/A</v>
      </c>
    </row>
    <row r="171" spans="1:33" hidden="1" x14ac:dyDescent="0.3">
      <c r="A171" t="s">
        <v>758</v>
      </c>
      <c r="B171" s="1">
        <v>7009630402</v>
      </c>
      <c r="C171" s="1"/>
      <c r="D171" t="s">
        <v>278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AA171" t="e">
        <f>Table1[[#This Row],[qPer board]]*Table1[[#This Row],[boards]]</f>
        <v>#REF!</v>
      </c>
      <c r="AB171" t="e">
        <f>VLOOKUP(Table1[[#This Row],[MA_Number]],#REF!, 2,FALSE)</f>
        <v>#REF!</v>
      </c>
      <c r="AD171" t="e">
        <f>VLOOKUP(Table1[[#This Row],[Product_Name]],'c174_calc'!$A$2:$C$153, 1, FALSE)</f>
        <v>#N/A</v>
      </c>
      <c r="AE171" t="e">
        <f>VLOOKUP(Table1[[#This Row],[Product_Name]],'c174_calc'!$A$2:$C$153, 2, FALSE)</f>
        <v>#N/A</v>
      </c>
      <c r="AF171" t="e">
        <f>VLOOKUP(Table1[[#This Row],[Product_Name]],'c174_calc'!$A$2:$C$153, 3, FALSE)</f>
        <v>#N/A</v>
      </c>
      <c r="AG171" t="e">
        <f>Table1[[#This Row],[vma]]=Table1[[#This Row],[MA_Number]]</f>
        <v>#N/A</v>
      </c>
    </row>
    <row r="172" spans="1:33" hidden="1" x14ac:dyDescent="0.3">
      <c r="A172" t="s">
        <v>759</v>
      </c>
      <c r="B172" s="1">
        <v>7009639402</v>
      </c>
      <c r="C172" s="1"/>
      <c r="D172" t="s">
        <v>278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AA172" t="e">
        <f>Table1[[#This Row],[qPer board]]*Table1[[#This Row],[boards]]</f>
        <v>#REF!</v>
      </c>
      <c r="AB172" t="e">
        <f>VLOOKUP(Table1[[#This Row],[MA_Number]],#REF!, 2,FALSE)</f>
        <v>#REF!</v>
      </c>
      <c r="AD172" t="e">
        <f>VLOOKUP(Table1[[#This Row],[Product_Name]],'c174_calc'!$A$2:$C$153, 1, FALSE)</f>
        <v>#N/A</v>
      </c>
      <c r="AE172" t="e">
        <f>VLOOKUP(Table1[[#This Row],[Product_Name]],'c174_calc'!$A$2:$C$153, 2, FALSE)</f>
        <v>#N/A</v>
      </c>
      <c r="AF172" t="e">
        <f>VLOOKUP(Table1[[#This Row],[Product_Name]],'c174_calc'!$A$2:$C$153, 3, FALSE)</f>
        <v>#N/A</v>
      </c>
      <c r="AG172" t="e">
        <f>Table1[[#This Row],[vma]]=Table1[[#This Row],[MA_Number]]</f>
        <v>#N/A</v>
      </c>
    </row>
    <row r="173" spans="1:33" hidden="1" x14ac:dyDescent="0.3">
      <c r="A173" t="s">
        <v>760</v>
      </c>
      <c r="B173" s="1">
        <v>7009741202</v>
      </c>
      <c r="C173" s="1"/>
      <c r="D173" t="s">
        <v>278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AA173" t="e">
        <f>Table1[[#This Row],[qPer board]]*Table1[[#This Row],[boards]]</f>
        <v>#REF!</v>
      </c>
      <c r="AB173" t="e">
        <f>VLOOKUP(Table1[[#This Row],[MA_Number]],#REF!, 2,FALSE)</f>
        <v>#REF!</v>
      </c>
      <c r="AD173" t="e">
        <f>VLOOKUP(Table1[[#This Row],[Product_Name]],'c174_calc'!$A$2:$C$153, 1, FALSE)</f>
        <v>#N/A</v>
      </c>
      <c r="AE173" t="e">
        <f>VLOOKUP(Table1[[#This Row],[Product_Name]],'c174_calc'!$A$2:$C$153, 2, FALSE)</f>
        <v>#N/A</v>
      </c>
      <c r="AF173" t="e">
        <f>VLOOKUP(Table1[[#This Row],[Product_Name]],'c174_calc'!$A$2:$C$153, 3, FALSE)</f>
        <v>#N/A</v>
      </c>
      <c r="AG173" t="e">
        <f>Table1[[#This Row],[vma]]=Table1[[#This Row],[MA_Number]]</f>
        <v>#N/A</v>
      </c>
    </row>
    <row r="174" spans="1:33" hidden="1" x14ac:dyDescent="0.3">
      <c r="A174" t="s">
        <v>761</v>
      </c>
      <c r="B174" s="1">
        <v>7009741502</v>
      </c>
      <c r="C174" s="1"/>
      <c r="D174" t="s">
        <v>278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AA174">
        <f>Table1[[#This Row],[qPer board]]*Table1[[#This Row],[boards]]</f>
        <v>0</v>
      </c>
      <c r="AB174">
        <v>2</v>
      </c>
      <c r="AD174" t="e">
        <f>VLOOKUP(Table1[[#This Row],[Product_Name]],'c174_calc'!$A$2:$C$153, 1, FALSE)</f>
        <v>#N/A</v>
      </c>
      <c r="AE174" t="e">
        <f>VLOOKUP(Table1[[#This Row],[Product_Name]],'c174_calc'!$A$2:$C$153, 2, FALSE)</f>
        <v>#N/A</v>
      </c>
      <c r="AF174" t="e">
        <f>VLOOKUP(Table1[[#This Row],[Product_Name]],'c174_calc'!$A$2:$C$153, 3, FALSE)</f>
        <v>#N/A</v>
      </c>
      <c r="AG174" t="e">
        <f>Table1[[#This Row],[vma]]=Table1[[#This Row],[MA_Number]]</f>
        <v>#N/A</v>
      </c>
    </row>
    <row r="175" spans="1:33" hidden="1" x14ac:dyDescent="0.3">
      <c r="A175" t="s">
        <v>762</v>
      </c>
      <c r="B175" s="1">
        <v>7009741602</v>
      </c>
      <c r="C175" s="1"/>
      <c r="D175" t="s">
        <v>278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AA175" t="e">
        <f>Table1[[#This Row],[qPer board]]*Table1[[#This Row],[boards]]</f>
        <v>#REF!</v>
      </c>
      <c r="AB175" t="e">
        <f>VLOOKUP(Table1[[#This Row],[MA_Number]],#REF!, 2,FALSE)</f>
        <v>#REF!</v>
      </c>
      <c r="AD175" t="e">
        <f>VLOOKUP(Table1[[#This Row],[Product_Name]],'c174_calc'!$A$2:$C$153, 1, FALSE)</f>
        <v>#N/A</v>
      </c>
      <c r="AE175" t="e">
        <f>VLOOKUP(Table1[[#This Row],[Product_Name]],'c174_calc'!$A$2:$C$153, 2, FALSE)</f>
        <v>#N/A</v>
      </c>
      <c r="AF175" t="e">
        <f>VLOOKUP(Table1[[#This Row],[Product_Name]],'c174_calc'!$A$2:$C$153, 3, FALSE)</f>
        <v>#N/A</v>
      </c>
      <c r="AG175" t="e">
        <f>Table1[[#This Row],[vma]]=Table1[[#This Row],[MA_Number]]</f>
        <v>#N/A</v>
      </c>
    </row>
    <row r="176" spans="1:33" hidden="1" x14ac:dyDescent="0.3">
      <c r="A176" t="s">
        <v>763</v>
      </c>
      <c r="B176" s="1">
        <v>7003803502</v>
      </c>
      <c r="C176" s="1"/>
      <c r="D176" t="s">
        <v>278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AA176">
        <f>Table1[[#This Row],[qPer board]]*Table1[[#This Row],[boards]]</f>
        <v>0</v>
      </c>
      <c r="AB176">
        <v>1</v>
      </c>
      <c r="AD176" t="e">
        <f>VLOOKUP(Table1[[#This Row],[Product_Name]],'c174_calc'!$A$2:$C$153, 1, FALSE)</f>
        <v>#N/A</v>
      </c>
      <c r="AE176" t="e">
        <f>VLOOKUP(Table1[[#This Row],[Product_Name]],'c174_calc'!$A$2:$C$153, 2, FALSE)</f>
        <v>#N/A</v>
      </c>
      <c r="AF176" t="e">
        <f>VLOOKUP(Table1[[#This Row],[Product_Name]],'c174_calc'!$A$2:$C$153, 3, FALSE)</f>
        <v>#N/A</v>
      </c>
      <c r="AG176" t="e">
        <f>Table1[[#This Row],[vma]]=Table1[[#This Row],[MA_Number]]</f>
        <v>#N/A</v>
      </c>
    </row>
    <row r="177" spans="1:33" hidden="1" x14ac:dyDescent="0.3">
      <c r="A177" t="s">
        <v>764</v>
      </c>
      <c r="B177" s="1">
        <v>7219182630</v>
      </c>
      <c r="C177" s="1"/>
      <c r="D177" t="s">
        <v>278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AA177" t="e">
        <f>Table1[[#This Row],[qPer board]]*Table1[[#This Row],[boards]]</f>
        <v>#REF!</v>
      </c>
      <c r="AB177" t="e">
        <f>VLOOKUP(Table1[[#This Row],[MA_Number]],#REF!, 2,FALSE)</f>
        <v>#REF!</v>
      </c>
      <c r="AD177" t="e">
        <f>VLOOKUP(Table1[[#This Row],[Product_Name]],'c174_calc'!$A$2:$C$153, 1, FALSE)</f>
        <v>#N/A</v>
      </c>
      <c r="AE177" t="e">
        <f>VLOOKUP(Table1[[#This Row],[Product_Name]],'c174_calc'!$A$2:$C$153, 2, FALSE)</f>
        <v>#N/A</v>
      </c>
      <c r="AF177" t="e">
        <f>VLOOKUP(Table1[[#This Row],[Product_Name]],'c174_calc'!$A$2:$C$153, 3, FALSE)</f>
        <v>#N/A</v>
      </c>
      <c r="AG177" t="e">
        <f>Table1[[#This Row],[vma]]=Table1[[#This Row],[MA_Number]]</f>
        <v>#N/A</v>
      </c>
    </row>
    <row r="178" spans="1:33" hidden="1" x14ac:dyDescent="0.3">
      <c r="A178" t="s">
        <v>765</v>
      </c>
      <c r="B178" s="1">
        <v>7219622130</v>
      </c>
      <c r="C178" s="1"/>
      <c r="D178" t="s">
        <v>278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AA178" t="e">
        <f>Table1[[#This Row],[qPer board]]*Table1[[#This Row],[boards]]</f>
        <v>#REF!</v>
      </c>
      <c r="AB178" t="e">
        <f>VLOOKUP(Table1[[#This Row],[MA_Number]],#REF!, 2,FALSE)</f>
        <v>#REF!</v>
      </c>
      <c r="AD178" t="e">
        <f>VLOOKUP(Table1[[#This Row],[Product_Name]],'c174_calc'!$A$2:$C$153, 1, FALSE)</f>
        <v>#N/A</v>
      </c>
      <c r="AE178" t="e">
        <f>VLOOKUP(Table1[[#This Row],[Product_Name]],'c174_calc'!$A$2:$C$153, 2, FALSE)</f>
        <v>#N/A</v>
      </c>
      <c r="AF178" t="e">
        <f>VLOOKUP(Table1[[#This Row],[Product_Name]],'c174_calc'!$A$2:$C$153, 3, FALSE)</f>
        <v>#N/A</v>
      </c>
      <c r="AG178" t="e">
        <f>Table1[[#This Row],[vma]]=Table1[[#This Row],[MA_Number]]</f>
        <v>#N/A</v>
      </c>
    </row>
    <row r="179" spans="1:33" hidden="1" x14ac:dyDescent="0.3">
      <c r="A179" t="s">
        <v>766</v>
      </c>
      <c r="B179" s="1">
        <v>7219632030</v>
      </c>
      <c r="C179" s="1"/>
      <c r="D179" t="s">
        <v>278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AA179" t="e">
        <f>Table1[[#This Row],[qPer board]]*Table1[[#This Row],[boards]]</f>
        <v>#REF!</v>
      </c>
      <c r="AB179" t="e">
        <f>VLOOKUP(Table1[[#This Row],[MA_Number]],#REF!, 2,FALSE)</f>
        <v>#REF!</v>
      </c>
      <c r="AD179" t="e">
        <f>VLOOKUP(Table1[[#This Row],[Product_Name]],'c174_calc'!$A$2:$C$153, 1, FALSE)</f>
        <v>#N/A</v>
      </c>
      <c r="AE179" t="e">
        <f>VLOOKUP(Table1[[#This Row],[Product_Name]],'c174_calc'!$A$2:$C$153, 2, FALSE)</f>
        <v>#N/A</v>
      </c>
      <c r="AF179" t="e">
        <f>VLOOKUP(Table1[[#This Row],[Product_Name]],'c174_calc'!$A$2:$C$153, 3, FALSE)</f>
        <v>#N/A</v>
      </c>
      <c r="AG179" t="e">
        <f>Table1[[#This Row],[vma]]=Table1[[#This Row],[MA_Number]]</f>
        <v>#N/A</v>
      </c>
    </row>
    <row r="180" spans="1:33" hidden="1" x14ac:dyDescent="0.3">
      <c r="A180" t="s">
        <v>788</v>
      </c>
      <c r="B180" s="1">
        <v>7219632230</v>
      </c>
      <c r="C180" s="1"/>
      <c r="D180" t="s">
        <v>278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AA180" t="e">
        <f>Table1[[#This Row],[qPer board]]*Table1[[#This Row],[boards]]</f>
        <v>#REF!</v>
      </c>
      <c r="AB180" t="e">
        <f>VLOOKUP(Table1[[#This Row],[MA_Number]],#REF!, 2,FALSE)</f>
        <v>#REF!</v>
      </c>
      <c r="AD180" t="e">
        <f>VLOOKUP(Table1[[#This Row],[Product_Name]],'c174_calc'!$A$2:$C$153, 1, FALSE)</f>
        <v>#N/A</v>
      </c>
      <c r="AE180" t="e">
        <f>VLOOKUP(Table1[[#This Row],[Product_Name]],'c174_calc'!$A$2:$C$153, 2, FALSE)</f>
        <v>#N/A</v>
      </c>
      <c r="AF180" t="e">
        <f>VLOOKUP(Table1[[#This Row],[Product_Name]],'c174_calc'!$A$2:$C$153, 3, FALSE)</f>
        <v>#N/A</v>
      </c>
      <c r="AG180" t="e">
        <f>Table1[[#This Row],[vma]]=Table1[[#This Row],[MA_Number]]</f>
        <v>#N/A</v>
      </c>
    </row>
    <row r="181" spans="1:33" hidden="1" x14ac:dyDescent="0.3">
      <c r="A181" t="s">
        <v>767</v>
      </c>
      <c r="B181" s="1">
        <v>7219648530</v>
      </c>
      <c r="C181" s="1"/>
      <c r="D181" t="s">
        <v>278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AA181" t="e">
        <f>Table1[[#This Row],[qPer board]]*Table1[[#This Row],[boards]]</f>
        <v>#REF!</v>
      </c>
      <c r="AB181" t="e">
        <f>VLOOKUP(Table1[[#This Row],[MA_Number]],#REF!, 2,FALSE)</f>
        <v>#REF!</v>
      </c>
      <c r="AD181" t="e">
        <f>VLOOKUP(Table1[[#This Row],[Product_Name]],'c174_calc'!$A$2:$C$153, 1, FALSE)</f>
        <v>#N/A</v>
      </c>
      <c r="AE181" t="e">
        <f>VLOOKUP(Table1[[#This Row],[Product_Name]],'c174_calc'!$A$2:$C$153, 2, FALSE)</f>
        <v>#N/A</v>
      </c>
      <c r="AF181" t="e">
        <f>VLOOKUP(Table1[[#This Row],[Product_Name]],'c174_calc'!$A$2:$C$153, 3, FALSE)</f>
        <v>#N/A</v>
      </c>
      <c r="AG181" t="e">
        <f>Table1[[#This Row],[vma]]=Table1[[#This Row],[MA_Number]]</f>
        <v>#N/A</v>
      </c>
    </row>
    <row r="182" spans="1:33" hidden="1" x14ac:dyDescent="0.3">
      <c r="A182" t="s">
        <v>768</v>
      </c>
      <c r="B182" s="1">
        <v>7219652330</v>
      </c>
      <c r="C182" s="1"/>
      <c r="D182" t="s">
        <v>278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AA182" t="e">
        <f>Table1[[#This Row],[qPer board]]*Table1[[#This Row],[boards]]</f>
        <v>#REF!</v>
      </c>
      <c r="AB182" t="e">
        <f>VLOOKUP(Table1[[#This Row],[MA_Number]],#REF!, 2,FALSE)</f>
        <v>#REF!</v>
      </c>
      <c r="AD182" t="e">
        <f>VLOOKUP(Table1[[#This Row],[Product_Name]],'c174_calc'!$A$2:$C$153, 1, FALSE)</f>
        <v>#N/A</v>
      </c>
      <c r="AE182" t="e">
        <f>VLOOKUP(Table1[[#This Row],[Product_Name]],'c174_calc'!$A$2:$C$153, 2, FALSE)</f>
        <v>#N/A</v>
      </c>
      <c r="AF182" t="e">
        <f>VLOOKUP(Table1[[#This Row],[Product_Name]],'c174_calc'!$A$2:$C$153, 3, FALSE)</f>
        <v>#N/A</v>
      </c>
      <c r="AG182" t="e">
        <f>Table1[[#This Row],[vma]]=Table1[[#This Row],[MA_Number]]</f>
        <v>#N/A</v>
      </c>
    </row>
    <row r="183" spans="1:33" hidden="1" x14ac:dyDescent="0.3">
      <c r="A183" t="s">
        <v>789</v>
      </c>
      <c r="B183" s="1" t="s">
        <v>786</v>
      </c>
      <c r="C183" s="1"/>
      <c r="D183" t="s">
        <v>278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AA183" t="e">
        <f>Table1[[#This Row],[qPer board]]*Table1[[#This Row],[boards]]</f>
        <v>#REF!</v>
      </c>
      <c r="AB183" t="e">
        <f>VLOOKUP(Table1[[#This Row],[MA_Number]],#REF!, 2,FALSE)</f>
        <v>#REF!</v>
      </c>
      <c r="AD183" t="e">
        <f>VLOOKUP(Table1[[#This Row],[Product_Name]],'c174_calc'!$A$2:$C$153, 1, FALSE)</f>
        <v>#N/A</v>
      </c>
      <c r="AE183" t="e">
        <f>VLOOKUP(Table1[[#This Row],[Product_Name]],'c174_calc'!$A$2:$C$153, 2, FALSE)</f>
        <v>#N/A</v>
      </c>
      <c r="AF183" t="e">
        <f>VLOOKUP(Table1[[#This Row],[Product_Name]],'c174_calc'!$A$2:$C$153, 3, FALSE)</f>
        <v>#N/A</v>
      </c>
      <c r="AG183" t="e">
        <f>Table1[[#This Row],[vma]]=Table1[[#This Row],[MA_Number]]</f>
        <v>#N/A</v>
      </c>
    </row>
    <row r="184" spans="1:33" hidden="1" x14ac:dyDescent="0.3">
      <c r="A184" t="s">
        <v>798</v>
      </c>
      <c r="B184" s="1">
        <v>7278099530</v>
      </c>
      <c r="C184" s="1"/>
      <c r="D184" t="s">
        <v>278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AA184" t="e">
        <f>Table1[[#This Row],[qPer board]]*Table1[[#This Row],[boards]]</f>
        <v>#REF!</v>
      </c>
      <c r="AB184" t="e">
        <f>VLOOKUP(Table1[[#This Row],[MA_Number]],#REF!, 2,FALSE)</f>
        <v>#REF!</v>
      </c>
      <c r="AD184" t="e">
        <f>VLOOKUP(Table1[[#This Row],[Product_Name]],'c174_calc'!$A$2:$C$153, 1, FALSE)</f>
        <v>#N/A</v>
      </c>
      <c r="AE184" t="e">
        <f>VLOOKUP(Table1[[#This Row],[Product_Name]],'c174_calc'!$A$2:$C$153, 2, FALSE)</f>
        <v>#N/A</v>
      </c>
      <c r="AF184" t="e">
        <f>VLOOKUP(Table1[[#This Row],[Product_Name]],'c174_calc'!$A$2:$C$153, 3, FALSE)</f>
        <v>#N/A</v>
      </c>
      <c r="AG184" t="e">
        <f>Table1[[#This Row],[vma]]=Table1[[#This Row],[MA_Number]]</f>
        <v>#N/A</v>
      </c>
    </row>
    <row r="185" spans="1:33" hidden="1" x14ac:dyDescent="0.3">
      <c r="A185" t="s">
        <v>769</v>
      </c>
      <c r="B185" s="1">
        <v>7278258330</v>
      </c>
      <c r="C185" s="1"/>
      <c r="D185" t="s">
        <v>278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AA185" t="e">
        <f>Table1[[#This Row],[qPer board]]*Table1[[#This Row],[boards]]</f>
        <v>#REF!</v>
      </c>
      <c r="AB185" t="e">
        <f>VLOOKUP(Table1[[#This Row],[MA_Number]],#REF!, 2,FALSE)</f>
        <v>#REF!</v>
      </c>
      <c r="AD185" t="e">
        <f>VLOOKUP(Table1[[#This Row],[Product_Name]],'c174_calc'!$A$2:$C$153, 1, FALSE)</f>
        <v>#N/A</v>
      </c>
      <c r="AE185" t="e">
        <f>VLOOKUP(Table1[[#This Row],[Product_Name]],'c174_calc'!$A$2:$C$153, 2, FALSE)</f>
        <v>#N/A</v>
      </c>
      <c r="AF185" t="e">
        <f>VLOOKUP(Table1[[#This Row],[Product_Name]],'c174_calc'!$A$2:$C$153, 3, FALSE)</f>
        <v>#N/A</v>
      </c>
      <c r="AG185" t="e">
        <f>Table1[[#This Row],[vma]]=Table1[[#This Row],[MA_Number]]</f>
        <v>#N/A</v>
      </c>
    </row>
    <row r="186" spans="1:33" hidden="1" x14ac:dyDescent="0.3">
      <c r="A186" t="s">
        <v>795</v>
      </c>
      <c r="B186" s="1">
        <v>7289059730</v>
      </c>
      <c r="C186" s="1"/>
      <c r="D186" t="s">
        <v>278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AA186" t="e">
        <f>Table1[[#This Row],[qPer board]]*Table1[[#This Row],[boards]]</f>
        <v>#REF!</v>
      </c>
      <c r="AB186" t="e">
        <f>VLOOKUP(Table1[[#This Row],[MA_Number]],#REF!, 2,FALSE)</f>
        <v>#REF!</v>
      </c>
      <c r="AD186" t="e">
        <f>VLOOKUP(Table1[[#This Row],[Product_Name]],'c174_calc'!$A$2:$C$153, 1, FALSE)</f>
        <v>#N/A</v>
      </c>
      <c r="AE186" t="e">
        <f>VLOOKUP(Table1[[#This Row],[Product_Name]],'c174_calc'!$A$2:$C$153, 2, FALSE)</f>
        <v>#N/A</v>
      </c>
      <c r="AF186" t="e">
        <f>VLOOKUP(Table1[[#This Row],[Product_Name]],'c174_calc'!$A$2:$C$153, 3, FALSE)</f>
        <v>#N/A</v>
      </c>
      <c r="AG186" t="e">
        <f>Table1[[#This Row],[vma]]=Table1[[#This Row],[MA_Number]]</f>
        <v>#N/A</v>
      </c>
    </row>
    <row r="187" spans="1:33" hidden="1" x14ac:dyDescent="0.3">
      <c r="A187" t="s">
        <v>770</v>
      </c>
      <c r="B187" s="1">
        <v>7289063730</v>
      </c>
      <c r="C187" s="1"/>
      <c r="D187" t="s">
        <v>278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AA187" t="e">
        <f>Table1[[#This Row],[qPer board]]*Table1[[#This Row],[boards]]</f>
        <v>#REF!</v>
      </c>
      <c r="AB187" t="e">
        <f>VLOOKUP(Table1[[#This Row],[MA_Number]],#REF!, 2,FALSE)</f>
        <v>#REF!</v>
      </c>
      <c r="AD187" t="e">
        <f>VLOOKUP(Table1[[#This Row],[Product_Name]],'c174_calc'!$A$2:$C$153, 1, FALSE)</f>
        <v>#N/A</v>
      </c>
      <c r="AE187" t="e">
        <f>VLOOKUP(Table1[[#This Row],[Product_Name]],'c174_calc'!$A$2:$C$153, 2, FALSE)</f>
        <v>#N/A</v>
      </c>
      <c r="AF187" t="e">
        <f>VLOOKUP(Table1[[#This Row],[Product_Name]],'c174_calc'!$A$2:$C$153, 3, FALSE)</f>
        <v>#N/A</v>
      </c>
      <c r="AG187" t="e">
        <f>Table1[[#This Row],[vma]]=Table1[[#This Row],[MA_Number]]</f>
        <v>#N/A</v>
      </c>
    </row>
    <row r="188" spans="1:33" hidden="1" x14ac:dyDescent="0.3">
      <c r="A188" t="s">
        <v>771</v>
      </c>
      <c r="B188" s="1">
        <v>72893837</v>
      </c>
      <c r="C188" s="1"/>
      <c r="D188" t="s">
        <v>278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AA188" t="e">
        <f>Table1[[#This Row],[qPer board]]*Table1[[#This Row],[boards]]</f>
        <v>#REF!</v>
      </c>
      <c r="AB188" t="e">
        <f>VLOOKUP(Table1[[#This Row],[MA_Number]],#REF!, 2,FALSE)</f>
        <v>#REF!</v>
      </c>
      <c r="AD188" t="e">
        <f>VLOOKUP(Table1[[#This Row],[Product_Name]],'c174_calc'!$A$2:$C$153, 1, FALSE)</f>
        <v>#N/A</v>
      </c>
      <c r="AE188" t="e">
        <f>VLOOKUP(Table1[[#This Row],[Product_Name]],'c174_calc'!$A$2:$C$153, 2, FALSE)</f>
        <v>#N/A</v>
      </c>
      <c r="AF188" t="e">
        <f>VLOOKUP(Table1[[#This Row],[Product_Name]],'c174_calc'!$A$2:$C$153, 3, FALSE)</f>
        <v>#N/A</v>
      </c>
      <c r="AG188" t="e">
        <f>Table1[[#This Row],[vma]]=Table1[[#This Row],[MA_Number]]</f>
        <v>#N/A</v>
      </c>
    </row>
    <row r="189" spans="1:33" hidden="1" x14ac:dyDescent="0.3">
      <c r="A189" t="s">
        <v>772</v>
      </c>
      <c r="B189" s="1">
        <v>7289405130</v>
      </c>
      <c r="C189" s="1"/>
      <c r="D189" t="s">
        <v>278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AA189" t="e">
        <f>Table1[[#This Row],[qPer board]]*Table1[[#This Row],[boards]]</f>
        <v>#REF!</v>
      </c>
      <c r="AB189" t="e">
        <f>VLOOKUP(Table1[[#This Row],[MA_Number]],#REF!, 2,FALSE)</f>
        <v>#REF!</v>
      </c>
      <c r="AD189" t="e">
        <f>VLOOKUP(Table1[[#This Row],[Product_Name]],'c174_calc'!$A$2:$C$153, 1, FALSE)</f>
        <v>#N/A</v>
      </c>
      <c r="AE189" t="e">
        <f>VLOOKUP(Table1[[#This Row],[Product_Name]],'c174_calc'!$A$2:$C$153, 2, FALSE)</f>
        <v>#N/A</v>
      </c>
      <c r="AF189" t="e">
        <f>VLOOKUP(Table1[[#This Row],[Product_Name]],'c174_calc'!$A$2:$C$153, 3, FALSE)</f>
        <v>#N/A</v>
      </c>
      <c r="AG189" t="e">
        <f>Table1[[#This Row],[vma]]=Table1[[#This Row],[MA_Number]]</f>
        <v>#N/A</v>
      </c>
    </row>
    <row r="190" spans="1:33" hidden="1" x14ac:dyDescent="0.3">
      <c r="A190" t="s">
        <v>773</v>
      </c>
      <c r="B190" s="1">
        <v>7289405830</v>
      </c>
      <c r="C190" s="1"/>
      <c r="D190" t="s">
        <v>278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AA190" t="e">
        <f>Table1[[#This Row],[qPer board]]*Table1[[#This Row],[boards]]</f>
        <v>#REF!</v>
      </c>
      <c r="AB190" t="e">
        <f>VLOOKUP(Table1[[#This Row],[MA_Number]],#REF!, 2,FALSE)</f>
        <v>#REF!</v>
      </c>
      <c r="AD190" t="e">
        <f>VLOOKUP(Table1[[#This Row],[Product_Name]],'c174_calc'!$A$2:$C$153, 1, FALSE)</f>
        <v>#N/A</v>
      </c>
      <c r="AE190" t="e">
        <f>VLOOKUP(Table1[[#This Row],[Product_Name]],'c174_calc'!$A$2:$C$153, 2, FALSE)</f>
        <v>#N/A</v>
      </c>
      <c r="AF190" t="e">
        <f>VLOOKUP(Table1[[#This Row],[Product_Name]],'c174_calc'!$A$2:$C$153, 3, FALSE)</f>
        <v>#N/A</v>
      </c>
      <c r="AG190" t="e">
        <f>Table1[[#This Row],[vma]]=Table1[[#This Row],[MA_Number]]</f>
        <v>#N/A</v>
      </c>
    </row>
    <row r="191" spans="1:33" hidden="1" x14ac:dyDescent="0.3">
      <c r="A191" t="s">
        <v>774</v>
      </c>
      <c r="B191" s="1">
        <v>7289464330</v>
      </c>
      <c r="C191" s="1"/>
      <c r="D191" t="s">
        <v>278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AA191" t="e">
        <f>Table1[[#This Row],[qPer board]]*Table1[[#This Row],[boards]]</f>
        <v>#REF!</v>
      </c>
      <c r="AB191" t="e">
        <f>VLOOKUP(Table1[[#This Row],[MA_Number]],#REF!, 2,FALSE)</f>
        <v>#REF!</v>
      </c>
      <c r="AD191" t="e">
        <f>VLOOKUP(Table1[[#This Row],[Product_Name]],'c174_calc'!$A$2:$C$153, 1, FALSE)</f>
        <v>#N/A</v>
      </c>
      <c r="AE191" t="e">
        <f>VLOOKUP(Table1[[#This Row],[Product_Name]],'c174_calc'!$A$2:$C$153, 2, FALSE)</f>
        <v>#N/A</v>
      </c>
      <c r="AF191" t="e">
        <f>VLOOKUP(Table1[[#This Row],[Product_Name]],'c174_calc'!$A$2:$C$153, 3, FALSE)</f>
        <v>#N/A</v>
      </c>
      <c r="AG191" t="e">
        <f>Table1[[#This Row],[vma]]=Table1[[#This Row],[MA_Number]]</f>
        <v>#N/A</v>
      </c>
    </row>
    <row r="192" spans="1:33" hidden="1" x14ac:dyDescent="0.3">
      <c r="A192" t="s">
        <v>775</v>
      </c>
      <c r="B192" s="1">
        <v>72895381</v>
      </c>
      <c r="C192" s="1"/>
      <c r="D192" t="s">
        <v>278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AA192" t="e">
        <f>Table1[[#This Row],[qPer board]]*Table1[[#This Row],[boards]]</f>
        <v>#REF!</v>
      </c>
      <c r="AB192" t="e">
        <f>VLOOKUP(Table1[[#This Row],[MA_Number]],#REF!, 2,FALSE)</f>
        <v>#REF!</v>
      </c>
      <c r="AD192" t="e">
        <f>VLOOKUP(Table1[[#This Row],[Product_Name]],'c174_calc'!$A$2:$C$153, 1, FALSE)</f>
        <v>#N/A</v>
      </c>
      <c r="AE192" t="e">
        <f>VLOOKUP(Table1[[#This Row],[Product_Name]],'c174_calc'!$A$2:$C$153, 2, FALSE)</f>
        <v>#N/A</v>
      </c>
      <c r="AF192" t="e">
        <f>VLOOKUP(Table1[[#This Row],[Product_Name]],'c174_calc'!$A$2:$C$153, 3, FALSE)</f>
        <v>#N/A</v>
      </c>
      <c r="AG192" t="e">
        <f>Table1[[#This Row],[vma]]=Table1[[#This Row],[MA_Number]]</f>
        <v>#N/A</v>
      </c>
    </row>
    <row r="193" spans="1:33" hidden="1" x14ac:dyDescent="0.3">
      <c r="A193" t="s">
        <v>776</v>
      </c>
      <c r="B193" s="1">
        <v>7289734390</v>
      </c>
      <c r="C193" s="1"/>
      <c r="D193" t="s">
        <v>278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AA193" t="e">
        <f>Table1[[#This Row],[qPer board]]*Table1[[#This Row],[boards]]</f>
        <v>#REF!</v>
      </c>
      <c r="AB193" t="e">
        <f>VLOOKUP(Table1[[#This Row],[MA_Number]],#REF!, 2,FALSE)</f>
        <v>#REF!</v>
      </c>
      <c r="AD193" t="e">
        <f>VLOOKUP(Table1[[#This Row],[Product_Name]],'c174_calc'!$A$2:$C$153, 1, FALSE)</f>
        <v>#N/A</v>
      </c>
      <c r="AE193" t="e">
        <f>VLOOKUP(Table1[[#This Row],[Product_Name]],'c174_calc'!$A$2:$C$153, 2, FALSE)</f>
        <v>#N/A</v>
      </c>
      <c r="AF193" t="e">
        <f>VLOOKUP(Table1[[#This Row],[Product_Name]],'c174_calc'!$A$2:$C$153, 3, FALSE)</f>
        <v>#N/A</v>
      </c>
      <c r="AG193" t="e">
        <f>Table1[[#This Row],[vma]]=Table1[[#This Row],[MA_Number]]</f>
        <v>#N/A</v>
      </c>
    </row>
    <row r="194" spans="1:33" hidden="1" x14ac:dyDescent="0.3">
      <c r="A194" t="s">
        <v>777</v>
      </c>
      <c r="B194" s="1">
        <v>7289921730</v>
      </c>
      <c r="C194" s="1"/>
      <c r="D194" t="s">
        <v>278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AA194" t="e">
        <f>Table1[[#This Row],[qPer board]]*Table1[[#This Row],[boards]]</f>
        <v>#REF!</v>
      </c>
      <c r="AB194" t="e">
        <f>VLOOKUP(Table1[[#This Row],[MA_Number]],#REF!, 2,FALSE)</f>
        <v>#REF!</v>
      </c>
      <c r="AD194" t="e">
        <f>VLOOKUP(Table1[[#This Row],[Product_Name]],'c174_calc'!$A$2:$C$153, 1, FALSE)</f>
        <v>#N/A</v>
      </c>
      <c r="AE194" t="e">
        <f>VLOOKUP(Table1[[#This Row],[Product_Name]],'c174_calc'!$A$2:$C$153, 2, FALSE)</f>
        <v>#N/A</v>
      </c>
      <c r="AF194" t="e">
        <f>VLOOKUP(Table1[[#This Row],[Product_Name]],'c174_calc'!$A$2:$C$153, 3, FALSE)</f>
        <v>#N/A</v>
      </c>
      <c r="AG194" t="e">
        <f>Table1[[#This Row],[vma]]=Table1[[#This Row],[MA_Number]]</f>
        <v>#N/A</v>
      </c>
    </row>
    <row r="195" spans="1:33" hidden="1" x14ac:dyDescent="0.3">
      <c r="A195" t="s">
        <v>778</v>
      </c>
      <c r="B195" s="1">
        <v>72980475</v>
      </c>
      <c r="C195" s="1"/>
      <c r="D195" t="s">
        <v>278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AA195" t="e">
        <f>Table1[[#This Row],[qPer board]]*Table1[[#This Row],[boards]]</f>
        <v>#REF!</v>
      </c>
      <c r="AB195" t="e">
        <f>VLOOKUP(Table1[[#This Row],[MA_Number]],#REF!, 2,FALSE)</f>
        <v>#REF!</v>
      </c>
      <c r="AD195" t="e">
        <f>VLOOKUP(Table1[[#This Row],[Product_Name]],'c174_calc'!$A$2:$C$153, 1, FALSE)</f>
        <v>#N/A</v>
      </c>
      <c r="AE195" t="e">
        <f>VLOOKUP(Table1[[#This Row],[Product_Name]],'c174_calc'!$A$2:$C$153, 2, FALSE)</f>
        <v>#N/A</v>
      </c>
      <c r="AF195" t="e">
        <f>VLOOKUP(Table1[[#This Row],[Product_Name]],'c174_calc'!$A$2:$C$153, 3, FALSE)</f>
        <v>#N/A</v>
      </c>
      <c r="AG195" t="e">
        <f>Table1[[#This Row],[vma]]=Table1[[#This Row],[MA_Number]]</f>
        <v>#N/A</v>
      </c>
    </row>
    <row r="196" spans="1:33" hidden="1" x14ac:dyDescent="0.3">
      <c r="A196" t="s">
        <v>779</v>
      </c>
      <c r="B196" s="1" t="s">
        <v>650</v>
      </c>
      <c r="C196" s="1"/>
      <c r="D196" t="s">
        <v>278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AA196" t="e">
        <f>Table1[[#This Row],[qPer board]]*Table1[[#This Row],[boards]]</f>
        <v>#REF!</v>
      </c>
      <c r="AB196" t="e">
        <f>VLOOKUP(Table1[[#This Row],[MA_Number]],#REF!, 2,FALSE)</f>
        <v>#REF!</v>
      </c>
      <c r="AD196" t="e">
        <f>VLOOKUP(Table1[[#This Row],[Product_Name]],'c174_calc'!$A$2:$C$153, 1, FALSE)</f>
        <v>#N/A</v>
      </c>
      <c r="AE196" t="e">
        <f>VLOOKUP(Table1[[#This Row],[Product_Name]],'c174_calc'!$A$2:$C$153, 2, FALSE)</f>
        <v>#N/A</v>
      </c>
      <c r="AF196" t="e">
        <f>VLOOKUP(Table1[[#This Row],[Product_Name]],'c174_calc'!$A$2:$C$153, 3, FALSE)</f>
        <v>#N/A</v>
      </c>
      <c r="AG196" t="e">
        <f>Table1[[#This Row],[vma]]=Table1[[#This Row],[MA_Number]]</f>
        <v>#N/A</v>
      </c>
    </row>
    <row r="197" spans="1:33" hidden="1" x14ac:dyDescent="0.3">
      <c r="A197" t="s">
        <v>780</v>
      </c>
      <c r="B197" s="1">
        <v>7298677930</v>
      </c>
      <c r="C197" s="1"/>
      <c r="D197" t="s">
        <v>278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AA197" t="e">
        <f>Table1[[#This Row],[qPer board]]*Table1[[#This Row],[boards]]</f>
        <v>#REF!</v>
      </c>
      <c r="AB197" t="e">
        <f>VLOOKUP(Table1[[#This Row],[MA_Number]],#REF!, 2,FALSE)</f>
        <v>#REF!</v>
      </c>
      <c r="AD197" t="e">
        <f>VLOOKUP(Table1[[#This Row],[Product_Name]],'c174_calc'!$A$2:$C$153, 1, FALSE)</f>
        <v>#N/A</v>
      </c>
      <c r="AE197" t="e">
        <f>VLOOKUP(Table1[[#This Row],[Product_Name]],'c174_calc'!$A$2:$C$153, 2, FALSE)</f>
        <v>#N/A</v>
      </c>
      <c r="AF197" t="e">
        <f>VLOOKUP(Table1[[#This Row],[Product_Name]],'c174_calc'!$A$2:$C$153, 3, FALSE)</f>
        <v>#N/A</v>
      </c>
      <c r="AG197" t="e">
        <f>Table1[[#This Row],[vma]]=Table1[[#This Row],[MA_Number]]</f>
        <v>#N/A</v>
      </c>
    </row>
    <row r="198" spans="1:33" hidden="1" x14ac:dyDescent="0.3">
      <c r="A198" t="s">
        <v>781</v>
      </c>
      <c r="B198" s="1">
        <v>7298761730</v>
      </c>
      <c r="C198" s="1"/>
      <c r="D198" t="s">
        <v>278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AA198" t="e">
        <f>Table1[[#This Row],[qPer board]]*Table1[[#This Row],[boards]]</f>
        <v>#REF!</v>
      </c>
      <c r="AB198" t="e">
        <f>VLOOKUP(Table1[[#This Row],[MA_Number]],#REF!, 2,FALSE)</f>
        <v>#REF!</v>
      </c>
      <c r="AD198" t="e">
        <f>VLOOKUP(Table1[[#This Row],[Product_Name]],'c174_calc'!$A$2:$C$153, 1, FALSE)</f>
        <v>#N/A</v>
      </c>
      <c r="AE198" t="e">
        <f>VLOOKUP(Table1[[#This Row],[Product_Name]],'c174_calc'!$A$2:$C$153, 2, FALSE)</f>
        <v>#N/A</v>
      </c>
      <c r="AF198" t="e">
        <f>VLOOKUP(Table1[[#This Row],[Product_Name]],'c174_calc'!$A$2:$C$153, 3, FALSE)</f>
        <v>#N/A</v>
      </c>
      <c r="AG198" t="e">
        <f>Table1[[#This Row],[vma]]=Table1[[#This Row],[MA_Number]]</f>
        <v>#N/A</v>
      </c>
    </row>
    <row r="199" spans="1:33" hidden="1" x14ac:dyDescent="0.3">
      <c r="A199" t="s">
        <v>782</v>
      </c>
      <c r="B199" s="1">
        <v>7298912930</v>
      </c>
      <c r="C199" s="1"/>
      <c r="D199" t="s">
        <v>278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AA199" t="e">
        <f>Table1[[#This Row],[qPer board]]*Table1[[#This Row],[boards]]</f>
        <v>#REF!</v>
      </c>
      <c r="AB199" t="e">
        <f>VLOOKUP(Table1[[#This Row],[MA_Number]],#REF!, 2,FALSE)</f>
        <v>#REF!</v>
      </c>
      <c r="AD199" t="e">
        <f>VLOOKUP(Table1[[#This Row],[Product_Name]],'c174_calc'!$A$2:$C$153, 1, FALSE)</f>
        <v>#N/A</v>
      </c>
      <c r="AE199" t="e">
        <f>VLOOKUP(Table1[[#This Row],[Product_Name]],'c174_calc'!$A$2:$C$153, 2, FALSE)</f>
        <v>#N/A</v>
      </c>
      <c r="AF199" t="e">
        <f>VLOOKUP(Table1[[#This Row],[Product_Name]],'c174_calc'!$A$2:$C$153, 3, FALSE)</f>
        <v>#N/A</v>
      </c>
      <c r="AG199" t="e">
        <f>Table1[[#This Row],[vma]]=Table1[[#This Row],[MA_Number]]</f>
        <v>#N/A</v>
      </c>
    </row>
    <row r="200" spans="1:33" hidden="1" x14ac:dyDescent="0.3">
      <c r="A200" t="s">
        <v>823</v>
      </c>
      <c r="B200" s="1">
        <v>7298913330</v>
      </c>
      <c r="C200" s="1"/>
      <c r="D200" t="s">
        <v>278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AA200" t="e">
        <f>Table1[[#This Row],[qPer board]]*Table1[[#This Row],[boards]]</f>
        <v>#REF!</v>
      </c>
      <c r="AB200" t="e">
        <f>VLOOKUP(Table1[[#This Row],[MA_Number]],#REF!, 2,FALSE)</f>
        <v>#REF!</v>
      </c>
      <c r="AD200" t="e">
        <f>VLOOKUP(Table1[[#This Row],[Product_Name]],'c174_calc'!$A$2:$C$153, 1, FALSE)</f>
        <v>#N/A</v>
      </c>
      <c r="AE200" t="e">
        <f>VLOOKUP(Table1[[#This Row],[Product_Name]],'c174_calc'!$A$2:$C$153, 2, FALSE)</f>
        <v>#N/A</v>
      </c>
      <c r="AF200" t="e">
        <f>VLOOKUP(Table1[[#This Row],[Product_Name]],'c174_calc'!$A$2:$C$153, 3, FALSE)</f>
        <v>#N/A</v>
      </c>
      <c r="AG200" t="e">
        <f>Table1[[#This Row],[vma]]=Table1[[#This Row],[MA_Number]]</f>
        <v>#N/A</v>
      </c>
    </row>
    <row r="201" spans="1:33" hidden="1" x14ac:dyDescent="0.3">
      <c r="A201" t="s">
        <v>783</v>
      </c>
      <c r="B201" s="1">
        <v>7298948930</v>
      </c>
      <c r="C201" s="1" t="s">
        <v>800</v>
      </c>
      <c r="D201" t="s">
        <v>278</v>
      </c>
      <c r="E201" t="s">
        <v>2186</v>
      </c>
      <c r="F201" t="b">
        <v>0</v>
      </c>
      <c r="I201">
        <v>1</v>
      </c>
      <c r="J201">
        <v>46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X201">
        <v>60</v>
      </c>
      <c r="Y201" t="s">
        <v>2376</v>
      </c>
      <c r="Z201" t="s">
        <v>2377</v>
      </c>
      <c r="AA201">
        <f>Table1[[#This Row],[qPer board]]*Table1[[#This Row],[boards]]</f>
        <v>15</v>
      </c>
      <c r="AB201">
        <f>Table1[[#This Row],[vqty]]</f>
        <v>1</v>
      </c>
      <c r="AC201">
        <v>15</v>
      </c>
      <c r="AD201">
        <f>VLOOKUP(Table1[[#This Row],[Product_Name]],'c174_calc'!$A$2:$C$153, 1, FALSE)</f>
        <v>7298948930</v>
      </c>
      <c r="AE201" t="str">
        <f>VLOOKUP(Table1[[#This Row],[Product_Name]],'c174_calc'!$A$2:$C$153, 2, FALSE)</f>
        <v>10.21.72976A</v>
      </c>
      <c r="AF201">
        <f>VLOOKUP(Table1[[#This Row],[Product_Name]],'c174_calc'!$A$2:$C$153, 3, FALSE)</f>
        <v>1</v>
      </c>
      <c r="AG201" t="b">
        <f>Table1[[#This Row],[vma]]=Table1[[#This Row],[MA_Number]]</f>
        <v>1</v>
      </c>
    </row>
    <row r="202" spans="1:33" hidden="1" x14ac:dyDescent="0.3">
      <c r="A202" t="s">
        <v>801</v>
      </c>
      <c r="B202" s="1">
        <v>7298949030</v>
      </c>
      <c r="C202" s="1"/>
      <c r="D202" t="s">
        <v>278</v>
      </c>
      <c r="E202" t="s">
        <v>2186</v>
      </c>
      <c r="F202" t="b">
        <v>0</v>
      </c>
      <c r="I202">
        <v>1</v>
      </c>
      <c r="J202">
        <v>46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AA202">
        <f>Table1[[#This Row],[qPer board]]*Table1[[#This Row],[boards]]</f>
        <v>0</v>
      </c>
      <c r="AB202">
        <v>1</v>
      </c>
      <c r="AD202" t="e">
        <f>VLOOKUP(Table1[[#This Row],[Product_Name]],'c174_calc'!$A$2:$C$153, 1, FALSE)</f>
        <v>#N/A</v>
      </c>
      <c r="AE202" t="e">
        <f>VLOOKUP(Table1[[#This Row],[Product_Name]],'c174_calc'!$A$2:$C$153, 2, FALSE)</f>
        <v>#N/A</v>
      </c>
      <c r="AF202" t="e">
        <f>VLOOKUP(Table1[[#This Row],[Product_Name]],'c174_calc'!$A$2:$C$153, 3, FALSE)</f>
        <v>#N/A</v>
      </c>
      <c r="AG202" t="e">
        <f>Table1[[#This Row],[vma]]=Table1[[#This Row],[MA_Number]]</f>
        <v>#N/A</v>
      </c>
    </row>
    <row r="203" spans="1:33" hidden="1" x14ac:dyDescent="0.3">
      <c r="A203" t="s">
        <v>784</v>
      </c>
      <c r="B203" s="1" t="s">
        <v>588</v>
      </c>
      <c r="C203" s="1"/>
      <c r="D203" t="s">
        <v>278</v>
      </c>
      <c r="E203" t="s">
        <v>2070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AA203">
        <f>Table1[[#This Row],[qPer board]]*Table1[[#This Row],[boards]]</f>
        <v>0</v>
      </c>
      <c r="AB203">
        <v>1</v>
      </c>
      <c r="AD203" t="e">
        <f>VLOOKUP(Table1[[#This Row],[Product_Name]],'c174_calc'!$A$2:$C$153, 1, FALSE)</f>
        <v>#N/A</v>
      </c>
      <c r="AE203" t="e">
        <f>VLOOKUP(Table1[[#This Row],[Product_Name]],'c174_calc'!$A$2:$C$153, 2, FALSE)</f>
        <v>#N/A</v>
      </c>
      <c r="AF203" t="e">
        <f>VLOOKUP(Table1[[#This Row],[Product_Name]],'c174_calc'!$A$2:$C$153, 3, FALSE)</f>
        <v>#N/A</v>
      </c>
      <c r="AG203" t="e">
        <f>Table1[[#This Row],[vma]]=Table1[[#This Row],[MA_Number]]</f>
        <v>#N/A</v>
      </c>
    </row>
    <row r="204" spans="1:33" hidden="1" x14ac:dyDescent="0.3">
      <c r="A204" t="s">
        <v>785</v>
      </c>
      <c r="B204" s="1" t="s">
        <v>655</v>
      </c>
      <c r="C204" s="1"/>
      <c r="D204" t="s">
        <v>278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AA204">
        <f>Table1[[#This Row],[qPer board]]*Table1[[#This Row],[boards]]</f>
        <v>0</v>
      </c>
      <c r="AB204">
        <v>1</v>
      </c>
      <c r="AD204" t="e">
        <f>VLOOKUP(Table1[[#This Row],[Product_Name]],'c174_calc'!$A$2:$C$153, 1, FALSE)</f>
        <v>#N/A</v>
      </c>
      <c r="AE204" t="e">
        <f>VLOOKUP(Table1[[#This Row],[Product_Name]],'c174_calc'!$A$2:$C$153, 2, FALSE)</f>
        <v>#N/A</v>
      </c>
      <c r="AF204" t="e">
        <f>VLOOKUP(Table1[[#This Row],[Product_Name]],'c174_calc'!$A$2:$C$153, 3, FALSE)</f>
        <v>#N/A</v>
      </c>
      <c r="AG204" t="e">
        <f>Table1[[#This Row],[vma]]=Table1[[#This Row],[MA_Number]]</f>
        <v>#N/A</v>
      </c>
    </row>
    <row r="205" spans="1:33" hidden="1" x14ac:dyDescent="0.3">
      <c r="A205" t="s">
        <v>787</v>
      </c>
      <c r="B205" s="1">
        <v>7003292202</v>
      </c>
      <c r="C205" s="1"/>
      <c r="D205" t="s">
        <v>278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AA205" t="e">
        <f>Table1[[#This Row],[qPer board]]*Table1[[#This Row],[boards]]</f>
        <v>#REF!</v>
      </c>
      <c r="AB205" t="e">
        <f>VLOOKUP(Table1[[#This Row],[MA_Number]],#REF!, 2,FALSE)</f>
        <v>#REF!</v>
      </c>
      <c r="AD205" t="e">
        <f>VLOOKUP(Table1[[#This Row],[Product_Name]],'c174_calc'!$A$2:$C$153, 1, FALSE)</f>
        <v>#N/A</v>
      </c>
      <c r="AE205" t="e">
        <f>VLOOKUP(Table1[[#This Row],[Product_Name]],'c174_calc'!$A$2:$C$153, 2, FALSE)</f>
        <v>#N/A</v>
      </c>
      <c r="AF205" t="e">
        <f>VLOOKUP(Table1[[#This Row],[Product_Name]],'c174_calc'!$A$2:$C$153, 3, FALSE)</f>
        <v>#N/A</v>
      </c>
      <c r="AG205" t="e">
        <f>Table1[[#This Row],[vma]]=Table1[[#This Row],[MA_Number]]</f>
        <v>#N/A</v>
      </c>
    </row>
    <row r="206" spans="1:33" hidden="1" x14ac:dyDescent="0.3">
      <c r="A206" t="s">
        <v>796</v>
      </c>
      <c r="B206" s="1">
        <v>7118605030</v>
      </c>
      <c r="C206" s="1"/>
      <c r="D206" t="s">
        <v>278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AA206" t="e">
        <f>Table1[[#This Row],[qPer board]]*Table1[[#This Row],[boards]]</f>
        <v>#REF!</v>
      </c>
      <c r="AB206" t="e">
        <f>VLOOKUP(Table1[[#This Row],[MA_Number]],#REF!, 2,FALSE)</f>
        <v>#REF!</v>
      </c>
      <c r="AD206" t="e">
        <f>VLOOKUP(Table1[[#This Row],[Product_Name]],'c174_calc'!$A$2:$C$153, 1, FALSE)</f>
        <v>#N/A</v>
      </c>
      <c r="AE206" t="e">
        <f>VLOOKUP(Table1[[#This Row],[Product_Name]],'c174_calc'!$A$2:$C$153, 2, FALSE)</f>
        <v>#N/A</v>
      </c>
      <c r="AF206" t="e">
        <f>VLOOKUP(Table1[[#This Row],[Product_Name]],'c174_calc'!$A$2:$C$153, 3, FALSE)</f>
        <v>#N/A</v>
      </c>
      <c r="AG206" t="e">
        <f>Table1[[#This Row],[vma]]=Table1[[#This Row],[MA_Number]]</f>
        <v>#N/A</v>
      </c>
    </row>
    <row r="207" spans="1:33" hidden="1" x14ac:dyDescent="0.3">
      <c r="A207" t="s">
        <v>799</v>
      </c>
      <c r="B207" s="1">
        <v>7289042870</v>
      </c>
      <c r="C207" s="1"/>
      <c r="D207" t="s">
        <v>278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AA207" t="e">
        <f>Table1[[#This Row],[qPer board]]*Table1[[#This Row],[boards]]</f>
        <v>#REF!</v>
      </c>
      <c r="AB207" t="e">
        <f>VLOOKUP(Table1[[#This Row],[MA_Number]],#REF!, 2,FALSE)</f>
        <v>#REF!</v>
      </c>
      <c r="AD207" t="e">
        <f>VLOOKUP(Table1[[#This Row],[Product_Name]],'c174_calc'!$A$2:$C$153, 1, FALSE)</f>
        <v>#N/A</v>
      </c>
      <c r="AE207" t="e">
        <f>VLOOKUP(Table1[[#This Row],[Product_Name]],'c174_calc'!$A$2:$C$153, 2, FALSE)</f>
        <v>#N/A</v>
      </c>
      <c r="AF207" t="e">
        <f>VLOOKUP(Table1[[#This Row],[Product_Name]],'c174_calc'!$A$2:$C$153, 3, FALSE)</f>
        <v>#N/A</v>
      </c>
      <c r="AG207" t="e">
        <f>Table1[[#This Row],[vma]]=Table1[[#This Row],[MA_Number]]</f>
        <v>#N/A</v>
      </c>
    </row>
    <row r="208" spans="1:33" hidden="1" x14ac:dyDescent="0.3">
      <c r="A208" t="s">
        <v>802</v>
      </c>
      <c r="B208" s="1" t="s">
        <v>570</v>
      </c>
      <c r="C208" s="1"/>
      <c r="D208" t="s">
        <v>278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AA208" t="e">
        <f>Table1[[#This Row],[qPer board]]*Table1[[#This Row],[boards]]</f>
        <v>#REF!</v>
      </c>
      <c r="AB208" t="e">
        <f>VLOOKUP(Table1[[#This Row],[MA_Number]],#REF!, 2,FALSE)</f>
        <v>#REF!</v>
      </c>
      <c r="AD208" t="e">
        <f>VLOOKUP(Table1[[#This Row],[Product_Name]],'c174_calc'!$A$2:$C$153, 1, FALSE)</f>
        <v>#N/A</v>
      </c>
      <c r="AE208" t="e">
        <f>VLOOKUP(Table1[[#This Row],[Product_Name]],'c174_calc'!$A$2:$C$153, 2, FALSE)</f>
        <v>#N/A</v>
      </c>
      <c r="AF208" t="e">
        <f>VLOOKUP(Table1[[#This Row],[Product_Name]],'c174_calc'!$A$2:$C$153, 3, FALSE)</f>
        <v>#N/A</v>
      </c>
      <c r="AG208" t="e">
        <f>Table1[[#This Row],[vma]]=Table1[[#This Row],[MA_Number]]</f>
        <v>#N/A</v>
      </c>
    </row>
    <row r="209" spans="1:33" hidden="1" x14ac:dyDescent="0.3">
      <c r="A209" t="s">
        <v>803</v>
      </c>
      <c r="B209" s="1" t="s">
        <v>653</v>
      </c>
      <c r="C209" s="1"/>
      <c r="D209" t="s">
        <v>278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AA209" t="e">
        <f>Table1[[#This Row],[qPer board]]*Table1[[#This Row],[boards]]</f>
        <v>#REF!</v>
      </c>
      <c r="AB209" t="e">
        <f>VLOOKUP(Table1[[#This Row],[MA_Number]],#REF!, 2,FALSE)</f>
        <v>#REF!</v>
      </c>
      <c r="AD209" t="e">
        <f>VLOOKUP(Table1[[#This Row],[Product_Name]],'c174_calc'!$A$2:$C$153, 1, FALSE)</f>
        <v>#N/A</v>
      </c>
      <c r="AE209" t="e">
        <f>VLOOKUP(Table1[[#This Row],[Product_Name]],'c174_calc'!$A$2:$C$153, 2, FALSE)</f>
        <v>#N/A</v>
      </c>
      <c r="AF209" t="e">
        <f>VLOOKUP(Table1[[#This Row],[Product_Name]],'c174_calc'!$A$2:$C$153, 3, FALSE)</f>
        <v>#N/A</v>
      </c>
      <c r="AG209" t="e">
        <f>Table1[[#This Row],[vma]]=Table1[[#This Row],[MA_Number]]</f>
        <v>#N/A</v>
      </c>
    </row>
    <row r="210" spans="1:33" hidden="1" x14ac:dyDescent="0.3">
      <c r="A210" t="s">
        <v>804</v>
      </c>
      <c r="B210" s="1">
        <v>7289689230</v>
      </c>
      <c r="C210" s="1"/>
      <c r="D210" t="s">
        <v>278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AA210" t="e">
        <f>Table1[[#This Row],[qPer board]]*Table1[[#This Row],[boards]]</f>
        <v>#REF!</v>
      </c>
      <c r="AB210" t="e">
        <f>VLOOKUP(Table1[[#This Row],[MA_Number]],#REF!, 2,FALSE)</f>
        <v>#REF!</v>
      </c>
      <c r="AD210" t="e">
        <f>VLOOKUP(Table1[[#This Row],[Product_Name]],'c174_calc'!$A$2:$C$153, 1, FALSE)</f>
        <v>#N/A</v>
      </c>
      <c r="AE210" t="e">
        <f>VLOOKUP(Table1[[#This Row],[Product_Name]],'c174_calc'!$A$2:$C$153, 2, FALSE)</f>
        <v>#N/A</v>
      </c>
      <c r="AF210" t="e">
        <f>VLOOKUP(Table1[[#This Row],[Product_Name]],'c174_calc'!$A$2:$C$153, 3, FALSE)</f>
        <v>#N/A</v>
      </c>
      <c r="AG210" t="e">
        <f>Table1[[#This Row],[vma]]=Table1[[#This Row],[MA_Number]]</f>
        <v>#N/A</v>
      </c>
    </row>
    <row r="211" spans="1:33" hidden="1" x14ac:dyDescent="0.3">
      <c r="A211" t="s">
        <v>805</v>
      </c>
      <c r="B211" s="1">
        <v>7009748202</v>
      </c>
      <c r="C211" s="1"/>
      <c r="D211" t="s">
        <v>278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AA211" t="e">
        <f>Table1[[#This Row],[qPer board]]*Table1[[#This Row],[boards]]</f>
        <v>#REF!</v>
      </c>
      <c r="AB211" t="e">
        <f>VLOOKUP(Table1[[#This Row],[MA_Number]],#REF!, 2,FALSE)</f>
        <v>#REF!</v>
      </c>
      <c r="AD211" t="e">
        <f>VLOOKUP(Table1[[#This Row],[Product_Name]],'c174_calc'!$A$2:$C$153, 1, FALSE)</f>
        <v>#N/A</v>
      </c>
      <c r="AE211" t="e">
        <f>VLOOKUP(Table1[[#This Row],[Product_Name]],'c174_calc'!$A$2:$C$153, 2, FALSE)</f>
        <v>#N/A</v>
      </c>
      <c r="AF211" t="e">
        <f>VLOOKUP(Table1[[#This Row],[Product_Name]],'c174_calc'!$A$2:$C$153, 3, FALSE)</f>
        <v>#N/A</v>
      </c>
      <c r="AG211" t="e">
        <f>Table1[[#This Row],[vma]]=Table1[[#This Row],[MA_Number]]</f>
        <v>#N/A</v>
      </c>
    </row>
    <row r="212" spans="1:33" hidden="1" x14ac:dyDescent="0.3">
      <c r="A212" t="s">
        <v>806</v>
      </c>
      <c r="B212" s="1">
        <v>7298913530</v>
      </c>
      <c r="C212" s="1"/>
      <c r="D212" t="s">
        <v>278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AA212" t="e">
        <f>Table1[[#This Row],[qPer board]]*Table1[[#This Row],[boards]]</f>
        <v>#REF!</v>
      </c>
      <c r="AB212" t="e">
        <f>VLOOKUP(Table1[[#This Row],[MA_Number]],#REF!, 2,FALSE)</f>
        <v>#REF!</v>
      </c>
      <c r="AD212" t="e">
        <f>VLOOKUP(Table1[[#This Row],[Product_Name]],'c174_calc'!$A$2:$C$153, 1, FALSE)</f>
        <v>#N/A</v>
      </c>
      <c r="AE212" t="e">
        <f>VLOOKUP(Table1[[#This Row],[Product_Name]],'c174_calc'!$A$2:$C$153, 2, FALSE)</f>
        <v>#N/A</v>
      </c>
      <c r="AF212" t="e">
        <f>VLOOKUP(Table1[[#This Row],[Product_Name]],'c174_calc'!$A$2:$C$153, 3, FALSE)</f>
        <v>#N/A</v>
      </c>
      <c r="AG212" t="e">
        <f>Table1[[#This Row],[vma]]=Table1[[#This Row],[MA_Number]]</f>
        <v>#N/A</v>
      </c>
    </row>
    <row r="213" spans="1:33" hidden="1" x14ac:dyDescent="0.3">
      <c r="A213" t="s">
        <v>807</v>
      </c>
      <c r="B213" s="1">
        <v>7119665630</v>
      </c>
      <c r="C213" s="1"/>
      <c r="D213" t="s">
        <v>278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X213">
        <v>60</v>
      </c>
      <c r="Y213" t="s">
        <v>2376</v>
      </c>
      <c r="Z213" t="s">
        <v>2377</v>
      </c>
      <c r="AA213">
        <f>Table1[[#This Row],[qPer board]]*Table1[[#This Row],[boards]]</f>
        <v>15</v>
      </c>
      <c r="AB213">
        <f>Table1[[#This Row],[vqty]]</f>
        <v>1</v>
      </c>
      <c r="AC213">
        <v>15</v>
      </c>
      <c r="AD213">
        <f>VLOOKUP(Table1[[#This Row],[Product_Name]],'c174_calc'!$A$2:$C$153, 1, FALSE)</f>
        <v>7119665630</v>
      </c>
      <c r="AE213" t="str">
        <f>VLOOKUP(Table1[[#This Row],[Product_Name]],'c174_calc'!$A$2:$C$153, 2, FALSE)</f>
        <v>10.21.63360A</v>
      </c>
      <c r="AF213">
        <f>VLOOKUP(Table1[[#This Row],[Product_Name]],'c174_calc'!$A$2:$C$153, 3, FALSE)</f>
        <v>1</v>
      </c>
      <c r="AG213" t="b">
        <f>Table1[[#This Row],[vma]]=Table1[[#This Row],[MA_Number]]</f>
        <v>1</v>
      </c>
    </row>
    <row r="214" spans="1:33" hidden="1" x14ac:dyDescent="0.3">
      <c r="A214" t="s">
        <v>808</v>
      </c>
      <c r="B214" s="1">
        <v>7119637880</v>
      </c>
      <c r="C214" s="1"/>
      <c r="D214" t="s">
        <v>278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X214">
        <v>60</v>
      </c>
      <c r="Y214" t="s">
        <v>2376</v>
      </c>
      <c r="Z214" t="s">
        <v>2377</v>
      </c>
      <c r="AA214">
        <f>Table1[[#This Row],[qPer board]]*Table1[[#This Row],[boards]]</f>
        <v>15</v>
      </c>
      <c r="AB214">
        <f>Table1[[#This Row],[vqty]]</f>
        <v>1</v>
      </c>
      <c r="AC214">
        <v>15</v>
      </c>
      <c r="AD214">
        <f>VLOOKUP(Table1[[#This Row],[Product_Name]],'c174_calc'!$A$2:$C$153, 1, FALSE)</f>
        <v>7119637880</v>
      </c>
      <c r="AE214" t="str">
        <f>VLOOKUP(Table1[[#This Row],[Product_Name]],'c174_calc'!$A$2:$C$153, 2, FALSE)</f>
        <v>10.21.35008A</v>
      </c>
      <c r="AF214">
        <f>VLOOKUP(Table1[[#This Row],[Product_Name]],'c174_calc'!$A$2:$C$153, 3, FALSE)</f>
        <v>1</v>
      </c>
      <c r="AG214" t="b">
        <f>Table1[[#This Row],[vma]]=Table1[[#This Row],[MA_Number]]</f>
        <v>1</v>
      </c>
    </row>
    <row r="215" spans="1:33" hidden="1" x14ac:dyDescent="0.3">
      <c r="A215" t="s">
        <v>809</v>
      </c>
      <c r="B215" s="1">
        <v>7198600430</v>
      </c>
      <c r="C215" s="1"/>
      <c r="D215" t="s">
        <v>278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AA215" t="e">
        <f>Table1[[#This Row],[qPer board]]*Table1[[#This Row],[boards]]</f>
        <v>#REF!</v>
      </c>
      <c r="AB215" t="e">
        <f>VLOOKUP(Table1[[#This Row],[MA_Number]],#REF!, 2,FALSE)</f>
        <v>#REF!</v>
      </c>
      <c r="AD215" t="e">
        <f>VLOOKUP(Table1[[#This Row],[Product_Name]],'c174_calc'!$A$2:$C$153, 1, FALSE)</f>
        <v>#N/A</v>
      </c>
      <c r="AE215" t="e">
        <f>VLOOKUP(Table1[[#This Row],[Product_Name]],'c174_calc'!$A$2:$C$153, 2, FALSE)</f>
        <v>#N/A</v>
      </c>
      <c r="AF215" t="e">
        <f>VLOOKUP(Table1[[#This Row],[Product_Name]],'c174_calc'!$A$2:$C$153, 3, FALSE)</f>
        <v>#N/A</v>
      </c>
      <c r="AG215" t="e">
        <f>Table1[[#This Row],[vma]]=Table1[[#This Row],[MA_Number]]</f>
        <v>#N/A</v>
      </c>
    </row>
    <row r="216" spans="1:33" hidden="1" x14ac:dyDescent="0.3">
      <c r="A216" t="s">
        <v>810</v>
      </c>
      <c r="B216" s="1">
        <v>7287065830</v>
      </c>
      <c r="C216" s="1"/>
      <c r="D216" t="s">
        <v>278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AA216" t="e">
        <f>Table1[[#This Row],[qPer board]]*Table1[[#This Row],[boards]]</f>
        <v>#REF!</v>
      </c>
      <c r="AB216" t="e">
        <f>VLOOKUP(Table1[[#This Row],[MA_Number]],#REF!, 2,FALSE)</f>
        <v>#REF!</v>
      </c>
      <c r="AD216" t="e">
        <f>VLOOKUP(Table1[[#This Row],[Product_Name]],'c174_calc'!$A$2:$C$153, 1, FALSE)</f>
        <v>#N/A</v>
      </c>
      <c r="AE216" t="e">
        <f>VLOOKUP(Table1[[#This Row],[Product_Name]],'c174_calc'!$A$2:$C$153, 2, FALSE)</f>
        <v>#N/A</v>
      </c>
      <c r="AF216" t="e">
        <f>VLOOKUP(Table1[[#This Row],[Product_Name]],'c174_calc'!$A$2:$C$153, 3, FALSE)</f>
        <v>#N/A</v>
      </c>
      <c r="AG216" t="e">
        <f>Table1[[#This Row],[vma]]=Table1[[#This Row],[MA_Number]]</f>
        <v>#N/A</v>
      </c>
    </row>
    <row r="217" spans="1:33" hidden="1" x14ac:dyDescent="0.3">
      <c r="A217" t="s">
        <v>811</v>
      </c>
      <c r="B217" s="1" t="s">
        <v>812</v>
      </c>
      <c r="C217" s="1"/>
      <c r="D217" t="s">
        <v>278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AA217">
        <f>Table1[[#This Row],[qPer board]]*Table1[[#This Row],[boards]]</f>
        <v>0</v>
      </c>
      <c r="AB217">
        <v>1</v>
      </c>
      <c r="AD217" t="e">
        <f>VLOOKUP(Table1[[#This Row],[Product_Name]],'c174_calc'!$A$2:$C$153, 1, FALSE)</f>
        <v>#N/A</v>
      </c>
      <c r="AE217" t="e">
        <f>VLOOKUP(Table1[[#This Row],[Product_Name]],'c174_calc'!$A$2:$C$153, 2, FALSE)</f>
        <v>#N/A</v>
      </c>
      <c r="AF217" t="e">
        <f>VLOOKUP(Table1[[#This Row],[Product_Name]],'c174_calc'!$A$2:$C$153, 3, FALSE)</f>
        <v>#N/A</v>
      </c>
      <c r="AG217" t="e">
        <f>Table1[[#This Row],[vma]]=Table1[[#This Row],[MA_Number]]</f>
        <v>#N/A</v>
      </c>
    </row>
    <row r="218" spans="1:33" hidden="1" x14ac:dyDescent="0.3">
      <c r="A218" t="s">
        <v>826</v>
      </c>
      <c r="B218" s="1">
        <v>7035990830</v>
      </c>
      <c r="C218" s="1"/>
      <c r="D218" t="s">
        <v>278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AA218">
        <f>Table1[[#This Row],[qPer board]]*Table1[[#This Row],[boards]]</f>
        <v>0</v>
      </c>
      <c r="AB218">
        <v>2</v>
      </c>
      <c r="AD218" t="e">
        <f>VLOOKUP(Table1[[#This Row],[Product_Name]],'c174_calc'!$A$2:$C$153, 1, FALSE)</f>
        <v>#N/A</v>
      </c>
      <c r="AE218" t="e">
        <f>VLOOKUP(Table1[[#This Row],[Product_Name]],'c174_calc'!$A$2:$C$153, 2, FALSE)</f>
        <v>#N/A</v>
      </c>
      <c r="AF218" t="e">
        <f>VLOOKUP(Table1[[#This Row],[Product_Name]],'c174_calc'!$A$2:$C$153, 3, FALSE)</f>
        <v>#N/A</v>
      </c>
      <c r="AG218" t="e">
        <f>Table1[[#This Row],[vma]]=Table1[[#This Row],[MA_Number]]</f>
        <v>#N/A</v>
      </c>
    </row>
    <row r="219" spans="1:33" hidden="1" x14ac:dyDescent="0.3">
      <c r="A219" t="s">
        <v>827</v>
      </c>
      <c r="B219" s="1" t="s">
        <v>649</v>
      </c>
      <c r="C219" s="1"/>
      <c r="D219" t="s">
        <v>278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AA219" t="e">
        <f>Table1[[#This Row],[qPer board]]*Table1[[#This Row],[boards]]</f>
        <v>#REF!</v>
      </c>
      <c r="AB219" t="e">
        <f>VLOOKUP(Table1[[#This Row],[MA_Number]],#REF!, 2,FALSE)</f>
        <v>#REF!</v>
      </c>
      <c r="AD219" t="e">
        <f>VLOOKUP(Table1[[#This Row],[Product_Name]],'c174_calc'!$A$2:$C$153, 1, FALSE)</f>
        <v>#N/A</v>
      </c>
      <c r="AE219" t="e">
        <f>VLOOKUP(Table1[[#This Row],[Product_Name]],'c174_calc'!$A$2:$C$153, 2, FALSE)</f>
        <v>#N/A</v>
      </c>
      <c r="AF219" t="e">
        <f>VLOOKUP(Table1[[#This Row],[Product_Name]],'c174_calc'!$A$2:$C$153, 3, FALSE)</f>
        <v>#N/A</v>
      </c>
      <c r="AG219" t="e">
        <f>Table1[[#This Row],[vma]]=Table1[[#This Row],[MA_Number]]</f>
        <v>#N/A</v>
      </c>
    </row>
    <row r="220" spans="1:33" hidden="1" x14ac:dyDescent="0.3">
      <c r="A220" t="s">
        <v>828</v>
      </c>
      <c r="B220" s="1">
        <v>7247781630</v>
      </c>
      <c r="C220" s="1"/>
      <c r="D220" t="s">
        <v>281</v>
      </c>
      <c r="E220" t="s">
        <v>829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AA220" t="e">
        <f>Table1[[#This Row],[qPer board]]*Table1[[#This Row],[boards]]</f>
        <v>#REF!</v>
      </c>
      <c r="AB220" t="e">
        <f>VLOOKUP(Table1[[#This Row],[MA_Number]],#REF!, 2,FALSE)</f>
        <v>#REF!</v>
      </c>
      <c r="AD220" t="e">
        <f>VLOOKUP(Table1[[#This Row],[Product_Name]],'c174_calc'!$A$2:$C$153, 1, FALSE)</f>
        <v>#N/A</v>
      </c>
      <c r="AE220" t="e">
        <f>VLOOKUP(Table1[[#This Row],[Product_Name]],'c174_calc'!$A$2:$C$153, 2, FALSE)</f>
        <v>#N/A</v>
      </c>
      <c r="AF220" t="e">
        <f>VLOOKUP(Table1[[#This Row],[Product_Name]],'c174_calc'!$A$2:$C$153, 3, FALSE)</f>
        <v>#N/A</v>
      </c>
      <c r="AG220" t="e">
        <f>Table1[[#This Row],[vma]]=Table1[[#This Row],[MA_Number]]</f>
        <v>#N/A</v>
      </c>
    </row>
    <row r="221" spans="1:33" hidden="1" x14ac:dyDescent="0.3">
      <c r="A221" t="s">
        <v>949</v>
      </c>
      <c r="B221" s="1">
        <v>7035964930</v>
      </c>
      <c r="C221" s="1"/>
      <c r="D221" t="s">
        <v>278</v>
      </c>
      <c r="E221" t="s">
        <v>1746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60</v>
      </c>
      <c r="Y221" t="s">
        <v>2376</v>
      </c>
      <c r="Z221" t="s">
        <v>2377</v>
      </c>
      <c r="AA221">
        <f>Table1[[#This Row],[qPer board]]*Table1[[#This Row],[boards]]</f>
        <v>15</v>
      </c>
      <c r="AB221">
        <f>Table1[[#This Row],[vqty]]</f>
        <v>1</v>
      </c>
      <c r="AC221">
        <v>15</v>
      </c>
      <c r="AD221">
        <f>VLOOKUP(Table1[[#This Row],[Product_Name]],'c174_calc'!$A$2:$C$153, 1, FALSE)</f>
        <v>7035964930</v>
      </c>
      <c r="AE221" t="str">
        <f>VLOOKUP(Table1[[#This Row],[Product_Name]],'c174_calc'!$A$2:$C$153, 2, FALSE)</f>
        <v>10.21.96563A</v>
      </c>
      <c r="AF221">
        <f>VLOOKUP(Table1[[#This Row],[Product_Name]],'c174_calc'!$A$2:$C$153, 3, FALSE)</f>
        <v>1</v>
      </c>
      <c r="AG221" t="b">
        <f>Table1[[#This Row],[vma]]=Table1[[#This Row],[MA_Number]]</f>
        <v>1</v>
      </c>
    </row>
    <row r="222" spans="1:33" hidden="1" x14ac:dyDescent="0.3">
      <c r="A222" t="s">
        <v>831</v>
      </c>
      <c r="B222" s="1">
        <v>7035990430</v>
      </c>
      <c r="C222" s="1" t="s">
        <v>830</v>
      </c>
      <c r="D222" t="s">
        <v>278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AA222" t="e">
        <f>Table1[[#This Row],[qPer board]]*Table1[[#This Row],[boards]]</f>
        <v>#REF!</v>
      </c>
      <c r="AB222" t="e">
        <f>VLOOKUP(Table1[[#This Row],[MA_Number]],#REF!, 2,FALSE)</f>
        <v>#REF!</v>
      </c>
      <c r="AD222" t="e">
        <f>VLOOKUP(Table1[[#This Row],[Product_Name]],'c174_calc'!$A$2:$C$153, 1, FALSE)</f>
        <v>#N/A</v>
      </c>
      <c r="AE222" t="e">
        <f>VLOOKUP(Table1[[#This Row],[Product_Name]],'c174_calc'!$A$2:$C$153, 2, FALSE)</f>
        <v>#N/A</v>
      </c>
      <c r="AF222" t="e">
        <f>VLOOKUP(Table1[[#This Row],[Product_Name]],'c174_calc'!$A$2:$C$153, 3, FALSE)</f>
        <v>#N/A</v>
      </c>
      <c r="AG222" t="e">
        <f>Table1[[#This Row],[vma]]=Table1[[#This Row],[MA_Number]]</f>
        <v>#N/A</v>
      </c>
    </row>
    <row r="223" spans="1:33" hidden="1" x14ac:dyDescent="0.3">
      <c r="A223" t="s">
        <v>832</v>
      </c>
      <c r="B223" s="1" t="s">
        <v>825</v>
      </c>
      <c r="C223" s="1"/>
      <c r="D223" t="s">
        <v>278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AA223" t="e">
        <f>Table1[[#This Row],[qPer board]]*Table1[[#This Row],[boards]]</f>
        <v>#REF!</v>
      </c>
      <c r="AB223" t="e">
        <f>VLOOKUP(Table1[[#This Row],[MA_Number]],#REF!, 2,FALSE)</f>
        <v>#REF!</v>
      </c>
      <c r="AD223" t="e">
        <f>VLOOKUP(Table1[[#This Row],[Product_Name]],'c174_calc'!$A$2:$C$153, 1, FALSE)</f>
        <v>#N/A</v>
      </c>
      <c r="AE223" t="e">
        <f>VLOOKUP(Table1[[#This Row],[Product_Name]],'c174_calc'!$A$2:$C$153, 2, FALSE)</f>
        <v>#N/A</v>
      </c>
      <c r="AF223" t="e">
        <f>VLOOKUP(Table1[[#This Row],[Product_Name]],'c174_calc'!$A$2:$C$153, 3, FALSE)</f>
        <v>#N/A</v>
      </c>
      <c r="AG223" t="e">
        <f>Table1[[#This Row],[vma]]=Table1[[#This Row],[MA_Number]]</f>
        <v>#N/A</v>
      </c>
    </row>
    <row r="224" spans="1:33" hidden="1" x14ac:dyDescent="0.3">
      <c r="A224" t="s">
        <v>871</v>
      </c>
      <c r="B224" s="1">
        <v>6666666630</v>
      </c>
      <c r="C224" s="1"/>
      <c r="D224" t="s">
        <v>278</v>
      </c>
      <c r="E224" t="s">
        <v>870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AA224" t="e">
        <f>Table1[[#This Row],[qPer board]]*Table1[[#This Row],[boards]]</f>
        <v>#REF!</v>
      </c>
      <c r="AB224" t="e">
        <f>VLOOKUP(Table1[[#This Row],[MA_Number]],#REF!, 2,FALSE)</f>
        <v>#REF!</v>
      </c>
      <c r="AD224" t="e">
        <f>VLOOKUP(Table1[[#This Row],[Product_Name]],'c174_calc'!$A$2:$C$153, 1, FALSE)</f>
        <v>#N/A</v>
      </c>
      <c r="AE224" t="e">
        <f>VLOOKUP(Table1[[#This Row],[Product_Name]],'c174_calc'!$A$2:$C$153, 2, FALSE)</f>
        <v>#N/A</v>
      </c>
      <c r="AF224" t="e">
        <f>VLOOKUP(Table1[[#This Row],[Product_Name]],'c174_calc'!$A$2:$C$153, 3, FALSE)</f>
        <v>#N/A</v>
      </c>
      <c r="AG224" t="e">
        <f>Table1[[#This Row],[vma]]=Table1[[#This Row],[MA_Number]]</f>
        <v>#N/A</v>
      </c>
    </row>
    <row r="225" spans="1:33" hidden="1" x14ac:dyDescent="0.3">
      <c r="A225" t="s">
        <v>1354</v>
      </c>
      <c r="B225" s="1" t="s">
        <v>846</v>
      </c>
      <c r="C225" s="1"/>
      <c r="D225" t="s">
        <v>278</v>
      </c>
      <c r="E225" t="s">
        <v>2327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AA225" t="e">
        <f>Table1[[#This Row],[qPer board]]*Table1[[#This Row],[boards]]</f>
        <v>#REF!</v>
      </c>
      <c r="AB225" t="e">
        <f>VLOOKUP(Table1[[#This Row],[MA_Number]],#REF!, 2,FALSE)</f>
        <v>#REF!</v>
      </c>
      <c r="AD225" t="e">
        <f>VLOOKUP(Table1[[#This Row],[Product_Name]],'c174_calc'!$A$2:$C$153, 1, FALSE)</f>
        <v>#N/A</v>
      </c>
      <c r="AE225" t="e">
        <f>VLOOKUP(Table1[[#This Row],[Product_Name]],'c174_calc'!$A$2:$C$153, 2, FALSE)</f>
        <v>#N/A</v>
      </c>
      <c r="AF225" t="e">
        <f>VLOOKUP(Table1[[#This Row],[Product_Name]],'c174_calc'!$A$2:$C$153, 3, FALSE)</f>
        <v>#N/A</v>
      </c>
      <c r="AG225" t="e">
        <f>Table1[[#This Row],[vma]]=Table1[[#This Row],[MA_Number]]</f>
        <v>#N/A</v>
      </c>
    </row>
    <row r="226" spans="1:33" hidden="1" x14ac:dyDescent="0.3">
      <c r="A226" t="s">
        <v>847</v>
      </c>
      <c r="B226" s="1">
        <v>7235053630</v>
      </c>
      <c r="C226" s="1"/>
      <c r="D226" t="s">
        <v>278</v>
      </c>
      <c r="E226" t="s">
        <v>959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AA226" t="e">
        <f>Table1[[#This Row],[qPer board]]*Table1[[#This Row],[boards]]</f>
        <v>#REF!</v>
      </c>
      <c r="AB226" t="e">
        <f>VLOOKUP(Table1[[#This Row],[MA_Number]],#REF!, 2,FALSE)</f>
        <v>#REF!</v>
      </c>
      <c r="AD226" t="e">
        <f>VLOOKUP(Table1[[#This Row],[Product_Name]],'c174_calc'!$A$2:$C$153, 1, FALSE)</f>
        <v>#N/A</v>
      </c>
      <c r="AE226" t="e">
        <f>VLOOKUP(Table1[[#This Row],[Product_Name]],'c174_calc'!$A$2:$C$153, 2, FALSE)</f>
        <v>#N/A</v>
      </c>
      <c r="AF226" t="e">
        <f>VLOOKUP(Table1[[#This Row],[Product_Name]],'c174_calc'!$A$2:$C$153, 3, FALSE)</f>
        <v>#N/A</v>
      </c>
      <c r="AG226" t="e">
        <f>Table1[[#This Row],[vma]]=Table1[[#This Row],[MA_Number]]</f>
        <v>#N/A</v>
      </c>
    </row>
    <row r="227" spans="1:33" hidden="1" x14ac:dyDescent="0.3">
      <c r="A227" t="s">
        <v>848</v>
      </c>
      <c r="B227" s="1">
        <v>7235053630</v>
      </c>
      <c r="C227" s="1"/>
      <c r="D227" t="s">
        <v>278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AA227" t="e">
        <f>Table1[[#This Row],[qPer board]]*Table1[[#This Row],[boards]]</f>
        <v>#REF!</v>
      </c>
      <c r="AB227" t="e">
        <f>VLOOKUP(Table1[[#This Row],[MA_Number]],#REF!, 2,FALSE)</f>
        <v>#REF!</v>
      </c>
      <c r="AD227" t="e">
        <f>VLOOKUP(Table1[[#This Row],[Product_Name]],'c174_calc'!$A$2:$C$153, 1, FALSE)</f>
        <v>#N/A</v>
      </c>
      <c r="AE227" t="e">
        <f>VLOOKUP(Table1[[#This Row],[Product_Name]],'c174_calc'!$A$2:$C$153, 2, FALSE)</f>
        <v>#N/A</v>
      </c>
      <c r="AF227" t="e">
        <f>VLOOKUP(Table1[[#This Row],[Product_Name]],'c174_calc'!$A$2:$C$153, 3, FALSE)</f>
        <v>#N/A</v>
      </c>
      <c r="AG227" t="e">
        <f>Table1[[#This Row],[vma]]=Table1[[#This Row],[MA_Number]]</f>
        <v>#N/A</v>
      </c>
    </row>
    <row r="228" spans="1:33" hidden="1" x14ac:dyDescent="0.3">
      <c r="A228" t="s">
        <v>849</v>
      </c>
      <c r="B228" s="1">
        <v>7235053630</v>
      </c>
      <c r="C228" s="1"/>
      <c r="D228" t="s">
        <v>278</v>
      </c>
      <c r="E228" t="s">
        <v>959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AA228">
        <f>Table1[[#This Row],[qPer board]]*Table1[[#This Row],[boards]]</f>
        <v>0</v>
      </c>
      <c r="AB228">
        <v>1</v>
      </c>
      <c r="AD228" t="e">
        <f>VLOOKUP(Table1[[#This Row],[Product_Name]],'c174_calc'!$A$2:$C$153, 1, FALSE)</f>
        <v>#N/A</v>
      </c>
      <c r="AE228" t="e">
        <f>VLOOKUP(Table1[[#This Row],[Product_Name]],'c174_calc'!$A$2:$C$153, 2, FALSE)</f>
        <v>#N/A</v>
      </c>
      <c r="AF228" t="e">
        <f>VLOOKUP(Table1[[#This Row],[Product_Name]],'c174_calc'!$A$2:$C$153, 3, FALSE)</f>
        <v>#N/A</v>
      </c>
      <c r="AG228" t="e">
        <f>Table1[[#This Row],[vma]]=Table1[[#This Row],[MA_Number]]</f>
        <v>#N/A</v>
      </c>
    </row>
    <row r="229" spans="1:33" hidden="1" x14ac:dyDescent="0.3">
      <c r="A229" t="s">
        <v>850</v>
      </c>
      <c r="B229" s="1">
        <v>7235053630</v>
      </c>
      <c r="C229" s="1"/>
      <c r="D229" t="s">
        <v>278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AA229" t="e">
        <f>Table1[[#This Row],[qPer board]]*Table1[[#This Row],[boards]]</f>
        <v>#REF!</v>
      </c>
      <c r="AB229" t="e">
        <f>VLOOKUP(Table1[[#This Row],[MA_Number]],#REF!, 2,FALSE)</f>
        <v>#REF!</v>
      </c>
      <c r="AD229" t="e">
        <f>VLOOKUP(Table1[[#This Row],[Product_Name]],'c174_calc'!$A$2:$C$153, 1, FALSE)</f>
        <v>#N/A</v>
      </c>
      <c r="AE229" t="e">
        <f>VLOOKUP(Table1[[#This Row],[Product_Name]],'c174_calc'!$A$2:$C$153, 2, FALSE)</f>
        <v>#N/A</v>
      </c>
      <c r="AF229" t="e">
        <f>VLOOKUP(Table1[[#This Row],[Product_Name]],'c174_calc'!$A$2:$C$153, 3, FALSE)</f>
        <v>#N/A</v>
      </c>
      <c r="AG229" t="e">
        <f>Table1[[#This Row],[vma]]=Table1[[#This Row],[MA_Number]]</f>
        <v>#N/A</v>
      </c>
    </row>
    <row r="230" spans="1:33" hidden="1" x14ac:dyDescent="0.3">
      <c r="A230" t="s">
        <v>855</v>
      </c>
      <c r="B230" s="1" t="s">
        <v>602</v>
      </c>
      <c r="C230" s="1"/>
      <c r="D230" t="s">
        <v>278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60</v>
      </c>
      <c r="Y230" t="s">
        <v>2376</v>
      </c>
      <c r="Z230" t="s">
        <v>2377</v>
      </c>
      <c r="AA230">
        <f>Table1[[#This Row],[qPer board]]*Table1[[#This Row],[boards]]</f>
        <v>15</v>
      </c>
      <c r="AB230">
        <f>Table1[[#This Row],[vqty]]</f>
        <v>1</v>
      </c>
      <c r="AC230">
        <v>15</v>
      </c>
      <c r="AD230" t="str">
        <f>VLOOKUP(Table1[[#This Row],[Product_Name]],'c174_calc'!$A$2:$C$153, 1, FALSE)</f>
        <v>ASSY_59Z063DC0F</v>
      </c>
      <c r="AE230" t="str">
        <f>VLOOKUP(Table1[[#This Row],[Product_Name]],'c174_calc'!$A$2:$C$153, 2, FALSE)</f>
        <v>10.21.77046A</v>
      </c>
      <c r="AF230">
        <f>VLOOKUP(Table1[[#This Row],[Product_Name]],'c174_calc'!$A$2:$C$153, 3, FALSE)</f>
        <v>1</v>
      </c>
      <c r="AG230" t="b">
        <f>Table1[[#This Row],[vma]]=Table1[[#This Row],[MA_Number]]</f>
        <v>1</v>
      </c>
    </row>
    <row r="231" spans="1:33" hidden="1" x14ac:dyDescent="0.3">
      <c r="A231" t="s">
        <v>1861</v>
      </c>
      <c r="B231" s="1" t="s">
        <v>1203</v>
      </c>
      <c r="C231" s="1"/>
      <c r="D231" t="s">
        <v>278</v>
      </c>
      <c r="E231" t="s">
        <v>2017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AA231">
        <f>Table1[[#This Row],[qPer board]]*Table1[[#This Row],[boards]]</f>
        <v>0</v>
      </c>
      <c r="AB231">
        <v>2</v>
      </c>
      <c r="AD231" t="e">
        <f>VLOOKUP(Table1[[#This Row],[Product_Name]],'c174_calc'!$A$2:$C$153, 1, FALSE)</f>
        <v>#N/A</v>
      </c>
      <c r="AE231" t="e">
        <f>VLOOKUP(Table1[[#This Row],[Product_Name]],'c174_calc'!$A$2:$C$153, 2, FALSE)</f>
        <v>#N/A</v>
      </c>
      <c r="AF231" t="e">
        <f>VLOOKUP(Table1[[#This Row],[Product_Name]],'c174_calc'!$A$2:$C$153, 3, FALSE)</f>
        <v>#N/A</v>
      </c>
      <c r="AG231" t="e">
        <f>Table1[[#This Row],[vma]]=Table1[[#This Row],[MA_Number]]</f>
        <v>#N/A</v>
      </c>
    </row>
    <row r="232" spans="1:33" hidden="1" x14ac:dyDescent="0.3">
      <c r="A232" t="s">
        <v>856</v>
      </c>
      <c r="B232" s="1">
        <v>7003756102</v>
      </c>
      <c r="C232" s="1"/>
      <c r="D232" t="s">
        <v>278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60</v>
      </c>
      <c r="Y232" t="s">
        <v>2376</v>
      </c>
      <c r="Z232" t="s">
        <v>2377</v>
      </c>
      <c r="AA232">
        <f>Table1[[#This Row],[qPer board]]*Table1[[#This Row],[boards]]</f>
        <v>15</v>
      </c>
      <c r="AB232">
        <f>Table1[[#This Row],[vqty]]</f>
        <v>1</v>
      </c>
      <c r="AC232">
        <v>15</v>
      </c>
      <c r="AD232">
        <f>VLOOKUP(Table1[[#This Row],[Product_Name]],'c174_calc'!$A$2:$C$153, 1, FALSE)</f>
        <v>7003756102</v>
      </c>
      <c r="AE232" t="str">
        <f>VLOOKUP(Table1[[#This Row],[Product_Name]],'c174_calc'!$A$2:$C$153, 2, FALSE)</f>
        <v>10.21.77091A</v>
      </c>
      <c r="AF232">
        <f>VLOOKUP(Table1[[#This Row],[Product_Name]],'c174_calc'!$A$2:$C$153, 3, FALSE)</f>
        <v>1</v>
      </c>
      <c r="AG232" t="b">
        <f>Table1[[#This Row],[vma]]=Table1[[#This Row],[MA_Number]]</f>
        <v>1</v>
      </c>
    </row>
    <row r="233" spans="1:33" hidden="1" x14ac:dyDescent="0.3">
      <c r="A233" t="s">
        <v>857</v>
      </c>
      <c r="B233" s="1">
        <v>7119163630</v>
      </c>
      <c r="C233" s="1"/>
      <c r="D233" t="s">
        <v>278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AA233" t="e">
        <f>Table1[[#This Row],[qPer board]]*Table1[[#This Row],[boards]]</f>
        <v>#REF!</v>
      </c>
      <c r="AB233" t="e">
        <f>VLOOKUP(Table1[[#This Row],[MA_Number]],#REF!, 2,FALSE)</f>
        <v>#REF!</v>
      </c>
      <c r="AD233" t="e">
        <f>VLOOKUP(Table1[[#This Row],[Product_Name]],'c174_calc'!$A$2:$C$153, 1, FALSE)</f>
        <v>#N/A</v>
      </c>
      <c r="AE233" t="e">
        <f>VLOOKUP(Table1[[#This Row],[Product_Name]],'c174_calc'!$A$2:$C$153, 2, FALSE)</f>
        <v>#N/A</v>
      </c>
      <c r="AF233" t="e">
        <f>VLOOKUP(Table1[[#This Row],[Product_Name]],'c174_calc'!$A$2:$C$153, 3, FALSE)</f>
        <v>#N/A</v>
      </c>
      <c r="AG233" t="e">
        <f>Table1[[#This Row],[vma]]=Table1[[#This Row],[MA_Number]]</f>
        <v>#N/A</v>
      </c>
    </row>
    <row r="234" spans="1:33" hidden="1" x14ac:dyDescent="0.3">
      <c r="A234" t="s">
        <v>860</v>
      </c>
      <c r="B234" s="1">
        <v>7047135830</v>
      </c>
      <c r="C234" s="1" t="s">
        <v>858</v>
      </c>
      <c r="D234" t="s">
        <v>281</v>
      </c>
      <c r="E234" t="s">
        <v>859</v>
      </c>
      <c r="F234" t="b">
        <v>1</v>
      </c>
      <c r="I234">
        <v>1</v>
      </c>
      <c r="AA234">
        <f>Table1[[#This Row],[qPer board]]*Table1[[#This Row],[boards]]</f>
        <v>0</v>
      </c>
      <c r="AB234">
        <v>1</v>
      </c>
      <c r="AD234" t="e">
        <f>VLOOKUP(Table1[[#This Row],[Product_Name]],'c174_calc'!$A$2:$C$153, 1, FALSE)</f>
        <v>#N/A</v>
      </c>
      <c r="AE234" t="e">
        <f>VLOOKUP(Table1[[#This Row],[Product_Name]],'c174_calc'!$A$2:$C$153, 2, FALSE)</f>
        <v>#N/A</v>
      </c>
      <c r="AF234" t="e">
        <f>VLOOKUP(Table1[[#This Row],[Product_Name]],'c174_calc'!$A$2:$C$153, 3, FALSE)</f>
        <v>#N/A</v>
      </c>
      <c r="AG234" t="e">
        <f>Table1[[#This Row],[vma]]=Table1[[#This Row],[MA_Number]]</f>
        <v>#N/A</v>
      </c>
    </row>
    <row r="235" spans="1:33" hidden="1" x14ac:dyDescent="0.3">
      <c r="B235" s="1">
        <v>7047135830</v>
      </c>
      <c r="C235" s="1"/>
      <c r="G235" t="s">
        <v>860</v>
      </c>
      <c r="H235" t="s">
        <v>861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AA235">
        <f>Table1[[#This Row],[qPer board]]*Table1[[#This Row],[boards]]</f>
        <v>0</v>
      </c>
      <c r="AB235">
        <v>1</v>
      </c>
      <c r="AD235" t="e">
        <f>VLOOKUP(Table1[[#This Row],[Product_Name]],'c174_calc'!$A$2:$C$153, 1, FALSE)</f>
        <v>#N/A</v>
      </c>
      <c r="AE235" t="e">
        <f>VLOOKUP(Table1[[#This Row],[Product_Name]],'c174_calc'!$A$2:$C$153, 2, FALSE)</f>
        <v>#N/A</v>
      </c>
      <c r="AF235" t="e">
        <f>VLOOKUP(Table1[[#This Row],[Product_Name]],'c174_calc'!$A$2:$C$153, 3, FALSE)</f>
        <v>#N/A</v>
      </c>
      <c r="AG235" t="e">
        <f>Table1[[#This Row],[vma]]=Table1[[#This Row],[MA_Number]]</f>
        <v>#N/A</v>
      </c>
    </row>
    <row r="236" spans="1:33" hidden="1" x14ac:dyDescent="0.3">
      <c r="B236" s="1">
        <v>7047135830</v>
      </c>
      <c r="C236" s="1"/>
      <c r="G236" t="s">
        <v>860</v>
      </c>
      <c r="H236" t="s">
        <v>862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AA236">
        <f>Table1[[#This Row],[qPer board]]*Table1[[#This Row],[boards]]</f>
        <v>0</v>
      </c>
      <c r="AB236">
        <v>1</v>
      </c>
      <c r="AD236" t="e">
        <f>VLOOKUP(Table1[[#This Row],[Product_Name]],'c174_calc'!$A$2:$C$153, 1, FALSE)</f>
        <v>#N/A</v>
      </c>
      <c r="AE236" t="e">
        <f>VLOOKUP(Table1[[#This Row],[Product_Name]],'c174_calc'!$A$2:$C$153, 2, FALSE)</f>
        <v>#N/A</v>
      </c>
      <c r="AF236" t="e">
        <f>VLOOKUP(Table1[[#This Row],[Product_Name]],'c174_calc'!$A$2:$C$153, 3, FALSE)</f>
        <v>#N/A</v>
      </c>
      <c r="AG236" t="e">
        <f>Table1[[#This Row],[vma]]=Table1[[#This Row],[MA_Number]]</f>
        <v>#N/A</v>
      </c>
    </row>
    <row r="237" spans="1:33" hidden="1" x14ac:dyDescent="0.3">
      <c r="A237" t="s">
        <v>864</v>
      </c>
      <c r="B237" s="1">
        <v>7047186030</v>
      </c>
      <c r="C237" s="1" t="s">
        <v>863</v>
      </c>
      <c r="D237" t="s">
        <v>281</v>
      </c>
      <c r="E237" t="s">
        <v>859</v>
      </c>
      <c r="F237" t="b">
        <v>1</v>
      </c>
      <c r="I237">
        <v>1</v>
      </c>
      <c r="AA237">
        <f>Table1[[#This Row],[qPer board]]*Table1[[#This Row],[boards]]</f>
        <v>0</v>
      </c>
      <c r="AB237">
        <v>6</v>
      </c>
      <c r="AD237" t="e">
        <f>VLOOKUP(Table1[[#This Row],[Product_Name]],'c174_calc'!$A$2:$C$153, 1, FALSE)</f>
        <v>#N/A</v>
      </c>
      <c r="AE237" t="e">
        <f>VLOOKUP(Table1[[#This Row],[Product_Name]],'c174_calc'!$A$2:$C$153, 2, FALSE)</f>
        <v>#N/A</v>
      </c>
      <c r="AF237" t="e">
        <f>VLOOKUP(Table1[[#This Row],[Product_Name]],'c174_calc'!$A$2:$C$153, 3, FALSE)</f>
        <v>#N/A</v>
      </c>
      <c r="AG237" t="e">
        <f>Table1[[#This Row],[vma]]=Table1[[#This Row],[MA_Number]]</f>
        <v>#N/A</v>
      </c>
    </row>
    <row r="238" spans="1:33" hidden="1" x14ac:dyDescent="0.3">
      <c r="B238" s="1">
        <v>7047186030</v>
      </c>
      <c r="C238" s="1"/>
      <c r="G238" t="s">
        <v>864</v>
      </c>
      <c r="H238" t="s">
        <v>865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AA238">
        <f>Table1[[#This Row],[qPer board]]*Table1[[#This Row],[boards]]</f>
        <v>0</v>
      </c>
      <c r="AB238">
        <v>6</v>
      </c>
      <c r="AD238" t="e">
        <f>VLOOKUP(Table1[[#This Row],[Product_Name]],'c174_calc'!$A$2:$C$153, 1, FALSE)</f>
        <v>#N/A</v>
      </c>
      <c r="AE238" t="e">
        <f>VLOOKUP(Table1[[#This Row],[Product_Name]],'c174_calc'!$A$2:$C$153, 2, FALSE)</f>
        <v>#N/A</v>
      </c>
      <c r="AF238" t="e">
        <f>VLOOKUP(Table1[[#This Row],[Product_Name]],'c174_calc'!$A$2:$C$153, 3, FALSE)</f>
        <v>#N/A</v>
      </c>
      <c r="AG238" t="e">
        <f>Table1[[#This Row],[vma]]=Table1[[#This Row],[MA_Number]]</f>
        <v>#N/A</v>
      </c>
    </row>
    <row r="239" spans="1:33" hidden="1" x14ac:dyDescent="0.3">
      <c r="B239" s="1">
        <v>7047186030</v>
      </c>
      <c r="C239" s="1"/>
      <c r="G239" t="s">
        <v>864</v>
      </c>
      <c r="H239" t="s">
        <v>866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AA239">
        <f>Table1[[#This Row],[qPer board]]*Table1[[#This Row],[boards]]</f>
        <v>0</v>
      </c>
      <c r="AB239">
        <v>6</v>
      </c>
      <c r="AD239" t="e">
        <f>VLOOKUP(Table1[[#This Row],[Product_Name]],'c174_calc'!$A$2:$C$153, 1, FALSE)</f>
        <v>#N/A</v>
      </c>
      <c r="AE239" t="e">
        <f>VLOOKUP(Table1[[#This Row],[Product_Name]],'c174_calc'!$A$2:$C$153, 2, FALSE)</f>
        <v>#N/A</v>
      </c>
      <c r="AF239" t="e">
        <f>VLOOKUP(Table1[[#This Row],[Product_Name]],'c174_calc'!$A$2:$C$153, 3, FALSE)</f>
        <v>#N/A</v>
      </c>
      <c r="AG239" t="e">
        <f>Table1[[#This Row],[vma]]=Table1[[#This Row],[MA_Number]]</f>
        <v>#N/A</v>
      </c>
    </row>
    <row r="240" spans="1:33" hidden="1" x14ac:dyDescent="0.3">
      <c r="A240" t="s">
        <v>962</v>
      </c>
      <c r="B240" s="1">
        <v>7119172930</v>
      </c>
      <c r="C240" s="1"/>
      <c r="D240" t="s">
        <v>278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AA240" t="e">
        <f>Table1[[#This Row],[qPer board]]*Table1[[#This Row],[boards]]</f>
        <v>#REF!</v>
      </c>
      <c r="AB240" t="e">
        <f>VLOOKUP(Table1[[#This Row],[MA_Number]],#REF!, 2,FALSE)</f>
        <v>#REF!</v>
      </c>
      <c r="AD240" t="e">
        <f>VLOOKUP(Table1[[#This Row],[Product_Name]],'c174_calc'!$A$2:$C$153, 1, FALSE)</f>
        <v>#N/A</v>
      </c>
      <c r="AE240" t="e">
        <f>VLOOKUP(Table1[[#This Row],[Product_Name]],'c174_calc'!$A$2:$C$153, 2, FALSE)</f>
        <v>#N/A</v>
      </c>
      <c r="AF240" t="e">
        <f>VLOOKUP(Table1[[#This Row],[Product_Name]],'c174_calc'!$A$2:$C$153, 3, FALSE)</f>
        <v>#N/A</v>
      </c>
      <c r="AG240" t="e">
        <f>Table1[[#This Row],[vma]]=Table1[[#This Row],[MA_Number]]</f>
        <v>#N/A</v>
      </c>
    </row>
    <row r="241" spans="1:33" hidden="1" x14ac:dyDescent="0.3">
      <c r="A241" t="s">
        <v>986</v>
      </c>
      <c r="B241" s="1">
        <v>71782472</v>
      </c>
      <c r="C241" s="1"/>
      <c r="D241" t="s">
        <v>278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AA241" t="e">
        <f>Table1[[#This Row],[qPer board]]*Table1[[#This Row],[boards]]</f>
        <v>#REF!</v>
      </c>
      <c r="AB241" t="e">
        <f>VLOOKUP(Table1[[#This Row],[MA_Number]],#REF!, 2,FALSE)</f>
        <v>#REF!</v>
      </c>
      <c r="AD241" t="e">
        <f>VLOOKUP(Table1[[#This Row],[Product_Name]],'c174_calc'!$A$2:$C$153, 1, FALSE)</f>
        <v>#N/A</v>
      </c>
      <c r="AE241" t="e">
        <f>VLOOKUP(Table1[[#This Row],[Product_Name]],'c174_calc'!$A$2:$C$153, 2, FALSE)</f>
        <v>#N/A</v>
      </c>
      <c r="AF241" t="e">
        <f>VLOOKUP(Table1[[#This Row],[Product_Name]],'c174_calc'!$A$2:$C$153, 3, FALSE)</f>
        <v>#N/A</v>
      </c>
      <c r="AG241" t="e">
        <f>Table1[[#This Row],[vma]]=Table1[[#This Row],[MA_Number]]</f>
        <v>#N/A</v>
      </c>
    </row>
    <row r="242" spans="1:33" hidden="1" x14ac:dyDescent="0.3">
      <c r="A242" t="s">
        <v>964</v>
      </c>
      <c r="B242" s="1">
        <v>71897277</v>
      </c>
      <c r="C242" s="1"/>
      <c r="D242" t="s">
        <v>278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AA242" t="e">
        <f>Table1[[#This Row],[qPer board]]*Table1[[#This Row],[boards]]</f>
        <v>#REF!</v>
      </c>
      <c r="AB242" t="e">
        <f>VLOOKUP(Table1[[#This Row],[MA_Number]],#REF!, 2,FALSE)</f>
        <v>#REF!</v>
      </c>
      <c r="AD242" t="e">
        <f>VLOOKUP(Table1[[#This Row],[Product_Name]],'c174_calc'!$A$2:$C$153, 1, FALSE)</f>
        <v>#N/A</v>
      </c>
      <c r="AE242" t="e">
        <f>VLOOKUP(Table1[[#This Row],[Product_Name]],'c174_calc'!$A$2:$C$153, 2, FALSE)</f>
        <v>#N/A</v>
      </c>
      <c r="AF242" t="e">
        <f>VLOOKUP(Table1[[#This Row],[Product_Name]],'c174_calc'!$A$2:$C$153, 3, FALSE)</f>
        <v>#N/A</v>
      </c>
      <c r="AG242" t="e">
        <f>Table1[[#This Row],[vma]]=Table1[[#This Row],[MA_Number]]</f>
        <v>#N/A</v>
      </c>
    </row>
    <row r="243" spans="1:33" hidden="1" x14ac:dyDescent="0.3">
      <c r="A243" t="s">
        <v>969</v>
      </c>
      <c r="B243" s="1">
        <v>7289982670</v>
      </c>
      <c r="C243" s="1"/>
      <c r="D243" t="s">
        <v>278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AA243" t="e">
        <f>Table1[[#This Row],[qPer board]]*Table1[[#This Row],[boards]]</f>
        <v>#REF!</v>
      </c>
      <c r="AB243" t="e">
        <f>VLOOKUP(Table1[[#This Row],[MA_Number]],#REF!, 2,FALSE)</f>
        <v>#REF!</v>
      </c>
      <c r="AD243" t="e">
        <f>VLOOKUP(Table1[[#This Row],[Product_Name]],'c174_calc'!$A$2:$C$153, 1, FALSE)</f>
        <v>#N/A</v>
      </c>
      <c r="AE243" t="e">
        <f>VLOOKUP(Table1[[#This Row],[Product_Name]],'c174_calc'!$A$2:$C$153, 2, FALSE)</f>
        <v>#N/A</v>
      </c>
      <c r="AF243" t="e">
        <f>VLOOKUP(Table1[[#This Row],[Product_Name]],'c174_calc'!$A$2:$C$153, 3, FALSE)</f>
        <v>#N/A</v>
      </c>
      <c r="AG243" t="e">
        <f>Table1[[#This Row],[vma]]=Table1[[#This Row],[MA_Number]]</f>
        <v>#N/A</v>
      </c>
    </row>
    <row r="244" spans="1:33" hidden="1" x14ac:dyDescent="0.3">
      <c r="A244" t="s">
        <v>968</v>
      </c>
      <c r="B244" s="1">
        <v>7035990930</v>
      </c>
      <c r="C244" s="1"/>
      <c r="D244" t="s">
        <v>278</v>
      </c>
      <c r="E244" t="s">
        <v>966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AA244" t="e">
        <f>Table1[[#This Row],[qPer board]]*Table1[[#This Row],[boards]]</f>
        <v>#REF!</v>
      </c>
      <c r="AB244" t="e">
        <f>VLOOKUP(Table1[[#This Row],[MA_Number]],#REF!, 2,FALSE)</f>
        <v>#REF!</v>
      </c>
      <c r="AD244" t="e">
        <f>VLOOKUP(Table1[[#This Row],[Product_Name]],'c174_calc'!$A$2:$C$153, 1, FALSE)</f>
        <v>#N/A</v>
      </c>
      <c r="AE244" t="e">
        <f>VLOOKUP(Table1[[#This Row],[Product_Name]],'c174_calc'!$A$2:$C$153, 2, FALSE)</f>
        <v>#N/A</v>
      </c>
      <c r="AF244" t="e">
        <f>VLOOKUP(Table1[[#This Row],[Product_Name]],'c174_calc'!$A$2:$C$153, 3, FALSE)</f>
        <v>#N/A</v>
      </c>
      <c r="AG244" t="e">
        <f>Table1[[#This Row],[vma]]=Table1[[#This Row],[MA_Number]]</f>
        <v>#N/A</v>
      </c>
    </row>
    <row r="245" spans="1:33" hidden="1" x14ac:dyDescent="0.3">
      <c r="A245" t="s">
        <v>967</v>
      </c>
      <c r="B245" s="1">
        <v>7035990930</v>
      </c>
      <c r="C245" s="1"/>
      <c r="D245" t="s">
        <v>278</v>
      </c>
      <c r="E245" t="s">
        <v>965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AA245" t="e">
        <f>Table1[[#This Row],[qPer board]]*Table1[[#This Row],[boards]]</f>
        <v>#REF!</v>
      </c>
      <c r="AB245" t="e">
        <f>VLOOKUP(Table1[[#This Row],[MA_Number]],#REF!, 2,FALSE)</f>
        <v>#REF!</v>
      </c>
      <c r="AD245" t="e">
        <f>VLOOKUP(Table1[[#This Row],[Product_Name]],'c174_calc'!$A$2:$C$153, 1, FALSE)</f>
        <v>#N/A</v>
      </c>
      <c r="AE245" t="e">
        <f>VLOOKUP(Table1[[#This Row],[Product_Name]],'c174_calc'!$A$2:$C$153, 2, FALSE)</f>
        <v>#N/A</v>
      </c>
      <c r="AF245" t="e">
        <f>VLOOKUP(Table1[[#This Row],[Product_Name]],'c174_calc'!$A$2:$C$153, 3, FALSE)</f>
        <v>#N/A</v>
      </c>
      <c r="AG245" t="e">
        <f>Table1[[#This Row],[vma]]=Table1[[#This Row],[MA_Number]]</f>
        <v>#N/A</v>
      </c>
    </row>
    <row r="246" spans="1:33" hidden="1" x14ac:dyDescent="0.3">
      <c r="A246" t="s">
        <v>963</v>
      </c>
      <c r="B246" s="1">
        <v>7075181330</v>
      </c>
      <c r="C246" s="1"/>
      <c r="D246" t="s">
        <v>278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AA246" t="e">
        <f>Table1[[#This Row],[qPer board]]*Table1[[#This Row],[boards]]</f>
        <v>#REF!</v>
      </c>
      <c r="AB246" t="e">
        <f>VLOOKUP(Table1[[#This Row],[MA_Number]],#REF!, 2,FALSE)</f>
        <v>#REF!</v>
      </c>
      <c r="AD246" t="e">
        <f>VLOOKUP(Table1[[#This Row],[Product_Name]],'c174_calc'!$A$2:$C$153, 1, FALSE)</f>
        <v>#N/A</v>
      </c>
      <c r="AE246" t="e">
        <f>VLOOKUP(Table1[[#This Row],[Product_Name]],'c174_calc'!$A$2:$C$153, 2, FALSE)</f>
        <v>#N/A</v>
      </c>
      <c r="AF246" t="e">
        <f>VLOOKUP(Table1[[#This Row],[Product_Name]],'c174_calc'!$A$2:$C$153, 3, FALSE)</f>
        <v>#N/A</v>
      </c>
      <c r="AG246" t="e">
        <f>Table1[[#This Row],[vma]]=Table1[[#This Row],[MA_Number]]</f>
        <v>#N/A</v>
      </c>
    </row>
    <row r="247" spans="1:33" hidden="1" x14ac:dyDescent="0.3">
      <c r="A247" t="s">
        <v>1197</v>
      </c>
      <c r="B247" s="1">
        <v>7198599230</v>
      </c>
      <c r="C247" s="1"/>
      <c r="D247" t="s">
        <v>278</v>
      </c>
      <c r="E247" t="s">
        <v>1198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AA247" t="e">
        <f>Table1[[#This Row],[qPer board]]*Table1[[#This Row],[boards]]</f>
        <v>#REF!</v>
      </c>
      <c r="AB247" t="e">
        <f>VLOOKUP(Table1[[#This Row],[MA_Number]],#REF!, 2,FALSE)</f>
        <v>#REF!</v>
      </c>
      <c r="AD247" t="e">
        <f>VLOOKUP(Table1[[#This Row],[Product_Name]],'c174_calc'!$A$2:$C$153, 1, FALSE)</f>
        <v>#N/A</v>
      </c>
      <c r="AE247" t="e">
        <f>VLOOKUP(Table1[[#This Row],[Product_Name]],'c174_calc'!$A$2:$C$153, 2, FALSE)</f>
        <v>#N/A</v>
      </c>
      <c r="AF247" t="e">
        <f>VLOOKUP(Table1[[#This Row],[Product_Name]],'c174_calc'!$A$2:$C$153, 3, FALSE)</f>
        <v>#N/A</v>
      </c>
      <c r="AG247" t="e">
        <f>Table1[[#This Row],[vma]]=Table1[[#This Row],[MA_Number]]</f>
        <v>#N/A</v>
      </c>
    </row>
    <row r="248" spans="1:33" hidden="1" x14ac:dyDescent="0.3">
      <c r="A248" t="s">
        <v>1750</v>
      </c>
      <c r="B248" s="1">
        <v>7235952330</v>
      </c>
      <c r="C248" s="1"/>
      <c r="D248" t="s">
        <v>278</v>
      </c>
      <c r="E248" t="s">
        <v>1746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AA248" t="e">
        <f>Table1[[#This Row],[qPer board]]*Table1[[#This Row],[boards]]</f>
        <v>#REF!</v>
      </c>
      <c r="AB248" t="e">
        <f>VLOOKUP(Table1[[#This Row],[MA_Number]],#REF!, 2,FALSE)</f>
        <v>#REF!</v>
      </c>
      <c r="AD248" t="e">
        <f>VLOOKUP(Table1[[#This Row],[Product_Name]],'c174_calc'!$A$2:$C$153, 1, FALSE)</f>
        <v>#N/A</v>
      </c>
      <c r="AE248" t="e">
        <f>VLOOKUP(Table1[[#This Row],[Product_Name]],'c174_calc'!$A$2:$C$153, 2, FALSE)</f>
        <v>#N/A</v>
      </c>
      <c r="AF248" t="e">
        <f>VLOOKUP(Table1[[#This Row],[Product_Name]],'c174_calc'!$A$2:$C$153, 3, FALSE)</f>
        <v>#N/A</v>
      </c>
      <c r="AG248" t="e">
        <f>Table1[[#This Row],[vma]]=Table1[[#This Row],[MA_Number]]</f>
        <v>#N/A</v>
      </c>
    </row>
    <row r="249" spans="1:33" hidden="1" x14ac:dyDescent="0.3">
      <c r="A249" t="s">
        <v>985</v>
      </c>
      <c r="B249" s="1">
        <v>7287547130</v>
      </c>
      <c r="C249" s="1"/>
      <c r="D249" t="s">
        <v>278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AA249" t="e">
        <f>Table1[[#This Row],[qPer board]]*Table1[[#This Row],[boards]]</f>
        <v>#REF!</v>
      </c>
      <c r="AB249" t="e">
        <f>VLOOKUP(Table1[[#This Row],[MA_Number]],#REF!, 2,FALSE)</f>
        <v>#REF!</v>
      </c>
      <c r="AD249" t="e">
        <f>VLOOKUP(Table1[[#This Row],[Product_Name]],'c174_calc'!$A$2:$C$153, 1, FALSE)</f>
        <v>#N/A</v>
      </c>
      <c r="AE249" t="e">
        <f>VLOOKUP(Table1[[#This Row],[Product_Name]],'c174_calc'!$A$2:$C$153, 2, FALSE)</f>
        <v>#N/A</v>
      </c>
      <c r="AF249" t="e">
        <f>VLOOKUP(Table1[[#This Row],[Product_Name]],'c174_calc'!$A$2:$C$153, 3, FALSE)</f>
        <v>#N/A</v>
      </c>
      <c r="AG249" t="e">
        <f>Table1[[#This Row],[vma]]=Table1[[#This Row],[MA_Number]]</f>
        <v>#N/A</v>
      </c>
    </row>
    <row r="250" spans="1:33" hidden="1" x14ac:dyDescent="0.3">
      <c r="A250" t="s">
        <v>978</v>
      </c>
      <c r="B250" s="1">
        <v>7252809330</v>
      </c>
      <c r="C250" s="1"/>
      <c r="D250" t="s">
        <v>281</v>
      </c>
      <c r="E250" t="s">
        <v>859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AA250">
        <f>Table1[[#This Row],[qPer board]]*Table1[[#This Row],[boards]]</f>
        <v>0</v>
      </c>
      <c r="AB250">
        <v>1</v>
      </c>
      <c r="AD250" t="e">
        <f>VLOOKUP(Table1[[#This Row],[Product_Name]],'c174_calc'!$A$2:$C$153, 1, FALSE)</f>
        <v>#N/A</v>
      </c>
      <c r="AE250" t="e">
        <f>VLOOKUP(Table1[[#This Row],[Product_Name]],'c174_calc'!$A$2:$C$153, 2, FALSE)</f>
        <v>#N/A</v>
      </c>
      <c r="AF250" t="e">
        <f>VLOOKUP(Table1[[#This Row],[Product_Name]],'c174_calc'!$A$2:$C$153, 3, FALSE)</f>
        <v>#N/A</v>
      </c>
      <c r="AG250" t="e">
        <f>Table1[[#This Row],[vma]]=Table1[[#This Row],[MA_Number]]</f>
        <v>#N/A</v>
      </c>
    </row>
    <row r="251" spans="1:33" hidden="1" x14ac:dyDescent="0.3">
      <c r="B251" s="1">
        <v>7252809330</v>
      </c>
      <c r="C251" s="1"/>
      <c r="G251" t="s">
        <v>978</v>
      </c>
      <c r="H251" t="s">
        <v>979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AA251">
        <f>Table1[[#This Row],[qPer board]]*Table1[[#This Row],[boards]]</f>
        <v>0</v>
      </c>
      <c r="AB251">
        <v>1</v>
      </c>
      <c r="AD251" t="e">
        <f>VLOOKUP(Table1[[#This Row],[Product_Name]],'c174_calc'!$A$2:$C$153, 1, FALSE)</f>
        <v>#N/A</v>
      </c>
      <c r="AE251" t="e">
        <f>VLOOKUP(Table1[[#This Row],[Product_Name]],'c174_calc'!$A$2:$C$153, 2, FALSE)</f>
        <v>#N/A</v>
      </c>
      <c r="AF251" t="e">
        <f>VLOOKUP(Table1[[#This Row],[Product_Name]],'c174_calc'!$A$2:$C$153, 3, FALSE)</f>
        <v>#N/A</v>
      </c>
      <c r="AG251" t="e">
        <f>Table1[[#This Row],[vma]]=Table1[[#This Row],[MA_Number]]</f>
        <v>#N/A</v>
      </c>
    </row>
    <row r="252" spans="1:33" hidden="1" x14ac:dyDescent="0.3">
      <c r="B252" s="1">
        <v>7252809330</v>
      </c>
      <c r="C252" s="1"/>
      <c r="G252" t="s">
        <v>978</v>
      </c>
      <c r="H252" t="s">
        <v>980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AA252">
        <f>Table1[[#This Row],[qPer board]]*Table1[[#This Row],[boards]]</f>
        <v>0</v>
      </c>
      <c r="AB252">
        <v>1</v>
      </c>
      <c r="AD252" t="e">
        <f>VLOOKUP(Table1[[#This Row],[Product_Name]],'c174_calc'!$A$2:$C$153, 1, FALSE)</f>
        <v>#N/A</v>
      </c>
      <c r="AE252" t="e">
        <f>VLOOKUP(Table1[[#This Row],[Product_Name]],'c174_calc'!$A$2:$C$153, 2, FALSE)</f>
        <v>#N/A</v>
      </c>
      <c r="AF252" t="e">
        <f>VLOOKUP(Table1[[#This Row],[Product_Name]],'c174_calc'!$A$2:$C$153, 3, FALSE)</f>
        <v>#N/A</v>
      </c>
      <c r="AG252" t="e">
        <f>Table1[[#This Row],[vma]]=Table1[[#This Row],[MA_Number]]</f>
        <v>#N/A</v>
      </c>
    </row>
    <row r="253" spans="1:33" hidden="1" x14ac:dyDescent="0.3">
      <c r="A253" t="s">
        <v>981</v>
      </c>
      <c r="B253" s="1">
        <v>7047052330</v>
      </c>
      <c r="C253" s="1"/>
      <c r="D253" t="s">
        <v>281</v>
      </c>
      <c r="E253" t="s">
        <v>859</v>
      </c>
      <c r="F253" t="b">
        <v>1</v>
      </c>
      <c r="I253">
        <v>1</v>
      </c>
      <c r="AA253">
        <f>Table1[[#This Row],[qPer board]]*Table1[[#This Row],[boards]]</f>
        <v>0</v>
      </c>
      <c r="AB253">
        <v>2</v>
      </c>
      <c r="AD253" t="e">
        <f>VLOOKUP(Table1[[#This Row],[Product_Name]],'c174_calc'!$A$2:$C$153, 1, FALSE)</f>
        <v>#N/A</v>
      </c>
      <c r="AE253" t="e">
        <f>VLOOKUP(Table1[[#This Row],[Product_Name]],'c174_calc'!$A$2:$C$153, 2, FALSE)</f>
        <v>#N/A</v>
      </c>
      <c r="AF253" t="e">
        <f>VLOOKUP(Table1[[#This Row],[Product_Name]],'c174_calc'!$A$2:$C$153, 3, FALSE)</f>
        <v>#N/A</v>
      </c>
      <c r="AG253" t="e">
        <f>Table1[[#This Row],[vma]]=Table1[[#This Row],[MA_Number]]</f>
        <v>#N/A</v>
      </c>
    </row>
    <row r="254" spans="1:33" hidden="1" x14ac:dyDescent="0.3">
      <c r="B254" s="1">
        <v>7047052330</v>
      </c>
      <c r="C254" s="1"/>
      <c r="G254" t="s">
        <v>981</v>
      </c>
      <c r="H254" t="s">
        <v>982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AA254">
        <f>Table1[[#This Row],[qPer board]]*Table1[[#This Row],[boards]]</f>
        <v>0</v>
      </c>
      <c r="AB254">
        <v>2</v>
      </c>
      <c r="AD254" t="e">
        <f>VLOOKUP(Table1[[#This Row],[Product_Name]],'c174_calc'!$A$2:$C$153, 1, FALSE)</f>
        <v>#N/A</v>
      </c>
      <c r="AE254" t="e">
        <f>VLOOKUP(Table1[[#This Row],[Product_Name]],'c174_calc'!$A$2:$C$153, 2, FALSE)</f>
        <v>#N/A</v>
      </c>
      <c r="AF254" t="e">
        <f>VLOOKUP(Table1[[#This Row],[Product_Name]],'c174_calc'!$A$2:$C$153, 3, FALSE)</f>
        <v>#N/A</v>
      </c>
      <c r="AG254" t="e">
        <f>Table1[[#This Row],[vma]]=Table1[[#This Row],[MA_Number]]</f>
        <v>#N/A</v>
      </c>
    </row>
    <row r="255" spans="1:33" hidden="1" x14ac:dyDescent="0.3">
      <c r="B255" s="1">
        <v>7047052330</v>
      </c>
      <c r="C255" s="1"/>
      <c r="G255" t="s">
        <v>981</v>
      </c>
      <c r="H255" t="s">
        <v>983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AA255">
        <f>Table1[[#This Row],[qPer board]]*Table1[[#This Row],[boards]]</f>
        <v>0</v>
      </c>
      <c r="AB255">
        <v>2</v>
      </c>
      <c r="AD255" t="e">
        <f>VLOOKUP(Table1[[#This Row],[Product_Name]],'c174_calc'!$A$2:$C$153, 1, FALSE)</f>
        <v>#N/A</v>
      </c>
      <c r="AE255" t="e">
        <f>VLOOKUP(Table1[[#This Row],[Product_Name]],'c174_calc'!$A$2:$C$153, 2, FALSE)</f>
        <v>#N/A</v>
      </c>
      <c r="AF255" t="e">
        <f>VLOOKUP(Table1[[#This Row],[Product_Name]],'c174_calc'!$A$2:$C$153, 3, FALSE)</f>
        <v>#N/A</v>
      </c>
      <c r="AG255" t="e">
        <f>Table1[[#This Row],[vma]]=Table1[[#This Row],[MA_Number]]</f>
        <v>#N/A</v>
      </c>
    </row>
    <row r="256" spans="1:33" hidden="1" x14ac:dyDescent="0.3">
      <c r="A256" t="s">
        <v>972</v>
      </c>
      <c r="B256" s="1">
        <v>7052161430</v>
      </c>
      <c r="C256" s="1"/>
      <c r="D256" t="s">
        <v>281</v>
      </c>
      <c r="E256" t="s">
        <v>973</v>
      </c>
      <c r="F256" t="b">
        <v>1</v>
      </c>
      <c r="I256">
        <v>1</v>
      </c>
      <c r="AA256" t="e">
        <f>Table1[[#This Row],[qPer board]]*Table1[[#This Row],[boards]]</f>
        <v>#REF!</v>
      </c>
      <c r="AB256" t="e">
        <f>VLOOKUP(Table1[[#This Row],[MA_Number]],#REF!, 2,FALSE)</f>
        <v>#REF!</v>
      </c>
      <c r="AD256" t="e">
        <f>VLOOKUP(Table1[[#This Row],[Product_Name]],'c174_calc'!$A$2:$C$153, 1, FALSE)</f>
        <v>#N/A</v>
      </c>
      <c r="AE256" t="e">
        <f>VLOOKUP(Table1[[#This Row],[Product_Name]],'c174_calc'!$A$2:$C$153, 2, FALSE)</f>
        <v>#N/A</v>
      </c>
      <c r="AF256" t="e">
        <f>VLOOKUP(Table1[[#This Row],[Product_Name]],'c174_calc'!$A$2:$C$153, 3, FALSE)</f>
        <v>#N/A</v>
      </c>
      <c r="AG256" t="e">
        <f>Table1[[#This Row],[vma]]=Table1[[#This Row],[MA_Number]]</f>
        <v>#N/A</v>
      </c>
    </row>
    <row r="257" spans="1:33" hidden="1" x14ac:dyDescent="0.3">
      <c r="B257" s="1">
        <v>7052161430</v>
      </c>
      <c r="C257" s="1"/>
      <c r="G257" t="s">
        <v>972</v>
      </c>
      <c r="H257" t="s">
        <v>974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AA257" t="e">
        <f>Table1[[#This Row],[qPer board]]*Table1[[#This Row],[boards]]</f>
        <v>#REF!</v>
      </c>
      <c r="AB257" t="e">
        <f>VLOOKUP(Table1[[#This Row],[MA_Number]],#REF!, 2,FALSE)</f>
        <v>#REF!</v>
      </c>
      <c r="AD257" t="e">
        <f>VLOOKUP(Table1[[#This Row],[Product_Name]],'c174_calc'!$A$2:$C$153, 1, FALSE)</f>
        <v>#N/A</v>
      </c>
      <c r="AE257" t="e">
        <f>VLOOKUP(Table1[[#This Row],[Product_Name]],'c174_calc'!$A$2:$C$153, 2, FALSE)</f>
        <v>#N/A</v>
      </c>
      <c r="AF257" t="e">
        <f>VLOOKUP(Table1[[#This Row],[Product_Name]],'c174_calc'!$A$2:$C$153, 3, FALSE)</f>
        <v>#N/A</v>
      </c>
      <c r="AG257" t="e">
        <f>Table1[[#This Row],[vma]]=Table1[[#This Row],[MA_Number]]</f>
        <v>#N/A</v>
      </c>
    </row>
    <row r="258" spans="1:33" hidden="1" x14ac:dyDescent="0.3">
      <c r="B258" s="1">
        <v>7052161430</v>
      </c>
      <c r="C258" s="1"/>
      <c r="G258" t="s">
        <v>972</v>
      </c>
      <c r="H258" t="s">
        <v>975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AA258" t="e">
        <f>Table1[[#This Row],[qPer board]]*Table1[[#This Row],[boards]]</f>
        <v>#REF!</v>
      </c>
      <c r="AB258" t="e">
        <f>VLOOKUP(Table1[[#This Row],[MA_Number]],#REF!, 2,FALSE)</f>
        <v>#REF!</v>
      </c>
      <c r="AD258" t="e">
        <f>VLOOKUP(Table1[[#This Row],[Product_Name]],'c174_calc'!$A$2:$C$153, 1, FALSE)</f>
        <v>#N/A</v>
      </c>
      <c r="AE258" t="e">
        <f>VLOOKUP(Table1[[#This Row],[Product_Name]],'c174_calc'!$A$2:$C$153, 2, FALSE)</f>
        <v>#N/A</v>
      </c>
      <c r="AF258" t="e">
        <f>VLOOKUP(Table1[[#This Row],[Product_Name]],'c174_calc'!$A$2:$C$153, 3, FALSE)</f>
        <v>#N/A</v>
      </c>
      <c r="AG258" t="e">
        <f>Table1[[#This Row],[vma]]=Table1[[#This Row],[MA_Number]]</f>
        <v>#N/A</v>
      </c>
    </row>
    <row r="259" spans="1:33" hidden="1" x14ac:dyDescent="0.3">
      <c r="B259" s="1">
        <v>7052161430</v>
      </c>
      <c r="C259" s="1"/>
      <c r="G259" t="s">
        <v>972</v>
      </c>
      <c r="H259" t="s">
        <v>976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AA259" t="e">
        <f>Table1[[#This Row],[qPer board]]*Table1[[#This Row],[boards]]</f>
        <v>#REF!</v>
      </c>
      <c r="AB259" t="e">
        <f>VLOOKUP(Table1[[#This Row],[MA_Number]],#REF!, 2,FALSE)</f>
        <v>#REF!</v>
      </c>
      <c r="AD259" t="e">
        <f>VLOOKUP(Table1[[#This Row],[Product_Name]],'c174_calc'!$A$2:$C$153, 1, FALSE)</f>
        <v>#N/A</v>
      </c>
      <c r="AE259" t="e">
        <f>VLOOKUP(Table1[[#This Row],[Product_Name]],'c174_calc'!$A$2:$C$153, 2, FALSE)</f>
        <v>#N/A</v>
      </c>
      <c r="AF259" t="e">
        <f>VLOOKUP(Table1[[#This Row],[Product_Name]],'c174_calc'!$A$2:$C$153, 3, FALSE)</f>
        <v>#N/A</v>
      </c>
      <c r="AG259" t="e">
        <f>Table1[[#This Row],[vma]]=Table1[[#This Row],[MA_Number]]</f>
        <v>#N/A</v>
      </c>
    </row>
    <row r="260" spans="1:33" hidden="1" x14ac:dyDescent="0.3">
      <c r="A260" t="s">
        <v>874</v>
      </c>
      <c r="B260" s="1">
        <v>7147882430</v>
      </c>
      <c r="C260" s="1"/>
      <c r="D260" t="s">
        <v>281</v>
      </c>
      <c r="E260" t="s">
        <v>859</v>
      </c>
      <c r="F260" t="b">
        <v>1</v>
      </c>
      <c r="I260">
        <v>1</v>
      </c>
      <c r="AA260">
        <f>Table1[[#This Row],[qPer board]]*Table1[[#This Row],[boards]]</f>
        <v>0</v>
      </c>
      <c r="AB260">
        <v>1</v>
      </c>
      <c r="AD260" t="e">
        <f>VLOOKUP(Table1[[#This Row],[Product_Name]],'c174_calc'!$A$2:$C$153, 1, FALSE)</f>
        <v>#N/A</v>
      </c>
      <c r="AE260" t="e">
        <f>VLOOKUP(Table1[[#This Row],[Product_Name]],'c174_calc'!$A$2:$C$153, 2, FALSE)</f>
        <v>#N/A</v>
      </c>
      <c r="AF260" t="e">
        <f>VLOOKUP(Table1[[#This Row],[Product_Name]],'c174_calc'!$A$2:$C$153, 3, FALSE)</f>
        <v>#N/A</v>
      </c>
      <c r="AG260" t="e">
        <f>Table1[[#This Row],[vma]]=Table1[[#This Row],[MA_Number]]</f>
        <v>#N/A</v>
      </c>
    </row>
    <row r="261" spans="1:33" hidden="1" x14ac:dyDescent="0.3">
      <c r="B261" s="1">
        <v>7147882430</v>
      </c>
      <c r="C261" s="1"/>
      <c r="G261" t="s">
        <v>874</v>
      </c>
      <c r="H261" t="s">
        <v>875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AA261">
        <f>Table1[[#This Row],[qPer board]]*Table1[[#This Row],[boards]]</f>
        <v>0</v>
      </c>
      <c r="AB261">
        <v>1</v>
      </c>
      <c r="AD261" t="e">
        <f>VLOOKUP(Table1[[#This Row],[Product_Name]],'c174_calc'!$A$2:$C$153, 1, FALSE)</f>
        <v>#N/A</v>
      </c>
      <c r="AE261" t="e">
        <f>VLOOKUP(Table1[[#This Row],[Product_Name]],'c174_calc'!$A$2:$C$153, 2, FALSE)</f>
        <v>#N/A</v>
      </c>
      <c r="AF261" t="e">
        <f>VLOOKUP(Table1[[#This Row],[Product_Name]],'c174_calc'!$A$2:$C$153, 3, FALSE)</f>
        <v>#N/A</v>
      </c>
      <c r="AG261" t="e">
        <f>Table1[[#This Row],[vma]]=Table1[[#This Row],[MA_Number]]</f>
        <v>#N/A</v>
      </c>
    </row>
    <row r="262" spans="1:33" hidden="1" x14ac:dyDescent="0.3">
      <c r="B262" s="1">
        <v>7147882430</v>
      </c>
      <c r="C262" s="1"/>
      <c r="G262" t="s">
        <v>874</v>
      </c>
      <c r="H262" t="s">
        <v>876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AA262">
        <f>Table1[[#This Row],[qPer board]]*Table1[[#This Row],[boards]]</f>
        <v>0</v>
      </c>
      <c r="AB262">
        <v>1</v>
      </c>
      <c r="AD262" t="e">
        <f>VLOOKUP(Table1[[#This Row],[Product_Name]],'c174_calc'!$A$2:$C$153, 1, FALSE)</f>
        <v>#N/A</v>
      </c>
      <c r="AE262" t="e">
        <f>VLOOKUP(Table1[[#This Row],[Product_Name]],'c174_calc'!$A$2:$C$153, 2, FALSE)</f>
        <v>#N/A</v>
      </c>
      <c r="AF262" t="e">
        <f>VLOOKUP(Table1[[#This Row],[Product_Name]],'c174_calc'!$A$2:$C$153, 3, FALSE)</f>
        <v>#N/A</v>
      </c>
      <c r="AG262" t="e">
        <f>Table1[[#This Row],[vma]]=Table1[[#This Row],[MA_Number]]</f>
        <v>#N/A</v>
      </c>
    </row>
    <row r="263" spans="1:33" hidden="1" x14ac:dyDescent="0.3">
      <c r="A263" t="s">
        <v>936</v>
      </c>
      <c r="B263" s="1">
        <v>7247760930</v>
      </c>
      <c r="C263" s="1"/>
      <c r="D263" t="s">
        <v>281</v>
      </c>
      <c r="E263" t="s">
        <v>859</v>
      </c>
      <c r="F263" t="b">
        <v>1</v>
      </c>
      <c r="I263">
        <v>1</v>
      </c>
      <c r="AA263">
        <f>Table1[[#This Row],[qPer board]]*Table1[[#This Row],[boards]]</f>
        <v>0</v>
      </c>
      <c r="AB263">
        <v>1</v>
      </c>
      <c r="AD263" t="e">
        <f>VLOOKUP(Table1[[#This Row],[Product_Name]],'c174_calc'!$A$2:$C$153, 1, FALSE)</f>
        <v>#N/A</v>
      </c>
      <c r="AE263" t="e">
        <f>VLOOKUP(Table1[[#This Row],[Product_Name]],'c174_calc'!$A$2:$C$153, 2, FALSE)</f>
        <v>#N/A</v>
      </c>
      <c r="AF263" t="e">
        <f>VLOOKUP(Table1[[#This Row],[Product_Name]],'c174_calc'!$A$2:$C$153, 3, FALSE)</f>
        <v>#N/A</v>
      </c>
      <c r="AG263" t="e">
        <f>Table1[[#This Row],[vma]]=Table1[[#This Row],[MA_Number]]</f>
        <v>#N/A</v>
      </c>
    </row>
    <row r="264" spans="1:33" ht="15" hidden="1" customHeight="1" x14ac:dyDescent="0.3">
      <c r="B264" s="1">
        <v>7247760930</v>
      </c>
      <c r="C264" s="1"/>
      <c r="G264" t="s">
        <v>936</v>
      </c>
      <c r="H264" t="s">
        <v>937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AA264">
        <f>Table1[[#This Row],[qPer board]]*Table1[[#This Row],[boards]]</f>
        <v>0</v>
      </c>
      <c r="AB264">
        <v>1</v>
      </c>
      <c r="AD264" t="e">
        <f>VLOOKUP(Table1[[#This Row],[Product_Name]],'c174_calc'!$A$2:$C$153, 1, FALSE)</f>
        <v>#N/A</v>
      </c>
      <c r="AE264" t="e">
        <f>VLOOKUP(Table1[[#This Row],[Product_Name]],'c174_calc'!$A$2:$C$153, 2, FALSE)</f>
        <v>#N/A</v>
      </c>
      <c r="AF264" t="e">
        <f>VLOOKUP(Table1[[#This Row],[Product_Name]],'c174_calc'!$A$2:$C$153, 3, FALSE)</f>
        <v>#N/A</v>
      </c>
      <c r="AG264" t="e">
        <f>Table1[[#This Row],[vma]]=Table1[[#This Row],[MA_Number]]</f>
        <v>#N/A</v>
      </c>
    </row>
    <row r="265" spans="1:33" hidden="1" x14ac:dyDescent="0.3">
      <c r="B265" s="1">
        <v>7247760930</v>
      </c>
      <c r="C265" s="1"/>
      <c r="G265" t="s">
        <v>936</v>
      </c>
      <c r="H265" t="s">
        <v>938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AA265">
        <f>Table1[[#This Row],[qPer board]]*Table1[[#This Row],[boards]]</f>
        <v>0</v>
      </c>
      <c r="AB265">
        <v>1</v>
      </c>
      <c r="AD265" t="e">
        <f>VLOOKUP(Table1[[#This Row],[Product_Name]],'c174_calc'!$A$2:$C$153, 1, FALSE)</f>
        <v>#N/A</v>
      </c>
      <c r="AE265" t="e">
        <f>VLOOKUP(Table1[[#This Row],[Product_Name]],'c174_calc'!$A$2:$C$153, 2, FALSE)</f>
        <v>#N/A</v>
      </c>
      <c r="AF265" t="e">
        <f>VLOOKUP(Table1[[#This Row],[Product_Name]],'c174_calc'!$A$2:$C$153, 3, FALSE)</f>
        <v>#N/A</v>
      </c>
      <c r="AG265" t="e">
        <f>Table1[[#This Row],[vma]]=Table1[[#This Row],[MA_Number]]</f>
        <v>#N/A</v>
      </c>
    </row>
    <row r="266" spans="1:33" hidden="1" x14ac:dyDescent="0.3">
      <c r="A266" t="s">
        <v>939</v>
      </c>
      <c r="B266" s="1">
        <v>7247761330</v>
      </c>
      <c r="C266" s="1"/>
      <c r="D266" t="s">
        <v>281</v>
      </c>
      <c r="E266" t="s">
        <v>859</v>
      </c>
      <c r="F266" t="b">
        <v>1</v>
      </c>
      <c r="I266">
        <v>1</v>
      </c>
      <c r="AA266">
        <f>Table1[[#This Row],[qPer board]]*Table1[[#This Row],[boards]]</f>
        <v>0</v>
      </c>
      <c r="AB266">
        <v>1</v>
      </c>
      <c r="AD266" t="e">
        <f>VLOOKUP(Table1[[#This Row],[Product_Name]],'c174_calc'!$A$2:$C$153, 1, FALSE)</f>
        <v>#N/A</v>
      </c>
      <c r="AE266" t="e">
        <f>VLOOKUP(Table1[[#This Row],[Product_Name]],'c174_calc'!$A$2:$C$153, 2, FALSE)</f>
        <v>#N/A</v>
      </c>
      <c r="AF266" t="e">
        <f>VLOOKUP(Table1[[#This Row],[Product_Name]],'c174_calc'!$A$2:$C$153, 3, FALSE)</f>
        <v>#N/A</v>
      </c>
      <c r="AG266" t="e">
        <f>Table1[[#This Row],[vma]]=Table1[[#This Row],[MA_Number]]</f>
        <v>#N/A</v>
      </c>
    </row>
    <row r="267" spans="1:33" hidden="1" x14ac:dyDescent="0.3">
      <c r="B267" s="1">
        <v>7247761330</v>
      </c>
      <c r="C267" s="1"/>
      <c r="G267" t="s">
        <v>939</v>
      </c>
      <c r="H267" t="s">
        <v>940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AA267">
        <f>Table1[[#This Row],[qPer board]]*Table1[[#This Row],[boards]]</f>
        <v>0</v>
      </c>
      <c r="AB267">
        <v>1</v>
      </c>
      <c r="AD267" t="e">
        <f>VLOOKUP(Table1[[#This Row],[Product_Name]],'c174_calc'!$A$2:$C$153, 1, FALSE)</f>
        <v>#N/A</v>
      </c>
      <c r="AE267" t="e">
        <f>VLOOKUP(Table1[[#This Row],[Product_Name]],'c174_calc'!$A$2:$C$153, 2, FALSE)</f>
        <v>#N/A</v>
      </c>
      <c r="AF267" t="e">
        <f>VLOOKUP(Table1[[#This Row],[Product_Name]],'c174_calc'!$A$2:$C$153, 3, FALSE)</f>
        <v>#N/A</v>
      </c>
      <c r="AG267" t="e">
        <f>Table1[[#This Row],[vma]]=Table1[[#This Row],[MA_Number]]</f>
        <v>#N/A</v>
      </c>
    </row>
    <row r="268" spans="1:33" hidden="1" x14ac:dyDescent="0.3">
      <c r="B268" s="1">
        <v>7247761330</v>
      </c>
      <c r="C268" s="1"/>
      <c r="G268" t="s">
        <v>939</v>
      </c>
      <c r="H268" t="s">
        <v>941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AA268">
        <f>Table1[[#This Row],[qPer board]]*Table1[[#This Row],[boards]]</f>
        <v>0</v>
      </c>
      <c r="AB268">
        <v>1</v>
      </c>
      <c r="AD268" t="e">
        <f>VLOOKUP(Table1[[#This Row],[Product_Name]],'c174_calc'!$A$2:$C$153, 1, FALSE)</f>
        <v>#N/A</v>
      </c>
      <c r="AE268" t="e">
        <f>VLOOKUP(Table1[[#This Row],[Product_Name]],'c174_calc'!$A$2:$C$153, 2, FALSE)</f>
        <v>#N/A</v>
      </c>
      <c r="AF268" t="e">
        <f>VLOOKUP(Table1[[#This Row],[Product_Name]],'c174_calc'!$A$2:$C$153, 3, FALSE)</f>
        <v>#N/A</v>
      </c>
      <c r="AG268" t="e">
        <f>Table1[[#This Row],[vma]]=Table1[[#This Row],[MA_Number]]</f>
        <v>#N/A</v>
      </c>
    </row>
    <row r="269" spans="1:33" s="70" customFormat="1" hidden="1" x14ac:dyDescent="0.3">
      <c r="A269" s="70" t="s">
        <v>945</v>
      </c>
      <c r="B269" s="72">
        <v>7247781230</v>
      </c>
      <c r="C269" s="72"/>
      <c r="D269" s="70" t="s">
        <v>281</v>
      </c>
      <c r="E269" s="70" t="s">
        <v>859</v>
      </c>
      <c r="F269" s="70" t="b">
        <v>1</v>
      </c>
      <c r="I269" s="70">
        <v>1</v>
      </c>
      <c r="Y269"/>
      <c r="AA269" s="70">
        <f>Table1[[#This Row],[qPer board]]*Table1[[#This Row],[boards]]</f>
        <v>0</v>
      </c>
      <c r="AB269" s="70">
        <v>1</v>
      </c>
      <c r="AD269" s="70" t="e">
        <f>VLOOKUP(Table1[[#This Row],[Product_Name]],'c174_calc'!$A$2:$C$153, 1, FALSE)</f>
        <v>#N/A</v>
      </c>
      <c r="AE269" s="70" t="e">
        <f>VLOOKUP(Table1[[#This Row],[Product_Name]],'c174_calc'!$A$2:$C$153, 2, FALSE)</f>
        <v>#N/A</v>
      </c>
      <c r="AF269" s="70" t="e">
        <f>VLOOKUP(Table1[[#This Row],[Product_Name]],'c174_calc'!$A$2:$C$153, 3, FALSE)</f>
        <v>#N/A</v>
      </c>
      <c r="AG269" s="70" t="e">
        <f>Table1[[#This Row],[vma]]=Table1[[#This Row],[MA_Number]]</f>
        <v>#N/A</v>
      </c>
    </row>
    <row r="270" spans="1:33" s="70" customFormat="1" hidden="1" x14ac:dyDescent="0.3">
      <c r="B270" s="72">
        <v>7247781230</v>
      </c>
      <c r="C270" s="72"/>
      <c r="G270" s="70" t="s">
        <v>945</v>
      </c>
      <c r="H270" s="70" t="s">
        <v>946</v>
      </c>
      <c r="I270" s="70">
        <v>1</v>
      </c>
      <c r="J270" s="70">
        <v>40</v>
      </c>
      <c r="K270" s="70">
        <v>35</v>
      </c>
      <c r="L270" s="70">
        <v>60</v>
      </c>
      <c r="M270" s="70" t="s">
        <v>52</v>
      </c>
      <c r="N270" s="70" t="s">
        <v>24</v>
      </c>
      <c r="O270" s="70" t="b">
        <v>1</v>
      </c>
      <c r="Y270"/>
      <c r="AA270" s="70">
        <f>Table1[[#This Row],[qPer board]]*Table1[[#This Row],[boards]]</f>
        <v>0</v>
      </c>
      <c r="AB270" s="70">
        <v>1</v>
      </c>
      <c r="AD270" s="70" t="e">
        <f>VLOOKUP(Table1[[#This Row],[Product_Name]],'c174_calc'!$A$2:$C$153, 1, FALSE)</f>
        <v>#N/A</v>
      </c>
      <c r="AE270" s="70" t="e">
        <f>VLOOKUP(Table1[[#This Row],[Product_Name]],'c174_calc'!$A$2:$C$153, 2, FALSE)</f>
        <v>#N/A</v>
      </c>
      <c r="AF270" s="70" t="e">
        <f>VLOOKUP(Table1[[#This Row],[Product_Name]],'c174_calc'!$A$2:$C$153, 3, FALSE)</f>
        <v>#N/A</v>
      </c>
      <c r="AG270" s="70" t="e">
        <f>Table1[[#This Row],[vma]]=Table1[[#This Row],[MA_Number]]</f>
        <v>#N/A</v>
      </c>
    </row>
    <row r="271" spans="1:33" s="70" customFormat="1" hidden="1" x14ac:dyDescent="0.3">
      <c r="B271" s="72">
        <v>7247781230</v>
      </c>
      <c r="C271" s="72"/>
      <c r="G271" s="70" t="s">
        <v>945</v>
      </c>
      <c r="H271" s="70" t="s">
        <v>947</v>
      </c>
      <c r="I271" s="70">
        <v>1</v>
      </c>
      <c r="J271" s="70">
        <v>47</v>
      </c>
      <c r="K271" s="70">
        <v>29</v>
      </c>
      <c r="L271" s="70">
        <v>30</v>
      </c>
      <c r="M271" s="70" t="s">
        <v>54</v>
      </c>
      <c r="N271" s="70" t="s">
        <v>24</v>
      </c>
      <c r="O271" s="70" t="b">
        <v>1</v>
      </c>
      <c r="Y271"/>
      <c r="AA271" s="70">
        <f>Table1[[#This Row],[qPer board]]*Table1[[#This Row],[boards]]</f>
        <v>0</v>
      </c>
      <c r="AB271" s="70">
        <v>1</v>
      </c>
      <c r="AD271" s="70" t="e">
        <f>VLOOKUP(Table1[[#This Row],[Product_Name]],'c174_calc'!$A$2:$C$153, 1, FALSE)</f>
        <v>#N/A</v>
      </c>
      <c r="AE271" s="70" t="e">
        <f>VLOOKUP(Table1[[#This Row],[Product_Name]],'c174_calc'!$A$2:$C$153, 2, FALSE)</f>
        <v>#N/A</v>
      </c>
      <c r="AF271" s="70" t="e">
        <f>VLOOKUP(Table1[[#This Row],[Product_Name]],'c174_calc'!$A$2:$C$153, 3, FALSE)</f>
        <v>#N/A</v>
      </c>
      <c r="AG271" s="70" t="e">
        <f>Table1[[#This Row],[vma]]=Table1[[#This Row],[MA_Number]]</f>
        <v>#N/A</v>
      </c>
    </row>
    <row r="272" spans="1:33" hidden="1" x14ac:dyDescent="0.3">
      <c r="A272" t="s">
        <v>1003</v>
      </c>
      <c r="B272" s="1">
        <v>72478572</v>
      </c>
      <c r="C272" s="1"/>
      <c r="D272" t="s">
        <v>281</v>
      </c>
      <c r="E272" t="s">
        <v>859</v>
      </c>
      <c r="F272" t="b">
        <v>1</v>
      </c>
      <c r="I272">
        <v>1</v>
      </c>
      <c r="AA272">
        <f>Table1[[#This Row],[qPer board]]*Table1[[#This Row],[boards]]</f>
        <v>0</v>
      </c>
      <c r="AB272">
        <v>1</v>
      </c>
      <c r="AD272" t="e">
        <f>VLOOKUP(Table1[[#This Row],[Product_Name]],'c174_calc'!$A$2:$C$153, 1, FALSE)</f>
        <v>#N/A</v>
      </c>
      <c r="AE272" t="e">
        <f>VLOOKUP(Table1[[#This Row],[Product_Name]],'c174_calc'!$A$2:$C$153, 2, FALSE)</f>
        <v>#N/A</v>
      </c>
      <c r="AF272" t="e">
        <f>VLOOKUP(Table1[[#This Row],[Product_Name]],'c174_calc'!$A$2:$C$153, 3, FALSE)</f>
        <v>#N/A</v>
      </c>
      <c r="AG272" t="e">
        <f>Table1[[#This Row],[vma]]=Table1[[#This Row],[MA_Number]]</f>
        <v>#N/A</v>
      </c>
    </row>
    <row r="273" spans="1:33" hidden="1" x14ac:dyDescent="0.3">
      <c r="B273" s="1">
        <v>72478572</v>
      </c>
      <c r="C273" s="1"/>
      <c r="G273" t="s">
        <v>1003</v>
      </c>
      <c r="H273" t="s">
        <v>1004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AA273">
        <f>Table1[[#This Row],[qPer board]]*Table1[[#This Row],[boards]]</f>
        <v>0</v>
      </c>
      <c r="AB273">
        <v>1</v>
      </c>
      <c r="AD273" t="e">
        <f>VLOOKUP(Table1[[#This Row],[Product_Name]],'c174_calc'!$A$2:$C$153, 1, FALSE)</f>
        <v>#N/A</v>
      </c>
      <c r="AE273" t="e">
        <f>VLOOKUP(Table1[[#This Row],[Product_Name]],'c174_calc'!$A$2:$C$153, 2, FALSE)</f>
        <v>#N/A</v>
      </c>
      <c r="AF273" t="e">
        <f>VLOOKUP(Table1[[#This Row],[Product_Name]],'c174_calc'!$A$2:$C$153, 3, FALSE)</f>
        <v>#N/A</v>
      </c>
      <c r="AG273" t="e">
        <f>Table1[[#This Row],[vma]]=Table1[[#This Row],[MA_Number]]</f>
        <v>#N/A</v>
      </c>
    </row>
    <row r="274" spans="1:33" hidden="1" x14ac:dyDescent="0.3">
      <c r="B274" s="1">
        <v>72478572</v>
      </c>
      <c r="C274" s="1"/>
      <c r="G274" t="s">
        <v>1003</v>
      </c>
      <c r="H274" t="s">
        <v>1005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AA274">
        <f>Table1[[#This Row],[qPer board]]*Table1[[#This Row],[boards]]</f>
        <v>0</v>
      </c>
      <c r="AB274">
        <v>1</v>
      </c>
      <c r="AD274" t="e">
        <f>VLOOKUP(Table1[[#This Row],[Product_Name]],'c174_calc'!$A$2:$C$153, 1, FALSE)</f>
        <v>#N/A</v>
      </c>
      <c r="AE274" t="e">
        <f>VLOOKUP(Table1[[#This Row],[Product_Name]],'c174_calc'!$A$2:$C$153, 2, FALSE)</f>
        <v>#N/A</v>
      </c>
      <c r="AF274" t="e">
        <f>VLOOKUP(Table1[[#This Row],[Product_Name]],'c174_calc'!$A$2:$C$153, 3, FALSE)</f>
        <v>#N/A</v>
      </c>
      <c r="AG274" t="e">
        <f>Table1[[#This Row],[vma]]=Table1[[#This Row],[MA_Number]]</f>
        <v>#N/A</v>
      </c>
    </row>
    <row r="275" spans="1:33" hidden="1" x14ac:dyDescent="0.3">
      <c r="A275" t="s">
        <v>942</v>
      </c>
      <c r="B275" s="1">
        <v>7252779130</v>
      </c>
      <c r="C275" s="1"/>
      <c r="D275" t="s">
        <v>281</v>
      </c>
      <c r="E275" t="s">
        <v>859</v>
      </c>
      <c r="F275" t="b">
        <v>1</v>
      </c>
      <c r="I275">
        <v>1</v>
      </c>
      <c r="AA275">
        <f>Table1[[#This Row],[qPer board]]*Table1[[#This Row],[boards]]</f>
        <v>0</v>
      </c>
      <c r="AB275">
        <v>1</v>
      </c>
      <c r="AD275" t="e">
        <f>VLOOKUP(Table1[[#This Row],[Product_Name]],'c174_calc'!$A$2:$C$153, 1, FALSE)</f>
        <v>#N/A</v>
      </c>
      <c r="AE275" t="e">
        <f>VLOOKUP(Table1[[#This Row],[Product_Name]],'c174_calc'!$A$2:$C$153, 2, FALSE)</f>
        <v>#N/A</v>
      </c>
      <c r="AF275" t="e">
        <f>VLOOKUP(Table1[[#This Row],[Product_Name]],'c174_calc'!$A$2:$C$153, 3, FALSE)</f>
        <v>#N/A</v>
      </c>
      <c r="AG275" t="e">
        <f>Table1[[#This Row],[vma]]=Table1[[#This Row],[MA_Number]]</f>
        <v>#N/A</v>
      </c>
    </row>
    <row r="276" spans="1:33" hidden="1" x14ac:dyDescent="0.3">
      <c r="B276" s="1">
        <v>7252779130</v>
      </c>
      <c r="C276" s="1"/>
      <c r="G276" t="s">
        <v>942</v>
      </c>
      <c r="H276" t="s">
        <v>943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AA276">
        <f>Table1[[#This Row],[qPer board]]*Table1[[#This Row],[boards]]</f>
        <v>0</v>
      </c>
      <c r="AB276">
        <v>1</v>
      </c>
      <c r="AD276" t="e">
        <f>VLOOKUP(Table1[[#This Row],[Product_Name]],'c174_calc'!$A$2:$C$153, 1, FALSE)</f>
        <v>#N/A</v>
      </c>
      <c r="AE276" t="e">
        <f>VLOOKUP(Table1[[#This Row],[Product_Name]],'c174_calc'!$A$2:$C$153, 2, FALSE)</f>
        <v>#N/A</v>
      </c>
      <c r="AF276" t="e">
        <f>VLOOKUP(Table1[[#This Row],[Product_Name]],'c174_calc'!$A$2:$C$153, 3, FALSE)</f>
        <v>#N/A</v>
      </c>
      <c r="AG276" t="e">
        <f>Table1[[#This Row],[vma]]=Table1[[#This Row],[MA_Number]]</f>
        <v>#N/A</v>
      </c>
    </row>
    <row r="277" spans="1:33" hidden="1" x14ac:dyDescent="0.3">
      <c r="B277" s="1">
        <v>7252779130</v>
      </c>
      <c r="C277" s="1"/>
      <c r="G277" t="s">
        <v>942</v>
      </c>
      <c r="H277" t="s">
        <v>944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AA277">
        <f>Table1[[#This Row],[qPer board]]*Table1[[#This Row],[boards]]</f>
        <v>0</v>
      </c>
      <c r="AB277">
        <v>1</v>
      </c>
      <c r="AD277" t="e">
        <f>VLOOKUP(Table1[[#This Row],[Product_Name]],'c174_calc'!$A$2:$C$153, 1, FALSE)</f>
        <v>#N/A</v>
      </c>
      <c r="AE277" t="e">
        <f>VLOOKUP(Table1[[#This Row],[Product_Name]],'c174_calc'!$A$2:$C$153, 2, FALSE)</f>
        <v>#N/A</v>
      </c>
      <c r="AF277" t="e">
        <f>VLOOKUP(Table1[[#This Row],[Product_Name]],'c174_calc'!$A$2:$C$153, 3, FALSE)</f>
        <v>#N/A</v>
      </c>
      <c r="AG277" t="e">
        <f>Table1[[#This Row],[vma]]=Table1[[#This Row],[MA_Number]]</f>
        <v>#N/A</v>
      </c>
    </row>
    <row r="278" spans="1:33" hidden="1" x14ac:dyDescent="0.3">
      <c r="A278" t="s">
        <v>953</v>
      </c>
      <c r="B278" s="1">
        <v>7252785330</v>
      </c>
      <c r="C278" s="1">
        <v>7247075530</v>
      </c>
      <c r="D278" t="s">
        <v>281</v>
      </c>
      <c r="E278" t="s">
        <v>859</v>
      </c>
      <c r="F278" t="b">
        <v>1</v>
      </c>
      <c r="I278">
        <v>1</v>
      </c>
      <c r="AA278">
        <f>Table1[[#This Row],[qPer board]]*Table1[[#This Row],[boards]]</f>
        <v>0</v>
      </c>
      <c r="AB278">
        <v>3</v>
      </c>
      <c r="AD278" t="e">
        <f>VLOOKUP(Table1[[#This Row],[Product_Name]],'c174_calc'!$A$2:$C$153, 1, FALSE)</f>
        <v>#N/A</v>
      </c>
      <c r="AE278" t="e">
        <f>VLOOKUP(Table1[[#This Row],[Product_Name]],'c174_calc'!$A$2:$C$153, 2, FALSE)</f>
        <v>#N/A</v>
      </c>
      <c r="AF278" t="e">
        <f>VLOOKUP(Table1[[#This Row],[Product_Name]],'c174_calc'!$A$2:$C$153, 3, FALSE)</f>
        <v>#N/A</v>
      </c>
      <c r="AG278" t="e">
        <f>Table1[[#This Row],[vma]]=Table1[[#This Row],[MA_Number]]</f>
        <v>#N/A</v>
      </c>
    </row>
    <row r="279" spans="1:33" ht="13.8" hidden="1" customHeight="1" x14ac:dyDescent="0.3">
      <c r="B279" s="1">
        <v>7252785330</v>
      </c>
      <c r="C279" s="1"/>
      <c r="G279" t="s">
        <v>953</v>
      </c>
      <c r="H279" t="s">
        <v>954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AA279">
        <f>Table1[[#This Row],[qPer board]]*Table1[[#This Row],[boards]]</f>
        <v>0</v>
      </c>
      <c r="AB279">
        <v>3</v>
      </c>
      <c r="AD279" t="e">
        <f>VLOOKUP(Table1[[#This Row],[Product_Name]],'c174_calc'!$A$2:$C$153, 1, FALSE)</f>
        <v>#N/A</v>
      </c>
      <c r="AE279" t="e">
        <f>VLOOKUP(Table1[[#This Row],[Product_Name]],'c174_calc'!$A$2:$C$153, 2, FALSE)</f>
        <v>#N/A</v>
      </c>
      <c r="AF279" t="e">
        <f>VLOOKUP(Table1[[#This Row],[Product_Name]],'c174_calc'!$A$2:$C$153, 3, FALSE)</f>
        <v>#N/A</v>
      </c>
      <c r="AG279" t="e">
        <f>Table1[[#This Row],[vma]]=Table1[[#This Row],[MA_Number]]</f>
        <v>#N/A</v>
      </c>
    </row>
    <row r="280" spans="1:33" hidden="1" x14ac:dyDescent="0.3">
      <c r="B280" s="1">
        <v>7252785330</v>
      </c>
      <c r="C280" s="1"/>
      <c r="G280" t="s">
        <v>953</v>
      </c>
      <c r="H280" t="s">
        <v>955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AA280">
        <f>Table1[[#This Row],[qPer board]]*Table1[[#This Row],[boards]]</f>
        <v>0</v>
      </c>
      <c r="AB280">
        <v>3</v>
      </c>
      <c r="AD280" t="e">
        <f>VLOOKUP(Table1[[#This Row],[Product_Name]],'c174_calc'!$A$2:$C$153, 1, FALSE)</f>
        <v>#N/A</v>
      </c>
      <c r="AE280" t="e">
        <f>VLOOKUP(Table1[[#This Row],[Product_Name]],'c174_calc'!$A$2:$C$153, 2, FALSE)</f>
        <v>#N/A</v>
      </c>
      <c r="AF280" t="e">
        <f>VLOOKUP(Table1[[#This Row],[Product_Name]],'c174_calc'!$A$2:$C$153, 3, FALSE)</f>
        <v>#N/A</v>
      </c>
      <c r="AG280" t="e">
        <f>Table1[[#This Row],[vma]]=Table1[[#This Row],[MA_Number]]</f>
        <v>#N/A</v>
      </c>
    </row>
    <row r="281" spans="1:33" hidden="1" x14ac:dyDescent="0.3">
      <c r="A281" t="s">
        <v>877</v>
      </c>
      <c r="B281" s="1">
        <v>7047052330</v>
      </c>
      <c r="C281" s="1"/>
      <c r="D281" t="s">
        <v>281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AA281" t="e">
        <f>Table1[[#This Row],[qPer board]]*Table1[[#This Row],[boards]]</f>
        <v>#REF!</v>
      </c>
      <c r="AB281" t="e">
        <f>VLOOKUP(Table1[[#This Row],[MA_Number]],#REF!, 2,FALSE)</f>
        <v>#REF!</v>
      </c>
      <c r="AD281" t="e">
        <f>VLOOKUP(Table1[[#This Row],[Product_Name]],'c174_calc'!$A$2:$C$153, 1, FALSE)</f>
        <v>#N/A</v>
      </c>
      <c r="AE281" t="e">
        <f>VLOOKUP(Table1[[#This Row],[Product_Name]],'c174_calc'!$A$2:$C$153, 2, FALSE)</f>
        <v>#N/A</v>
      </c>
      <c r="AF281" t="e">
        <f>VLOOKUP(Table1[[#This Row],[Product_Name]],'c174_calc'!$A$2:$C$153, 3, FALSE)</f>
        <v>#N/A</v>
      </c>
      <c r="AG281" t="e">
        <f>Table1[[#This Row],[vma]]=Table1[[#This Row],[MA_Number]]</f>
        <v>#N/A</v>
      </c>
    </row>
    <row r="282" spans="1:33" hidden="1" x14ac:dyDescent="0.3">
      <c r="A282" t="s">
        <v>934</v>
      </c>
      <c r="B282" s="1" t="s">
        <v>298</v>
      </c>
      <c r="C282" s="1" t="s">
        <v>873</v>
      </c>
      <c r="D282" t="s">
        <v>278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X282">
        <v>60</v>
      </c>
      <c r="Y282" t="s">
        <v>2376</v>
      </c>
      <c r="Z282" t="s">
        <v>2377</v>
      </c>
      <c r="AA282">
        <f>Table1[[#This Row],[qPer board]]*Table1[[#This Row],[boards]]</f>
        <v>45</v>
      </c>
      <c r="AB282">
        <f>Table1[[#This Row],[vqty]]</f>
        <v>3</v>
      </c>
      <c r="AC282">
        <v>15</v>
      </c>
      <c r="AD282" t="str">
        <f>VLOOKUP(Table1[[#This Row],[Product_Name]],'c174_calc'!$A$2:$C$153, 1, FALSE)</f>
        <v>ASSY_PPI0001107</v>
      </c>
      <c r="AE282" t="str">
        <f>VLOOKUP(Table1[[#This Row],[Product_Name]],'c174_calc'!$A$2:$C$153, 2, FALSE)</f>
        <v>10.21.96554A</v>
      </c>
      <c r="AF282">
        <f>VLOOKUP(Table1[[#This Row],[Product_Name]],'c174_calc'!$A$2:$C$153, 3, FALSE)</f>
        <v>3</v>
      </c>
      <c r="AG282" t="b">
        <f>Table1[[#This Row],[vma]]=Table1[[#This Row],[MA_Number]]</f>
        <v>1</v>
      </c>
    </row>
    <row r="283" spans="1:33" hidden="1" x14ac:dyDescent="0.3">
      <c r="A283" t="s">
        <v>2014</v>
      </c>
      <c r="B283" s="1" t="s">
        <v>935</v>
      </c>
      <c r="C283" s="1"/>
      <c r="D283" t="s">
        <v>278</v>
      </c>
      <c r="E283" t="s">
        <v>1746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AA283">
        <f>Table1[[#This Row],[qPer board]]*Table1[[#This Row],[boards]]</f>
        <v>0</v>
      </c>
      <c r="AB283">
        <v>1</v>
      </c>
      <c r="AD283" t="e">
        <f>VLOOKUP(Table1[[#This Row],[Product_Name]],'c174_calc'!$A$2:$C$153, 1, FALSE)</f>
        <v>#N/A</v>
      </c>
      <c r="AE283" t="e">
        <f>VLOOKUP(Table1[[#This Row],[Product_Name]],'c174_calc'!$A$2:$C$153, 2, FALSE)</f>
        <v>#N/A</v>
      </c>
      <c r="AF283" t="e">
        <f>VLOOKUP(Table1[[#This Row],[Product_Name]],'c174_calc'!$A$2:$C$153, 3, FALSE)</f>
        <v>#N/A</v>
      </c>
      <c r="AG283" t="e">
        <f>Table1[[#This Row],[vma]]=Table1[[#This Row],[MA_Number]]</f>
        <v>#N/A</v>
      </c>
    </row>
    <row r="284" spans="1:33" hidden="1" x14ac:dyDescent="0.3">
      <c r="A284" t="s">
        <v>1997</v>
      </c>
      <c r="B284" s="1" t="s">
        <v>935</v>
      </c>
      <c r="C284" s="1"/>
      <c r="D284" t="s">
        <v>278</v>
      </c>
      <c r="E284" t="s">
        <v>1999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AA284">
        <f>Table1[[#This Row],[qPer board]]*Table1[[#This Row],[boards]]</f>
        <v>0</v>
      </c>
      <c r="AB284">
        <v>1</v>
      </c>
      <c r="AD284" t="e">
        <f>VLOOKUP(Table1[[#This Row],[Product_Name]],'c174_calc'!$A$2:$C$153, 1, FALSE)</f>
        <v>#N/A</v>
      </c>
      <c r="AE284" t="e">
        <f>VLOOKUP(Table1[[#This Row],[Product_Name]],'c174_calc'!$A$2:$C$153, 2, FALSE)</f>
        <v>#N/A</v>
      </c>
      <c r="AF284" t="e">
        <f>VLOOKUP(Table1[[#This Row],[Product_Name]],'c174_calc'!$A$2:$C$153, 3, FALSE)</f>
        <v>#N/A</v>
      </c>
      <c r="AG284" t="e">
        <f>Table1[[#This Row],[vma]]=Table1[[#This Row],[MA_Number]]</f>
        <v>#N/A</v>
      </c>
    </row>
    <row r="285" spans="1:33" x14ac:dyDescent="0.3">
      <c r="A285" t="s">
        <v>1352</v>
      </c>
      <c r="B285" s="1">
        <v>7298808730</v>
      </c>
      <c r="C285" s="1"/>
      <c r="D285" t="s">
        <v>278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X285">
        <v>61</v>
      </c>
      <c r="Y285" t="s">
        <v>2376</v>
      </c>
      <c r="Z285" t="s">
        <v>2377</v>
      </c>
      <c r="AA285">
        <f>Table1[[#This Row],[qPer board]]*Table1[[#This Row],[boards]]</f>
        <v>15</v>
      </c>
      <c r="AB285">
        <f>Table1[[#This Row],[vqty]]</f>
        <v>1</v>
      </c>
      <c r="AC285">
        <v>15</v>
      </c>
      <c r="AD285">
        <f>VLOOKUP(Table1[[#This Row],[Product_Name]],'c174_calc'!$A$2:$C$153, 1, FALSE)</f>
        <v>7298808730</v>
      </c>
      <c r="AE285" t="str">
        <f>VLOOKUP(Table1[[#This Row],[Product_Name]],'c174_calc'!$A$2:$C$153, 2, FALSE)</f>
        <v>10.21.76985_A</v>
      </c>
      <c r="AF285">
        <f>VLOOKUP(Table1[[#This Row],[Product_Name]],'c174_calc'!$A$2:$C$153, 3, FALSE)</f>
        <v>1</v>
      </c>
      <c r="AG285" t="b">
        <f>Table1[[#This Row],[vma]]=Table1[[#This Row],[MA_Number]]</f>
        <v>0</v>
      </c>
    </row>
    <row r="286" spans="1:33" hidden="1" x14ac:dyDescent="0.3">
      <c r="A286" t="s">
        <v>956</v>
      </c>
      <c r="B286" s="1" t="s">
        <v>557</v>
      </c>
      <c r="C286" s="1"/>
      <c r="D286" t="s">
        <v>278</v>
      </c>
      <c r="E286" t="s">
        <v>958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AA286">
        <f>Table1[[#This Row],[qPer board]]*Table1[[#This Row],[boards]]</f>
        <v>0</v>
      </c>
      <c r="AB286">
        <f>Table1[[#This Row],[vqty]]</f>
        <v>1</v>
      </c>
      <c r="AD286" t="str">
        <f>VLOOKUP(Table1[[#This Row],[Product_Name]],'c174_calc'!$A$2:$C$153, 1, FALSE)</f>
        <v>7198762530+7198600430+72743034</v>
      </c>
      <c r="AE286" t="str">
        <f>VLOOKUP(Table1[[#This Row],[Product_Name]],'c174_calc'!$A$2:$C$153, 2, FALSE)</f>
        <v>10.21.76946A</v>
      </c>
      <c r="AF286">
        <f>VLOOKUP(Table1[[#This Row],[Product_Name]],'c174_calc'!$A$2:$C$153, 3, FALSE)</f>
        <v>1</v>
      </c>
      <c r="AG286" t="b">
        <f>Table1[[#This Row],[vma]]=Table1[[#This Row],[MA_Number]]</f>
        <v>0</v>
      </c>
    </row>
    <row r="287" spans="1:33" hidden="1" x14ac:dyDescent="0.3">
      <c r="A287" t="s">
        <v>960</v>
      </c>
      <c r="B287" s="1">
        <v>7223686530</v>
      </c>
      <c r="C287" s="1"/>
      <c r="D287" t="s">
        <v>278</v>
      </c>
      <c r="E287" t="s">
        <v>961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AA287">
        <f>Table1[[#This Row],[qPer board]]*Table1[[#This Row],[boards]]</f>
        <v>0</v>
      </c>
      <c r="AB287">
        <f>Table1[[#This Row],[vqty]]</f>
        <v>1</v>
      </c>
      <c r="AD287">
        <f>VLOOKUP(Table1[[#This Row],[Product_Name]],'c174_calc'!$A$2:$C$153, 1, FALSE)</f>
        <v>7223686530</v>
      </c>
      <c r="AE287" t="str">
        <f>VLOOKUP(Table1[[#This Row],[Product_Name]],'c174_calc'!$A$2:$C$153, 2, FALSE)</f>
        <v>10.21.35898A</v>
      </c>
      <c r="AF287">
        <f>VLOOKUP(Table1[[#This Row],[Product_Name]],'c174_calc'!$A$2:$C$153, 3, FALSE)</f>
        <v>1</v>
      </c>
      <c r="AG287" t="b">
        <f>Table1[[#This Row],[vma]]=Table1[[#This Row],[MA_Number]]</f>
        <v>0</v>
      </c>
    </row>
    <row r="288" spans="1:33" hidden="1" x14ac:dyDescent="0.3">
      <c r="A288" t="s">
        <v>1353</v>
      </c>
      <c r="B288" s="1" t="s">
        <v>258</v>
      </c>
      <c r="C288" s="1"/>
      <c r="D288" t="s">
        <v>278</v>
      </c>
      <c r="E288" t="s">
        <v>1200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AA288">
        <f>Table1[[#This Row],[qPer board]]*Table1[[#This Row],[boards]]</f>
        <v>0</v>
      </c>
      <c r="AB288">
        <f>Table1[[#This Row],[vqty]]</f>
        <v>0</v>
      </c>
      <c r="AD288" t="str">
        <f>VLOOKUP(Table1[[#This Row],[Product_Name]],'c174_calc'!$A$2:$C$153, 1, FALSE)</f>
        <v>7289808930+7274153930</v>
      </c>
      <c r="AE288" t="str">
        <f>VLOOKUP(Table1[[#This Row],[Product_Name]],'c174_calc'!$A$2:$C$153, 2, FALSE)</f>
        <v>10.21.83685A</v>
      </c>
      <c r="AF288">
        <f>VLOOKUP(Table1[[#This Row],[Product_Name]],'c174_calc'!$A$2:$C$153, 3, FALSE)</f>
        <v>0</v>
      </c>
      <c r="AG288" t="b">
        <f>Table1[[#This Row],[vma]]=Table1[[#This Row],[MA_Number]]</f>
        <v>0</v>
      </c>
    </row>
    <row r="289" spans="1:33" hidden="1" x14ac:dyDescent="0.3">
      <c r="A289" t="s">
        <v>970</v>
      </c>
      <c r="B289" s="1">
        <v>7035990430</v>
      </c>
      <c r="C289" s="1"/>
      <c r="D289" t="s">
        <v>278</v>
      </c>
      <c r="E289" t="s">
        <v>971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AA289" t="e">
        <f>Table1[[#This Row],[qPer board]]*Table1[[#This Row],[boards]]</f>
        <v>#REF!</v>
      </c>
      <c r="AB289" t="e">
        <f>VLOOKUP(Table1[[#This Row],[MA_Number]],#REF!, 2,FALSE)</f>
        <v>#REF!</v>
      </c>
      <c r="AD289" t="e">
        <f>VLOOKUP(Table1[[#This Row],[Product_Name]],'c174_calc'!$A$2:$C$153, 1, FALSE)</f>
        <v>#N/A</v>
      </c>
      <c r="AE289" t="e">
        <f>VLOOKUP(Table1[[#This Row],[Product_Name]],'c174_calc'!$A$2:$C$153, 2, FALSE)</f>
        <v>#N/A</v>
      </c>
      <c r="AF289" t="e">
        <f>VLOOKUP(Table1[[#This Row],[Product_Name]],'c174_calc'!$A$2:$C$153, 3, FALSE)</f>
        <v>#N/A</v>
      </c>
      <c r="AG289" t="e">
        <f>Table1[[#This Row],[vma]]=Table1[[#This Row],[MA_Number]]</f>
        <v>#N/A</v>
      </c>
    </row>
    <row r="290" spans="1:33" hidden="1" x14ac:dyDescent="0.3">
      <c r="A290" t="s">
        <v>1202</v>
      </c>
      <c r="B290" s="1" t="s">
        <v>1201</v>
      </c>
      <c r="C290" s="1"/>
      <c r="D290" t="s">
        <v>280</v>
      </c>
      <c r="F290" t="b">
        <v>0</v>
      </c>
      <c r="I290">
        <v>1</v>
      </c>
      <c r="AA290" t="e">
        <f>Table1[[#This Row],[qPer board]]*Table1[[#This Row],[boards]]</f>
        <v>#REF!</v>
      </c>
      <c r="AB290" t="e">
        <f>VLOOKUP(Table1[[#This Row],[MA_Number]],#REF!, 2,FALSE)</f>
        <v>#REF!</v>
      </c>
      <c r="AD290" t="e">
        <f>VLOOKUP(Table1[[#This Row],[Product_Name]],'c174_calc'!$A$2:$C$153, 1, FALSE)</f>
        <v>#N/A</v>
      </c>
      <c r="AE290" t="e">
        <f>VLOOKUP(Table1[[#This Row],[Product_Name]],'c174_calc'!$A$2:$C$153, 2, FALSE)</f>
        <v>#N/A</v>
      </c>
      <c r="AF290" t="e">
        <f>VLOOKUP(Table1[[#This Row],[Product_Name]],'c174_calc'!$A$2:$C$153, 3, FALSE)</f>
        <v>#N/A</v>
      </c>
      <c r="AG290" t="e">
        <f>Table1[[#This Row],[vma]]=Table1[[#This Row],[MA_Number]]</f>
        <v>#N/A</v>
      </c>
    </row>
    <row r="291" spans="1:33" hidden="1" x14ac:dyDescent="0.3">
      <c r="A291" t="s">
        <v>1205</v>
      </c>
      <c r="B291" s="1">
        <v>7297914930</v>
      </c>
      <c r="C291" s="1"/>
      <c r="D291" t="s">
        <v>278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AA291" t="e">
        <f>Table1[[#This Row],[qPer board]]*Table1[[#This Row],[boards]]</f>
        <v>#REF!</v>
      </c>
      <c r="AB291" t="e">
        <f>VLOOKUP(Table1[[#This Row],[MA_Number]],#REF!, 2,FALSE)</f>
        <v>#REF!</v>
      </c>
      <c r="AD291" t="e">
        <f>VLOOKUP(Table1[[#This Row],[Product_Name]],'c174_calc'!$A$2:$C$153, 1, FALSE)</f>
        <v>#N/A</v>
      </c>
      <c r="AE291" t="e">
        <f>VLOOKUP(Table1[[#This Row],[Product_Name]],'c174_calc'!$A$2:$C$153, 2, FALSE)</f>
        <v>#N/A</v>
      </c>
      <c r="AF291" t="e">
        <f>VLOOKUP(Table1[[#This Row],[Product_Name]],'c174_calc'!$A$2:$C$153, 3, FALSE)</f>
        <v>#N/A</v>
      </c>
      <c r="AG291" t="e">
        <f>Table1[[#This Row],[vma]]=Table1[[#This Row],[MA_Number]]</f>
        <v>#N/A</v>
      </c>
    </row>
    <row r="292" spans="1:33" hidden="1" x14ac:dyDescent="0.3">
      <c r="A292" t="s">
        <v>1206</v>
      </c>
      <c r="B292" s="1">
        <v>7297913630</v>
      </c>
      <c r="C292" s="1"/>
      <c r="D292" t="s">
        <v>278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AA292" t="e">
        <f>Table1[[#This Row],[qPer board]]*Table1[[#This Row],[boards]]</f>
        <v>#REF!</v>
      </c>
      <c r="AB292" t="e">
        <f>VLOOKUP(Table1[[#This Row],[MA_Number]],#REF!, 2,FALSE)</f>
        <v>#REF!</v>
      </c>
      <c r="AD292" t="e">
        <f>VLOOKUP(Table1[[#This Row],[Product_Name]],'c174_calc'!$A$2:$C$153, 1, FALSE)</f>
        <v>#N/A</v>
      </c>
      <c r="AE292" t="e">
        <f>VLOOKUP(Table1[[#This Row],[Product_Name]],'c174_calc'!$A$2:$C$153, 2, FALSE)</f>
        <v>#N/A</v>
      </c>
      <c r="AF292" t="e">
        <f>VLOOKUP(Table1[[#This Row],[Product_Name]],'c174_calc'!$A$2:$C$153, 3, FALSE)</f>
        <v>#N/A</v>
      </c>
      <c r="AG292" t="e">
        <f>Table1[[#This Row],[vma]]=Table1[[#This Row],[MA_Number]]</f>
        <v>#N/A</v>
      </c>
    </row>
    <row r="293" spans="1:33" hidden="1" x14ac:dyDescent="0.3">
      <c r="A293" t="s">
        <v>1747</v>
      </c>
      <c r="B293" s="1" t="s">
        <v>797</v>
      </c>
      <c r="C293" s="1"/>
      <c r="D293" t="s">
        <v>278</v>
      </c>
      <c r="E293" t="s">
        <v>1746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AA293" t="e">
        <f>Table1[[#This Row],[qPer board]]*Table1[[#This Row],[boards]]</f>
        <v>#REF!</v>
      </c>
      <c r="AB293" t="e">
        <f>VLOOKUP(Table1[[#This Row],[MA_Number]],#REF!, 2,FALSE)</f>
        <v>#REF!</v>
      </c>
      <c r="AD293" t="e">
        <f>VLOOKUP(Table1[[#This Row],[Product_Name]],'c174_calc'!$A$2:$C$153, 1, FALSE)</f>
        <v>#N/A</v>
      </c>
      <c r="AE293" t="e">
        <f>VLOOKUP(Table1[[#This Row],[Product_Name]],'c174_calc'!$A$2:$C$153, 2, FALSE)</f>
        <v>#N/A</v>
      </c>
      <c r="AF293" t="e">
        <f>VLOOKUP(Table1[[#This Row],[Product_Name]],'c174_calc'!$A$2:$C$153, 3, FALSE)</f>
        <v>#N/A</v>
      </c>
      <c r="AG293" t="e">
        <f>Table1[[#This Row],[vma]]=Table1[[#This Row],[MA_Number]]</f>
        <v>#N/A</v>
      </c>
    </row>
    <row r="294" spans="1:33" hidden="1" x14ac:dyDescent="0.3">
      <c r="A294" t="s">
        <v>1240</v>
      </c>
      <c r="B294" s="1">
        <v>7198808890</v>
      </c>
      <c r="C294" s="1"/>
      <c r="D294" t="s">
        <v>278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AA294" t="e">
        <f>Table1[[#This Row],[qPer board]]*Table1[[#This Row],[boards]]</f>
        <v>#REF!</v>
      </c>
      <c r="AB294" t="e">
        <f>VLOOKUP(Table1[[#This Row],[MA_Number]],#REF!, 2,FALSE)</f>
        <v>#REF!</v>
      </c>
      <c r="AD294" t="e">
        <f>VLOOKUP(Table1[[#This Row],[Product_Name]],'c174_calc'!$A$2:$C$153, 1, FALSE)</f>
        <v>#N/A</v>
      </c>
      <c r="AE294" t="e">
        <f>VLOOKUP(Table1[[#This Row],[Product_Name]],'c174_calc'!$A$2:$C$153, 2, FALSE)</f>
        <v>#N/A</v>
      </c>
      <c r="AF294" t="e">
        <f>VLOOKUP(Table1[[#This Row],[Product_Name]],'c174_calc'!$A$2:$C$153, 3, FALSE)</f>
        <v>#N/A</v>
      </c>
      <c r="AG294" t="e">
        <f>Table1[[#This Row],[vma]]=Table1[[#This Row],[MA_Number]]</f>
        <v>#N/A</v>
      </c>
    </row>
    <row r="295" spans="1:33" hidden="1" x14ac:dyDescent="0.3">
      <c r="A295" t="s">
        <v>1241</v>
      </c>
      <c r="B295" s="1">
        <v>71989158</v>
      </c>
      <c r="C295" s="1"/>
      <c r="D295" t="s">
        <v>278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AA295" t="e">
        <f>Table1[[#This Row],[qPer board]]*Table1[[#This Row],[boards]]</f>
        <v>#REF!</v>
      </c>
      <c r="AB295" t="e">
        <f>VLOOKUP(Table1[[#This Row],[MA_Number]],#REF!, 2,FALSE)</f>
        <v>#REF!</v>
      </c>
      <c r="AD295" t="e">
        <f>VLOOKUP(Table1[[#This Row],[Product_Name]],'c174_calc'!$A$2:$C$153, 1, FALSE)</f>
        <v>#N/A</v>
      </c>
      <c r="AE295" t="e">
        <f>VLOOKUP(Table1[[#This Row],[Product_Name]],'c174_calc'!$A$2:$C$153, 2, FALSE)</f>
        <v>#N/A</v>
      </c>
      <c r="AF295" t="e">
        <f>VLOOKUP(Table1[[#This Row],[Product_Name]],'c174_calc'!$A$2:$C$153, 3, FALSE)</f>
        <v>#N/A</v>
      </c>
      <c r="AG295" t="e">
        <f>Table1[[#This Row],[vma]]=Table1[[#This Row],[MA_Number]]</f>
        <v>#N/A</v>
      </c>
    </row>
    <row r="296" spans="1:33" hidden="1" x14ac:dyDescent="0.3">
      <c r="A296" t="s">
        <v>1357</v>
      </c>
      <c r="B296" s="1">
        <v>7035964930</v>
      </c>
      <c r="C296" s="1"/>
      <c r="D296" t="s">
        <v>279</v>
      </c>
      <c r="F296" t="b">
        <v>1</v>
      </c>
      <c r="I296">
        <v>1</v>
      </c>
      <c r="J296" t="s">
        <v>670</v>
      </c>
      <c r="K296" t="s">
        <v>670</v>
      </c>
      <c r="L296" t="s">
        <v>670</v>
      </c>
      <c r="O296" t="b">
        <v>1</v>
      </c>
      <c r="AA296">
        <f>Table1[[#This Row],[qPer board]]*Table1[[#This Row],[boards]]</f>
        <v>0</v>
      </c>
      <c r="AB296">
        <f>Table1[[#This Row],[vqty]]</f>
        <v>1</v>
      </c>
      <c r="AD296">
        <f>VLOOKUP(Table1[[#This Row],[Product_Name]],'c174_calc'!$A$2:$C$153, 1, FALSE)</f>
        <v>7035964930</v>
      </c>
      <c r="AE296" t="str">
        <f>VLOOKUP(Table1[[#This Row],[Product_Name]],'c174_calc'!$A$2:$C$153, 2, FALSE)</f>
        <v>10.21.96563A</v>
      </c>
      <c r="AF296">
        <f>VLOOKUP(Table1[[#This Row],[Product_Name]],'c174_calc'!$A$2:$C$153, 3, FALSE)</f>
        <v>1</v>
      </c>
      <c r="AG296" t="b">
        <f>Table1[[#This Row],[vma]]=Table1[[#This Row],[MA_Number]]</f>
        <v>0</v>
      </c>
    </row>
    <row r="297" spans="1:33" hidden="1" x14ac:dyDescent="0.3">
      <c r="B297" s="1">
        <v>7035964930</v>
      </c>
      <c r="C297" s="1"/>
      <c r="E297" t="s">
        <v>1358</v>
      </c>
      <c r="G297" t="s">
        <v>1357</v>
      </c>
      <c r="H297" t="s">
        <v>1359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AA297">
        <f>Table1[[#This Row],[qPer board]]*Table1[[#This Row],[boards]]</f>
        <v>0</v>
      </c>
      <c r="AB297">
        <f>Table1[[#This Row],[vqty]]</f>
        <v>1</v>
      </c>
      <c r="AD297">
        <f>VLOOKUP(Table1[[#This Row],[Product_Name]],'c174_calc'!$A$2:$C$153, 1, FALSE)</f>
        <v>7035964930</v>
      </c>
      <c r="AE297" t="str">
        <f>VLOOKUP(Table1[[#This Row],[Product_Name]],'c174_calc'!$A$2:$C$153, 2, FALSE)</f>
        <v>10.21.96563A</v>
      </c>
      <c r="AF297">
        <f>VLOOKUP(Table1[[#This Row],[Product_Name]],'c174_calc'!$A$2:$C$153, 3, FALSE)</f>
        <v>1</v>
      </c>
      <c r="AG297" t="b">
        <f>Table1[[#This Row],[vma]]=Table1[[#This Row],[MA_Number]]</f>
        <v>0</v>
      </c>
    </row>
    <row r="298" spans="1:33" hidden="1" x14ac:dyDescent="0.3">
      <c r="A298" t="s">
        <v>1360</v>
      </c>
      <c r="B298" s="1">
        <v>7047009730</v>
      </c>
      <c r="C298" s="1"/>
      <c r="D298" t="s">
        <v>1186</v>
      </c>
      <c r="E298" t="s">
        <v>1199</v>
      </c>
      <c r="F298" t="b">
        <v>1</v>
      </c>
      <c r="I298">
        <v>1</v>
      </c>
      <c r="J298" t="s">
        <v>670</v>
      </c>
      <c r="K298" t="s">
        <v>670</v>
      </c>
      <c r="L298" t="s">
        <v>670</v>
      </c>
      <c r="AA298" t="e">
        <f>Table1[[#This Row],[qPer board]]*Table1[[#This Row],[boards]]</f>
        <v>#REF!</v>
      </c>
      <c r="AB298" t="e">
        <f>VLOOKUP(Table1[[#This Row],[MA_Number]],#REF!, 2,FALSE)</f>
        <v>#REF!</v>
      </c>
      <c r="AD298" t="e">
        <f>VLOOKUP(Table1[[#This Row],[Product_Name]],'c174_calc'!$A$2:$C$153, 1, FALSE)</f>
        <v>#N/A</v>
      </c>
      <c r="AE298" t="e">
        <f>VLOOKUP(Table1[[#This Row],[Product_Name]],'c174_calc'!$A$2:$C$153, 2, FALSE)</f>
        <v>#N/A</v>
      </c>
      <c r="AF298" t="e">
        <f>VLOOKUP(Table1[[#This Row],[Product_Name]],'c174_calc'!$A$2:$C$153, 3, FALSE)</f>
        <v>#N/A</v>
      </c>
      <c r="AG298" t="e">
        <f>Table1[[#This Row],[vma]]=Table1[[#This Row],[MA_Number]]</f>
        <v>#N/A</v>
      </c>
    </row>
    <row r="299" spans="1:33" ht="1.2" hidden="1" customHeight="1" x14ac:dyDescent="0.3">
      <c r="B299" s="1">
        <v>7047009730</v>
      </c>
      <c r="C299" s="1"/>
      <c r="G299" t="s">
        <v>1360</v>
      </c>
      <c r="H299" t="s">
        <v>1361</v>
      </c>
      <c r="I299">
        <v>1</v>
      </c>
      <c r="AA299" t="e">
        <f>Table1[[#This Row],[qPer board]]*Table1[[#This Row],[boards]]</f>
        <v>#REF!</v>
      </c>
      <c r="AB299" t="e">
        <f>VLOOKUP(Table1[[#This Row],[MA_Number]],#REF!, 2,FALSE)</f>
        <v>#REF!</v>
      </c>
      <c r="AD299" t="e">
        <f>VLOOKUP(Table1[[#This Row],[Product_Name]],'c174_calc'!$A$2:$C$153, 1, FALSE)</f>
        <v>#N/A</v>
      </c>
      <c r="AE299" t="e">
        <f>VLOOKUP(Table1[[#This Row],[Product_Name]],'c174_calc'!$A$2:$C$153, 2, FALSE)</f>
        <v>#N/A</v>
      </c>
      <c r="AF299" t="e">
        <f>VLOOKUP(Table1[[#This Row],[Product_Name]],'c174_calc'!$A$2:$C$153, 3, FALSE)</f>
        <v>#N/A</v>
      </c>
      <c r="AG299" t="e">
        <f>Table1[[#This Row],[vma]]=Table1[[#This Row],[MA_Number]]</f>
        <v>#N/A</v>
      </c>
    </row>
    <row r="300" spans="1:33" ht="12.6" hidden="1" customHeight="1" x14ac:dyDescent="0.3">
      <c r="A300" t="s">
        <v>672</v>
      </c>
      <c r="B300" s="1">
        <v>7047052330</v>
      </c>
      <c r="C300" s="1"/>
      <c r="D300" t="s">
        <v>1186</v>
      </c>
      <c r="E300" t="s">
        <v>2303</v>
      </c>
      <c r="F300" t="b">
        <v>1</v>
      </c>
      <c r="I300">
        <v>1</v>
      </c>
      <c r="J300" t="s">
        <v>670</v>
      </c>
      <c r="K300" t="s">
        <v>670</v>
      </c>
      <c r="L300" t="s">
        <v>670</v>
      </c>
      <c r="O300" t="b">
        <v>1</v>
      </c>
      <c r="AA300">
        <f>Table1[[#This Row],[qPer board]]*Table1[[#This Row],[boards]]</f>
        <v>0</v>
      </c>
      <c r="AB300">
        <v>1</v>
      </c>
      <c r="AD300" t="e">
        <f>VLOOKUP(Table1[[#This Row],[Product_Name]],'c174_calc'!$A$2:$C$153, 1, FALSE)</f>
        <v>#N/A</v>
      </c>
      <c r="AE300" t="e">
        <f>VLOOKUP(Table1[[#This Row],[Product_Name]],'c174_calc'!$A$2:$C$153, 2, FALSE)</f>
        <v>#N/A</v>
      </c>
      <c r="AF300" t="e">
        <f>VLOOKUP(Table1[[#This Row],[Product_Name]],'c174_calc'!$A$2:$C$153, 3, FALSE)</f>
        <v>#N/A</v>
      </c>
      <c r="AG300" t="e">
        <f>Table1[[#This Row],[vma]]=Table1[[#This Row],[MA_Number]]</f>
        <v>#N/A</v>
      </c>
    </row>
    <row r="301" spans="1:33" hidden="1" x14ac:dyDescent="0.3">
      <c r="B301" s="1">
        <v>7047052330</v>
      </c>
      <c r="C301" s="1"/>
      <c r="E301" t="s">
        <v>1362</v>
      </c>
      <c r="G301" t="s">
        <v>672</v>
      </c>
      <c r="H301" t="s">
        <v>1363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AA301">
        <f>Table1[[#This Row],[qPer board]]*Table1[[#This Row],[boards]]</f>
        <v>0</v>
      </c>
      <c r="AB301">
        <v>1</v>
      </c>
      <c r="AD301" t="e">
        <f>VLOOKUP(Table1[[#This Row],[Product_Name]],'c174_calc'!$A$2:$C$153, 1, FALSE)</f>
        <v>#N/A</v>
      </c>
      <c r="AE301" t="e">
        <f>VLOOKUP(Table1[[#This Row],[Product_Name]],'c174_calc'!$A$2:$C$153, 2, FALSE)</f>
        <v>#N/A</v>
      </c>
      <c r="AF301" t="e">
        <f>VLOOKUP(Table1[[#This Row],[Product_Name]],'c174_calc'!$A$2:$C$153, 3, FALSE)</f>
        <v>#N/A</v>
      </c>
      <c r="AG301" t="e">
        <f>Table1[[#This Row],[vma]]=Table1[[#This Row],[MA_Number]]</f>
        <v>#N/A</v>
      </c>
    </row>
    <row r="302" spans="1:33" hidden="1" x14ac:dyDescent="0.3">
      <c r="B302" s="1">
        <v>7047052330</v>
      </c>
      <c r="C302" s="1"/>
      <c r="E302" t="s">
        <v>1364</v>
      </c>
      <c r="G302" t="s">
        <v>672</v>
      </c>
      <c r="H302" t="s">
        <v>1365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AA302">
        <f>Table1[[#This Row],[qPer board]]*Table1[[#This Row],[boards]]</f>
        <v>0</v>
      </c>
      <c r="AB302">
        <v>1</v>
      </c>
      <c r="AD302" t="e">
        <f>VLOOKUP(Table1[[#This Row],[Product_Name]],'c174_calc'!$A$2:$C$153, 1, FALSE)</f>
        <v>#N/A</v>
      </c>
      <c r="AE302" t="e">
        <f>VLOOKUP(Table1[[#This Row],[Product_Name]],'c174_calc'!$A$2:$C$153, 2, FALSE)</f>
        <v>#N/A</v>
      </c>
      <c r="AF302" t="e">
        <f>VLOOKUP(Table1[[#This Row],[Product_Name]],'c174_calc'!$A$2:$C$153, 3, FALSE)</f>
        <v>#N/A</v>
      </c>
      <c r="AG302" t="e">
        <f>Table1[[#This Row],[vma]]=Table1[[#This Row],[MA_Number]]</f>
        <v>#N/A</v>
      </c>
    </row>
    <row r="303" spans="1:33" hidden="1" x14ac:dyDescent="0.3">
      <c r="B303" s="1">
        <v>7047052330</v>
      </c>
      <c r="C303" s="1"/>
      <c r="E303" t="s">
        <v>1366</v>
      </c>
      <c r="G303" t="s">
        <v>672</v>
      </c>
      <c r="H303" t="s">
        <v>1367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AA303">
        <f>Table1[[#This Row],[qPer board]]*Table1[[#This Row],[boards]]</f>
        <v>0</v>
      </c>
      <c r="AB303">
        <v>1</v>
      </c>
      <c r="AD303" t="e">
        <f>VLOOKUP(Table1[[#This Row],[Product_Name]],'c174_calc'!$A$2:$C$153, 1, FALSE)</f>
        <v>#N/A</v>
      </c>
      <c r="AE303" t="e">
        <f>VLOOKUP(Table1[[#This Row],[Product_Name]],'c174_calc'!$A$2:$C$153, 2, FALSE)</f>
        <v>#N/A</v>
      </c>
      <c r="AF303" t="e">
        <f>VLOOKUP(Table1[[#This Row],[Product_Name]],'c174_calc'!$A$2:$C$153, 3, FALSE)</f>
        <v>#N/A</v>
      </c>
      <c r="AG303" t="e">
        <f>Table1[[#This Row],[vma]]=Table1[[#This Row],[MA_Number]]</f>
        <v>#N/A</v>
      </c>
    </row>
    <row r="304" spans="1:33" hidden="1" x14ac:dyDescent="0.3">
      <c r="A304" t="s">
        <v>1368</v>
      </c>
      <c r="B304" s="1">
        <v>7047135830</v>
      </c>
      <c r="C304" s="1"/>
      <c r="D304" t="s">
        <v>1186</v>
      </c>
      <c r="F304" t="b">
        <v>1</v>
      </c>
      <c r="I304">
        <v>1</v>
      </c>
      <c r="J304" t="s">
        <v>670</v>
      </c>
      <c r="K304" t="s">
        <v>670</v>
      </c>
      <c r="L304" t="s">
        <v>670</v>
      </c>
      <c r="O304" t="b">
        <v>1</v>
      </c>
      <c r="AA304" t="e">
        <f>Table1[[#This Row],[qPer board]]*Table1[[#This Row],[boards]]</f>
        <v>#REF!</v>
      </c>
      <c r="AB304" t="e">
        <f>VLOOKUP(Table1[[#This Row],[MA_Number]],#REF!, 2,FALSE)</f>
        <v>#REF!</v>
      </c>
      <c r="AD304" t="e">
        <f>VLOOKUP(Table1[[#This Row],[Product_Name]],'c174_calc'!$A$2:$C$153, 1, FALSE)</f>
        <v>#N/A</v>
      </c>
      <c r="AE304" t="e">
        <f>VLOOKUP(Table1[[#This Row],[Product_Name]],'c174_calc'!$A$2:$C$153, 2, FALSE)</f>
        <v>#N/A</v>
      </c>
      <c r="AF304" t="e">
        <f>VLOOKUP(Table1[[#This Row],[Product_Name]],'c174_calc'!$A$2:$C$153, 3, FALSE)</f>
        <v>#N/A</v>
      </c>
      <c r="AG304" t="e">
        <f>Table1[[#This Row],[vma]]=Table1[[#This Row],[MA_Number]]</f>
        <v>#N/A</v>
      </c>
    </row>
    <row r="305" spans="1:33" hidden="1" x14ac:dyDescent="0.3">
      <c r="B305" s="1">
        <v>7047135830</v>
      </c>
      <c r="C305" s="1"/>
      <c r="E305" t="s">
        <v>1369</v>
      </c>
      <c r="G305" t="s">
        <v>1368</v>
      </c>
      <c r="H305" t="s">
        <v>1370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AA305" t="e">
        <f>Table1[[#This Row],[qPer board]]*Table1[[#This Row],[boards]]</f>
        <v>#REF!</v>
      </c>
      <c r="AB305" t="e">
        <f>VLOOKUP(Table1[[#This Row],[MA_Number]],#REF!, 2,FALSE)</f>
        <v>#REF!</v>
      </c>
      <c r="AD305" t="e">
        <f>VLOOKUP(Table1[[#This Row],[Product_Name]],'c174_calc'!$A$2:$C$153, 1, FALSE)</f>
        <v>#N/A</v>
      </c>
      <c r="AE305" t="e">
        <f>VLOOKUP(Table1[[#This Row],[Product_Name]],'c174_calc'!$A$2:$C$153, 2, FALSE)</f>
        <v>#N/A</v>
      </c>
      <c r="AF305" t="e">
        <f>VLOOKUP(Table1[[#This Row],[Product_Name]],'c174_calc'!$A$2:$C$153, 3, FALSE)</f>
        <v>#N/A</v>
      </c>
      <c r="AG305" t="e">
        <f>Table1[[#This Row],[vma]]=Table1[[#This Row],[MA_Number]]</f>
        <v>#N/A</v>
      </c>
    </row>
    <row r="306" spans="1:33" hidden="1" x14ac:dyDescent="0.3">
      <c r="B306" s="1">
        <v>7047135830</v>
      </c>
      <c r="C306" s="1"/>
      <c r="E306" t="s">
        <v>1371</v>
      </c>
      <c r="G306" t="s">
        <v>1368</v>
      </c>
      <c r="H306" t="s">
        <v>1372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AA306" t="e">
        <f>Table1[[#This Row],[qPer board]]*Table1[[#This Row],[boards]]</f>
        <v>#REF!</v>
      </c>
      <c r="AB306" t="e">
        <f>VLOOKUP(Table1[[#This Row],[MA_Number]],#REF!, 2,FALSE)</f>
        <v>#REF!</v>
      </c>
      <c r="AD306" t="e">
        <f>VLOOKUP(Table1[[#This Row],[Product_Name]],'c174_calc'!$A$2:$C$153, 1, FALSE)</f>
        <v>#N/A</v>
      </c>
      <c r="AE306" t="e">
        <f>VLOOKUP(Table1[[#This Row],[Product_Name]],'c174_calc'!$A$2:$C$153, 2, FALSE)</f>
        <v>#N/A</v>
      </c>
      <c r="AF306" t="e">
        <f>VLOOKUP(Table1[[#This Row],[Product_Name]],'c174_calc'!$A$2:$C$153, 3, FALSE)</f>
        <v>#N/A</v>
      </c>
      <c r="AG306" t="e">
        <f>Table1[[#This Row],[vma]]=Table1[[#This Row],[MA_Number]]</f>
        <v>#N/A</v>
      </c>
    </row>
    <row r="307" spans="1:33" hidden="1" x14ac:dyDescent="0.3">
      <c r="B307" s="1">
        <v>7047135830</v>
      </c>
      <c r="C307" s="1"/>
      <c r="G307" t="s">
        <v>1368</v>
      </c>
      <c r="H307" t="s">
        <v>2235</v>
      </c>
      <c r="I307">
        <v>1</v>
      </c>
      <c r="J307">
        <v>70</v>
      </c>
      <c r="K307">
        <v>20</v>
      </c>
      <c r="L307">
        <v>30</v>
      </c>
      <c r="M307" t="s">
        <v>49</v>
      </c>
      <c r="N307" t="s">
        <v>24</v>
      </c>
      <c r="O307" t="b">
        <v>1</v>
      </c>
      <c r="AA307" t="e">
        <f>Table1[[#This Row],[qPer board]]*Table1[[#This Row],[boards]]</f>
        <v>#REF!</v>
      </c>
      <c r="AB307" t="e">
        <f>VLOOKUP(Table1[[#This Row],[MA_Number]],#REF!, 2,FALSE)</f>
        <v>#REF!</v>
      </c>
      <c r="AD307" t="e">
        <f>VLOOKUP(Table1[[#This Row],[Product_Name]],'c174_calc'!$A$2:$C$153, 1, FALSE)</f>
        <v>#N/A</v>
      </c>
      <c r="AE307" t="e">
        <f>VLOOKUP(Table1[[#This Row],[Product_Name]],'c174_calc'!$A$2:$C$153, 2, FALSE)</f>
        <v>#N/A</v>
      </c>
      <c r="AF307" t="e">
        <f>VLOOKUP(Table1[[#This Row],[Product_Name]],'c174_calc'!$A$2:$C$153, 3, FALSE)</f>
        <v>#N/A</v>
      </c>
      <c r="AG307" t="e">
        <f>Table1[[#This Row],[vma]]=Table1[[#This Row],[MA_Number]]</f>
        <v>#N/A</v>
      </c>
    </row>
    <row r="308" spans="1:33" hidden="1" x14ac:dyDescent="0.3">
      <c r="A308" t="s">
        <v>1373</v>
      </c>
      <c r="B308" s="1">
        <v>7047186030</v>
      </c>
      <c r="C308" s="1"/>
      <c r="D308" t="s">
        <v>1186</v>
      </c>
      <c r="E308" t="s">
        <v>1199</v>
      </c>
      <c r="F308" t="b">
        <v>1</v>
      </c>
      <c r="I308">
        <v>1</v>
      </c>
      <c r="J308" t="s">
        <v>670</v>
      </c>
      <c r="K308" t="s">
        <v>670</v>
      </c>
      <c r="L308" t="s">
        <v>670</v>
      </c>
      <c r="AA308">
        <f>Table1[[#This Row],[qPer board]]*Table1[[#This Row],[boards]]</f>
        <v>0</v>
      </c>
      <c r="AB308">
        <v>7</v>
      </c>
      <c r="AD308" t="e">
        <f>VLOOKUP(Table1[[#This Row],[Product_Name]],'c174_calc'!$A$2:$C$153, 1, FALSE)</f>
        <v>#N/A</v>
      </c>
      <c r="AE308" t="e">
        <f>VLOOKUP(Table1[[#This Row],[Product_Name]],'c174_calc'!$A$2:$C$153, 2, FALSE)</f>
        <v>#N/A</v>
      </c>
      <c r="AF308" t="e">
        <f>VLOOKUP(Table1[[#This Row],[Product_Name]],'c174_calc'!$A$2:$C$153, 3, FALSE)</f>
        <v>#N/A</v>
      </c>
      <c r="AG308" t="e">
        <f>Table1[[#This Row],[vma]]=Table1[[#This Row],[MA_Number]]</f>
        <v>#N/A</v>
      </c>
    </row>
    <row r="309" spans="1:33" hidden="1" x14ac:dyDescent="0.3">
      <c r="B309" s="1">
        <v>7047186030</v>
      </c>
      <c r="C309" s="1"/>
      <c r="G309" t="s">
        <v>1373</v>
      </c>
      <c r="H309" t="s">
        <v>1374</v>
      </c>
      <c r="I309">
        <v>1</v>
      </c>
      <c r="AA309">
        <f>Table1[[#This Row],[qPer board]]*Table1[[#This Row],[boards]]</f>
        <v>0</v>
      </c>
      <c r="AB309">
        <v>7</v>
      </c>
      <c r="AD309" t="e">
        <f>VLOOKUP(Table1[[#This Row],[Product_Name]],'c174_calc'!$A$2:$C$153, 1, FALSE)</f>
        <v>#N/A</v>
      </c>
      <c r="AE309" t="e">
        <f>VLOOKUP(Table1[[#This Row],[Product_Name]],'c174_calc'!$A$2:$C$153, 2, FALSE)</f>
        <v>#N/A</v>
      </c>
      <c r="AF309" t="e">
        <f>VLOOKUP(Table1[[#This Row],[Product_Name]],'c174_calc'!$A$2:$C$153, 3, FALSE)</f>
        <v>#N/A</v>
      </c>
      <c r="AG309" t="e">
        <f>Table1[[#This Row],[vma]]=Table1[[#This Row],[MA_Number]]</f>
        <v>#N/A</v>
      </c>
    </row>
    <row r="310" spans="1:33" hidden="1" x14ac:dyDescent="0.3">
      <c r="A310" t="s">
        <v>1375</v>
      </c>
      <c r="B310" s="1">
        <v>7047273930</v>
      </c>
      <c r="C310" s="1"/>
      <c r="D310" t="s">
        <v>1186</v>
      </c>
      <c r="F310" t="b">
        <v>1</v>
      </c>
      <c r="I310">
        <v>1</v>
      </c>
      <c r="J310" t="s">
        <v>670</v>
      </c>
      <c r="K310" t="s">
        <v>670</v>
      </c>
      <c r="L310" t="s">
        <v>670</v>
      </c>
      <c r="O310" t="b">
        <v>1</v>
      </c>
      <c r="AA310" t="e">
        <f>Table1[[#This Row],[qPer board]]*Table1[[#This Row],[boards]]</f>
        <v>#REF!</v>
      </c>
      <c r="AB310" t="e">
        <f>VLOOKUP(Table1[[#This Row],[MA_Number]],#REF!, 2,FALSE)</f>
        <v>#REF!</v>
      </c>
      <c r="AD310" t="e">
        <f>VLOOKUP(Table1[[#This Row],[Product_Name]],'c174_calc'!$A$2:$C$153, 1, FALSE)</f>
        <v>#N/A</v>
      </c>
      <c r="AE310" t="e">
        <f>VLOOKUP(Table1[[#This Row],[Product_Name]],'c174_calc'!$A$2:$C$153, 2, FALSE)</f>
        <v>#N/A</v>
      </c>
      <c r="AF310" t="e">
        <f>VLOOKUP(Table1[[#This Row],[Product_Name]],'c174_calc'!$A$2:$C$153, 3, FALSE)</f>
        <v>#N/A</v>
      </c>
      <c r="AG310" t="e">
        <f>Table1[[#This Row],[vma]]=Table1[[#This Row],[MA_Number]]</f>
        <v>#N/A</v>
      </c>
    </row>
    <row r="311" spans="1:33" hidden="1" x14ac:dyDescent="0.3">
      <c r="B311" s="1">
        <v>7047273930</v>
      </c>
      <c r="C311" s="1"/>
      <c r="E311" t="s">
        <v>1376</v>
      </c>
      <c r="G311" t="s">
        <v>1375</v>
      </c>
      <c r="H311" t="s">
        <v>1377</v>
      </c>
      <c r="I311">
        <v>1</v>
      </c>
      <c r="J311">
        <v>27</v>
      </c>
      <c r="K311">
        <v>20</v>
      </c>
      <c r="L311">
        <v>40</v>
      </c>
      <c r="N311" t="s">
        <v>40</v>
      </c>
      <c r="O311" t="b">
        <v>1</v>
      </c>
      <c r="AA311" t="e">
        <f>Table1[[#This Row],[qPer board]]*Table1[[#This Row],[boards]]</f>
        <v>#REF!</v>
      </c>
      <c r="AB311" t="e">
        <f>VLOOKUP(Table1[[#This Row],[MA_Number]],#REF!, 2,FALSE)</f>
        <v>#REF!</v>
      </c>
      <c r="AD311" t="e">
        <f>VLOOKUP(Table1[[#This Row],[Product_Name]],'c174_calc'!$A$2:$C$153, 1, FALSE)</f>
        <v>#N/A</v>
      </c>
      <c r="AE311" t="e">
        <f>VLOOKUP(Table1[[#This Row],[Product_Name]],'c174_calc'!$A$2:$C$153, 2, FALSE)</f>
        <v>#N/A</v>
      </c>
      <c r="AF311" t="e">
        <f>VLOOKUP(Table1[[#This Row],[Product_Name]],'c174_calc'!$A$2:$C$153, 3, FALSE)</f>
        <v>#N/A</v>
      </c>
      <c r="AG311" t="e">
        <f>Table1[[#This Row],[vma]]=Table1[[#This Row],[MA_Number]]</f>
        <v>#N/A</v>
      </c>
    </row>
    <row r="312" spans="1:33" hidden="1" x14ac:dyDescent="0.3">
      <c r="A312" t="s">
        <v>1865</v>
      </c>
      <c r="B312" s="1">
        <v>7052109630</v>
      </c>
      <c r="C312" s="1"/>
      <c r="D312" t="s">
        <v>1186</v>
      </c>
      <c r="E312" t="s">
        <v>1866</v>
      </c>
      <c r="F312" t="b">
        <v>1</v>
      </c>
      <c r="I312">
        <v>1</v>
      </c>
      <c r="J312" t="s">
        <v>670</v>
      </c>
      <c r="K312" t="s">
        <v>670</v>
      </c>
      <c r="L312" t="s">
        <v>670</v>
      </c>
      <c r="O312" t="b">
        <v>1</v>
      </c>
      <c r="AA312" t="e">
        <f>Table1[[#This Row],[qPer board]]*Table1[[#This Row],[boards]]</f>
        <v>#REF!</v>
      </c>
      <c r="AB312" t="e">
        <f>VLOOKUP(Table1[[#This Row],[MA_Number]],#REF!, 2,FALSE)</f>
        <v>#REF!</v>
      </c>
      <c r="AD312" t="e">
        <f>VLOOKUP(Table1[[#This Row],[Product_Name]],'c174_calc'!$A$2:$C$153, 1, FALSE)</f>
        <v>#N/A</v>
      </c>
      <c r="AE312" t="e">
        <f>VLOOKUP(Table1[[#This Row],[Product_Name]],'c174_calc'!$A$2:$C$153, 2, FALSE)</f>
        <v>#N/A</v>
      </c>
      <c r="AF312" t="e">
        <f>VLOOKUP(Table1[[#This Row],[Product_Name]],'c174_calc'!$A$2:$C$153, 3, FALSE)</f>
        <v>#N/A</v>
      </c>
      <c r="AG312" t="e">
        <f>Table1[[#This Row],[vma]]=Table1[[#This Row],[MA_Number]]</f>
        <v>#N/A</v>
      </c>
    </row>
    <row r="313" spans="1:33" hidden="1" x14ac:dyDescent="0.3">
      <c r="B313" s="1">
        <v>7052109630</v>
      </c>
      <c r="C313" s="1"/>
      <c r="G313" t="s">
        <v>1865</v>
      </c>
      <c r="H313" t="s">
        <v>1867</v>
      </c>
      <c r="I313">
        <v>1</v>
      </c>
      <c r="J313">
        <v>45</v>
      </c>
      <c r="K313">
        <v>20</v>
      </c>
      <c r="L313">
        <v>42</v>
      </c>
      <c r="M313" t="s">
        <v>49</v>
      </c>
      <c r="N313" t="s">
        <v>24</v>
      </c>
      <c r="O313" t="b">
        <v>1</v>
      </c>
      <c r="AA313" t="e">
        <f>Table1[[#This Row],[qPer board]]*Table1[[#This Row],[boards]]</f>
        <v>#REF!</v>
      </c>
      <c r="AB313" t="e">
        <f>VLOOKUP(Table1[[#This Row],[MA_Number]],#REF!, 2,FALSE)</f>
        <v>#REF!</v>
      </c>
      <c r="AD313" t="e">
        <f>VLOOKUP(Table1[[#This Row],[Product_Name]],'c174_calc'!$A$2:$C$153, 1, FALSE)</f>
        <v>#N/A</v>
      </c>
      <c r="AE313" t="e">
        <f>VLOOKUP(Table1[[#This Row],[Product_Name]],'c174_calc'!$A$2:$C$153, 2, FALSE)</f>
        <v>#N/A</v>
      </c>
      <c r="AF313" t="e">
        <f>VLOOKUP(Table1[[#This Row],[Product_Name]],'c174_calc'!$A$2:$C$153, 3, FALSE)</f>
        <v>#N/A</v>
      </c>
      <c r="AG313" t="e">
        <f>Table1[[#This Row],[vma]]=Table1[[#This Row],[MA_Number]]</f>
        <v>#N/A</v>
      </c>
    </row>
    <row r="314" spans="1:33" hidden="1" x14ac:dyDescent="0.3">
      <c r="B314" s="1">
        <v>7052109630</v>
      </c>
      <c r="C314" s="1"/>
      <c r="G314" t="s">
        <v>1865</v>
      </c>
      <c r="H314" t="s">
        <v>1868</v>
      </c>
      <c r="I314">
        <v>1</v>
      </c>
      <c r="J314">
        <v>77</v>
      </c>
      <c r="K314">
        <v>30</v>
      </c>
      <c r="L314">
        <v>35</v>
      </c>
      <c r="M314" t="s">
        <v>49</v>
      </c>
      <c r="N314" t="s">
        <v>24</v>
      </c>
      <c r="O314" t="b">
        <v>1</v>
      </c>
      <c r="AA314" t="e">
        <f>Table1[[#This Row],[qPer board]]*Table1[[#This Row],[boards]]</f>
        <v>#REF!</v>
      </c>
      <c r="AB314" t="e">
        <f>VLOOKUP(Table1[[#This Row],[MA_Number]],#REF!, 2,FALSE)</f>
        <v>#REF!</v>
      </c>
      <c r="AD314" t="e">
        <f>VLOOKUP(Table1[[#This Row],[Product_Name]],'c174_calc'!$A$2:$C$153, 1, FALSE)</f>
        <v>#N/A</v>
      </c>
      <c r="AE314" t="e">
        <f>VLOOKUP(Table1[[#This Row],[Product_Name]],'c174_calc'!$A$2:$C$153, 2, FALSE)</f>
        <v>#N/A</v>
      </c>
      <c r="AF314" t="e">
        <f>VLOOKUP(Table1[[#This Row],[Product_Name]],'c174_calc'!$A$2:$C$153, 3, FALSE)</f>
        <v>#N/A</v>
      </c>
      <c r="AG314" t="e">
        <f>Table1[[#This Row],[vma]]=Table1[[#This Row],[MA_Number]]</f>
        <v>#N/A</v>
      </c>
    </row>
    <row r="315" spans="1:33" hidden="1" x14ac:dyDescent="0.3">
      <c r="A315" t="s">
        <v>1378</v>
      </c>
      <c r="B315" s="1">
        <v>70521459</v>
      </c>
      <c r="C315" s="1"/>
      <c r="D315" t="s">
        <v>1186</v>
      </c>
      <c r="F315" t="b">
        <v>1</v>
      </c>
      <c r="I315">
        <v>1</v>
      </c>
      <c r="J315" t="s">
        <v>670</v>
      </c>
      <c r="K315" t="s">
        <v>670</v>
      </c>
      <c r="L315" t="s">
        <v>670</v>
      </c>
      <c r="O315" t="b">
        <v>1</v>
      </c>
      <c r="AA315" t="e">
        <f>Table1[[#This Row],[qPer board]]*Table1[[#This Row],[boards]]</f>
        <v>#REF!</v>
      </c>
      <c r="AB315" t="e">
        <f>VLOOKUP(Table1[[#This Row],[MA_Number]],#REF!, 2,FALSE)</f>
        <v>#REF!</v>
      </c>
      <c r="AD315" t="e">
        <f>VLOOKUP(Table1[[#This Row],[Product_Name]],'c174_calc'!$A$2:$C$153, 1, FALSE)</f>
        <v>#N/A</v>
      </c>
      <c r="AE315" t="e">
        <f>VLOOKUP(Table1[[#This Row],[Product_Name]],'c174_calc'!$A$2:$C$153, 2, FALSE)</f>
        <v>#N/A</v>
      </c>
      <c r="AF315" t="e">
        <f>VLOOKUP(Table1[[#This Row],[Product_Name]],'c174_calc'!$A$2:$C$153, 3, FALSE)</f>
        <v>#N/A</v>
      </c>
      <c r="AG315" t="e">
        <f>Table1[[#This Row],[vma]]=Table1[[#This Row],[MA_Number]]</f>
        <v>#N/A</v>
      </c>
    </row>
    <row r="316" spans="1:33" hidden="1" x14ac:dyDescent="0.3">
      <c r="B316" s="1">
        <v>70521459</v>
      </c>
      <c r="C316" s="1"/>
      <c r="E316" t="s">
        <v>1379</v>
      </c>
      <c r="G316" t="s">
        <v>1378</v>
      </c>
      <c r="H316" t="s">
        <v>1380</v>
      </c>
      <c r="I316">
        <v>1</v>
      </c>
      <c r="J316">
        <v>28</v>
      </c>
      <c r="K316">
        <v>28</v>
      </c>
      <c r="L316">
        <v>36</v>
      </c>
      <c r="N316" t="s">
        <v>40</v>
      </c>
      <c r="O316" t="b">
        <v>1</v>
      </c>
      <c r="AA316" t="e">
        <f>Table1[[#This Row],[qPer board]]*Table1[[#This Row],[boards]]</f>
        <v>#REF!</v>
      </c>
      <c r="AB316" t="e">
        <f>VLOOKUP(Table1[[#This Row],[MA_Number]],#REF!, 2,FALSE)</f>
        <v>#REF!</v>
      </c>
      <c r="AD316" t="e">
        <f>VLOOKUP(Table1[[#This Row],[Product_Name]],'c174_calc'!$A$2:$C$153, 1, FALSE)</f>
        <v>#N/A</v>
      </c>
      <c r="AE316" t="e">
        <f>VLOOKUP(Table1[[#This Row],[Product_Name]],'c174_calc'!$A$2:$C$153, 2, FALSE)</f>
        <v>#N/A</v>
      </c>
      <c r="AF316" t="e">
        <f>VLOOKUP(Table1[[#This Row],[Product_Name]],'c174_calc'!$A$2:$C$153, 3, FALSE)</f>
        <v>#N/A</v>
      </c>
      <c r="AG316" t="e">
        <f>Table1[[#This Row],[vma]]=Table1[[#This Row],[MA_Number]]</f>
        <v>#N/A</v>
      </c>
    </row>
    <row r="317" spans="1:33" hidden="1" x14ac:dyDescent="0.3">
      <c r="A317" t="s">
        <v>732</v>
      </c>
      <c r="B317" s="1">
        <v>7052161430</v>
      </c>
      <c r="C317" s="1"/>
      <c r="D317" t="s">
        <v>1186</v>
      </c>
      <c r="E317" t="s">
        <v>1199</v>
      </c>
      <c r="F317" t="b">
        <v>1</v>
      </c>
      <c r="I317">
        <v>1</v>
      </c>
      <c r="J317" t="s">
        <v>670</v>
      </c>
      <c r="K317" t="s">
        <v>670</v>
      </c>
      <c r="L317" t="s">
        <v>670</v>
      </c>
      <c r="AA317" t="e">
        <f>Table1[[#This Row],[qPer board]]*Table1[[#This Row],[boards]]</f>
        <v>#REF!</v>
      </c>
      <c r="AB317" t="e">
        <f>VLOOKUP(Table1[[#This Row],[MA_Number]],#REF!, 2,FALSE)</f>
        <v>#REF!</v>
      </c>
      <c r="AD317" t="e">
        <f>VLOOKUP(Table1[[#This Row],[Product_Name]],'c174_calc'!$A$2:$C$153, 1, FALSE)</f>
        <v>#N/A</v>
      </c>
      <c r="AE317" t="e">
        <f>VLOOKUP(Table1[[#This Row],[Product_Name]],'c174_calc'!$A$2:$C$153, 2, FALSE)</f>
        <v>#N/A</v>
      </c>
      <c r="AF317" t="e">
        <f>VLOOKUP(Table1[[#This Row],[Product_Name]],'c174_calc'!$A$2:$C$153, 3, FALSE)</f>
        <v>#N/A</v>
      </c>
      <c r="AG317" t="e">
        <f>Table1[[#This Row],[vma]]=Table1[[#This Row],[MA_Number]]</f>
        <v>#N/A</v>
      </c>
    </row>
    <row r="318" spans="1:33" hidden="1" x14ac:dyDescent="0.3">
      <c r="B318" s="1">
        <v>7052161430</v>
      </c>
      <c r="C318" s="1"/>
      <c r="G318" t="s">
        <v>732</v>
      </c>
      <c r="H318" t="s">
        <v>1196</v>
      </c>
      <c r="I318">
        <v>1</v>
      </c>
      <c r="AA318" t="e">
        <f>Table1[[#This Row],[qPer board]]*Table1[[#This Row],[boards]]</f>
        <v>#REF!</v>
      </c>
      <c r="AB318" t="e">
        <f>VLOOKUP(Table1[[#This Row],[MA_Number]],#REF!, 2,FALSE)</f>
        <v>#REF!</v>
      </c>
      <c r="AD318" t="e">
        <f>VLOOKUP(Table1[[#This Row],[Product_Name]],'c174_calc'!$A$2:$C$153, 1, FALSE)</f>
        <v>#N/A</v>
      </c>
      <c r="AE318" t="e">
        <f>VLOOKUP(Table1[[#This Row],[Product_Name]],'c174_calc'!$A$2:$C$153, 2, FALSE)</f>
        <v>#N/A</v>
      </c>
      <c r="AF318" t="e">
        <f>VLOOKUP(Table1[[#This Row],[Product_Name]],'c174_calc'!$A$2:$C$153, 3, FALSE)</f>
        <v>#N/A</v>
      </c>
      <c r="AG318" t="e">
        <f>Table1[[#This Row],[vma]]=Table1[[#This Row],[MA_Number]]</f>
        <v>#N/A</v>
      </c>
    </row>
    <row r="319" spans="1:33" hidden="1" x14ac:dyDescent="0.3">
      <c r="A319" t="s">
        <v>1687</v>
      </c>
      <c r="B319" s="1">
        <v>7075181330</v>
      </c>
      <c r="C319" s="1"/>
      <c r="D319" t="s">
        <v>279</v>
      </c>
      <c r="E319" s="3" t="s">
        <v>1688</v>
      </c>
      <c r="F319" t="b">
        <v>0</v>
      </c>
      <c r="I319">
        <v>1</v>
      </c>
      <c r="J319">
        <v>55</v>
      </c>
      <c r="K319">
        <v>20</v>
      </c>
      <c r="L319">
        <v>50</v>
      </c>
      <c r="M319" t="s">
        <v>49</v>
      </c>
      <c r="N319" t="s">
        <v>24</v>
      </c>
      <c r="O319" t="b">
        <v>1</v>
      </c>
      <c r="AA319" t="e">
        <f>Table1[[#This Row],[qPer board]]*Table1[[#This Row],[boards]]</f>
        <v>#REF!</v>
      </c>
      <c r="AB319" t="e">
        <f>VLOOKUP(Table1[[#This Row],[MA_Number]],#REF!, 2,FALSE)</f>
        <v>#REF!</v>
      </c>
      <c r="AD319" t="e">
        <f>VLOOKUP(Table1[[#This Row],[Product_Name]],'c174_calc'!$A$2:$C$153, 1, FALSE)</f>
        <v>#N/A</v>
      </c>
      <c r="AE319" t="e">
        <f>VLOOKUP(Table1[[#This Row],[Product_Name]],'c174_calc'!$A$2:$C$153, 2, FALSE)</f>
        <v>#N/A</v>
      </c>
      <c r="AF319" t="e">
        <f>VLOOKUP(Table1[[#This Row],[Product_Name]],'c174_calc'!$A$2:$C$153, 3, FALSE)</f>
        <v>#N/A</v>
      </c>
      <c r="AG319" t="e">
        <f>Table1[[#This Row],[vma]]=Table1[[#This Row],[MA_Number]]</f>
        <v>#N/A</v>
      </c>
    </row>
    <row r="320" spans="1:33" hidden="1" x14ac:dyDescent="0.3">
      <c r="A320" t="s">
        <v>512</v>
      </c>
      <c r="B320" s="1" t="s">
        <v>1381</v>
      </c>
      <c r="C320" s="1"/>
      <c r="D320" t="s">
        <v>279</v>
      </c>
      <c r="F320" t="b">
        <v>1</v>
      </c>
      <c r="I320">
        <v>1</v>
      </c>
      <c r="O320" t="b">
        <v>1</v>
      </c>
      <c r="AA320" t="e">
        <f>Table1[[#This Row],[qPer board]]*Table1[[#This Row],[boards]]</f>
        <v>#REF!</v>
      </c>
      <c r="AB320" t="e">
        <f>VLOOKUP(Table1[[#This Row],[MA_Number]],#REF!, 2,FALSE)</f>
        <v>#REF!</v>
      </c>
      <c r="AD320" t="e">
        <f>VLOOKUP(Table1[[#This Row],[Product_Name]],'c174_calc'!$A$2:$C$153, 1, FALSE)</f>
        <v>#N/A</v>
      </c>
      <c r="AE320" t="e">
        <f>VLOOKUP(Table1[[#This Row],[Product_Name]],'c174_calc'!$A$2:$C$153, 2, FALSE)</f>
        <v>#N/A</v>
      </c>
      <c r="AF320" t="e">
        <f>VLOOKUP(Table1[[#This Row],[Product_Name]],'c174_calc'!$A$2:$C$153, 3, FALSE)</f>
        <v>#N/A</v>
      </c>
      <c r="AG320" t="e">
        <f>Table1[[#This Row],[vma]]=Table1[[#This Row],[MA_Number]]</f>
        <v>#N/A</v>
      </c>
    </row>
    <row r="321" spans="1:33" hidden="1" x14ac:dyDescent="0.3">
      <c r="B321" s="1" t="s">
        <v>1381</v>
      </c>
      <c r="C321" s="1"/>
      <c r="E321" t="s">
        <v>1382</v>
      </c>
      <c r="G321" t="s">
        <v>512</v>
      </c>
      <c r="H321" t="s">
        <v>1383</v>
      </c>
      <c r="I321">
        <v>1</v>
      </c>
      <c r="J321">
        <v>93</v>
      </c>
      <c r="K321">
        <v>52</v>
      </c>
      <c r="L321">
        <v>75</v>
      </c>
      <c r="O321" t="b">
        <v>1</v>
      </c>
      <c r="AA321" t="e">
        <f>Table1[[#This Row],[qPer board]]*Table1[[#This Row],[boards]]</f>
        <v>#REF!</v>
      </c>
      <c r="AB321" t="e">
        <f>VLOOKUP(Table1[[#This Row],[MA_Number]],#REF!, 2,FALSE)</f>
        <v>#REF!</v>
      </c>
      <c r="AD321" t="e">
        <f>VLOOKUP(Table1[[#This Row],[Product_Name]],'c174_calc'!$A$2:$C$153, 1, FALSE)</f>
        <v>#N/A</v>
      </c>
      <c r="AE321" t="e">
        <f>VLOOKUP(Table1[[#This Row],[Product_Name]],'c174_calc'!$A$2:$C$153, 2, FALSE)</f>
        <v>#N/A</v>
      </c>
      <c r="AF321" t="e">
        <f>VLOOKUP(Table1[[#This Row],[Product_Name]],'c174_calc'!$A$2:$C$153, 3, FALSE)</f>
        <v>#N/A</v>
      </c>
      <c r="AG321" t="e">
        <f>Table1[[#This Row],[vma]]=Table1[[#This Row],[MA_Number]]</f>
        <v>#N/A</v>
      </c>
    </row>
    <row r="322" spans="1:33" hidden="1" x14ac:dyDescent="0.3">
      <c r="A322" t="s">
        <v>445</v>
      </c>
      <c r="B322" s="1">
        <v>7075244730</v>
      </c>
      <c r="C322" s="1"/>
      <c r="D322" t="s">
        <v>279</v>
      </c>
      <c r="F322" t="b">
        <v>1</v>
      </c>
      <c r="I322">
        <v>1</v>
      </c>
      <c r="J322">
        <v>77</v>
      </c>
      <c r="K322">
        <v>42</v>
      </c>
      <c r="L322">
        <v>66</v>
      </c>
      <c r="M322" t="s">
        <v>49</v>
      </c>
      <c r="N322" t="s">
        <v>24</v>
      </c>
      <c r="O322" t="b">
        <v>1</v>
      </c>
      <c r="AA322" t="e">
        <f>Table1[[#This Row],[qPer board]]*Table1[[#This Row],[boards]]</f>
        <v>#REF!</v>
      </c>
      <c r="AB322" t="e">
        <f>VLOOKUP(Table1[[#This Row],[MA_Number]],#REF!, 2,FALSE)</f>
        <v>#REF!</v>
      </c>
      <c r="AD322" t="e">
        <f>VLOOKUP(Table1[[#This Row],[Product_Name]],'c174_calc'!$A$2:$C$153, 1, FALSE)</f>
        <v>#N/A</v>
      </c>
      <c r="AE322" t="e">
        <f>VLOOKUP(Table1[[#This Row],[Product_Name]],'c174_calc'!$A$2:$C$153, 2, FALSE)</f>
        <v>#N/A</v>
      </c>
      <c r="AF322" t="e">
        <f>VLOOKUP(Table1[[#This Row],[Product_Name]],'c174_calc'!$A$2:$C$153, 3, FALSE)</f>
        <v>#N/A</v>
      </c>
      <c r="AG322" t="e">
        <f>Table1[[#This Row],[vma]]=Table1[[#This Row],[MA_Number]]</f>
        <v>#N/A</v>
      </c>
    </row>
    <row r="323" spans="1:33" hidden="1" x14ac:dyDescent="0.3">
      <c r="A323" t="s">
        <v>447</v>
      </c>
      <c r="B323" s="1" t="s">
        <v>1384</v>
      </c>
      <c r="C323" s="1"/>
      <c r="D323" t="s">
        <v>279</v>
      </c>
      <c r="E323" t="s">
        <v>1385</v>
      </c>
      <c r="F323" t="b">
        <v>1</v>
      </c>
      <c r="I323">
        <v>1</v>
      </c>
      <c r="J323" t="s">
        <v>670</v>
      </c>
      <c r="K323" t="s">
        <v>670</v>
      </c>
      <c r="L323" t="s">
        <v>670</v>
      </c>
      <c r="O323" t="b">
        <v>1</v>
      </c>
      <c r="AA323" t="e">
        <f>Table1[[#This Row],[qPer board]]*Table1[[#This Row],[boards]]</f>
        <v>#REF!</v>
      </c>
      <c r="AB323" t="e">
        <f>VLOOKUP(Table1[[#This Row],[MA_Number]],#REF!, 2,FALSE)</f>
        <v>#REF!</v>
      </c>
      <c r="AD323" t="e">
        <f>VLOOKUP(Table1[[#This Row],[Product_Name]],'c174_calc'!$A$2:$C$153, 1, FALSE)</f>
        <v>#N/A</v>
      </c>
      <c r="AE323" t="e">
        <f>VLOOKUP(Table1[[#This Row],[Product_Name]],'c174_calc'!$A$2:$C$153, 2, FALSE)</f>
        <v>#N/A</v>
      </c>
      <c r="AF323" t="e">
        <f>VLOOKUP(Table1[[#This Row],[Product_Name]],'c174_calc'!$A$2:$C$153, 3, FALSE)</f>
        <v>#N/A</v>
      </c>
      <c r="AG323" t="e">
        <f>Table1[[#This Row],[vma]]=Table1[[#This Row],[MA_Number]]</f>
        <v>#N/A</v>
      </c>
    </row>
    <row r="324" spans="1:33" hidden="1" x14ac:dyDescent="0.3">
      <c r="B324" s="1" t="s">
        <v>1384</v>
      </c>
      <c r="C324" s="1"/>
      <c r="E324" t="s">
        <v>1386</v>
      </c>
      <c r="G324" t="s">
        <v>447</v>
      </c>
      <c r="H324" t="s">
        <v>1387</v>
      </c>
      <c r="I324">
        <v>1</v>
      </c>
      <c r="J324">
        <v>50</v>
      </c>
      <c r="K324">
        <v>39</v>
      </c>
      <c r="L324">
        <v>44</v>
      </c>
      <c r="M324" t="s">
        <v>52</v>
      </c>
      <c r="N324" t="s">
        <v>24</v>
      </c>
      <c r="O324" t="b">
        <v>1</v>
      </c>
      <c r="AA324" t="e">
        <f>Table1[[#This Row],[qPer board]]*Table1[[#This Row],[boards]]</f>
        <v>#REF!</v>
      </c>
      <c r="AB324" t="e">
        <f>VLOOKUP(Table1[[#This Row],[MA_Number]],#REF!, 2,FALSE)</f>
        <v>#REF!</v>
      </c>
      <c r="AD324" t="e">
        <f>VLOOKUP(Table1[[#This Row],[Product_Name]],'c174_calc'!$A$2:$C$153, 1, FALSE)</f>
        <v>#N/A</v>
      </c>
      <c r="AE324" t="e">
        <f>VLOOKUP(Table1[[#This Row],[Product_Name]],'c174_calc'!$A$2:$C$153, 2, FALSE)</f>
        <v>#N/A</v>
      </c>
      <c r="AF324" t="e">
        <f>VLOOKUP(Table1[[#This Row],[Product_Name]],'c174_calc'!$A$2:$C$153, 3, FALSE)</f>
        <v>#N/A</v>
      </c>
      <c r="AG324" t="e">
        <f>Table1[[#This Row],[vma]]=Table1[[#This Row],[MA_Number]]</f>
        <v>#N/A</v>
      </c>
    </row>
    <row r="325" spans="1:33" hidden="1" x14ac:dyDescent="0.3">
      <c r="B325" s="1" t="s">
        <v>1384</v>
      </c>
      <c r="C325" s="1"/>
      <c r="E325" t="s">
        <v>1388</v>
      </c>
      <c r="G325" t="s">
        <v>447</v>
      </c>
      <c r="H325" t="s">
        <v>1389</v>
      </c>
      <c r="I325">
        <v>1</v>
      </c>
      <c r="J325">
        <v>50</v>
      </c>
      <c r="K325">
        <v>39</v>
      </c>
      <c r="L325">
        <v>30</v>
      </c>
      <c r="M325" t="s">
        <v>52</v>
      </c>
      <c r="N325" t="s">
        <v>24</v>
      </c>
      <c r="O325" t="b">
        <v>1</v>
      </c>
      <c r="AA325" t="e">
        <f>Table1[[#This Row],[qPer board]]*Table1[[#This Row],[boards]]</f>
        <v>#REF!</v>
      </c>
      <c r="AB325" t="e">
        <f>VLOOKUP(Table1[[#This Row],[MA_Number]],#REF!, 2,FALSE)</f>
        <v>#REF!</v>
      </c>
      <c r="AD325" t="e">
        <f>VLOOKUP(Table1[[#This Row],[Product_Name]],'c174_calc'!$A$2:$C$153, 1, FALSE)</f>
        <v>#N/A</v>
      </c>
      <c r="AE325" t="e">
        <f>VLOOKUP(Table1[[#This Row],[Product_Name]],'c174_calc'!$A$2:$C$153, 2, FALSE)</f>
        <v>#N/A</v>
      </c>
      <c r="AF325" t="e">
        <f>VLOOKUP(Table1[[#This Row],[Product_Name]],'c174_calc'!$A$2:$C$153, 3, FALSE)</f>
        <v>#N/A</v>
      </c>
      <c r="AG325" t="e">
        <f>Table1[[#This Row],[vma]]=Table1[[#This Row],[MA_Number]]</f>
        <v>#N/A</v>
      </c>
    </row>
    <row r="326" spans="1:33" hidden="1" x14ac:dyDescent="0.3">
      <c r="B326" s="1" t="s">
        <v>1384</v>
      </c>
      <c r="C326" s="1"/>
      <c r="E326" t="s">
        <v>1390</v>
      </c>
      <c r="G326" t="s">
        <v>447</v>
      </c>
      <c r="H326" t="s">
        <v>1391</v>
      </c>
      <c r="I326">
        <v>1</v>
      </c>
      <c r="J326">
        <v>50</v>
      </c>
      <c r="K326">
        <v>39</v>
      </c>
      <c r="L326">
        <v>21</v>
      </c>
      <c r="M326" t="s">
        <v>52</v>
      </c>
      <c r="N326" t="s">
        <v>24</v>
      </c>
      <c r="O326" t="b">
        <v>1</v>
      </c>
      <c r="AA326" t="e">
        <f>Table1[[#This Row],[qPer board]]*Table1[[#This Row],[boards]]</f>
        <v>#REF!</v>
      </c>
      <c r="AB326" t="e">
        <f>VLOOKUP(Table1[[#This Row],[MA_Number]],#REF!, 2,FALSE)</f>
        <v>#REF!</v>
      </c>
      <c r="AD326" t="e">
        <f>VLOOKUP(Table1[[#This Row],[Product_Name]],'c174_calc'!$A$2:$C$153, 1, FALSE)</f>
        <v>#N/A</v>
      </c>
      <c r="AE326" t="e">
        <f>VLOOKUP(Table1[[#This Row],[Product_Name]],'c174_calc'!$A$2:$C$153, 2, FALSE)</f>
        <v>#N/A</v>
      </c>
      <c r="AF326" t="e">
        <f>VLOOKUP(Table1[[#This Row],[Product_Name]],'c174_calc'!$A$2:$C$153, 3, FALSE)</f>
        <v>#N/A</v>
      </c>
      <c r="AG326" t="e">
        <f>Table1[[#This Row],[vma]]=Table1[[#This Row],[MA_Number]]</f>
        <v>#N/A</v>
      </c>
    </row>
    <row r="327" spans="1:33" hidden="1" x14ac:dyDescent="0.3">
      <c r="A327" t="s">
        <v>448</v>
      </c>
      <c r="B327" s="1" t="s">
        <v>1028</v>
      </c>
      <c r="C327" s="1"/>
      <c r="D327" t="s">
        <v>279</v>
      </c>
      <c r="E327" t="s">
        <v>1392</v>
      </c>
      <c r="F327" t="b">
        <v>1</v>
      </c>
      <c r="I327">
        <v>1</v>
      </c>
      <c r="J327" t="s">
        <v>670</v>
      </c>
      <c r="K327" t="s">
        <v>670</v>
      </c>
      <c r="L327" t="s">
        <v>670</v>
      </c>
      <c r="O327" t="b">
        <v>1</v>
      </c>
      <c r="AA327">
        <f>Table1[[#This Row],[qPer board]]*Table1[[#This Row],[boards]]</f>
        <v>0</v>
      </c>
      <c r="AB327">
        <v>2</v>
      </c>
      <c r="AD327" t="e">
        <f>VLOOKUP(Table1[[#This Row],[Product_Name]],'c174_calc'!$A$2:$C$153, 1, FALSE)</f>
        <v>#N/A</v>
      </c>
      <c r="AE327" t="e">
        <f>VLOOKUP(Table1[[#This Row],[Product_Name]],'c174_calc'!$A$2:$C$153, 2, FALSE)</f>
        <v>#N/A</v>
      </c>
      <c r="AF327" t="e">
        <f>VLOOKUP(Table1[[#This Row],[Product_Name]],'c174_calc'!$A$2:$C$153, 3, FALSE)</f>
        <v>#N/A</v>
      </c>
      <c r="AG327" t="e">
        <f>Table1[[#This Row],[vma]]=Table1[[#This Row],[MA_Number]]</f>
        <v>#N/A</v>
      </c>
    </row>
    <row r="328" spans="1:33" hidden="1" x14ac:dyDescent="0.3">
      <c r="B328" s="1" t="s">
        <v>1028</v>
      </c>
      <c r="C328" s="1"/>
      <c r="E328" t="s">
        <v>1393</v>
      </c>
      <c r="G328" t="s">
        <v>448</v>
      </c>
      <c r="H328" t="s">
        <v>1394</v>
      </c>
      <c r="I328">
        <v>1</v>
      </c>
      <c r="J328">
        <v>55</v>
      </c>
      <c r="K328">
        <v>39</v>
      </c>
      <c r="L328">
        <v>48</v>
      </c>
      <c r="M328" t="s">
        <v>49</v>
      </c>
      <c r="N328" t="s">
        <v>24</v>
      </c>
      <c r="O328" t="b">
        <v>1</v>
      </c>
      <c r="AA328">
        <f>Table1[[#This Row],[qPer board]]*Table1[[#This Row],[boards]]</f>
        <v>0</v>
      </c>
      <c r="AB328">
        <v>2</v>
      </c>
      <c r="AD328" t="e">
        <f>VLOOKUP(Table1[[#This Row],[Product_Name]],'c174_calc'!$A$2:$C$153, 1, FALSE)</f>
        <v>#N/A</v>
      </c>
      <c r="AE328" t="e">
        <f>VLOOKUP(Table1[[#This Row],[Product_Name]],'c174_calc'!$A$2:$C$153, 2, FALSE)</f>
        <v>#N/A</v>
      </c>
      <c r="AF328" t="e">
        <f>VLOOKUP(Table1[[#This Row],[Product_Name]],'c174_calc'!$A$2:$C$153, 3, FALSE)</f>
        <v>#N/A</v>
      </c>
      <c r="AG328" t="e">
        <f>Table1[[#This Row],[vma]]=Table1[[#This Row],[MA_Number]]</f>
        <v>#N/A</v>
      </c>
    </row>
    <row r="329" spans="1:33" hidden="1" x14ac:dyDescent="0.3">
      <c r="B329" s="1" t="s">
        <v>1028</v>
      </c>
      <c r="C329" s="1"/>
      <c r="E329" t="s">
        <v>1395</v>
      </c>
      <c r="G329" t="s">
        <v>448</v>
      </c>
      <c r="H329" t="s">
        <v>1396</v>
      </c>
      <c r="I329">
        <v>1</v>
      </c>
      <c r="J329">
        <v>55</v>
      </c>
      <c r="K329">
        <v>39</v>
      </c>
      <c r="L329">
        <v>30</v>
      </c>
      <c r="M329" t="s">
        <v>49</v>
      </c>
      <c r="N329" t="s">
        <v>24</v>
      </c>
      <c r="O329" t="b">
        <v>1</v>
      </c>
      <c r="AA329">
        <f>Table1[[#This Row],[qPer board]]*Table1[[#This Row],[boards]]</f>
        <v>0</v>
      </c>
      <c r="AB329">
        <v>2</v>
      </c>
      <c r="AD329" t="e">
        <f>VLOOKUP(Table1[[#This Row],[Product_Name]],'c174_calc'!$A$2:$C$153, 1, FALSE)</f>
        <v>#N/A</v>
      </c>
      <c r="AE329" t="e">
        <f>VLOOKUP(Table1[[#This Row],[Product_Name]],'c174_calc'!$A$2:$C$153, 2, FALSE)</f>
        <v>#N/A</v>
      </c>
      <c r="AF329" t="e">
        <f>VLOOKUP(Table1[[#This Row],[Product_Name]],'c174_calc'!$A$2:$C$153, 3, FALSE)</f>
        <v>#N/A</v>
      </c>
      <c r="AG329" t="e">
        <f>Table1[[#This Row],[vma]]=Table1[[#This Row],[MA_Number]]</f>
        <v>#N/A</v>
      </c>
    </row>
    <row r="330" spans="1:33" hidden="1" x14ac:dyDescent="0.3">
      <c r="B330" s="1" t="s">
        <v>1028</v>
      </c>
      <c r="C330" s="1"/>
      <c r="E330" t="s">
        <v>1397</v>
      </c>
      <c r="G330" t="s">
        <v>448</v>
      </c>
      <c r="H330" t="s">
        <v>1398</v>
      </c>
      <c r="I330">
        <v>1</v>
      </c>
      <c r="J330">
        <v>55</v>
      </c>
      <c r="K330">
        <v>39</v>
      </c>
      <c r="L330">
        <v>21</v>
      </c>
      <c r="M330" t="s">
        <v>49</v>
      </c>
      <c r="N330" t="s">
        <v>24</v>
      </c>
      <c r="O330" t="b">
        <v>1</v>
      </c>
      <c r="AA330">
        <f>Table1[[#This Row],[qPer board]]*Table1[[#This Row],[boards]]</f>
        <v>0</v>
      </c>
      <c r="AB330">
        <v>2</v>
      </c>
      <c r="AD330" t="e">
        <f>VLOOKUP(Table1[[#This Row],[Product_Name]],'c174_calc'!$A$2:$C$153, 1, FALSE)</f>
        <v>#N/A</v>
      </c>
      <c r="AE330" t="e">
        <f>VLOOKUP(Table1[[#This Row],[Product_Name]],'c174_calc'!$A$2:$C$153, 2, FALSE)</f>
        <v>#N/A</v>
      </c>
      <c r="AF330" t="e">
        <f>VLOOKUP(Table1[[#This Row],[Product_Name]],'c174_calc'!$A$2:$C$153, 3, FALSE)</f>
        <v>#N/A</v>
      </c>
      <c r="AG330" t="e">
        <f>Table1[[#This Row],[vma]]=Table1[[#This Row],[MA_Number]]</f>
        <v>#N/A</v>
      </c>
    </row>
    <row r="331" spans="1:33" hidden="1" x14ac:dyDescent="0.3">
      <c r="A331" t="s">
        <v>1120</v>
      </c>
      <c r="B331" s="1" t="s">
        <v>1019</v>
      </c>
      <c r="C331" s="1"/>
      <c r="D331" t="s">
        <v>279</v>
      </c>
      <c r="E331" t="s">
        <v>1399</v>
      </c>
      <c r="F331" t="b">
        <v>1</v>
      </c>
      <c r="I331">
        <v>1</v>
      </c>
      <c r="J331" t="s">
        <v>670</v>
      </c>
      <c r="K331" t="s">
        <v>670</v>
      </c>
      <c r="L331" t="s">
        <v>670</v>
      </c>
      <c r="O331" t="b">
        <v>1</v>
      </c>
      <c r="AA331">
        <f>Table1[[#This Row],[qPer board]]*Table1[[#This Row],[boards]]</f>
        <v>0</v>
      </c>
      <c r="AB331">
        <v>2</v>
      </c>
      <c r="AD331" t="e">
        <f>VLOOKUP(Table1[[#This Row],[Product_Name]],'c174_calc'!$A$2:$C$153, 1, FALSE)</f>
        <v>#N/A</v>
      </c>
      <c r="AE331" t="e">
        <f>VLOOKUP(Table1[[#This Row],[Product_Name]],'c174_calc'!$A$2:$C$153, 2, FALSE)</f>
        <v>#N/A</v>
      </c>
      <c r="AF331" t="e">
        <f>VLOOKUP(Table1[[#This Row],[Product_Name]],'c174_calc'!$A$2:$C$153, 3, FALSE)</f>
        <v>#N/A</v>
      </c>
      <c r="AG331" t="e">
        <f>Table1[[#This Row],[vma]]=Table1[[#This Row],[MA_Number]]</f>
        <v>#N/A</v>
      </c>
    </row>
    <row r="332" spans="1:33" hidden="1" x14ac:dyDescent="0.3">
      <c r="B332" s="1" t="s">
        <v>1019</v>
      </c>
      <c r="C332" s="1"/>
      <c r="E332" t="s">
        <v>1400</v>
      </c>
      <c r="G332" t="s">
        <v>1120</v>
      </c>
      <c r="H332" t="s">
        <v>1401</v>
      </c>
      <c r="I332">
        <v>1</v>
      </c>
      <c r="J332">
        <v>54</v>
      </c>
      <c r="K332">
        <v>40</v>
      </c>
      <c r="L332">
        <v>44</v>
      </c>
      <c r="M332" t="s">
        <v>53</v>
      </c>
      <c r="N332" t="s">
        <v>24</v>
      </c>
      <c r="O332" t="b">
        <v>1</v>
      </c>
      <c r="AA332">
        <f>Table1[[#This Row],[qPer board]]*Table1[[#This Row],[boards]]</f>
        <v>0</v>
      </c>
      <c r="AB332">
        <v>2</v>
      </c>
      <c r="AD332" t="e">
        <f>VLOOKUP(Table1[[#This Row],[Product_Name]],'c174_calc'!$A$2:$C$153, 1, FALSE)</f>
        <v>#N/A</v>
      </c>
      <c r="AE332" t="e">
        <f>VLOOKUP(Table1[[#This Row],[Product_Name]],'c174_calc'!$A$2:$C$153, 2, FALSE)</f>
        <v>#N/A</v>
      </c>
      <c r="AF332" t="e">
        <f>VLOOKUP(Table1[[#This Row],[Product_Name]],'c174_calc'!$A$2:$C$153, 3, FALSE)</f>
        <v>#N/A</v>
      </c>
      <c r="AG332" t="e">
        <f>Table1[[#This Row],[vma]]=Table1[[#This Row],[MA_Number]]</f>
        <v>#N/A</v>
      </c>
    </row>
    <row r="333" spans="1:33" hidden="1" x14ac:dyDescent="0.3">
      <c r="B333" s="1" t="s">
        <v>1019</v>
      </c>
      <c r="C333" s="1"/>
      <c r="E333" t="s">
        <v>1402</v>
      </c>
      <c r="G333" t="s">
        <v>1120</v>
      </c>
      <c r="H333" t="s">
        <v>1403</v>
      </c>
      <c r="I333">
        <v>1</v>
      </c>
      <c r="J333">
        <v>54</v>
      </c>
      <c r="K333">
        <v>40</v>
      </c>
      <c r="L333">
        <v>30</v>
      </c>
      <c r="M333" t="s">
        <v>53</v>
      </c>
      <c r="N333" t="s">
        <v>24</v>
      </c>
      <c r="O333" t="b">
        <v>1</v>
      </c>
      <c r="AA333">
        <f>Table1[[#This Row],[qPer board]]*Table1[[#This Row],[boards]]</f>
        <v>0</v>
      </c>
      <c r="AB333">
        <v>2</v>
      </c>
      <c r="AD333" t="e">
        <f>VLOOKUP(Table1[[#This Row],[Product_Name]],'c174_calc'!$A$2:$C$153, 1, FALSE)</f>
        <v>#N/A</v>
      </c>
      <c r="AE333" t="e">
        <f>VLOOKUP(Table1[[#This Row],[Product_Name]],'c174_calc'!$A$2:$C$153, 2, FALSE)</f>
        <v>#N/A</v>
      </c>
      <c r="AF333" t="e">
        <f>VLOOKUP(Table1[[#This Row],[Product_Name]],'c174_calc'!$A$2:$C$153, 3, FALSE)</f>
        <v>#N/A</v>
      </c>
      <c r="AG333" t="e">
        <f>Table1[[#This Row],[vma]]=Table1[[#This Row],[MA_Number]]</f>
        <v>#N/A</v>
      </c>
    </row>
    <row r="334" spans="1:33" hidden="1" x14ac:dyDescent="0.3">
      <c r="B334" s="1" t="s">
        <v>1019</v>
      </c>
      <c r="C334" s="1"/>
      <c r="E334" t="s">
        <v>1404</v>
      </c>
      <c r="G334" t="s">
        <v>1120</v>
      </c>
      <c r="H334" t="s">
        <v>1405</v>
      </c>
      <c r="I334">
        <v>1</v>
      </c>
      <c r="J334">
        <v>54</v>
      </c>
      <c r="K334">
        <v>40</v>
      </c>
      <c r="L334">
        <v>21</v>
      </c>
      <c r="M334" t="s">
        <v>53</v>
      </c>
      <c r="N334" t="s">
        <v>24</v>
      </c>
      <c r="O334" t="b">
        <v>1</v>
      </c>
      <c r="AA334">
        <f>Table1[[#This Row],[qPer board]]*Table1[[#This Row],[boards]]</f>
        <v>0</v>
      </c>
      <c r="AB334">
        <v>2</v>
      </c>
      <c r="AD334" t="e">
        <f>VLOOKUP(Table1[[#This Row],[Product_Name]],'c174_calc'!$A$2:$C$153, 1, FALSE)</f>
        <v>#N/A</v>
      </c>
      <c r="AE334" t="e">
        <f>VLOOKUP(Table1[[#This Row],[Product_Name]],'c174_calc'!$A$2:$C$153, 2, FALSE)</f>
        <v>#N/A</v>
      </c>
      <c r="AF334" t="e">
        <f>VLOOKUP(Table1[[#This Row],[Product_Name]],'c174_calc'!$A$2:$C$153, 3, FALSE)</f>
        <v>#N/A</v>
      </c>
      <c r="AG334" t="e">
        <f>Table1[[#This Row],[vma]]=Table1[[#This Row],[MA_Number]]</f>
        <v>#N/A</v>
      </c>
    </row>
    <row r="335" spans="1:33" hidden="1" x14ac:dyDescent="0.3">
      <c r="A335" t="s">
        <v>449</v>
      </c>
      <c r="B335" s="1" t="s">
        <v>1406</v>
      </c>
      <c r="C335" s="1"/>
      <c r="D335" t="s">
        <v>279</v>
      </c>
      <c r="E335" t="s">
        <v>1407</v>
      </c>
      <c r="F335" t="b">
        <v>1</v>
      </c>
      <c r="I335">
        <v>1</v>
      </c>
      <c r="J335" t="s">
        <v>670</v>
      </c>
      <c r="K335" t="s">
        <v>670</v>
      </c>
      <c r="L335" t="s">
        <v>670</v>
      </c>
      <c r="O335" t="b">
        <v>1</v>
      </c>
      <c r="AA335">
        <f>Table1[[#This Row],[qPer board]]*Table1[[#This Row],[boards]]</f>
        <v>0</v>
      </c>
      <c r="AB335">
        <v>1</v>
      </c>
      <c r="AD335" t="e">
        <f>VLOOKUP(Table1[[#This Row],[Product_Name]],'c174_calc'!$A$2:$C$153, 1, FALSE)</f>
        <v>#N/A</v>
      </c>
      <c r="AE335" t="e">
        <f>VLOOKUP(Table1[[#This Row],[Product_Name]],'c174_calc'!$A$2:$C$153, 2, FALSE)</f>
        <v>#N/A</v>
      </c>
      <c r="AF335" t="e">
        <f>VLOOKUP(Table1[[#This Row],[Product_Name]],'c174_calc'!$A$2:$C$153, 3, FALSE)</f>
        <v>#N/A</v>
      </c>
      <c r="AG335" t="e">
        <f>Table1[[#This Row],[vma]]=Table1[[#This Row],[MA_Number]]</f>
        <v>#N/A</v>
      </c>
    </row>
    <row r="336" spans="1:33" hidden="1" x14ac:dyDescent="0.3">
      <c r="B336" s="1" t="s">
        <v>1406</v>
      </c>
      <c r="C336" s="1"/>
      <c r="E336" t="s">
        <v>1408</v>
      </c>
      <c r="G336" t="s">
        <v>449</v>
      </c>
      <c r="H336" t="s">
        <v>1409</v>
      </c>
      <c r="I336">
        <v>1</v>
      </c>
      <c r="J336">
        <v>50</v>
      </c>
      <c r="K336">
        <v>39</v>
      </c>
      <c r="L336">
        <v>46</v>
      </c>
      <c r="M336" t="s">
        <v>49</v>
      </c>
      <c r="N336" t="s">
        <v>24</v>
      </c>
      <c r="O336" t="b">
        <v>1</v>
      </c>
      <c r="AA336">
        <f>Table1[[#This Row],[qPer board]]*Table1[[#This Row],[boards]]</f>
        <v>0</v>
      </c>
      <c r="AB336">
        <v>1</v>
      </c>
      <c r="AD336" t="e">
        <f>VLOOKUP(Table1[[#This Row],[Product_Name]],'c174_calc'!$A$2:$C$153, 1, FALSE)</f>
        <v>#N/A</v>
      </c>
      <c r="AE336" t="e">
        <f>VLOOKUP(Table1[[#This Row],[Product_Name]],'c174_calc'!$A$2:$C$153, 2, FALSE)</f>
        <v>#N/A</v>
      </c>
      <c r="AF336" t="e">
        <f>VLOOKUP(Table1[[#This Row],[Product_Name]],'c174_calc'!$A$2:$C$153, 3, FALSE)</f>
        <v>#N/A</v>
      </c>
      <c r="AG336" t="e">
        <f>Table1[[#This Row],[vma]]=Table1[[#This Row],[MA_Number]]</f>
        <v>#N/A</v>
      </c>
    </row>
    <row r="337" spans="1:33" hidden="1" x14ac:dyDescent="0.3">
      <c r="B337" s="1" t="s">
        <v>1406</v>
      </c>
      <c r="C337" s="1"/>
      <c r="E337" t="s">
        <v>1388</v>
      </c>
      <c r="G337" t="s">
        <v>449</v>
      </c>
      <c r="H337" t="s">
        <v>1410</v>
      </c>
      <c r="I337">
        <v>1</v>
      </c>
      <c r="J337">
        <v>50</v>
      </c>
      <c r="K337">
        <v>39</v>
      </c>
      <c r="L337">
        <v>30</v>
      </c>
      <c r="M337" t="s">
        <v>49</v>
      </c>
      <c r="N337" t="s">
        <v>24</v>
      </c>
      <c r="O337" t="b">
        <v>1</v>
      </c>
      <c r="AA337">
        <f>Table1[[#This Row],[qPer board]]*Table1[[#This Row],[boards]]</f>
        <v>0</v>
      </c>
      <c r="AB337">
        <v>1</v>
      </c>
      <c r="AD337" t="e">
        <f>VLOOKUP(Table1[[#This Row],[Product_Name]],'c174_calc'!$A$2:$C$153, 1, FALSE)</f>
        <v>#N/A</v>
      </c>
      <c r="AE337" t="e">
        <f>VLOOKUP(Table1[[#This Row],[Product_Name]],'c174_calc'!$A$2:$C$153, 2, FALSE)</f>
        <v>#N/A</v>
      </c>
      <c r="AF337" t="e">
        <f>VLOOKUP(Table1[[#This Row],[Product_Name]],'c174_calc'!$A$2:$C$153, 3, FALSE)</f>
        <v>#N/A</v>
      </c>
      <c r="AG337" t="e">
        <f>Table1[[#This Row],[vma]]=Table1[[#This Row],[MA_Number]]</f>
        <v>#N/A</v>
      </c>
    </row>
    <row r="338" spans="1:33" hidden="1" x14ac:dyDescent="0.3">
      <c r="B338" s="1" t="s">
        <v>1406</v>
      </c>
      <c r="C338" s="1"/>
      <c r="E338" t="s">
        <v>1390</v>
      </c>
      <c r="G338" t="s">
        <v>449</v>
      </c>
      <c r="H338" t="s">
        <v>1411</v>
      </c>
      <c r="I338">
        <v>1</v>
      </c>
      <c r="J338">
        <v>50</v>
      </c>
      <c r="K338">
        <v>39</v>
      </c>
      <c r="L338">
        <v>21</v>
      </c>
      <c r="M338" t="s">
        <v>49</v>
      </c>
      <c r="N338" t="s">
        <v>24</v>
      </c>
      <c r="O338" t="b">
        <v>1</v>
      </c>
      <c r="AA338">
        <f>Table1[[#This Row],[qPer board]]*Table1[[#This Row],[boards]]</f>
        <v>0</v>
      </c>
      <c r="AB338">
        <v>1</v>
      </c>
      <c r="AD338" t="e">
        <f>VLOOKUP(Table1[[#This Row],[Product_Name]],'c174_calc'!$A$2:$C$153, 1, FALSE)</f>
        <v>#N/A</v>
      </c>
      <c r="AE338" t="e">
        <f>VLOOKUP(Table1[[#This Row],[Product_Name]],'c174_calc'!$A$2:$C$153, 2, FALSE)</f>
        <v>#N/A</v>
      </c>
      <c r="AF338" t="e">
        <f>VLOOKUP(Table1[[#This Row],[Product_Name]],'c174_calc'!$A$2:$C$153, 3, FALSE)</f>
        <v>#N/A</v>
      </c>
      <c r="AG338" t="e">
        <f>Table1[[#This Row],[vma]]=Table1[[#This Row],[MA_Number]]</f>
        <v>#N/A</v>
      </c>
    </row>
    <row r="339" spans="1:33" hidden="1" x14ac:dyDescent="0.3">
      <c r="B339" s="1" t="s">
        <v>1406</v>
      </c>
      <c r="C339" s="1"/>
      <c r="E339" t="s">
        <v>1412</v>
      </c>
      <c r="G339" t="s">
        <v>449</v>
      </c>
      <c r="H339" t="s">
        <v>1413</v>
      </c>
      <c r="I339">
        <v>1</v>
      </c>
      <c r="J339">
        <v>26</v>
      </c>
      <c r="K339">
        <v>21</v>
      </c>
      <c r="L339">
        <v>25</v>
      </c>
      <c r="M339" t="s">
        <v>49</v>
      </c>
      <c r="N339" t="s">
        <v>24</v>
      </c>
      <c r="O339" t="b">
        <v>1</v>
      </c>
      <c r="AA339">
        <f>Table1[[#This Row],[qPer board]]*Table1[[#This Row],[boards]]</f>
        <v>0</v>
      </c>
      <c r="AB339">
        <v>1</v>
      </c>
      <c r="AD339" t="e">
        <f>VLOOKUP(Table1[[#This Row],[Product_Name]],'c174_calc'!$A$2:$C$153, 1, FALSE)</f>
        <v>#N/A</v>
      </c>
      <c r="AE339" t="e">
        <f>VLOOKUP(Table1[[#This Row],[Product_Name]],'c174_calc'!$A$2:$C$153, 2, FALSE)</f>
        <v>#N/A</v>
      </c>
      <c r="AF339" t="e">
        <f>VLOOKUP(Table1[[#This Row],[Product_Name]],'c174_calc'!$A$2:$C$153, 3, FALSE)</f>
        <v>#N/A</v>
      </c>
      <c r="AG339" t="e">
        <f>Table1[[#This Row],[vma]]=Table1[[#This Row],[MA_Number]]</f>
        <v>#N/A</v>
      </c>
    </row>
    <row r="340" spans="1:33" hidden="1" x14ac:dyDescent="0.3">
      <c r="A340" t="s">
        <v>423</v>
      </c>
      <c r="B340" s="1" t="s">
        <v>1027</v>
      </c>
      <c r="C340" s="1"/>
      <c r="D340" t="s">
        <v>279</v>
      </c>
      <c r="E340" t="s">
        <v>1414</v>
      </c>
      <c r="F340" t="b">
        <v>1</v>
      </c>
      <c r="I340">
        <v>1</v>
      </c>
      <c r="J340" t="s">
        <v>670</v>
      </c>
      <c r="K340" t="s">
        <v>670</v>
      </c>
      <c r="L340" t="s">
        <v>670</v>
      </c>
      <c r="O340" t="b">
        <v>1</v>
      </c>
      <c r="AA340">
        <f>Table1[[#This Row],[qPer board]]*Table1[[#This Row],[boards]]</f>
        <v>0</v>
      </c>
      <c r="AB340">
        <v>1</v>
      </c>
      <c r="AD340" t="e">
        <f>VLOOKUP(Table1[[#This Row],[Product_Name]],'c174_calc'!$A$2:$C$153, 1, FALSE)</f>
        <v>#N/A</v>
      </c>
      <c r="AE340" t="e">
        <f>VLOOKUP(Table1[[#This Row],[Product_Name]],'c174_calc'!$A$2:$C$153, 2, FALSE)</f>
        <v>#N/A</v>
      </c>
      <c r="AF340" t="e">
        <f>VLOOKUP(Table1[[#This Row],[Product_Name]],'c174_calc'!$A$2:$C$153, 3, FALSE)</f>
        <v>#N/A</v>
      </c>
      <c r="AG340" t="e">
        <f>Table1[[#This Row],[vma]]=Table1[[#This Row],[MA_Number]]</f>
        <v>#N/A</v>
      </c>
    </row>
    <row r="341" spans="1:33" hidden="1" x14ac:dyDescent="0.3">
      <c r="B341" s="1" t="s">
        <v>1027</v>
      </c>
      <c r="C341" s="1"/>
      <c r="E341" t="s">
        <v>1415</v>
      </c>
      <c r="G341" t="s">
        <v>423</v>
      </c>
      <c r="H341" t="s">
        <v>1416</v>
      </c>
      <c r="I341">
        <v>1</v>
      </c>
      <c r="J341">
        <v>50</v>
      </c>
      <c r="K341">
        <v>39</v>
      </c>
      <c r="L341">
        <v>47</v>
      </c>
      <c r="M341" t="s">
        <v>48</v>
      </c>
      <c r="N341" t="s">
        <v>24</v>
      </c>
      <c r="O341" t="b">
        <v>1</v>
      </c>
      <c r="AA341">
        <f>Table1[[#This Row],[qPer board]]*Table1[[#This Row],[boards]]</f>
        <v>0</v>
      </c>
      <c r="AB341">
        <v>1</v>
      </c>
      <c r="AD341" t="e">
        <f>VLOOKUP(Table1[[#This Row],[Product_Name]],'c174_calc'!$A$2:$C$153, 1, FALSE)</f>
        <v>#N/A</v>
      </c>
      <c r="AE341" t="e">
        <f>VLOOKUP(Table1[[#This Row],[Product_Name]],'c174_calc'!$A$2:$C$153, 2, FALSE)</f>
        <v>#N/A</v>
      </c>
      <c r="AF341" t="e">
        <f>VLOOKUP(Table1[[#This Row],[Product_Name]],'c174_calc'!$A$2:$C$153, 3, FALSE)</f>
        <v>#N/A</v>
      </c>
      <c r="AG341" t="e">
        <f>Table1[[#This Row],[vma]]=Table1[[#This Row],[MA_Number]]</f>
        <v>#N/A</v>
      </c>
    </row>
    <row r="342" spans="1:33" hidden="1" x14ac:dyDescent="0.3">
      <c r="B342" s="1" t="s">
        <v>1027</v>
      </c>
      <c r="C342" s="1"/>
      <c r="E342" t="s">
        <v>1388</v>
      </c>
      <c r="G342" t="s">
        <v>423</v>
      </c>
      <c r="H342" t="s">
        <v>1417</v>
      </c>
      <c r="I342">
        <v>1</v>
      </c>
      <c r="J342">
        <v>50</v>
      </c>
      <c r="K342">
        <v>39</v>
      </c>
      <c r="L342">
        <v>30</v>
      </c>
      <c r="M342" t="s">
        <v>48</v>
      </c>
      <c r="N342" t="s">
        <v>24</v>
      </c>
      <c r="O342" t="b">
        <v>1</v>
      </c>
      <c r="AA342">
        <f>Table1[[#This Row],[qPer board]]*Table1[[#This Row],[boards]]</f>
        <v>0</v>
      </c>
      <c r="AB342">
        <v>1</v>
      </c>
      <c r="AD342" t="e">
        <f>VLOOKUP(Table1[[#This Row],[Product_Name]],'c174_calc'!$A$2:$C$153, 1, FALSE)</f>
        <v>#N/A</v>
      </c>
      <c r="AE342" t="e">
        <f>VLOOKUP(Table1[[#This Row],[Product_Name]],'c174_calc'!$A$2:$C$153, 2, FALSE)</f>
        <v>#N/A</v>
      </c>
      <c r="AF342" t="e">
        <f>VLOOKUP(Table1[[#This Row],[Product_Name]],'c174_calc'!$A$2:$C$153, 3, FALSE)</f>
        <v>#N/A</v>
      </c>
      <c r="AG342" t="e">
        <f>Table1[[#This Row],[vma]]=Table1[[#This Row],[MA_Number]]</f>
        <v>#N/A</v>
      </c>
    </row>
    <row r="343" spans="1:33" hidden="1" x14ac:dyDescent="0.3">
      <c r="B343" s="1" t="s">
        <v>1027</v>
      </c>
      <c r="C343" s="1"/>
      <c r="E343" t="s">
        <v>1390</v>
      </c>
      <c r="G343" t="s">
        <v>423</v>
      </c>
      <c r="H343" t="s">
        <v>1418</v>
      </c>
      <c r="I343">
        <v>1</v>
      </c>
      <c r="J343">
        <v>50</v>
      </c>
      <c r="K343">
        <v>39</v>
      </c>
      <c r="L343">
        <v>21</v>
      </c>
      <c r="M343" t="s">
        <v>48</v>
      </c>
      <c r="N343" t="s">
        <v>24</v>
      </c>
      <c r="O343" t="b">
        <v>1</v>
      </c>
      <c r="AA343">
        <f>Table1[[#This Row],[qPer board]]*Table1[[#This Row],[boards]]</f>
        <v>0</v>
      </c>
      <c r="AB343">
        <v>1</v>
      </c>
      <c r="AD343" t="e">
        <f>VLOOKUP(Table1[[#This Row],[Product_Name]],'c174_calc'!$A$2:$C$153, 1, FALSE)</f>
        <v>#N/A</v>
      </c>
      <c r="AE343" t="e">
        <f>VLOOKUP(Table1[[#This Row],[Product_Name]],'c174_calc'!$A$2:$C$153, 2, FALSE)</f>
        <v>#N/A</v>
      </c>
      <c r="AF343" t="e">
        <f>VLOOKUP(Table1[[#This Row],[Product_Name]],'c174_calc'!$A$2:$C$153, 3, FALSE)</f>
        <v>#N/A</v>
      </c>
      <c r="AG343" t="e">
        <f>Table1[[#This Row],[vma]]=Table1[[#This Row],[MA_Number]]</f>
        <v>#N/A</v>
      </c>
    </row>
    <row r="344" spans="1:33" hidden="1" x14ac:dyDescent="0.3">
      <c r="A344" t="s">
        <v>453</v>
      </c>
      <c r="B344" s="1" t="s">
        <v>1419</v>
      </c>
      <c r="C344" s="1"/>
      <c r="D344" t="s">
        <v>279</v>
      </c>
      <c r="E344" t="s">
        <v>1420</v>
      </c>
      <c r="F344" t="b">
        <v>1</v>
      </c>
      <c r="I344">
        <v>1</v>
      </c>
      <c r="J344" t="s">
        <v>670</v>
      </c>
      <c r="K344" t="s">
        <v>670</v>
      </c>
      <c r="L344" t="s">
        <v>670</v>
      </c>
      <c r="O344" t="b">
        <v>1</v>
      </c>
      <c r="AA344">
        <v>1</v>
      </c>
      <c r="AB344">
        <v>1</v>
      </c>
      <c r="AD344" t="e">
        <f>VLOOKUP(Table1[[#This Row],[Product_Name]],'c174_calc'!$A$2:$C$153, 1, FALSE)</f>
        <v>#N/A</v>
      </c>
      <c r="AE344" t="e">
        <f>VLOOKUP(Table1[[#This Row],[Product_Name]],'c174_calc'!$A$2:$C$153, 2, FALSE)</f>
        <v>#N/A</v>
      </c>
      <c r="AF344" t="e">
        <f>VLOOKUP(Table1[[#This Row],[Product_Name]],'c174_calc'!$A$2:$C$153, 3, FALSE)</f>
        <v>#N/A</v>
      </c>
      <c r="AG344" t="e">
        <f>Table1[[#This Row],[vma]]=Table1[[#This Row],[MA_Number]]</f>
        <v>#N/A</v>
      </c>
    </row>
    <row r="345" spans="1:33" hidden="1" x14ac:dyDescent="0.3">
      <c r="B345" s="1" t="s">
        <v>1419</v>
      </c>
      <c r="C345" s="1"/>
      <c r="E345" t="s">
        <v>1421</v>
      </c>
      <c r="G345" t="s">
        <v>453</v>
      </c>
      <c r="H345" t="s">
        <v>1422</v>
      </c>
      <c r="I345">
        <v>1</v>
      </c>
      <c r="J345">
        <v>50</v>
      </c>
      <c r="K345">
        <v>39</v>
      </c>
      <c r="L345">
        <v>50</v>
      </c>
      <c r="M345" t="s">
        <v>49</v>
      </c>
      <c r="N345" t="s">
        <v>24</v>
      </c>
      <c r="O345" t="b">
        <v>1</v>
      </c>
      <c r="AA345">
        <f>Table1[[#This Row],[qPer board]]*Table1[[#This Row],[boards]]</f>
        <v>0</v>
      </c>
      <c r="AB345">
        <v>1</v>
      </c>
      <c r="AD345" t="e">
        <f>VLOOKUP(Table1[[#This Row],[Product_Name]],'c174_calc'!$A$2:$C$153, 1, FALSE)</f>
        <v>#N/A</v>
      </c>
      <c r="AE345" t="e">
        <f>VLOOKUP(Table1[[#This Row],[Product_Name]],'c174_calc'!$A$2:$C$153, 2, FALSE)</f>
        <v>#N/A</v>
      </c>
      <c r="AF345" t="e">
        <f>VLOOKUP(Table1[[#This Row],[Product_Name]],'c174_calc'!$A$2:$C$153, 3, FALSE)</f>
        <v>#N/A</v>
      </c>
      <c r="AG345" t="e">
        <f>Table1[[#This Row],[vma]]=Table1[[#This Row],[MA_Number]]</f>
        <v>#N/A</v>
      </c>
    </row>
    <row r="346" spans="1:33" hidden="1" x14ac:dyDescent="0.3">
      <c r="B346" s="1" t="s">
        <v>1419</v>
      </c>
      <c r="C346" s="1"/>
      <c r="E346" t="s">
        <v>1388</v>
      </c>
      <c r="G346" t="s">
        <v>453</v>
      </c>
      <c r="H346" t="s">
        <v>1423</v>
      </c>
      <c r="I346">
        <v>1</v>
      </c>
      <c r="J346">
        <v>50</v>
      </c>
      <c r="K346">
        <v>39</v>
      </c>
      <c r="L346">
        <v>30</v>
      </c>
      <c r="M346" t="s">
        <v>49</v>
      </c>
      <c r="N346" t="s">
        <v>24</v>
      </c>
      <c r="O346" t="b">
        <v>1</v>
      </c>
      <c r="AA346">
        <f>Table1[[#This Row],[qPer board]]*Table1[[#This Row],[boards]]</f>
        <v>0</v>
      </c>
      <c r="AB346">
        <v>1</v>
      </c>
      <c r="AD346" t="e">
        <f>VLOOKUP(Table1[[#This Row],[Product_Name]],'c174_calc'!$A$2:$C$153, 1, FALSE)</f>
        <v>#N/A</v>
      </c>
      <c r="AE346" t="e">
        <f>VLOOKUP(Table1[[#This Row],[Product_Name]],'c174_calc'!$A$2:$C$153, 2, FALSE)</f>
        <v>#N/A</v>
      </c>
      <c r="AF346" t="e">
        <f>VLOOKUP(Table1[[#This Row],[Product_Name]],'c174_calc'!$A$2:$C$153, 3, FALSE)</f>
        <v>#N/A</v>
      </c>
      <c r="AG346" t="e">
        <f>Table1[[#This Row],[vma]]=Table1[[#This Row],[MA_Number]]</f>
        <v>#N/A</v>
      </c>
    </row>
    <row r="347" spans="1:33" hidden="1" x14ac:dyDescent="0.3">
      <c r="B347" s="1" t="s">
        <v>1419</v>
      </c>
      <c r="C347" s="1"/>
      <c r="E347" t="s">
        <v>1424</v>
      </c>
      <c r="G347" t="s">
        <v>453</v>
      </c>
      <c r="H347" t="s">
        <v>1425</v>
      </c>
      <c r="I347">
        <v>1</v>
      </c>
      <c r="J347">
        <v>50</v>
      </c>
      <c r="K347">
        <v>39</v>
      </c>
      <c r="L347">
        <v>20</v>
      </c>
      <c r="M347" t="s">
        <v>49</v>
      </c>
      <c r="N347" t="s">
        <v>24</v>
      </c>
      <c r="O347" t="b">
        <v>1</v>
      </c>
      <c r="AA347">
        <f>Table1[[#This Row],[qPer board]]*Table1[[#This Row],[boards]]</f>
        <v>0</v>
      </c>
      <c r="AB347">
        <v>1</v>
      </c>
      <c r="AD347" t="e">
        <f>VLOOKUP(Table1[[#This Row],[Product_Name]],'c174_calc'!$A$2:$C$153, 1, FALSE)</f>
        <v>#N/A</v>
      </c>
      <c r="AE347" t="e">
        <f>VLOOKUP(Table1[[#This Row],[Product_Name]],'c174_calc'!$A$2:$C$153, 2, FALSE)</f>
        <v>#N/A</v>
      </c>
      <c r="AF347" t="e">
        <f>VLOOKUP(Table1[[#This Row],[Product_Name]],'c174_calc'!$A$2:$C$153, 3, FALSE)</f>
        <v>#N/A</v>
      </c>
      <c r="AG347" t="e">
        <f>Table1[[#This Row],[vma]]=Table1[[#This Row],[MA_Number]]</f>
        <v>#N/A</v>
      </c>
    </row>
    <row r="348" spans="1:33" hidden="1" x14ac:dyDescent="0.3">
      <c r="A348" t="s">
        <v>1010</v>
      </c>
      <c r="B348" s="1">
        <v>7147878930</v>
      </c>
      <c r="C348" s="1"/>
      <c r="D348" t="s">
        <v>1186</v>
      </c>
      <c r="F348" t="b">
        <v>1</v>
      </c>
      <c r="I348">
        <v>1</v>
      </c>
      <c r="J348" t="s">
        <v>670</v>
      </c>
      <c r="K348" t="s">
        <v>670</v>
      </c>
      <c r="L348" t="s">
        <v>670</v>
      </c>
      <c r="O348" t="b">
        <v>1</v>
      </c>
      <c r="AA348" t="e">
        <f>Table1[[#This Row],[qPer board]]*Table1[[#This Row],[boards]]</f>
        <v>#REF!</v>
      </c>
      <c r="AB348" t="e">
        <f>VLOOKUP(Table1[[#This Row],[MA_Number]],#REF!, 2,FALSE)</f>
        <v>#REF!</v>
      </c>
      <c r="AD348" t="e">
        <f>VLOOKUP(Table1[[#This Row],[Product_Name]],'c174_calc'!$A$2:$C$153, 1, FALSE)</f>
        <v>#N/A</v>
      </c>
      <c r="AE348" t="e">
        <f>VLOOKUP(Table1[[#This Row],[Product_Name]],'c174_calc'!$A$2:$C$153, 2, FALSE)</f>
        <v>#N/A</v>
      </c>
      <c r="AF348" t="e">
        <f>VLOOKUP(Table1[[#This Row],[Product_Name]],'c174_calc'!$A$2:$C$153, 3, FALSE)</f>
        <v>#N/A</v>
      </c>
      <c r="AG348" t="e">
        <f>Table1[[#This Row],[vma]]=Table1[[#This Row],[MA_Number]]</f>
        <v>#N/A</v>
      </c>
    </row>
    <row r="349" spans="1:33" hidden="1" x14ac:dyDescent="0.3">
      <c r="B349" s="1">
        <v>7147878930</v>
      </c>
      <c r="C349" s="1"/>
      <c r="E349" t="s">
        <v>1426</v>
      </c>
      <c r="G349" t="s">
        <v>1010</v>
      </c>
      <c r="H349" t="s">
        <v>1427</v>
      </c>
      <c r="I349">
        <v>1</v>
      </c>
      <c r="J349">
        <v>28</v>
      </c>
      <c r="K349">
        <v>24</v>
      </c>
      <c r="L349">
        <v>29</v>
      </c>
      <c r="N349" t="s">
        <v>40</v>
      </c>
      <c r="O349" t="b">
        <v>1</v>
      </c>
      <c r="AA349" t="e">
        <f>Table1[[#This Row],[qPer board]]*Table1[[#This Row],[boards]]</f>
        <v>#REF!</v>
      </c>
      <c r="AB349" t="e">
        <f>VLOOKUP(Table1[[#This Row],[MA_Number]],#REF!, 2,FALSE)</f>
        <v>#REF!</v>
      </c>
      <c r="AD349" t="e">
        <f>VLOOKUP(Table1[[#This Row],[Product_Name]],'c174_calc'!$A$2:$C$153, 1, FALSE)</f>
        <v>#N/A</v>
      </c>
      <c r="AE349" t="e">
        <f>VLOOKUP(Table1[[#This Row],[Product_Name]],'c174_calc'!$A$2:$C$153, 2, FALSE)</f>
        <v>#N/A</v>
      </c>
      <c r="AF349" t="e">
        <f>VLOOKUP(Table1[[#This Row],[Product_Name]],'c174_calc'!$A$2:$C$153, 3, FALSE)</f>
        <v>#N/A</v>
      </c>
      <c r="AG349" t="e">
        <f>Table1[[#This Row],[vma]]=Table1[[#This Row],[MA_Number]]</f>
        <v>#N/A</v>
      </c>
    </row>
    <row r="350" spans="1:33" hidden="1" x14ac:dyDescent="0.3">
      <c r="B350" s="1">
        <v>7147878930</v>
      </c>
      <c r="C350" s="1"/>
      <c r="E350" t="s">
        <v>1428</v>
      </c>
      <c r="G350" t="s">
        <v>1010</v>
      </c>
      <c r="H350" t="s">
        <v>1429</v>
      </c>
      <c r="I350">
        <v>1</v>
      </c>
      <c r="J350">
        <v>48</v>
      </c>
      <c r="K350">
        <v>22</v>
      </c>
      <c r="L350">
        <v>44</v>
      </c>
      <c r="M350" t="s">
        <v>49</v>
      </c>
      <c r="N350" t="s">
        <v>24</v>
      </c>
      <c r="O350" t="b">
        <v>1</v>
      </c>
      <c r="AA350" t="e">
        <f>Table1[[#This Row],[qPer board]]*Table1[[#This Row],[boards]]</f>
        <v>#REF!</v>
      </c>
      <c r="AB350" t="e">
        <f>VLOOKUP(Table1[[#This Row],[MA_Number]],#REF!, 2,FALSE)</f>
        <v>#REF!</v>
      </c>
      <c r="AD350" t="e">
        <f>VLOOKUP(Table1[[#This Row],[Product_Name]],'c174_calc'!$A$2:$C$153, 1, FALSE)</f>
        <v>#N/A</v>
      </c>
      <c r="AE350" t="e">
        <f>VLOOKUP(Table1[[#This Row],[Product_Name]],'c174_calc'!$A$2:$C$153, 2, FALSE)</f>
        <v>#N/A</v>
      </c>
      <c r="AF350" t="e">
        <f>VLOOKUP(Table1[[#This Row],[Product_Name]],'c174_calc'!$A$2:$C$153, 3, FALSE)</f>
        <v>#N/A</v>
      </c>
      <c r="AG350" t="e">
        <f>Table1[[#This Row],[vma]]=Table1[[#This Row],[MA_Number]]</f>
        <v>#N/A</v>
      </c>
    </row>
    <row r="351" spans="1:33" hidden="1" x14ac:dyDescent="0.3">
      <c r="B351" s="1">
        <v>7147878930</v>
      </c>
      <c r="C351" s="1"/>
      <c r="E351" t="s">
        <v>1430</v>
      </c>
      <c r="G351" t="s">
        <v>1010</v>
      </c>
      <c r="H351" t="s">
        <v>1431</v>
      </c>
      <c r="I351">
        <v>1</v>
      </c>
      <c r="J351">
        <v>79</v>
      </c>
      <c r="K351">
        <v>30</v>
      </c>
      <c r="L351">
        <v>35</v>
      </c>
      <c r="M351" t="s">
        <v>49</v>
      </c>
      <c r="N351" t="s">
        <v>24</v>
      </c>
      <c r="O351" t="b">
        <v>1</v>
      </c>
      <c r="AA351" t="e">
        <f>Table1[[#This Row],[qPer board]]*Table1[[#This Row],[boards]]</f>
        <v>#REF!</v>
      </c>
      <c r="AB351" t="e">
        <f>VLOOKUP(Table1[[#This Row],[MA_Number]],#REF!, 2,FALSE)</f>
        <v>#REF!</v>
      </c>
      <c r="AD351" t="e">
        <f>VLOOKUP(Table1[[#This Row],[Product_Name]],'c174_calc'!$A$2:$C$153, 1, FALSE)</f>
        <v>#N/A</v>
      </c>
      <c r="AE351" t="e">
        <f>VLOOKUP(Table1[[#This Row],[Product_Name]],'c174_calc'!$A$2:$C$153, 2, FALSE)</f>
        <v>#N/A</v>
      </c>
      <c r="AF351" t="e">
        <f>VLOOKUP(Table1[[#This Row],[Product_Name]],'c174_calc'!$A$2:$C$153, 3, FALSE)</f>
        <v>#N/A</v>
      </c>
      <c r="AG351" t="e">
        <f>Table1[[#This Row],[vma]]=Table1[[#This Row],[MA_Number]]</f>
        <v>#N/A</v>
      </c>
    </row>
    <row r="352" spans="1:33" hidden="1" x14ac:dyDescent="0.3">
      <c r="A352" t="s">
        <v>1195</v>
      </c>
      <c r="B352" s="1">
        <v>7147882430</v>
      </c>
      <c r="C352" s="1"/>
      <c r="D352" t="s">
        <v>1186</v>
      </c>
      <c r="E352" t="s">
        <v>1199</v>
      </c>
      <c r="F352" t="b">
        <v>1</v>
      </c>
      <c r="I352">
        <v>1</v>
      </c>
      <c r="J352" t="s">
        <v>670</v>
      </c>
      <c r="K352" t="s">
        <v>670</v>
      </c>
      <c r="L352" t="s">
        <v>670</v>
      </c>
      <c r="AA352" t="e">
        <f>Table1[[#This Row],[qPer board]]*Table1[[#This Row],[boards]]</f>
        <v>#REF!</v>
      </c>
      <c r="AB352" t="e">
        <f>VLOOKUP(Table1[[#This Row],[MA_Number]],#REF!, 2,FALSE)</f>
        <v>#REF!</v>
      </c>
      <c r="AD352" t="e">
        <f>VLOOKUP(Table1[[#This Row],[Product_Name]],'c174_calc'!$A$2:$C$153, 1, FALSE)</f>
        <v>#N/A</v>
      </c>
      <c r="AE352" t="e">
        <f>VLOOKUP(Table1[[#This Row],[Product_Name]],'c174_calc'!$A$2:$C$153, 2, FALSE)</f>
        <v>#N/A</v>
      </c>
      <c r="AF352" t="e">
        <f>VLOOKUP(Table1[[#This Row],[Product_Name]],'c174_calc'!$A$2:$C$153, 3, FALSE)</f>
        <v>#N/A</v>
      </c>
      <c r="AG352" t="e">
        <f>Table1[[#This Row],[vma]]=Table1[[#This Row],[MA_Number]]</f>
        <v>#N/A</v>
      </c>
    </row>
    <row r="353" spans="1:33" hidden="1" x14ac:dyDescent="0.3">
      <c r="B353" s="1">
        <v>7147882430</v>
      </c>
      <c r="C353" s="1"/>
      <c r="G353" t="s">
        <v>1195</v>
      </c>
      <c r="H353" t="s">
        <v>1196</v>
      </c>
      <c r="I353">
        <v>1</v>
      </c>
      <c r="AA353" t="e">
        <f>Table1[[#This Row],[qPer board]]*Table1[[#This Row],[boards]]</f>
        <v>#REF!</v>
      </c>
      <c r="AB353" t="e">
        <f>VLOOKUP(Table1[[#This Row],[MA_Number]],#REF!, 2,FALSE)</f>
        <v>#REF!</v>
      </c>
      <c r="AD353" t="e">
        <f>VLOOKUP(Table1[[#This Row],[Product_Name]],'c174_calc'!$A$2:$C$153, 1, FALSE)</f>
        <v>#N/A</v>
      </c>
      <c r="AE353" t="e">
        <f>VLOOKUP(Table1[[#This Row],[Product_Name]],'c174_calc'!$A$2:$C$153, 2, FALSE)</f>
        <v>#N/A</v>
      </c>
      <c r="AF353" t="e">
        <f>VLOOKUP(Table1[[#This Row],[Product_Name]],'c174_calc'!$A$2:$C$153, 3, FALSE)</f>
        <v>#N/A</v>
      </c>
      <c r="AG353" t="e">
        <f>Table1[[#This Row],[vma]]=Table1[[#This Row],[MA_Number]]</f>
        <v>#N/A</v>
      </c>
    </row>
    <row r="354" spans="1:33" hidden="1" x14ac:dyDescent="0.3">
      <c r="A354" t="s">
        <v>724</v>
      </c>
      <c r="B354" s="1" t="s">
        <v>1432</v>
      </c>
      <c r="C354" s="1"/>
      <c r="D354" t="s">
        <v>279</v>
      </c>
      <c r="E354" t="s">
        <v>1433</v>
      </c>
      <c r="F354" t="b">
        <v>1</v>
      </c>
      <c r="I354">
        <v>1</v>
      </c>
      <c r="J354" t="s">
        <v>670</v>
      </c>
      <c r="K354" t="s">
        <v>670</v>
      </c>
      <c r="L354" t="s">
        <v>670</v>
      </c>
      <c r="O354" t="b">
        <v>1</v>
      </c>
      <c r="AA354" t="e">
        <f>Table1[[#This Row],[qPer board]]*Table1[[#This Row],[boards]]</f>
        <v>#REF!</v>
      </c>
      <c r="AB354" t="e">
        <f>VLOOKUP(Table1[[#This Row],[MA_Number]],#REF!, 2,FALSE)</f>
        <v>#REF!</v>
      </c>
      <c r="AD354" t="e">
        <f>VLOOKUP(Table1[[#This Row],[Product_Name]],'c174_calc'!$A$2:$C$153, 1, FALSE)</f>
        <v>#N/A</v>
      </c>
      <c r="AE354" t="e">
        <f>VLOOKUP(Table1[[#This Row],[Product_Name]],'c174_calc'!$A$2:$C$153, 2, FALSE)</f>
        <v>#N/A</v>
      </c>
      <c r="AF354" t="e">
        <f>VLOOKUP(Table1[[#This Row],[Product_Name]],'c174_calc'!$A$2:$C$153, 3, FALSE)</f>
        <v>#N/A</v>
      </c>
      <c r="AG354" t="e">
        <f>Table1[[#This Row],[vma]]=Table1[[#This Row],[MA_Number]]</f>
        <v>#N/A</v>
      </c>
    </row>
    <row r="355" spans="1:33" hidden="1" x14ac:dyDescent="0.3">
      <c r="B355" s="1" t="s">
        <v>1432</v>
      </c>
      <c r="C355" s="1"/>
      <c r="E355" t="s">
        <v>1434</v>
      </c>
      <c r="G355" t="s">
        <v>724</v>
      </c>
      <c r="H355" t="s">
        <v>1435</v>
      </c>
      <c r="I355">
        <v>1</v>
      </c>
      <c r="J355">
        <v>53</v>
      </c>
      <c r="K355">
        <v>45</v>
      </c>
      <c r="L355">
        <v>43</v>
      </c>
      <c r="M355" t="s">
        <v>48</v>
      </c>
      <c r="N355" t="s">
        <v>24</v>
      </c>
      <c r="O355" t="b">
        <v>1</v>
      </c>
      <c r="AA355" t="e">
        <f>Table1[[#This Row],[qPer board]]*Table1[[#This Row],[boards]]</f>
        <v>#REF!</v>
      </c>
      <c r="AB355" t="e">
        <f>VLOOKUP(Table1[[#This Row],[MA_Number]],#REF!, 2,FALSE)</f>
        <v>#REF!</v>
      </c>
      <c r="AD355" t="e">
        <f>VLOOKUP(Table1[[#This Row],[Product_Name]],'c174_calc'!$A$2:$C$153, 1, FALSE)</f>
        <v>#N/A</v>
      </c>
      <c r="AE355" t="e">
        <f>VLOOKUP(Table1[[#This Row],[Product_Name]],'c174_calc'!$A$2:$C$153, 2, FALSE)</f>
        <v>#N/A</v>
      </c>
      <c r="AF355" t="e">
        <f>VLOOKUP(Table1[[#This Row],[Product_Name]],'c174_calc'!$A$2:$C$153, 3, FALSE)</f>
        <v>#N/A</v>
      </c>
      <c r="AG355" t="e">
        <f>Table1[[#This Row],[vma]]=Table1[[#This Row],[MA_Number]]</f>
        <v>#N/A</v>
      </c>
    </row>
    <row r="356" spans="1:33" hidden="1" x14ac:dyDescent="0.3">
      <c r="B356" s="1" t="s">
        <v>1432</v>
      </c>
      <c r="C356" s="1"/>
      <c r="E356" t="s">
        <v>1436</v>
      </c>
      <c r="G356" t="s">
        <v>724</v>
      </c>
      <c r="H356" t="s">
        <v>1437</v>
      </c>
      <c r="I356">
        <v>1</v>
      </c>
      <c r="J356">
        <v>53</v>
      </c>
      <c r="K356">
        <v>45</v>
      </c>
      <c r="L356">
        <v>30</v>
      </c>
      <c r="M356" t="s">
        <v>48</v>
      </c>
      <c r="N356" t="s">
        <v>24</v>
      </c>
      <c r="O356" t="b">
        <v>1</v>
      </c>
      <c r="AA356" t="e">
        <f>Table1[[#This Row],[qPer board]]*Table1[[#This Row],[boards]]</f>
        <v>#REF!</v>
      </c>
      <c r="AB356" t="e">
        <f>VLOOKUP(Table1[[#This Row],[MA_Number]],#REF!, 2,FALSE)</f>
        <v>#REF!</v>
      </c>
      <c r="AD356" t="e">
        <f>VLOOKUP(Table1[[#This Row],[Product_Name]],'c174_calc'!$A$2:$C$153, 1, FALSE)</f>
        <v>#N/A</v>
      </c>
      <c r="AE356" t="e">
        <f>VLOOKUP(Table1[[#This Row],[Product_Name]],'c174_calc'!$A$2:$C$153, 2, FALSE)</f>
        <v>#N/A</v>
      </c>
      <c r="AF356" t="e">
        <f>VLOOKUP(Table1[[#This Row],[Product_Name]],'c174_calc'!$A$2:$C$153, 3, FALSE)</f>
        <v>#N/A</v>
      </c>
      <c r="AG356" t="e">
        <f>Table1[[#This Row],[vma]]=Table1[[#This Row],[MA_Number]]</f>
        <v>#N/A</v>
      </c>
    </row>
    <row r="357" spans="1:33" hidden="1" x14ac:dyDescent="0.3">
      <c r="B357" s="1" t="s">
        <v>1432</v>
      </c>
      <c r="C357" s="1"/>
      <c r="E357" t="s">
        <v>1438</v>
      </c>
      <c r="G357" t="s">
        <v>724</v>
      </c>
      <c r="H357" t="s">
        <v>1439</v>
      </c>
      <c r="I357">
        <v>1</v>
      </c>
      <c r="J357">
        <v>53</v>
      </c>
      <c r="K357">
        <v>45</v>
      </c>
      <c r="L357">
        <v>20</v>
      </c>
      <c r="M357" t="s">
        <v>48</v>
      </c>
      <c r="N357" t="s">
        <v>24</v>
      </c>
      <c r="O357" t="b">
        <v>1</v>
      </c>
      <c r="AA357" t="e">
        <f>Table1[[#This Row],[qPer board]]*Table1[[#This Row],[boards]]</f>
        <v>#REF!</v>
      </c>
      <c r="AB357" t="e">
        <f>VLOOKUP(Table1[[#This Row],[MA_Number]],#REF!, 2,FALSE)</f>
        <v>#REF!</v>
      </c>
      <c r="AD357" t="e">
        <f>VLOOKUP(Table1[[#This Row],[Product_Name]],'c174_calc'!$A$2:$C$153, 1, FALSE)</f>
        <v>#N/A</v>
      </c>
      <c r="AE357" t="e">
        <f>VLOOKUP(Table1[[#This Row],[Product_Name]],'c174_calc'!$A$2:$C$153, 2, FALSE)</f>
        <v>#N/A</v>
      </c>
      <c r="AF357" t="e">
        <f>VLOOKUP(Table1[[#This Row],[Product_Name]],'c174_calc'!$A$2:$C$153, 3, FALSE)</f>
        <v>#N/A</v>
      </c>
      <c r="AG357" t="e">
        <f>Table1[[#This Row],[vma]]=Table1[[#This Row],[MA_Number]]</f>
        <v>#N/A</v>
      </c>
    </row>
    <row r="358" spans="1:33" hidden="1" x14ac:dyDescent="0.3">
      <c r="A358" t="s">
        <v>432</v>
      </c>
      <c r="B358" s="1" t="s">
        <v>1440</v>
      </c>
      <c r="C358" s="1"/>
      <c r="D358" t="s">
        <v>279</v>
      </c>
      <c r="E358" t="s">
        <v>1441</v>
      </c>
      <c r="F358" t="b">
        <v>1</v>
      </c>
      <c r="I358">
        <v>1</v>
      </c>
      <c r="J358" t="s">
        <v>670</v>
      </c>
      <c r="K358" t="s">
        <v>670</v>
      </c>
      <c r="L358" t="s">
        <v>670</v>
      </c>
      <c r="O358" t="b">
        <v>1</v>
      </c>
      <c r="AA358">
        <f>Table1[[#This Row],[qPer board]]*Table1[[#This Row],[boards]]</f>
        <v>0</v>
      </c>
      <c r="AB358">
        <v>1</v>
      </c>
      <c r="AD358" t="e">
        <f>VLOOKUP(Table1[[#This Row],[Product_Name]],'c174_calc'!$A$2:$C$153, 1, FALSE)</f>
        <v>#N/A</v>
      </c>
      <c r="AE358" t="e">
        <f>VLOOKUP(Table1[[#This Row],[Product_Name]],'c174_calc'!$A$2:$C$153, 2, FALSE)</f>
        <v>#N/A</v>
      </c>
      <c r="AF358" t="e">
        <f>VLOOKUP(Table1[[#This Row],[Product_Name]],'c174_calc'!$A$2:$C$153, 3, FALSE)</f>
        <v>#N/A</v>
      </c>
      <c r="AG358" t="e">
        <f>Table1[[#This Row],[vma]]=Table1[[#This Row],[MA_Number]]</f>
        <v>#N/A</v>
      </c>
    </row>
    <row r="359" spans="1:33" hidden="1" x14ac:dyDescent="0.3">
      <c r="B359" s="1" t="s">
        <v>1440</v>
      </c>
      <c r="C359" s="1"/>
      <c r="E359" t="s">
        <v>1442</v>
      </c>
      <c r="G359" t="s">
        <v>432</v>
      </c>
      <c r="H359" t="s">
        <v>1443</v>
      </c>
      <c r="I359">
        <v>1</v>
      </c>
      <c r="J359">
        <v>59</v>
      </c>
      <c r="K359">
        <v>39</v>
      </c>
      <c r="L359">
        <v>58</v>
      </c>
      <c r="M359" t="s">
        <v>48</v>
      </c>
      <c r="N359" t="s">
        <v>24</v>
      </c>
      <c r="O359" t="b">
        <v>1</v>
      </c>
      <c r="AA359">
        <f>Table1[[#This Row],[qPer board]]*Table1[[#This Row],[boards]]</f>
        <v>0</v>
      </c>
      <c r="AB359">
        <v>1</v>
      </c>
      <c r="AD359" t="e">
        <f>VLOOKUP(Table1[[#This Row],[Product_Name]],'c174_calc'!$A$2:$C$153, 1, FALSE)</f>
        <v>#N/A</v>
      </c>
      <c r="AE359" t="e">
        <f>VLOOKUP(Table1[[#This Row],[Product_Name]],'c174_calc'!$A$2:$C$153, 2, FALSE)</f>
        <v>#N/A</v>
      </c>
      <c r="AF359" t="e">
        <f>VLOOKUP(Table1[[#This Row],[Product_Name]],'c174_calc'!$A$2:$C$153, 3, FALSE)</f>
        <v>#N/A</v>
      </c>
      <c r="AG359" t="e">
        <f>Table1[[#This Row],[vma]]=Table1[[#This Row],[MA_Number]]</f>
        <v>#N/A</v>
      </c>
    </row>
    <row r="360" spans="1:33" hidden="1" x14ac:dyDescent="0.3">
      <c r="B360" s="1" t="s">
        <v>1440</v>
      </c>
      <c r="C360" s="1"/>
      <c r="E360" t="s">
        <v>1444</v>
      </c>
      <c r="G360" t="s">
        <v>432</v>
      </c>
      <c r="H360" t="s">
        <v>1445</v>
      </c>
      <c r="I360">
        <v>1</v>
      </c>
      <c r="J360">
        <v>59</v>
      </c>
      <c r="K360">
        <v>39</v>
      </c>
      <c r="L360">
        <v>30</v>
      </c>
      <c r="M360" t="s">
        <v>48</v>
      </c>
      <c r="N360" t="s">
        <v>24</v>
      </c>
      <c r="O360" t="b">
        <v>1</v>
      </c>
      <c r="AA360">
        <f>Table1[[#This Row],[qPer board]]*Table1[[#This Row],[boards]]</f>
        <v>0</v>
      </c>
      <c r="AB360">
        <v>1</v>
      </c>
      <c r="AD360" t="e">
        <f>VLOOKUP(Table1[[#This Row],[Product_Name]],'c174_calc'!$A$2:$C$153, 1, FALSE)</f>
        <v>#N/A</v>
      </c>
      <c r="AE360" t="e">
        <f>VLOOKUP(Table1[[#This Row],[Product_Name]],'c174_calc'!$A$2:$C$153, 2, FALSE)</f>
        <v>#N/A</v>
      </c>
      <c r="AF360" t="e">
        <f>VLOOKUP(Table1[[#This Row],[Product_Name]],'c174_calc'!$A$2:$C$153, 3, FALSE)</f>
        <v>#N/A</v>
      </c>
      <c r="AG360" t="e">
        <f>Table1[[#This Row],[vma]]=Table1[[#This Row],[MA_Number]]</f>
        <v>#N/A</v>
      </c>
    </row>
    <row r="361" spans="1:33" hidden="1" x14ac:dyDescent="0.3">
      <c r="B361" s="1" t="s">
        <v>1440</v>
      </c>
      <c r="C361" s="1"/>
      <c r="E361" t="s">
        <v>1446</v>
      </c>
      <c r="G361" t="s">
        <v>432</v>
      </c>
      <c r="H361" t="s">
        <v>1447</v>
      </c>
      <c r="I361">
        <v>1</v>
      </c>
      <c r="J361">
        <v>59</v>
      </c>
      <c r="K361">
        <v>39</v>
      </c>
      <c r="L361">
        <v>21</v>
      </c>
      <c r="M361" t="s">
        <v>48</v>
      </c>
      <c r="N361" t="s">
        <v>24</v>
      </c>
      <c r="O361" t="b">
        <v>1</v>
      </c>
      <c r="AA361">
        <f>Table1[[#This Row],[qPer board]]*Table1[[#This Row],[boards]]</f>
        <v>0</v>
      </c>
      <c r="AB361">
        <v>1</v>
      </c>
      <c r="AD361" t="e">
        <f>VLOOKUP(Table1[[#This Row],[Product_Name]],'c174_calc'!$A$2:$C$153, 1, FALSE)</f>
        <v>#N/A</v>
      </c>
      <c r="AE361" t="e">
        <f>VLOOKUP(Table1[[#This Row],[Product_Name]],'c174_calc'!$A$2:$C$153, 2, FALSE)</f>
        <v>#N/A</v>
      </c>
      <c r="AF361" t="e">
        <f>VLOOKUP(Table1[[#This Row],[Product_Name]],'c174_calc'!$A$2:$C$153, 3, FALSE)</f>
        <v>#N/A</v>
      </c>
      <c r="AG361" t="e">
        <f>Table1[[#This Row],[vma]]=Table1[[#This Row],[MA_Number]]</f>
        <v>#N/A</v>
      </c>
    </row>
    <row r="362" spans="1:33" hidden="1" x14ac:dyDescent="0.3">
      <c r="B362" s="1" t="s">
        <v>1440</v>
      </c>
      <c r="C362" s="1"/>
      <c r="E362" t="s">
        <v>1448</v>
      </c>
      <c r="G362" t="s">
        <v>432</v>
      </c>
      <c r="H362" t="s">
        <v>1449</v>
      </c>
      <c r="I362">
        <v>1</v>
      </c>
      <c r="J362">
        <v>34</v>
      </c>
      <c r="K362">
        <v>21</v>
      </c>
      <c r="L362">
        <v>25</v>
      </c>
      <c r="M362" t="s">
        <v>48</v>
      </c>
      <c r="N362" t="s">
        <v>24</v>
      </c>
      <c r="O362" t="b">
        <v>1</v>
      </c>
      <c r="AA362">
        <f>Table1[[#This Row],[qPer board]]*Table1[[#This Row],[boards]]</f>
        <v>0</v>
      </c>
      <c r="AB362">
        <v>1</v>
      </c>
      <c r="AD362" t="e">
        <f>VLOOKUP(Table1[[#This Row],[Product_Name]],'c174_calc'!$A$2:$C$153, 1, FALSE)</f>
        <v>#N/A</v>
      </c>
      <c r="AE362" t="e">
        <f>VLOOKUP(Table1[[#This Row],[Product_Name]],'c174_calc'!$A$2:$C$153, 2, FALSE)</f>
        <v>#N/A</v>
      </c>
      <c r="AF362" t="e">
        <f>VLOOKUP(Table1[[#This Row],[Product_Name]],'c174_calc'!$A$2:$C$153, 3, FALSE)</f>
        <v>#N/A</v>
      </c>
      <c r="AG362" t="e">
        <f>Table1[[#This Row],[vma]]=Table1[[#This Row],[MA_Number]]</f>
        <v>#N/A</v>
      </c>
    </row>
    <row r="363" spans="1:33" hidden="1" x14ac:dyDescent="0.3">
      <c r="A363" t="s">
        <v>1450</v>
      </c>
      <c r="B363" s="1" t="s">
        <v>1451</v>
      </c>
      <c r="C363" s="1"/>
      <c r="D363" t="s">
        <v>279</v>
      </c>
      <c r="F363" t="b">
        <v>1</v>
      </c>
      <c r="I363">
        <v>1</v>
      </c>
      <c r="J363" t="s">
        <v>670</v>
      </c>
      <c r="K363" t="s">
        <v>670</v>
      </c>
      <c r="L363" t="s">
        <v>670</v>
      </c>
      <c r="O363" t="b">
        <v>1</v>
      </c>
      <c r="AA363">
        <f>Table1[[#This Row],[qPer board]]*Table1[[#This Row],[boards]]</f>
        <v>0</v>
      </c>
      <c r="AB363">
        <v>1</v>
      </c>
      <c r="AD363" t="e">
        <f>VLOOKUP(Table1[[#This Row],[Product_Name]],'c174_calc'!$A$2:$C$153, 1, FALSE)</f>
        <v>#N/A</v>
      </c>
      <c r="AE363" t="e">
        <f>VLOOKUP(Table1[[#This Row],[Product_Name]],'c174_calc'!$A$2:$C$153, 2, FALSE)</f>
        <v>#N/A</v>
      </c>
      <c r="AF363" t="e">
        <f>VLOOKUP(Table1[[#This Row],[Product_Name]],'c174_calc'!$A$2:$C$153, 3, FALSE)</f>
        <v>#N/A</v>
      </c>
      <c r="AG363" t="e">
        <f>Table1[[#This Row],[vma]]=Table1[[#This Row],[MA_Number]]</f>
        <v>#N/A</v>
      </c>
    </row>
    <row r="364" spans="1:33" hidden="1" x14ac:dyDescent="0.3">
      <c r="B364" s="1" t="s">
        <v>1451</v>
      </c>
      <c r="C364" s="1"/>
      <c r="E364" t="s">
        <v>1452</v>
      </c>
      <c r="G364" t="s">
        <v>1450</v>
      </c>
      <c r="H364" t="s">
        <v>1453</v>
      </c>
      <c r="I364">
        <v>1</v>
      </c>
      <c r="J364">
        <v>58</v>
      </c>
      <c r="K364">
        <v>35</v>
      </c>
      <c r="L364">
        <v>47</v>
      </c>
      <c r="M364" t="s">
        <v>48</v>
      </c>
      <c r="N364" t="s">
        <v>24</v>
      </c>
      <c r="O364" t="b">
        <v>1</v>
      </c>
      <c r="AA364">
        <f>Table1[[#This Row],[qPer board]]*Table1[[#This Row],[boards]]</f>
        <v>0</v>
      </c>
      <c r="AB364">
        <v>1</v>
      </c>
      <c r="AD364" t="e">
        <f>VLOOKUP(Table1[[#This Row],[Product_Name]],'c174_calc'!$A$2:$C$153, 1, FALSE)</f>
        <v>#N/A</v>
      </c>
      <c r="AE364" t="e">
        <f>VLOOKUP(Table1[[#This Row],[Product_Name]],'c174_calc'!$A$2:$C$153, 2, FALSE)</f>
        <v>#N/A</v>
      </c>
      <c r="AF364" t="e">
        <f>VLOOKUP(Table1[[#This Row],[Product_Name]],'c174_calc'!$A$2:$C$153, 3, FALSE)</f>
        <v>#N/A</v>
      </c>
      <c r="AG364" t="e">
        <f>Table1[[#This Row],[vma]]=Table1[[#This Row],[MA_Number]]</f>
        <v>#N/A</v>
      </c>
    </row>
    <row r="365" spans="1:33" hidden="1" x14ac:dyDescent="0.3">
      <c r="B365" s="1" t="s">
        <v>1451</v>
      </c>
      <c r="C365" s="1"/>
      <c r="E365" t="s">
        <v>1454</v>
      </c>
      <c r="G365" t="s">
        <v>1450</v>
      </c>
      <c r="H365" t="s">
        <v>1455</v>
      </c>
      <c r="I365">
        <v>1</v>
      </c>
      <c r="J365">
        <v>58</v>
      </c>
      <c r="K365">
        <v>35</v>
      </c>
      <c r="L365">
        <v>30</v>
      </c>
      <c r="M365" t="s">
        <v>48</v>
      </c>
      <c r="N365" t="s">
        <v>24</v>
      </c>
      <c r="O365" t="b">
        <v>1</v>
      </c>
      <c r="AA365">
        <f>Table1[[#This Row],[qPer board]]*Table1[[#This Row],[boards]]</f>
        <v>0</v>
      </c>
      <c r="AB365">
        <v>1</v>
      </c>
      <c r="AD365" t="e">
        <f>VLOOKUP(Table1[[#This Row],[Product_Name]],'c174_calc'!$A$2:$C$153, 1, FALSE)</f>
        <v>#N/A</v>
      </c>
      <c r="AE365" t="e">
        <f>VLOOKUP(Table1[[#This Row],[Product_Name]],'c174_calc'!$A$2:$C$153, 2, FALSE)</f>
        <v>#N/A</v>
      </c>
      <c r="AF365" t="e">
        <f>VLOOKUP(Table1[[#This Row],[Product_Name]],'c174_calc'!$A$2:$C$153, 3, FALSE)</f>
        <v>#N/A</v>
      </c>
      <c r="AG365" t="e">
        <f>Table1[[#This Row],[vma]]=Table1[[#This Row],[MA_Number]]</f>
        <v>#N/A</v>
      </c>
    </row>
    <row r="366" spans="1:33" hidden="1" x14ac:dyDescent="0.3">
      <c r="B366" s="1" t="s">
        <v>1451</v>
      </c>
      <c r="C366" s="1"/>
      <c r="E366" t="s">
        <v>1456</v>
      </c>
      <c r="G366" t="s">
        <v>1450</v>
      </c>
      <c r="H366" t="s">
        <v>1457</v>
      </c>
      <c r="I366">
        <v>1</v>
      </c>
      <c r="J366">
        <v>58</v>
      </c>
      <c r="K366">
        <v>35</v>
      </c>
      <c r="L366">
        <v>20</v>
      </c>
      <c r="M366" t="s">
        <v>48</v>
      </c>
      <c r="N366" t="s">
        <v>24</v>
      </c>
      <c r="O366" t="b">
        <v>1</v>
      </c>
      <c r="AA366">
        <f>Table1[[#This Row],[qPer board]]*Table1[[#This Row],[boards]]</f>
        <v>0</v>
      </c>
      <c r="AB366">
        <v>1</v>
      </c>
      <c r="AD366" t="e">
        <f>VLOOKUP(Table1[[#This Row],[Product_Name]],'c174_calc'!$A$2:$C$153, 1, FALSE)</f>
        <v>#N/A</v>
      </c>
      <c r="AE366" t="e">
        <f>VLOOKUP(Table1[[#This Row],[Product_Name]],'c174_calc'!$A$2:$C$153, 2, FALSE)</f>
        <v>#N/A</v>
      </c>
      <c r="AF366" t="e">
        <f>VLOOKUP(Table1[[#This Row],[Product_Name]],'c174_calc'!$A$2:$C$153, 3, FALSE)</f>
        <v>#N/A</v>
      </c>
      <c r="AG366" t="e">
        <f>Table1[[#This Row],[vma]]=Table1[[#This Row],[MA_Number]]</f>
        <v>#N/A</v>
      </c>
    </row>
    <row r="367" spans="1:33" hidden="1" x14ac:dyDescent="0.3">
      <c r="A367" t="s">
        <v>461</v>
      </c>
      <c r="B367" s="1" t="s">
        <v>1057</v>
      </c>
      <c r="C367" s="1"/>
      <c r="D367" t="s">
        <v>279</v>
      </c>
      <c r="E367" t="s">
        <v>1458</v>
      </c>
      <c r="F367" t="b">
        <v>1</v>
      </c>
      <c r="I367">
        <v>1</v>
      </c>
      <c r="J367" t="s">
        <v>670</v>
      </c>
      <c r="K367" t="s">
        <v>670</v>
      </c>
      <c r="L367" t="s">
        <v>670</v>
      </c>
      <c r="O367" t="b">
        <v>1</v>
      </c>
      <c r="AA367" t="e">
        <f>Table1[[#This Row],[qPer board]]*Table1[[#This Row],[boards]]</f>
        <v>#REF!</v>
      </c>
      <c r="AB367" t="e">
        <f>VLOOKUP(Table1[[#This Row],[MA_Number]],#REF!, 2,FALSE)</f>
        <v>#REF!</v>
      </c>
      <c r="AD367" t="e">
        <f>VLOOKUP(Table1[[#This Row],[Product_Name]],'c174_calc'!$A$2:$C$153, 1, FALSE)</f>
        <v>#N/A</v>
      </c>
      <c r="AE367" t="e">
        <f>VLOOKUP(Table1[[#This Row],[Product_Name]],'c174_calc'!$A$2:$C$153, 2, FALSE)</f>
        <v>#N/A</v>
      </c>
      <c r="AF367" t="e">
        <f>VLOOKUP(Table1[[#This Row],[Product_Name]],'c174_calc'!$A$2:$C$153, 3, FALSE)</f>
        <v>#N/A</v>
      </c>
      <c r="AG367" t="e">
        <f>Table1[[#This Row],[vma]]=Table1[[#This Row],[MA_Number]]</f>
        <v>#N/A</v>
      </c>
    </row>
    <row r="368" spans="1:33" hidden="1" x14ac:dyDescent="0.3">
      <c r="B368" s="1" t="s">
        <v>1057</v>
      </c>
      <c r="C368" s="1"/>
      <c r="E368" t="s">
        <v>1459</v>
      </c>
      <c r="G368" t="s">
        <v>461</v>
      </c>
      <c r="H368" t="s">
        <v>1460</v>
      </c>
      <c r="I368">
        <v>1</v>
      </c>
      <c r="J368">
        <v>54</v>
      </c>
      <c r="K368">
        <v>39</v>
      </c>
      <c r="L368">
        <v>42</v>
      </c>
      <c r="M368" t="s">
        <v>50</v>
      </c>
      <c r="N368" t="s">
        <v>24</v>
      </c>
      <c r="O368" t="b">
        <v>1</v>
      </c>
      <c r="AA368" t="e">
        <f>Table1[[#This Row],[qPer board]]*Table1[[#This Row],[boards]]</f>
        <v>#REF!</v>
      </c>
      <c r="AB368" t="e">
        <f>VLOOKUP(Table1[[#This Row],[MA_Number]],#REF!, 2,FALSE)</f>
        <v>#REF!</v>
      </c>
      <c r="AD368" t="e">
        <f>VLOOKUP(Table1[[#This Row],[Product_Name]],'c174_calc'!$A$2:$C$153, 1, FALSE)</f>
        <v>#N/A</v>
      </c>
      <c r="AE368" t="e">
        <f>VLOOKUP(Table1[[#This Row],[Product_Name]],'c174_calc'!$A$2:$C$153, 2, FALSE)</f>
        <v>#N/A</v>
      </c>
      <c r="AF368" t="e">
        <f>VLOOKUP(Table1[[#This Row],[Product_Name]],'c174_calc'!$A$2:$C$153, 3, FALSE)</f>
        <v>#N/A</v>
      </c>
      <c r="AG368" t="e">
        <f>Table1[[#This Row],[vma]]=Table1[[#This Row],[MA_Number]]</f>
        <v>#N/A</v>
      </c>
    </row>
    <row r="369" spans="1:33" hidden="1" x14ac:dyDescent="0.3">
      <c r="B369" s="1" t="s">
        <v>1057</v>
      </c>
      <c r="C369" s="1"/>
      <c r="E369" t="s">
        <v>1461</v>
      </c>
      <c r="G369" t="s">
        <v>461</v>
      </c>
      <c r="H369" t="s">
        <v>1462</v>
      </c>
      <c r="I369">
        <v>1</v>
      </c>
      <c r="J369">
        <v>54</v>
      </c>
      <c r="K369">
        <v>39</v>
      </c>
      <c r="L369">
        <v>30</v>
      </c>
      <c r="M369" t="s">
        <v>50</v>
      </c>
      <c r="N369" t="s">
        <v>24</v>
      </c>
      <c r="O369" t="b">
        <v>1</v>
      </c>
      <c r="AA369" t="e">
        <f>Table1[[#This Row],[qPer board]]*Table1[[#This Row],[boards]]</f>
        <v>#REF!</v>
      </c>
      <c r="AB369" t="e">
        <f>VLOOKUP(Table1[[#This Row],[MA_Number]],#REF!, 2,FALSE)</f>
        <v>#REF!</v>
      </c>
      <c r="AD369" t="e">
        <f>VLOOKUP(Table1[[#This Row],[Product_Name]],'c174_calc'!$A$2:$C$153, 1, FALSE)</f>
        <v>#N/A</v>
      </c>
      <c r="AE369" t="e">
        <f>VLOOKUP(Table1[[#This Row],[Product_Name]],'c174_calc'!$A$2:$C$153, 2, FALSE)</f>
        <v>#N/A</v>
      </c>
      <c r="AF369" t="e">
        <f>VLOOKUP(Table1[[#This Row],[Product_Name]],'c174_calc'!$A$2:$C$153, 3, FALSE)</f>
        <v>#N/A</v>
      </c>
      <c r="AG369" t="e">
        <f>Table1[[#This Row],[vma]]=Table1[[#This Row],[MA_Number]]</f>
        <v>#N/A</v>
      </c>
    </row>
    <row r="370" spans="1:33" hidden="1" x14ac:dyDescent="0.3">
      <c r="B370" s="1" t="s">
        <v>1057</v>
      </c>
      <c r="C370" s="1"/>
      <c r="E370" t="s">
        <v>1463</v>
      </c>
      <c r="G370" t="s">
        <v>461</v>
      </c>
      <c r="H370" t="s">
        <v>1464</v>
      </c>
      <c r="I370">
        <v>1</v>
      </c>
      <c r="J370">
        <v>54</v>
      </c>
      <c r="K370">
        <v>39</v>
      </c>
      <c r="L370">
        <v>20</v>
      </c>
      <c r="M370" t="s">
        <v>50</v>
      </c>
      <c r="N370" t="s">
        <v>24</v>
      </c>
      <c r="O370" t="b">
        <v>1</v>
      </c>
      <c r="AA370" t="e">
        <f>Table1[[#This Row],[qPer board]]*Table1[[#This Row],[boards]]</f>
        <v>#REF!</v>
      </c>
      <c r="AB370" t="e">
        <f>VLOOKUP(Table1[[#This Row],[MA_Number]],#REF!, 2,FALSE)</f>
        <v>#REF!</v>
      </c>
      <c r="AD370" t="e">
        <f>VLOOKUP(Table1[[#This Row],[Product_Name]],'c174_calc'!$A$2:$C$153, 1, FALSE)</f>
        <v>#N/A</v>
      </c>
      <c r="AE370" t="e">
        <f>VLOOKUP(Table1[[#This Row],[Product_Name]],'c174_calc'!$A$2:$C$153, 2, FALSE)</f>
        <v>#N/A</v>
      </c>
      <c r="AF370" t="e">
        <f>VLOOKUP(Table1[[#This Row],[Product_Name]],'c174_calc'!$A$2:$C$153, 3, FALSE)</f>
        <v>#N/A</v>
      </c>
      <c r="AG370" t="e">
        <f>Table1[[#This Row],[vma]]=Table1[[#This Row],[MA_Number]]</f>
        <v>#N/A</v>
      </c>
    </row>
    <row r="371" spans="1:33" hidden="1" x14ac:dyDescent="0.3">
      <c r="A371" t="s">
        <v>560</v>
      </c>
      <c r="B371" s="1" t="s">
        <v>1465</v>
      </c>
      <c r="C371" s="1"/>
      <c r="D371" t="s">
        <v>279</v>
      </c>
      <c r="E371" t="s">
        <v>1466</v>
      </c>
      <c r="F371" t="b">
        <v>1</v>
      </c>
      <c r="I371">
        <v>1</v>
      </c>
      <c r="J371" t="s">
        <v>670</v>
      </c>
      <c r="K371" t="s">
        <v>670</v>
      </c>
      <c r="L371" t="s">
        <v>670</v>
      </c>
      <c r="O371" t="b">
        <v>1</v>
      </c>
      <c r="AA371">
        <v>1</v>
      </c>
      <c r="AB371">
        <v>1</v>
      </c>
      <c r="AD371" t="e">
        <f>VLOOKUP(Table1[[#This Row],[Product_Name]],'c174_calc'!$A$2:$C$153, 1, FALSE)</f>
        <v>#N/A</v>
      </c>
      <c r="AE371" t="e">
        <f>VLOOKUP(Table1[[#This Row],[Product_Name]],'c174_calc'!$A$2:$C$153, 2, FALSE)</f>
        <v>#N/A</v>
      </c>
      <c r="AF371" t="e">
        <f>VLOOKUP(Table1[[#This Row],[Product_Name]],'c174_calc'!$A$2:$C$153, 3, FALSE)</f>
        <v>#N/A</v>
      </c>
      <c r="AG371" t="e">
        <f>Table1[[#This Row],[vma]]=Table1[[#This Row],[MA_Number]]</f>
        <v>#N/A</v>
      </c>
    </row>
    <row r="372" spans="1:33" hidden="1" x14ac:dyDescent="0.3">
      <c r="B372" s="1" t="s">
        <v>1465</v>
      </c>
      <c r="C372" s="1"/>
      <c r="E372" t="s">
        <v>1467</v>
      </c>
      <c r="G372" t="s">
        <v>560</v>
      </c>
      <c r="H372" t="s">
        <v>1468</v>
      </c>
      <c r="I372">
        <v>1</v>
      </c>
      <c r="J372">
        <v>50</v>
      </c>
      <c r="K372">
        <v>52</v>
      </c>
      <c r="L372">
        <v>69</v>
      </c>
      <c r="M372" t="s">
        <v>48</v>
      </c>
      <c r="N372" t="s">
        <v>24</v>
      </c>
      <c r="O372" t="b">
        <v>1</v>
      </c>
      <c r="AA372">
        <v>1</v>
      </c>
      <c r="AB372">
        <v>1</v>
      </c>
      <c r="AD372" t="e">
        <f>VLOOKUP(Table1[[#This Row],[Product_Name]],'c174_calc'!$A$2:$C$153, 1, FALSE)</f>
        <v>#N/A</v>
      </c>
      <c r="AE372" t="e">
        <f>VLOOKUP(Table1[[#This Row],[Product_Name]],'c174_calc'!$A$2:$C$153, 2, FALSE)</f>
        <v>#N/A</v>
      </c>
      <c r="AF372" t="e">
        <f>VLOOKUP(Table1[[#This Row],[Product_Name]],'c174_calc'!$A$2:$C$153, 3, FALSE)</f>
        <v>#N/A</v>
      </c>
      <c r="AG372" t="e">
        <f>Table1[[#This Row],[vma]]=Table1[[#This Row],[MA_Number]]</f>
        <v>#N/A</v>
      </c>
    </row>
    <row r="373" spans="1:33" hidden="1" x14ac:dyDescent="0.3">
      <c r="B373" s="1" t="s">
        <v>1465</v>
      </c>
      <c r="C373" s="1"/>
      <c r="E373" t="s">
        <v>1469</v>
      </c>
      <c r="G373" t="s">
        <v>560</v>
      </c>
      <c r="H373" t="s">
        <v>1470</v>
      </c>
      <c r="I373">
        <v>1</v>
      </c>
      <c r="J373">
        <v>50</v>
      </c>
      <c r="K373">
        <v>52</v>
      </c>
      <c r="L373">
        <v>30</v>
      </c>
      <c r="M373" t="s">
        <v>48</v>
      </c>
      <c r="N373" t="s">
        <v>24</v>
      </c>
      <c r="O373" t="b">
        <v>1</v>
      </c>
      <c r="AA373">
        <v>1</v>
      </c>
      <c r="AB373">
        <v>1</v>
      </c>
      <c r="AD373" t="e">
        <f>VLOOKUP(Table1[[#This Row],[Product_Name]],'c174_calc'!$A$2:$C$153, 1, FALSE)</f>
        <v>#N/A</v>
      </c>
      <c r="AE373" t="e">
        <f>VLOOKUP(Table1[[#This Row],[Product_Name]],'c174_calc'!$A$2:$C$153, 2, FALSE)</f>
        <v>#N/A</v>
      </c>
      <c r="AF373" t="e">
        <f>VLOOKUP(Table1[[#This Row],[Product_Name]],'c174_calc'!$A$2:$C$153, 3, FALSE)</f>
        <v>#N/A</v>
      </c>
      <c r="AG373" t="e">
        <f>Table1[[#This Row],[vma]]=Table1[[#This Row],[MA_Number]]</f>
        <v>#N/A</v>
      </c>
    </row>
    <row r="374" spans="1:33" hidden="1" x14ac:dyDescent="0.3">
      <c r="B374" s="1" t="s">
        <v>1465</v>
      </c>
      <c r="C374" s="1"/>
      <c r="E374" t="s">
        <v>1471</v>
      </c>
      <c r="G374" t="s">
        <v>560</v>
      </c>
      <c r="H374" t="s">
        <v>1472</v>
      </c>
      <c r="I374">
        <v>1</v>
      </c>
      <c r="J374">
        <v>50</v>
      </c>
      <c r="K374">
        <v>52</v>
      </c>
      <c r="L374">
        <v>20</v>
      </c>
      <c r="M374" t="s">
        <v>48</v>
      </c>
      <c r="N374" t="s">
        <v>24</v>
      </c>
      <c r="O374" t="b">
        <v>1</v>
      </c>
      <c r="AA374">
        <v>1</v>
      </c>
      <c r="AB374">
        <v>1</v>
      </c>
      <c r="AD374" t="e">
        <f>VLOOKUP(Table1[[#This Row],[Product_Name]],'c174_calc'!$A$2:$C$153, 1, FALSE)</f>
        <v>#N/A</v>
      </c>
      <c r="AE374" t="e">
        <f>VLOOKUP(Table1[[#This Row],[Product_Name]],'c174_calc'!$A$2:$C$153, 2, FALSE)</f>
        <v>#N/A</v>
      </c>
      <c r="AF374" t="e">
        <f>VLOOKUP(Table1[[#This Row],[Product_Name]],'c174_calc'!$A$2:$C$153, 3, FALSE)</f>
        <v>#N/A</v>
      </c>
      <c r="AG374" t="e">
        <f>Table1[[#This Row],[vma]]=Table1[[#This Row],[MA_Number]]</f>
        <v>#N/A</v>
      </c>
    </row>
    <row r="375" spans="1:33" hidden="1" x14ac:dyDescent="0.3">
      <c r="A375" t="s">
        <v>462</v>
      </c>
      <c r="B375" s="1" t="s">
        <v>1056</v>
      </c>
      <c r="C375" s="1"/>
      <c r="D375" t="s">
        <v>279</v>
      </c>
      <c r="E375" t="s">
        <v>1473</v>
      </c>
      <c r="F375" t="b">
        <v>1</v>
      </c>
      <c r="I375">
        <v>1</v>
      </c>
      <c r="J375" t="s">
        <v>670</v>
      </c>
      <c r="K375" t="s">
        <v>670</v>
      </c>
      <c r="L375" t="s">
        <v>670</v>
      </c>
      <c r="O375" t="b">
        <v>1</v>
      </c>
      <c r="AA375" t="e">
        <f>Table1[[#This Row],[qPer board]]*Table1[[#This Row],[boards]]</f>
        <v>#REF!</v>
      </c>
      <c r="AB375" t="e">
        <f>VLOOKUP(Table1[[#This Row],[MA_Number]],#REF!, 2,FALSE)</f>
        <v>#REF!</v>
      </c>
      <c r="AD375" t="e">
        <f>VLOOKUP(Table1[[#This Row],[Product_Name]],'c174_calc'!$A$2:$C$153, 1, FALSE)</f>
        <v>#N/A</v>
      </c>
      <c r="AE375" t="e">
        <f>VLOOKUP(Table1[[#This Row],[Product_Name]],'c174_calc'!$A$2:$C$153, 2, FALSE)</f>
        <v>#N/A</v>
      </c>
      <c r="AF375" t="e">
        <f>VLOOKUP(Table1[[#This Row],[Product_Name]],'c174_calc'!$A$2:$C$153, 3, FALSE)</f>
        <v>#N/A</v>
      </c>
      <c r="AG375" t="e">
        <f>Table1[[#This Row],[vma]]=Table1[[#This Row],[MA_Number]]</f>
        <v>#N/A</v>
      </c>
    </row>
    <row r="376" spans="1:33" hidden="1" x14ac:dyDescent="0.3">
      <c r="B376" s="1" t="s">
        <v>1056</v>
      </c>
      <c r="C376" s="1"/>
      <c r="E376" t="s">
        <v>1474</v>
      </c>
      <c r="G376" t="s">
        <v>462</v>
      </c>
      <c r="H376" t="s">
        <v>1475</v>
      </c>
      <c r="I376">
        <v>1</v>
      </c>
      <c r="J376">
        <v>52</v>
      </c>
      <c r="K376">
        <v>34</v>
      </c>
      <c r="L376">
        <v>43</v>
      </c>
      <c r="M376" t="s">
        <v>52</v>
      </c>
      <c r="N376" t="s">
        <v>24</v>
      </c>
      <c r="O376" t="b">
        <v>1</v>
      </c>
      <c r="AA376" t="e">
        <f>Table1[[#This Row],[qPer board]]*Table1[[#This Row],[boards]]</f>
        <v>#REF!</v>
      </c>
      <c r="AB376" t="e">
        <f>VLOOKUP(Table1[[#This Row],[MA_Number]],#REF!, 2,FALSE)</f>
        <v>#REF!</v>
      </c>
      <c r="AD376" t="e">
        <f>VLOOKUP(Table1[[#This Row],[Product_Name]],'c174_calc'!$A$2:$C$153, 1, FALSE)</f>
        <v>#N/A</v>
      </c>
      <c r="AE376" t="e">
        <f>VLOOKUP(Table1[[#This Row],[Product_Name]],'c174_calc'!$A$2:$C$153, 2, FALSE)</f>
        <v>#N/A</v>
      </c>
      <c r="AF376" t="e">
        <f>VLOOKUP(Table1[[#This Row],[Product_Name]],'c174_calc'!$A$2:$C$153, 3, FALSE)</f>
        <v>#N/A</v>
      </c>
      <c r="AG376" t="e">
        <f>Table1[[#This Row],[vma]]=Table1[[#This Row],[MA_Number]]</f>
        <v>#N/A</v>
      </c>
    </row>
    <row r="377" spans="1:33" hidden="1" x14ac:dyDescent="0.3">
      <c r="B377" s="1" t="s">
        <v>1056</v>
      </c>
      <c r="C377" s="1"/>
      <c r="E377" t="s">
        <v>1476</v>
      </c>
      <c r="G377" t="s">
        <v>462</v>
      </c>
      <c r="H377" t="s">
        <v>1477</v>
      </c>
      <c r="I377">
        <v>1</v>
      </c>
      <c r="J377">
        <v>52</v>
      </c>
      <c r="K377">
        <v>34</v>
      </c>
      <c r="L377">
        <v>30</v>
      </c>
      <c r="M377" t="s">
        <v>52</v>
      </c>
      <c r="N377" t="s">
        <v>24</v>
      </c>
      <c r="O377" t="b">
        <v>1</v>
      </c>
      <c r="AA377" t="e">
        <f>Table1[[#This Row],[qPer board]]*Table1[[#This Row],[boards]]</f>
        <v>#REF!</v>
      </c>
      <c r="AB377" t="e">
        <f>VLOOKUP(Table1[[#This Row],[MA_Number]],#REF!, 2,FALSE)</f>
        <v>#REF!</v>
      </c>
      <c r="AD377" t="e">
        <f>VLOOKUP(Table1[[#This Row],[Product_Name]],'c174_calc'!$A$2:$C$153, 1, FALSE)</f>
        <v>#N/A</v>
      </c>
      <c r="AE377" t="e">
        <f>VLOOKUP(Table1[[#This Row],[Product_Name]],'c174_calc'!$A$2:$C$153, 2, FALSE)</f>
        <v>#N/A</v>
      </c>
      <c r="AF377" t="e">
        <f>VLOOKUP(Table1[[#This Row],[Product_Name]],'c174_calc'!$A$2:$C$153, 3, FALSE)</f>
        <v>#N/A</v>
      </c>
      <c r="AG377" t="e">
        <f>Table1[[#This Row],[vma]]=Table1[[#This Row],[MA_Number]]</f>
        <v>#N/A</v>
      </c>
    </row>
    <row r="378" spans="1:33" hidden="1" x14ac:dyDescent="0.3">
      <c r="B378" s="1" t="s">
        <v>1056</v>
      </c>
      <c r="C378" s="1"/>
      <c r="E378" t="s">
        <v>1478</v>
      </c>
      <c r="G378" t="s">
        <v>462</v>
      </c>
      <c r="H378" t="s">
        <v>1479</v>
      </c>
      <c r="I378">
        <v>1</v>
      </c>
      <c r="J378">
        <v>52</v>
      </c>
      <c r="K378">
        <v>34</v>
      </c>
      <c r="L378">
        <v>20</v>
      </c>
      <c r="M378" t="s">
        <v>52</v>
      </c>
      <c r="N378" t="s">
        <v>24</v>
      </c>
      <c r="O378" t="b">
        <v>1</v>
      </c>
      <c r="AA378" t="e">
        <f>Table1[[#This Row],[qPer board]]*Table1[[#This Row],[boards]]</f>
        <v>#REF!</v>
      </c>
      <c r="AB378" t="e">
        <f>VLOOKUP(Table1[[#This Row],[MA_Number]],#REF!, 2,FALSE)</f>
        <v>#REF!</v>
      </c>
      <c r="AD378" t="e">
        <f>VLOOKUP(Table1[[#This Row],[Product_Name]],'c174_calc'!$A$2:$C$153, 1, FALSE)</f>
        <v>#N/A</v>
      </c>
      <c r="AE378" t="e">
        <f>VLOOKUP(Table1[[#This Row],[Product_Name]],'c174_calc'!$A$2:$C$153, 2, FALSE)</f>
        <v>#N/A</v>
      </c>
      <c r="AF378" t="e">
        <f>VLOOKUP(Table1[[#This Row],[Product_Name]],'c174_calc'!$A$2:$C$153, 3, FALSE)</f>
        <v>#N/A</v>
      </c>
      <c r="AG378" t="e">
        <f>Table1[[#This Row],[vma]]=Table1[[#This Row],[MA_Number]]</f>
        <v>#N/A</v>
      </c>
    </row>
    <row r="379" spans="1:33" hidden="1" x14ac:dyDescent="0.3">
      <c r="A379" t="s">
        <v>464</v>
      </c>
      <c r="B379" s="1" t="s">
        <v>1021</v>
      </c>
      <c r="C379" s="1"/>
      <c r="D379" t="s">
        <v>279</v>
      </c>
      <c r="E379" t="s">
        <v>1480</v>
      </c>
      <c r="F379" t="b">
        <v>1</v>
      </c>
      <c r="I379">
        <v>1</v>
      </c>
      <c r="J379" t="s">
        <v>670</v>
      </c>
      <c r="K379" t="s">
        <v>670</v>
      </c>
      <c r="L379" t="s">
        <v>670</v>
      </c>
      <c r="O379" t="b">
        <v>1</v>
      </c>
      <c r="AA379" t="e">
        <f>Table1[[#This Row],[qPer board]]*Table1[[#This Row],[boards]]</f>
        <v>#REF!</v>
      </c>
      <c r="AB379" t="e">
        <f>VLOOKUP(Table1[[#This Row],[MA_Number]],#REF!, 2,FALSE)</f>
        <v>#REF!</v>
      </c>
      <c r="AD379" t="e">
        <f>VLOOKUP(Table1[[#This Row],[Product_Name]],'c174_calc'!$A$2:$C$153, 1, FALSE)</f>
        <v>#N/A</v>
      </c>
      <c r="AE379" t="e">
        <f>VLOOKUP(Table1[[#This Row],[Product_Name]],'c174_calc'!$A$2:$C$153, 2, FALSE)</f>
        <v>#N/A</v>
      </c>
      <c r="AF379" t="e">
        <f>VLOOKUP(Table1[[#This Row],[Product_Name]],'c174_calc'!$A$2:$C$153, 3, FALSE)</f>
        <v>#N/A</v>
      </c>
      <c r="AG379" t="e">
        <f>Table1[[#This Row],[vma]]=Table1[[#This Row],[MA_Number]]</f>
        <v>#N/A</v>
      </c>
    </row>
    <row r="380" spans="1:33" hidden="1" x14ac:dyDescent="0.3">
      <c r="B380" s="1" t="s">
        <v>1021</v>
      </c>
      <c r="C380" s="1"/>
      <c r="E380" t="s">
        <v>1481</v>
      </c>
      <c r="G380" t="s">
        <v>464</v>
      </c>
      <c r="H380" t="s">
        <v>1482</v>
      </c>
      <c r="I380">
        <v>1</v>
      </c>
      <c r="J380">
        <v>64</v>
      </c>
      <c r="K380">
        <v>42</v>
      </c>
      <c r="L380">
        <v>52</v>
      </c>
      <c r="M380" t="s">
        <v>49</v>
      </c>
      <c r="N380" t="s">
        <v>24</v>
      </c>
      <c r="O380" t="b">
        <v>1</v>
      </c>
      <c r="AA380" t="e">
        <f>Table1[[#This Row],[qPer board]]*Table1[[#This Row],[boards]]</f>
        <v>#REF!</v>
      </c>
      <c r="AB380" t="e">
        <f>VLOOKUP(Table1[[#This Row],[MA_Number]],#REF!, 2,FALSE)</f>
        <v>#REF!</v>
      </c>
      <c r="AD380" t="e">
        <f>VLOOKUP(Table1[[#This Row],[Product_Name]],'c174_calc'!$A$2:$C$153, 1, FALSE)</f>
        <v>#N/A</v>
      </c>
      <c r="AE380" t="e">
        <f>VLOOKUP(Table1[[#This Row],[Product_Name]],'c174_calc'!$A$2:$C$153, 2, FALSE)</f>
        <v>#N/A</v>
      </c>
      <c r="AF380" t="e">
        <f>VLOOKUP(Table1[[#This Row],[Product_Name]],'c174_calc'!$A$2:$C$153, 3, FALSE)</f>
        <v>#N/A</v>
      </c>
      <c r="AG380" t="e">
        <f>Table1[[#This Row],[vma]]=Table1[[#This Row],[MA_Number]]</f>
        <v>#N/A</v>
      </c>
    </row>
    <row r="381" spans="1:33" hidden="1" x14ac:dyDescent="0.3">
      <c r="B381" s="1" t="s">
        <v>1021</v>
      </c>
      <c r="C381" s="1"/>
      <c r="E381" t="s">
        <v>1483</v>
      </c>
      <c r="G381" t="s">
        <v>464</v>
      </c>
      <c r="H381" t="s">
        <v>1484</v>
      </c>
      <c r="I381">
        <v>1</v>
      </c>
      <c r="J381">
        <v>64</v>
      </c>
      <c r="K381">
        <v>42</v>
      </c>
      <c r="L381">
        <v>30</v>
      </c>
      <c r="M381" t="s">
        <v>49</v>
      </c>
      <c r="N381" t="s">
        <v>24</v>
      </c>
      <c r="O381" t="b">
        <v>1</v>
      </c>
      <c r="AA381" t="e">
        <f>Table1[[#This Row],[qPer board]]*Table1[[#This Row],[boards]]</f>
        <v>#REF!</v>
      </c>
      <c r="AB381" t="e">
        <f>VLOOKUP(Table1[[#This Row],[MA_Number]],#REF!, 2,FALSE)</f>
        <v>#REF!</v>
      </c>
      <c r="AD381" t="e">
        <f>VLOOKUP(Table1[[#This Row],[Product_Name]],'c174_calc'!$A$2:$C$153, 1, FALSE)</f>
        <v>#N/A</v>
      </c>
      <c r="AE381" t="e">
        <f>VLOOKUP(Table1[[#This Row],[Product_Name]],'c174_calc'!$A$2:$C$153, 2, FALSE)</f>
        <v>#N/A</v>
      </c>
      <c r="AF381" t="e">
        <f>VLOOKUP(Table1[[#This Row],[Product_Name]],'c174_calc'!$A$2:$C$153, 3, FALSE)</f>
        <v>#N/A</v>
      </c>
      <c r="AG381" t="e">
        <f>Table1[[#This Row],[vma]]=Table1[[#This Row],[MA_Number]]</f>
        <v>#N/A</v>
      </c>
    </row>
    <row r="382" spans="1:33" hidden="1" x14ac:dyDescent="0.3">
      <c r="B382" s="1" t="s">
        <v>1021</v>
      </c>
      <c r="C382" s="1"/>
      <c r="E382" t="s">
        <v>1485</v>
      </c>
      <c r="G382" t="s">
        <v>464</v>
      </c>
      <c r="H382" t="s">
        <v>1486</v>
      </c>
      <c r="I382">
        <v>1</v>
      </c>
      <c r="J382">
        <v>64</v>
      </c>
      <c r="K382">
        <v>42</v>
      </c>
      <c r="L382">
        <v>21</v>
      </c>
      <c r="M382" t="s">
        <v>49</v>
      </c>
      <c r="N382" t="s">
        <v>24</v>
      </c>
      <c r="O382" t="b">
        <v>1</v>
      </c>
      <c r="AA382" t="e">
        <f>Table1[[#This Row],[qPer board]]*Table1[[#This Row],[boards]]</f>
        <v>#REF!</v>
      </c>
      <c r="AB382" t="e">
        <f>VLOOKUP(Table1[[#This Row],[MA_Number]],#REF!, 2,FALSE)</f>
        <v>#REF!</v>
      </c>
      <c r="AD382" t="e">
        <f>VLOOKUP(Table1[[#This Row],[Product_Name]],'c174_calc'!$A$2:$C$153, 1, FALSE)</f>
        <v>#N/A</v>
      </c>
      <c r="AE382" t="e">
        <f>VLOOKUP(Table1[[#This Row],[Product_Name]],'c174_calc'!$A$2:$C$153, 2, FALSE)</f>
        <v>#N/A</v>
      </c>
      <c r="AF382" t="e">
        <f>VLOOKUP(Table1[[#This Row],[Product_Name]],'c174_calc'!$A$2:$C$153, 3, FALSE)</f>
        <v>#N/A</v>
      </c>
      <c r="AG382" t="e">
        <f>Table1[[#This Row],[vma]]=Table1[[#This Row],[MA_Number]]</f>
        <v>#N/A</v>
      </c>
    </row>
    <row r="383" spans="1:33" hidden="1" x14ac:dyDescent="0.3">
      <c r="A383" t="s">
        <v>466</v>
      </c>
      <c r="B383" s="1" t="s">
        <v>1052</v>
      </c>
      <c r="C383" s="1"/>
      <c r="D383" t="s">
        <v>279</v>
      </c>
      <c r="E383" t="s">
        <v>1487</v>
      </c>
      <c r="F383" t="b">
        <v>1</v>
      </c>
      <c r="I383">
        <v>1</v>
      </c>
      <c r="J383" t="s">
        <v>670</v>
      </c>
      <c r="K383" t="s">
        <v>670</v>
      </c>
      <c r="L383" t="s">
        <v>670</v>
      </c>
      <c r="O383" t="b">
        <v>1</v>
      </c>
      <c r="AA383">
        <v>1</v>
      </c>
      <c r="AB383">
        <v>1</v>
      </c>
      <c r="AD383" t="e">
        <f>VLOOKUP(Table1[[#This Row],[Product_Name]],'c174_calc'!$A$2:$C$153, 1, FALSE)</f>
        <v>#N/A</v>
      </c>
      <c r="AE383" t="e">
        <f>VLOOKUP(Table1[[#This Row],[Product_Name]],'c174_calc'!$A$2:$C$153, 2, FALSE)</f>
        <v>#N/A</v>
      </c>
      <c r="AF383" t="e">
        <f>VLOOKUP(Table1[[#This Row],[Product_Name]],'c174_calc'!$A$2:$C$153, 3, FALSE)</f>
        <v>#N/A</v>
      </c>
      <c r="AG383" t="e">
        <f>Table1[[#This Row],[vma]]=Table1[[#This Row],[MA_Number]]</f>
        <v>#N/A</v>
      </c>
    </row>
    <row r="384" spans="1:33" hidden="1" x14ac:dyDescent="0.3">
      <c r="B384" s="1" t="s">
        <v>1052</v>
      </c>
      <c r="C384" s="1"/>
      <c r="E384" t="s">
        <v>1488</v>
      </c>
      <c r="G384" t="s">
        <v>466</v>
      </c>
      <c r="H384" t="s">
        <v>1489</v>
      </c>
      <c r="I384">
        <v>1</v>
      </c>
      <c r="J384">
        <v>65</v>
      </c>
      <c r="K384">
        <v>39</v>
      </c>
      <c r="L384">
        <v>60</v>
      </c>
      <c r="M384" t="s">
        <v>49</v>
      </c>
      <c r="N384" t="s">
        <v>24</v>
      </c>
      <c r="O384" t="b">
        <v>1</v>
      </c>
      <c r="AA384">
        <v>1</v>
      </c>
      <c r="AB384">
        <v>1</v>
      </c>
      <c r="AD384" t="e">
        <f>VLOOKUP(Table1[[#This Row],[Product_Name]],'c174_calc'!$A$2:$C$153, 1, FALSE)</f>
        <v>#N/A</v>
      </c>
      <c r="AE384" t="e">
        <f>VLOOKUP(Table1[[#This Row],[Product_Name]],'c174_calc'!$A$2:$C$153, 2, FALSE)</f>
        <v>#N/A</v>
      </c>
      <c r="AF384" t="e">
        <f>VLOOKUP(Table1[[#This Row],[Product_Name]],'c174_calc'!$A$2:$C$153, 3, FALSE)</f>
        <v>#N/A</v>
      </c>
      <c r="AG384" t="e">
        <f>Table1[[#This Row],[vma]]=Table1[[#This Row],[MA_Number]]</f>
        <v>#N/A</v>
      </c>
    </row>
    <row r="385" spans="1:33" hidden="1" x14ac:dyDescent="0.3">
      <c r="B385" s="1" t="s">
        <v>1052</v>
      </c>
      <c r="C385" s="1"/>
      <c r="E385" t="s">
        <v>1490</v>
      </c>
      <c r="G385" t="s">
        <v>466</v>
      </c>
      <c r="H385" t="s">
        <v>1491</v>
      </c>
      <c r="I385">
        <v>1</v>
      </c>
      <c r="J385">
        <v>65</v>
      </c>
      <c r="K385">
        <v>39</v>
      </c>
      <c r="L385">
        <v>30</v>
      </c>
      <c r="M385" t="s">
        <v>49</v>
      </c>
      <c r="N385" t="s">
        <v>24</v>
      </c>
      <c r="O385" t="b">
        <v>1</v>
      </c>
      <c r="AA385">
        <v>1</v>
      </c>
      <c r="AB385">
        <v>1</v>
      </c>
      <c r="AD385" t="e">
        <f>VLOOKUP(Table1[[#This Row],[Product_Name]],'c174_calc'!$A$2:$C$153, 1, FALSE)</f>
        <v>#N/A</v>
      </c>
      <c r="AE385" t="e">
        <f>VLOOKUP(Table1[[#This Row],[Product_Name]],'c174_calc'!$A$2:$C$153, 2, FALSE)</f>
        <v>#N/A</v>
      </c>
      <c r="AF385" t="e">
        <f>VLOOKUP(Table1[[#This Row],[Product_Name]],'c174_calc'!$A$2:$C$153, 3, FALSE)</f>
        <v>#N/A</v>
      </c>
      <c r="AG385" t="e">
        <f>Table1[[#This Row],[vma]]=Table1[[#This Row],[MA_Number]]</f>
        <v>#N/A</v>
      </c>
    </row>
    <row r="386" spans="1:33" hidden="1" x14ac:dyDescent="0.3">
      <c r="B386" s="1" t="s">
        <v>1052</v>
      </c>
      <c r="C386" s="1"/>
      <c r="E386" t="s">
        <v>1492</v>
      </c>
      <c r="G386" t="s">
        <v>466</v>
      </c>
      <c r="H386" t="s">
        <v>1493</v>
      </c>
      <c r="I386">
        <v>1</v>
      </c>
      <c r="J386">
        <v>65</v>
      </c>
      <c r="K386">
        <v>39</v>
      </c>
      <c r="L386">
        <v>21</v>
      </c>
      <c r="M386" t="s">
        <v>49</v>
      </c>
      <c r="N386" t="s">
        <v>24</v>
      </c>
      <c r="O386" t="b">
        <v>1</v>
      </c>
      <c r="AA386">
        <v>1</v>
      </c>
      <c r="AB386">
        <v>1</v>
      </c>
      <c r="AD386" t="e">
        <f>VLOOKUP(Table1[[#This Row],[Product_Name]],'c174_calc'!$A$2:$C$153, 1, FALSE)</f>
        <v>#N/A</v>
      </c>
      <c r="AE386" t="e">
        <f>VLOOKUP(Table1[[#This Row],[Product_Name]],'c174_calc'!$A$2:$C$153, 2, FALSE)</f>
        <v>#N/A</v>
      </c>
      <c r="AF386" t="e">
        <f>VLOOKUP(Table1[[#This Row],[Product_Name]],'c174_calc'!$A$2:$C$153, 3, FALSE)</f>
        <v>#N/A</v>
      </c>
      <c r="AG386" t="e">
        <f>Table1[[#This Row],[vma]]=Table1[[#This Row],[MA_Number]]</f>
        <v>#N/A</v>
      </c>
    </row>
    <row r="387" spans="1:33" hidden="1" x14ac:dyDescent="0.3">
      <c r="A387" t="s">
        <v>2110</v>
      </c>
      <c r="B387" s="1" t="s">
        <v>1052</v>
      </c>
      <c r="C387" s="1"/>
      <c r="E387" t="s">
        <v>1448</v>
      </c>
      <c r="G387" t="s">
        <v>466</v>
      </c>
      <c r="H387" t="s">
        <v>1494</v>
      </c>
      <c r="I387">
        <v>1</v>
      </c>
      <c r="J387">
        <v>34</v>
      </c>
      <c r="K387">
        <v>21</v>
      </c>
      <c r="L387">
        <v>25</v>
      </c>
      <c r="M387" t="s">
        <v>49</v>
      </c>
      <c r="N387" t="s">
        <v>24</v>
      </c>
      <c r="O387" t="b">
        <v>1</v>
      </c>
      <c r="AA387">
        <v>1</v>
      </c>
      <c r="AB387">
        <v>1</v>
      </c>
      <c r="AD387" t="e">
        <f>VLOOKUP(Table1[[#This Row],[Product_Name]],'c174_calc'!$A$2:$C$153, 1, FALSE)</f>
        <v>#N/A</v>
      </c>
      <c r="AE387" t="e">
        <f>VLOOKUP(Table1[[#This Row],[Product_Name]],'c174_calc'!$A$2:$C$153, 2, FALSE)</f>
        <v>#N/A</v>
      </c>
      <c r="AF387" t="e">
        <f>VLOOKUP(Table1[[#This Row],[Product_Name]],'c174_calc'!$A$2:$C$153, 3, FALSE)</f>
        <v>#N/A</v>
      </c>
      <c r="AG387" t="e">
        <f>Table1[[#This Row],[vma]]=Table1[[#This Row],[MA_Number]]</f>
        <v>#N/A</v>
      </c>
    </row>
    <row r="388" spans="1:33" hidden="1" x14ac:dyDescent="0.3">
      <c r="A388" t="s">
        <v>468</v>
      </c>
      <c r="B388" s="1" t="s">
        <v>1495</v>
      </c>
      <c r="C388" s="1"/>
      <c r="D388" t="s">
        <v>279</v>
      </c>
      <c r="E388" t="s">
        <v>1496</v>
      </c>
      <c r="F388" t="b">
        <v>1</v>
      </c>
      <c r="I388">
        <v>1</v>
      </c>
      <c r="J388" t="s">
        <v>670</v>
      </c>
      <c r="K388" t="s">
        <v>670</v>
      </c>
      <c r="L388" t="s">
        <v>670</v>
      </c>
      <c r="O388" t="b">
        <v>1</v>
      </c>
      <c r="AA388" t="e">
        <f>Table1[[#This Row],[qPer board]]*Table1[[#This Row],[boards]]</f>
        <v>#REF!</v>
      </c>
      <c r="AB388" t="e">
        <f>VLOOKUP(Table1[[#This Row],[MA_Number]],#REF!, 2,FALSE)</f>
        <v>#REF!</v>
      </c>
      <c r="AD388" t="e">
        <f>VLOOKUP(Table1[[#This Row],[Product_Name]],'c174_calc'!$A$2:$C$153, 1, FALSE)</f>
        <v>#N/A</v>
      </c>
      <c r="AE388" t="e">
        <f>VLOOKUP(Table1[[#This Row],[Product_Name]],'c174_calc'!$A$2:$C$153, 2, FALSE)</f>
        <v>#N/A</v>
      </c>
      <c r="AF388" t="e">
        <f>VLOOKUP(Table1[[#This Row],[Product_Name]],'c174_calc'!$A$2:$C$153, 3, FALSE)</f>
        <v>#N/A</v>
      </c>
      <c r="AG388" t="e">
        <f>Table1[[#This Row],[vma]]=Table1[[#This Row],[MA_Number]]</f>
        <v>#N/A</v>
      </c>
    </row>
    <row r="389" spans="1:33" hidden="1" x14ac:dyDescent="0.3">
      <c r="B389" s="1" t="s">
        <v>1495</v>
      </c>
      <c r="C389" s="1"/>
      <c r="E389" t="s">
        <v>1497</v>
      </c>
      <c r="G389" t="s">
        <v>468</v>
      </c>
      <c r="H389" t="s">
        <v>1498</v>
      </c>
      <c r="I389">
        <v>1</v>
      </c>
      <c r="J389">
        <v>64</v>
      </c>
      <c r="K389">
        <v>48</v>
      </c>
      <c r="L389">
        <v>52</v>
      </c>
      <c r="M389" t="s">
        <v>49</v>
      </c>
      <c r="N389" t="s">
        <v>24</v>
      </c>
      <c r="O389" t="b">
        <v>1</v>
      </c>
      <c r="AA389" t="e">
        <f>Table1[[#This Row],[qPer board]]*Table1[[#This Row],[boards]]</f>
        <v>#REF!</v>
      </c>
      <c r="AB389" t="e">
        <f>VLOOKUP(Table1[[#This Row],[MA_Number]],#REF!, 2,FALSE)</f>
        <v>#REF!</v>
      </c>
      <c r="AD389" t="e">
        <f>VLOOKUP(Table1[[#This Row],[Product_Name]],'c174_calc'!$A$2:$C$153, 1, FALSE)</f>
        <v>#N/A</v>
      </c>
      <c r="AE389" t="e">
        <f>VLOOKUP(Table1[[#This Row],[Product_Name]],'c174_calc'!$A$2:$C$153, 2, FALSE)</f>
        <v>#N/A</v>
      </c>
      <c r="AF389" t="e">
        <f>VLOOKUP(Table1[[#This Row],[Product_Name]],'c174_calc'!$A$2:$C$153, 3, FALSE)</f>
        <v>#N/A</v>
      </c>
      <c r="AG389" t="e">
        <f>Table1[[#This Row],[vma]]=Table1[[#This Row],[MA_Number]]</f>
        <v>#N/A</v>
      </c>
    </row>
    <row r="390" spans="1:33" hidden="1" x14ac:dyDescent="0.3">
      <c r="B390" s="1" t="s">
        <v>1495</v>
      </c>
      <c r="C390" s="1"/>
      <c r="E390" t="s">
        <v>1499</v>
      </c>
      <c r="G390" t="s">
        <v>468</v>
      </c>
      <c r="H390" t="s">
        <v>1500</v>
      </c>
      <c r="I390">
        <v>1</v>
      </c>
      <c r="J390">
        <v>64</v>
      </c>
      <c r="K390">
        <v>48</v>
      </c>
      <c r="L390">
        <v>30</v>
      </c>
      <c r="M390" t="s">
        <v>49</v>
      </c>
      <c r="N390" t="s">
        <v>24</v>
      </c>
      <c r="O390" t="b">
        <v>1</v>
      </c>
      <c r="AA390" t="e">
        <f>Table1[[#This Row],[qPer board]]*Table1[[#This Row],[boards]]</f>
        <v>#REF!</v>
      </c>
      <c r="AB390" t="e">
        <f>VLOOKUP(Table1[[#This Row],[MA_Number]],#REF!, 2,FALSE)</f>
        <v>#REF!</v>
      </c>
      <c r="AD390" t="e">
        <f>VLOOKUP(Table1[[#This Row],[Product_Name]],'c174_calc'!$A$2:$C$153, 1, FALSE)</f>
        <v>#N/A</v>
      </c>
      <c r="AE390" t="e">
        <f>VLOOKUP(Table1[[#This Row],[Product_Name]],'c174_calc'!$A$2:$C$153, 2, FALSE)</f>
        <v>#N/A</v>
      </c>
      <c r="AF390" t="e">
        <f>VLOOKUP(Table1[[#This Row],[Product_Name]],'c174_calc'!$A$2:$C$153, 3, FALSE)</f>
        <v>#N/A</v>
      </c>
      <c r="AG390" t="e">
        <f>Table1[[#This Row],[vma]]=Table1[[#This Row],[MA_Number]]</f>
        <v>#N/A</v>
      </c>
    </row>
    <row r="391" spans="1:33" hidden="1" x14ac:dyDescent="0.3">
      <c r="B391" s="1" t="s">
        <v>1495</v>
      </c>
      <c r="C391" s="1"/>
      <c r="E391" t="s">
        <v>1501</v>
      </c>
      <c r="G391" t="s">
        <v>468</v>
      </c>
      <c r="H391" t="s">
        <v>1502</v>
      </c>
      <c r="I391">
        <v>1</v>
      </c>
      <c r="J391">
        <v>64</v>
      </c>
      <c r="K391">
        <v>48</v>
      </c>
      <c r="L391">
        <v>20</v>
      </c>
      <c r="M391" t="s">
        <v>49</v>
      </c>
      <c r="N391" t="s">
        <v>24</v>
      </c>
      <c r="O391" t="b">
        <v>1</v>
      </c>
      <c r="AA391" t="e">
        <f>Table1[[#This Row],[qPer board]]*Table1[[#This Row],[boards]]</f>
        <v>#REF!</v>
      </c>
      <c r="AB391" t="e">
        <f>VLOOKUP(Table1[[#This Row],[MA_Number]],#REF!, 2,FALSE)</f>
        <v>#REF!</v>
      </c>
      <c r="AD391" t="e">
        <f>VLOOKUP(Table1[[#This Row],[Product_Name]],'c174_calc'!$A$2:$C$153, 1, FALSE)</f>
        <v>#N/A</v>
      </c>
      <c r="AE391" t="e">
        <f>VLOOKUP(Table1[[#This Row],[Product_Name]],'c174_calc'!$A$2:$C$153, 2, FALSE)</f>
        <v>#N/A</v>
      </c>
      <c r="AF391" t="e">
        <f>VLOOKUP(Table1[[#This Row],[Product_Name]],'c174_calc'!$A$2:$C$153, 3, FALSE)</f>
        <v>#N/A</v>
      </c>
      <c r="AG391" t="e">
        <f>Table1[[#This Row],[vma]]=Table1[[#This Row],[MA_Number]]</f>
        <v>#N/A</v>
      </c>
    </row>
    <row r="392" spans="1:33" hidden="1" x14ac:dyDescent="0.3">
      <c r="A392" t="s">
        <v>1693</v>
      </c>
      <c r="B392" s="1">
        <v>7235053630</v>
      </c>
      <c r="C392" s="1"/>
      <c r="D392" t="s">
        <v>279</v>
      </c>
      <c r="E392" t="s">
        <v>1874</v>
      </c>
      <c r="F392" t="b">
        <v>1</v>
      </c>
      <c r="I392">
        <v>1</v>
      </c>
      <c r="J392" t="s">
        <v>670</v>
      </c>
      <c r="K392" t="s">
        <v>670</v>
      </c>
      <c r="L392" t="s">
        <v>670</v>
      </c>
      <c r="O392" t="b">
        <v>1</v>
      </c>
      <c r="AA392">
        <f>Table1[[#This Row],[qPer board]]*Table1[[#This Row],[boards]]</f>
        <v>0</v>
      </c>
      <c r="AB392">
        <v>1</v>
      </c>
      <c r="AD392" t="e">
        <f>VLOOKUP(Table1[[#This Row],[Product_Name]],'c174_calc'!$A$2:$C$153, 1, FALSE)</f>
        <v>#N/A</v>
      </c>
      <c r="AE392" t="e">
        <f>VLOOKUP(Table1[[#This Row],[Product_Name]],'c174_calc'!$A$2:$C$153, 2, FALSE)</f>
        <v>#N/A</v>
      </c>
      <c r="AF392" t="e">
        <f>VLOOKUP(Table1[[#This Row],[Product_Name]],'c174_calc'!$A$2:$C$153, 3, FALSE)</f>
        <v>#N/A</v>
      </c>
      <c r="AG392" t="e">
        <f>Table1[[#This Row],[vma]]=Table1[[#This Row],[MA_Number]]</f>
        <v>#N/A</v>
      </c>
    </row>
    <row r="393" spans="1:33" hidden="1" x14ac:dyDescent="0.3">
      <c r="B393" s="1">
        <v>7235053630</v>
      </c>
      <c r="C393" s="1"/>
      <c r="G393" t="s">
        <v>1693</v>
      </c>
      <c r="H393" t="s">
        <v>1694</v>
      </c>
      <c r="I393">
        <v>1</v>
      </c>
      <c r="J393">
        <v>101</v>
      </c>
      <c r="K393">
        <v>73</v>
      </c>
      <c r="L393">
        <v>95</v>
      </c>
      <c r="M393" t="s">
        <v>49</v>
      </c>
      <c r="N393" t="s">
        <v>24</v>
      </c>
      <c r="P393" t="b">
        <v>1</v>
      </c>
      <c r="AA393">
        <f>Table1[[#This Row],[qPer board]]*Table1[[#This Row],[boards]]</f>
        <v>0</v>
      </c>
      <c r="AB393">
        <v>1</v>
      </c>
      <c r="AD393" t="e">
        <f>VLOOKUP(Table1[[#This Row],[Product_Name]],'c174_calc'!$A$2:$C$153, 1, FALSE)</f>
        <v>#N/A</v>
      </c>
      <c r="AE393" t="e">
        <f>VLOOKUP(Table1[[#This Row],[Product_Name]],'c174_calc'!$A$2:$C$153, 2, FALSE)</f>
        <v>#N/A</v>
      </c>
      <c r="AF393" t="e">
        <f>VLOOKUP(Table1[[#This Row],[Product_Name]],'c174_calc'!$A$2:$C$153, 3, FALSE)</f>
        <v>#N/A</v>
      </c>
      <c r="AG393" t="e">
        <f>Table1[[#This Row],[vma]]=Table1[[#This Row],[MA_Number]]</f>
        <v>#N/A</v>
      </c>
    </row>
    <row r="394" spans="1:33" hidden="1" x14ac:dyDescent="0.3">
      <c r="B394" s="1">
        <v>7235053630</v>
      </c>
      <c r="C394" s="1"/>
      <c r="G394" t="s">
        <v>1693</v>
      </c>
      <c r="H394" t="s">
        <v>1695</v>
      </c>
      <c r="I394">
        <v>1</v>
      </c>
      <c r="J394">
        <v>99</v>
      </c>
      <c r="K394">
        <v>34</v>
      </c>
      <c r="L394">
        <v>40</v>
      </c>
      <c r="M394" t="s">
        <v>49</v>
      </c>
      <c r="N394" t="s">
        <v>24</v>
      </c>
      <c r="O394" t="b">
        <v>1</v>
      </c>
      <c r="AA394">
        <f>Table1[[#This Row],[qPer board]]*Table1[[#This Row],[boards]]</f>
        <v>0</v>
      </c>
      <c r="AB394">
        <v>1</v>
      </c>
      <c r="AD394" t="e">
        <f>VLOOKUP(Table1[[#This Row],[Product_Name]],'c174_calc'!$A$2:$C$153, 1, FALSE)</f>
        <v>#N/A</v>
      </c>
      <c r="AE394" t="e">
        <f>VLOOKUP(Table1[[#This Row],[Product_Name]],'c174_calc'!$A$2:$C$153, 2, FALSE)</f>
        <v>#N/A</v>
      </c>
      <c r="AF394" t="e">
        <f>VLOOKUP(Table1[[#This Row],[Product_Name]],'c174_calc'!$A$2:$C$153, 3, FALSE)</f>
        <v>#N/A</v>
      </c>
      <c r="AG394" t="e">
        <f>Table1[[#This Row],[vma]]=Table1[[#This Row],[MA_Number]]</f>
        <v>#N/A</v>
      </c>
    </row>
    <row r="395" spans="1:33" hidden="1" x14ac:dyDescent="0.3">
      <c r="B395" s="1">
        <v>7235053630</v>
      </c>
      <c r="C395" s="1"/>
      <c r="G395" t="s">
        <v>1693</v>
      </c>
      <c r="H395" t="s">
        <v>1869</v>
      </c>
      <c r="I395">
        <v>1</v>
      </c>
      <c r="J395">
        <v>34</v>
      </c>
      <c r="K395">
        <v>22</v>
      </c>
      <c r="L395">
        <v>25</v>
      </c>
      <c r="N395" t="s">
        <v>40</v>
      </c>
      <c r="O395" t="b">
        <v>1</v>
      </c>
      <c r="AA395">
        <f>Table1[[#This Row],[qPer board]]*Table1[[#This Row],[boards]]</f>
        <v>0</v>
      </c>
      <c r="AB395">
        <v>1</v>
      </c>
      <c r="AD395" t="e">
        <f>VLOOKUP(Table1[[#This Row],[Product_Name]],'c174_calc'!$A$2:$C$153, 1, FALSE)</f>
        <v>#N/A</v>
      </c>
      <c r="AE395" t="e">
        <f>VLOOKUP(Table1[[#This Row],[Product_Name]],'c174_calc'!$A$2:$C$153, 2, FALSE)</f>
        <v>#N/A</v>
      </c>
      <c r="AF395" t="e">
        <f>VLOOKUP(Table1[[#This Row],[Product_Name]],'c174_calc'!$A$2:$C$153, 3, FALSE)</f>
        <v>#N/A</v>
      </c>
      <c r="AG395" t="e">
        <f>Table1[[#This Row],[vma]]=Table1[[#This Row],[MA_Number]]</f>
        <v>#N/A</v>
      </c>
    </row>
    <row r="396" spans="1:33" hidden="1" x14ac:dyDescent="0.3">
      <c r="A396" t="s">
        <v>1870</v>
      </c>
      <c r="B396" s="1">
        <v>7235053630</v>
      </c>
      <c r="C396" s="1"/>
      <c r="D396" t="s">
        <v>279</v>
      </c>
      <c r="E396" t="s">
        <v>1874</v>
      </c>
      <c r="F396" t="b">
        <v>1</v>
      </c>
      <c r="I396">
        <v>1</v>
      </c>
      <c r="J396" t="s">
        <v>670</v>
      </c>
      <c r="K396" t="s">
        <v>670</v>
      </c>
      <c r="L396" t="s">
        <v>670</v>
      </c>
      <c r="O396" t="b">
        <v>1</v>
      </c>
      <c r="AA396">
        <f>Table1[[#This Row],[qPer board]]*Table1[[#This Row],[boards]]</f>
        <v>0</v>
      </c>
      <c r="AB396">
        <v>1</v>
      </c>
      <c r="AD396" t="e">
        <f>VLOOKUP(Table1[[#This Row],[Product_Name]],'c174_calc'!$A$2:$C$153, 1, FALSE)</f>
        <v>#N/A</v>
      </c>
      <c r="AE396" t="e">
        <f>VLOOKUP(Table1[[#This Row],[Product_Name]],'c174_calc'!$A$2:$C$153, 2, FALSE)</f>
        <v>#N/A</v>
      </c>
      <c r="AF396" t="e">
        <f>VLOOKUP(Table1[[#This Row],[Product_Name]],'c174_calc'!$A$2:$C$153, 3, FALSE)</f>
        <v>#N/A</v>
      </c>
      <c r="AG396" t="e">
        <f>Table1[[#This Row],[vma]]=Table1[[#This Row],[MA_Number]]</f>
        <v>#N/A</v>
      </c>
    </row>
    <row r="397" spans="1:33" hidden="1" x14ac:dyDescent="0.3">
      <c r="B397" s="1">
        <v>7235053630</v>
      </c>
      <c r="C397" s="1"/>
      <c r="G397" t="s">
        <v>1870</v>
      </c>
      <c r="H397" t="s">
        <v>1871</v>
      </c>
      <c r="I397">
        <v>1</v>
      </c>
      <c r="J397">
        <v>102</v>
      </c>
      <c r="K397">
        <v>75</v>
      </c>
      <c r="L397">
        <v>93</v>
      </c>
      <c r="M397" t="s">
        <v>49</v>
      </c>
      <c r="N397" t="s">
        <v>24</v>
      </c>
      <c r="O397" t="b">
        <v>1</v>
      </c>
      <c r="AA397">
        <f>Table1[[#This Row],[qPer board]]*Table1[[#This Row],[boards]]</f>
        <v>0</v>
      </c>
      <c r="AB397">
        <v>1</v>
      </c>
      <c r="AD397" t="e">
        <f>VLOOKUP(Table1[[#This Row],[Product_Name]],'c174_calc'!$A$2:$C$153, 1, FALSE)</f>
        <v>#N/A</v>
      </c>
      <c r="AE397" t="e">
        <f>VLOOKUP(Table1[[#This Row],[Product_Name]],'c174_calc'!$A$2:$C$153, 2, FALSE)</f>
        <v>#N/A</v>
      </c>
      <c r="AF397" t="e">
        <f>VLOOKUP(Table1[[#This Row],[Product_Name]],'c174_calc'!$A$2:$C$153, 3, FALSE)</f>
        <v>#N/A</v>
      </c>
      <c r="AG397" t="e">
        <f>Table1[[#This Row],[vma]]=Table1[[#This Row],[MA_Number]]</f>
        <v>#N/A</v>
      </c>
    </row>
    <row r="398" spans="1:33" hidden="1" x14ac:dyDescent="0.3">
      <c r="B398" s="1">
        <v>7235053630</v>
      </c>
      <c r="C398" s="1"/>
      <c r="G398" t="s">
        <v>1870</v>
      </c>
      <c r="H398" t="s">
        <v>1872</v>
      </c>
      <c r="I398">
        <v>1</v>
      </c>
      <c r="J398">
        <v>83</v>
      </c>
      <c r="K398">
        <v>30</v>
      </c>
      <c r="L398">
        <v>42</v>
      </c>
      <c r="M398" t="s">
        <v>49</v>
      </c>
      <c r="N398" t="s">
        <v>24</v>
      </c>
      <c r="O398" t="b">
        <v>1</v>
      </c>
      <c r="AA398">
        <f>Table1[[#This Row],[qPer board]]*Table1[[#This Row],[boards]]</f>
        <v>0</v>
      </c>
      <c r="AB398">
        <v>1</v>
      </c>
      <c r="AD398" t="e">
        <f>VLOOKUP(Table1[[#This Row],[Product_Name]],'c174_calc'!$A$2:$C$153, 1, FALSE)</f>
        <v>#N/A</v>
      </c>
      <c r="AE398" t="e">
        <f>VLOOKUP(Table1[[#This Row],[Product_Name]],'c174_calc'!$A$2:$C$153, 2, FALSE)</f>
        <v>#N/A</v>
      </c>
      <c r="AF398" t="e">
        <f>VLOOKUP(Table1[[#This Row],[Product_Name]],'c174_calc'!$A$2:$C$153, 3, FALSE)</f>
        <v>#N/A</v>
      </c>
      <c r="AG398" t="e">
        <f>Table1[[#This Row],[vma]]=Table1[[#This Row],[MA_Number]]</f>
        <v>#N/A</v>
      </c>
    </row>
    <row r="399" spans="1:33" hidden="1" x14ac:dyDescent="0.3">
      <c r="B399" s="1">
        <v>7235053630</v>
      </c>
      <c r="C399" s="1"/>
      <c r="G399" t="s">
        <v>1870</v>
      </c>
      <c r="H399" t="s">
        <v>1873</v>
      </c>
      <c r="I399">
        <v>1</v>
      </c>
      <c r="J399">
        <v>25</v>
      </c>
      <c r="K399">
        <v>20</v>
      </c>
      <c r="L399">
        <v>36</v>
      </c>
      <c r="N399" t="s">
        <v>40</v>
      </c>
      <c r="O399" t="b">
        <v>1</v>
      </c>
      <c r="AA399">
        <f>Table1[[#This Row],[qPer board]]*Table1[[#This Row],[boards]]</f>
        <v>0</v>
      </c>
      <c r="AB399">
        <v>1</v>
      </c>
      <c r="AD399" t="e">
        <f>VLOOKUP(Table1[[#This Row],[Product_Name]],'c174_calc'!$A$2:$C$153, 1, FALSE)</f>
        <v>#N/A</v>
      </c>
      <c r="AE399" t="e">
        <f>VLOOKUP(Table1[[#This Row],[Product_Name]],'c174_calc'!$A$2:$C$153, 2, FALSE)</f>
        <v>#N/A</v>
      </c>
      <c r="AF399" t="e">
        <f>VLOOKUP(Table1[[#This Row],[Product_Name]],'c174_calc'!$A$2:$C$153, 3, FALSE)</f>
        <v>#N/A</v>
      </c>
      <c r="AG399" t="e">
        <f>Table1[[#This Row],[vma]]=Table1[[#This Row],[MA_Number]]</f>
        <v>#N/A</v>
      </c>
    </row>
    <row r="400" spans="1:33" hidden="1" x14ac:dyDescent="0.3">
      <c r="A400" t="s">
        <v>1009</v>
      </c>
      <c r="B400" s="1">
        <v>7247374530</v>
      </c>
      <c r="C400" s="1"/>
      <c r="D400" t="s">
        <v>1186</v>
      </c>
      <c r="E400" t="s">
        <v>1199</v>
      </c>
      <c r="F400" t="b">
        <v>1</v>
      </c>
      <c r="I400">
        <v>1</v>
      </c>
      <c r="J400" t="s">
        <v>670</v>
      </c>
      <c r="K400" t="s">
        <v>670</v>
      </c>
      <c r="L400" t="s">
        <v>670</v>
      </c>
      <c r="AA400" t="e">
        <f>Table1[[#This Row],[qPer board]]*Table1[[#This Row],[boards]]</f>
        <v>#REF!</v>
      </c>
      <c r="AB400" t="e">
        <f>VLOOKUP(Table1[[#This Row],[MA_Number]],#REF!, 2,FALSE)</f>
        <v>#REF!</v>
      </c>
      <c r="AD400" t="e">
        <f>VLOOKUP(Table1[[#This Row],[Product_Name]],'c174_calc'!$A$2:$C$153, 1, FALSE)</f>
        <v>#N/A</v>
      </c>
      <c r="AE400" t="e">
        <f>VLOOKUP(Table1[[#This Row],[Product_Name]],'c174_calc'!$A$2:$C$153, 2, FALSE)</f>
        <v>#N/A</v>
      </c>
      <c r="AF400" t="e">
        <f>VLOOKUP(Table1[[#This Row],[Product_Name]],'c174_calc'!$A$2:$C$153, 3, FALSE)</f>
        <v>#N/A</v>
      </c>
      <c r="AG400" t="e">
        <f>Table1[[#This Row],[vma]]=Table1[[#This Row],[MA_Number]]</f>
        <v>#N/A</v>
      </c>
    </row>
    <row r="401" spans="1:33" hidden="1" x14ac:dyDescent="0.3">
      <c r="B401" s="1">
        <v>7247374530</v>
      </c>
      <c r="C401" s="1"/>
      <c r="G401" t="s">
        <v>1009</v>
      </c>
      <c r="H401" t="s">
        <v>1503</v>
      </c>
      <c r="I401">
        <v>1</v>
      </c>
      <c r="AA401" t="e">
        <f>Table1[[#This Row],[qPer board]]*Table1[[#This Row],[boards]]</f>
        <v>#REF!</v>
      </c>
      <c r="AB401" t="e">
        <f>VLOOKUP(Table1[[#This Row],[MA_Number]],#REF!, 2,FALSE)</f>
        <v>#REF!</v>
      </c>
      <c r="AD401" t="e">
        <f>VLOOKUP(Table1[[#This Row],[Product_Name]],'c174_calc'!$A$2:$C$153, 1, FALSE)</f>
        <v>#N/A</v>
      </c>
      <c r="AE401" t="e">
        <f>VLOOKUP(Table1[[#This Row],[Product_Name]],'c174_calc'!$A$2:$C$153, 2, FALSE)</f>
        <v>#N/A</v>
      </c>
      <c r="AF401" t="e">
        <f>VLOOKUP(Table1[[#This Row],[Product_Name]],'c174_calc'!$A$2:$C$153, 3, FALSE)</f>
        <v>#N/A</v>
      </c>
      <c r="AG401" t="e">
        <f>Table1[[#This Row],[vma]]=Table1[[#This Row],[MA_Number]]</f>
        <v>#N/A</v>
      </c>
    </row>
    <row r="402" spans="1:33" hidden="1" x14ac:dyDescent="0.3">
      <c r="A402" t="s">
        <v>1744</v>
      </c>
      <c r="B402" s="1">
        <v>7247760830</v>
      </c>
      <c r="C402" s="1"/>
      <c r="D402" t="s">
        <v>1186</v>
      </c>
      <c r="F402" t="b">
        <v>1</v>
      </c>
      <c r="I402">
        <v>1</v>
      </c>
      <c r="J402" t="s">
        <v>670</v>
      </c>
      <c r="K402" t="s">
        <v>670</v>
      </c>
      <c r="L402" t="s">
        <v>670</v>
      </c>
      <c r="O402" t="b">
        <v>1</v>
      </c>
      <c r="AA402">
        <f>Table1[[#This Row],[qPer board]]*Table1[[#This Row],[boards]]</f>
        <v>0</v>
      </c>
      <c r="AB402">
        <v>3</v>
      </c>
      <c r="AD402" t="e">
        <f>VLOOKUP(Table1[[#This Row],[Product_Name]],'c174_calc'!$A$2:$C$153, 1, FALSE)</f>
        <v>#N/A</v>
      </c>
      <c r="AE402" t="e">
        <f>VLOOKUP(Table1[[#This Row],[Product_Name]],'c174_calc'!$A$2:$C$153, 2, FALSE)</f>
        <v>#N/A</v>
      </c>
      <c r="AF402" t="e">
        <f>VLOOKUP(Table1[[#This Row],[Product_Name]],'c174_calc'!$A$2:$C$153, 3, FALSE)</f>
        <v>#N/A</v>
      </c>
      <c r="AG402" t="e">
        <f>Table1[[#This Row],[vma]]=Table1[[#This Row],[MA_Number]]</f>
        <v>#N/A</v>
      </c>
    </row>
    <row r="403" spans="1:33" hidden="1" x14ac:dyDescent="0.3">
      <c r="B403" s="1">
        <v>7247760830</v>
      </c>
      <c r="C403" s="1"/>
      <c r="E403" t="s">
        <v>1504</v>
      </c>
      <c r="G403" t="s">
        <v>1744</v>
      </c>
      <c r="H403" t="s">
        <v>1745</v>
      </c>
      <c r="I403">
        <v>1</v>
      </c>
      <c r="J403">
        <v>22</v>
      </c>
      <c r="K403">
        <v>27</v>
      </c>
      <c r="L403">
        <v>35</v>
      </c>
      <c r="N403" t="s">
        <v>40</v>
      </c>
      <c r="O403" t="b">
        <v>1</v>
      </c>
      <c r="AA403">
        <f>Table1[[#This Row],[qPer board]]*Table1[[#This Row],[boards]]</f>
        <v>0</v>
      </c>
      <c r="AB403">
        <v>3</v>
      </c>
      <c r="AD403" t="e">
        <f>VLOOKUP(Table1[[#This Row],[Product_Name]],'c174_calc'!$A$2:$C$153, 1, FALSE)</f>
        <v>#N/A</v>
      </c>
      <c r="AE403" t="e">
        <f>VLOOKUP(Table1[[#This Row],[Product_Name]],'c174_calc'!$A$2:$C$153, 2, FALSE)</f>
        <v>#N/A</v>
      </c>
      <c r="AF403" t="e">
        <f>VLOOKUP(Table1[[#This Row],[Product_Name]],'c174_calc'!$A$2:$C$153, 3, FALSE)</f>
        <v>#N/A</v>
      </c>
      <c r="AG403" t="e">
        <f>Table1[[#This Row],[vma]]=Table1[[#This Row],[MA_Number]]</f>
        <v>#N/A</v>
      </c>
    </row>
    <row r="404" spans="1:33" hidden="1" x14ac:dyDescent="0.3">
      <c r="A404" t="s">
        <v>1505</v>
      </c>
      <c r="B404" s="1">
        <v>7247760930</v>
      </c>
      <c r="C404" s="1"/>
      <c r="D404" t="s">
        <v>1186</v>
      </c>
      <c r="F404" t="b">
        <v>1</v>
      </c>
      <c r="I404">
        <v>1</v>
      </c>
      <c r="J404" t="s">
        <v>670</v>
      </c>
      <c r="K404" t="s">
        <v>670</v>
      </c>
      <c r="L404" t="s">
        <v>670</v>
      </c>
      <c r="O404" t="b">
        <v>1</v>
      </c>
      <c r="AA404">
        <f>Table1[[#This Row],[qPer board]]*Table1[[#This Row],[boards]]</f>
        <v>0</v>
      </c>
      <c r="AB404">
        <v>1</v>
      </c>
      <c r="AD404" t="e">
        <f>VLOOKUP(Table1[[#This Row],[Product_Name]],'c174_calc'!$A$2:$C$153, 1, FALSE)</f>
        <v>#N/A</v>
      </c>
      <c r="AE404" t="e">
        <f>VLOOKUP(Table1[[#This Row],[Product_Name]],'c174_calc'!$A$2:$C$153, 2, FALSE)</f>
        <v>#N/A</v>
      </c>
      <c r="AF404" t="e">
        <f>VLOOKUP(Table1[[#This Row],[Product_Name]],'c174_calc'!$A$2:$C$153, 3, FALSE)</f>
        <v>#N/A</v>
      </c>
      <c r="AG404" t="e">
        <f>Table1[[#This Row],[vma]]=Table1[[#This Row],[MA_Number]]</f>
        <v>#N/A</v>
      </c>
    </row>
    <row r="405" spans="1:33" hidden="1" x14ac:dyDescent="0.3">
      <c r="B405" s="1">
        <v>7247760930</v>
      </c>
      <c r="C405" s="1"/>
      <c r="E405" t="s">
        <v>1506</v>
      </c>
      <c r="G405" t="s">
        <v>1505</v>
      </c>
      <c r="H405" t="s">
        <v>1507</v>
      </c>
      <c r="I405">
        <v>1</v>
      </c>
      <c r="J405">
        <v>23</v>
      </c>
      <c r="K405">
        <v>24</v>
      </c>
      <c r="L405">
        <v>35</v>
      </c>
      <c r="N405" t="s">
        <v>40</v>
      </c>
      <c r="O405" t="b">
        <v>1</v>
      </c>
      <c r="AA405">
        <f>Table1[[#This Row],[qPer board]]*Table1[[#This Row],[boards]]</f>
        <v>0</v>
      </c>
      <c r="AB405">
        <v>1</v>
      </c>
      <c r="AD405" t="e">
        <f>VLOOKUP(Table1[[#This Row],[Product_Name]],'c174_calc'!$A$2:$C$153, 1, FALSE)</f>
        <v>#N/A</v>
      </c>
      <c r="AE405" t="e">
        <f>VLOOKUP(Table1[[#This Row],[Product_Name]],'c174_calc'!$A$2:$C$153, 2, FALSE)</f>
        <v>#N/A</v>
      </c>
      <c r="AF405" t="e">
        <f>VLOOKUP(Table1[[#This Row],[Product_Name]],'c174_calc'!$A$2:$C$153, 3, FALSE)</f>
        <v>#N/A</v>
      </c>
      <c r="AG405" t="e">
        <f>Table1[[#This Row],[vma]]=Table1[[#This Row],[MA_Number]]</f>
        <v>#N/A</v>
      </c>
    </row>
    <row r="406" spans="1:33" hidden="1" x14ac:dyDescent="0.3">
      <c r="A406" t="s">
        <v>470</v>
      </c>
      <c r="B406" s="1">
        <v>7247761330</v>
      </c>
      <c r="C406" s="1"/>
      <c r="D406" t="s">
        <v>1186</v>
      </c>
      <c r="F406" t="b">
        <v>1</v>
      </c>
      <c r="I406">
        <v>1</v>
      </c>
      <c r="J406" t="s">
        <v>670</v>
      </c>
      <c r="K406" t="s">
        <v>670</v>
      </c>
      <c r="L406" t="s">
        <v>670</v>
      </c>
      <c r="O406" t="b">
        <v>1</v>
      </c>
      <c r="AA406" t="e">
        <f>Table1[[#This Row],[qPer board]]*Table1[[#This Row],[boards]]</f>
        <v>#REF!</v>
      </c>
      <c r="AB406" t="e">
        <f>VLOOKUP(Table1[[#This Row],[MA_Number]],#REF!, 2,FALSE)</f>
        <v>#REF!</v>
      </c>
      <c r="AD406" t="e">
        <f>VLOOKUP(Table1[[#This Row],[Product_Name]],'c174_calc'!$A$2:$C$153, 1, FALSE)</f>
        <v>#N/A</v>
      </c>
      <c r="AE406" t="e">
        <f>VLOOKUP(Table1[[#This Row],[Product_Name]],'c174_calc'!$A$2:$C$153, 2, FALSE)</f>
        <v>#N/A</v>
      </c>
      <c r="AF406" t="e">
        <f>VLOOKUP(Table1[[#This Row],[Product_Name]],'c174_calc'!$A$2:$C$153, 3, FALSE)</f>
        <v>#N/A</v>
      </c>
      <c r="AG406" t="e">
        <f>Table1[[#This Row],[vma]]=Table1[[#This Row],[MA_Number]]</f>
        <v>#N/A</v>
      </c>
    </row>
    <row r="407" spans="1:33" hidden="1" x14ac:dyDescent="0.3">
      <c r="B407" s="1">
        <v>7247761330</v>
      </c>
      <c r="C407" s="1"/>
      <c r="E407" t="s">
        <v>1508</v>
      </c>
      <c r="G407" t="s">
        <v>470</v>
      </c>
      <c r="H407" t="s">
        <v>1509</v>
      </c>
      <c r="I407">
        <v>1</v>
      </c>
      <c r="J407">
        <v>25</v>
      </c>
      <c r="K407">
        <v>25</v>
      </c>
      <c r="L407">
        <v>35</v>
      </c>
      <c r="N407" t="s">
        <v>40</v>
      </c>
      <c r="O407" t="b">
        <v>1</v>
      </c>
      <c r="AA407" t="e">
        <f>Table1[[#This Row],[qPer board]]*Table1[[#This Row],[boards]]</f>
        <v>#REF!</v>
      </c>
      <c r="AB407" t="e">
        <f>VLOOKUP(Table1[[#This Row],[MA_Number]],#REF!, 2,FALSE)</f>
        <v>#REF!</v>
      </c>
      <c r="AD407" t="e">
        <f>VLOOKUP(Table1[[#This Row],[Product_Name]],'c174_calc'!$A$2:$C$153, 1, FALSE)</f>
        <v>#N/A</v>
      </c>
      <c r="AE407" t="e">
        <f>VLOOKUP(Table1[[#This Row],[Product_Name]],'c174_calc'!$A$2:$C$153, 2, FALSE)</f>
        <v>#N/A</v>
      </c>
      <c r="AF407" t="e">
        <f>VLOOKUP(Table1[[#This Row],[Product_Name]],'c174_calc'!$A$2:$C$153, 3, FALSE)</f>
        <v>#N/A</v>
      </c>
      <c r="AG407" t="e">
        <f>Table1[[#This Row],[vma]]=Table1[[#This Row],[MA_Number]]</f>
        <v>#N/A</v>
      </c>
    </row>
    <row r="408" spans="1:33" hidden="1" x14ac:dyDescent="0.3">
      <c r="B408" s="1">
        <v>7247761330</v>
      </c>
      <c r="C408" s="1"/>
      <c r="E408" t="s">
        <v>1510</v>
      </c>
      <c r="G408" t="s">
        <v>470</v>
      </c>
      <c r="H408" t="s">
        <v>1511</v>
      </c>
      <c r="I408">
        <v>1</v>
      </c>
      <c r="J408">
        <v>45</v>
      </c>
      <c r="K408">
        <v>25</v>
      </c>
      <c r="L408">
        <v>47</v>
      </c>
      <c r="M408" t="s">
        <v>49</v>
      </c>
      <c r="N408" t="s">
        <v>24</v>
      </c>
      <c r="O408" t="b">
        <v>1</v>
      </c>
      <c r="AA408" t="e">
        <f>Table1[[#This Row],[qPer board]]*Table1[[#This Row],[boards]]</f>
        <v>#REF!</v>
      </c>
      <c r="AB408" t="e">
        <f>VLOOKUP(Table1[[#This Row],[MA_Number]],#REF!, 2,FALSE)</f>
        <v>#REF!</v>
      </c>
      <c r="AD408" t="e">
        <f>VLOOKUP(Table1[[#This Row],[Product_Name]],'c174_calc'!$A$2:$C$153, 1, FALSE)</f>
        <v>#N/A</v>
      </c>
      <c r="AE408" t="e">
        <f>VLOOKUP(Table1[[#This Row],[Product_Name]],'c174_calc'!$A$2:$C$153, 2, FALSE)</f>
        <v>#N/A</v>
      </c>
      <c r="AF408" t="e">
        <f>VLOOKUP(Table1[[#This Row],[Product_Name]],'c174_calc'!$A$2:$C$153, 3, FALSE)</f>
        <v>#N/A</v>
      </c>
      <c r="AG408" t="e">
        <f>Table1[[#This Row],[vma]]=Table1[[#This Row],[MA_Number]]</f>
        <v>#N/A</v>
      </c>
    </row>
    <row r="409" spans="1:33" hidden="1" x14ac:dyDescent="0.3">
      <c r="B409" s="1">
        <v>7247761330</v>
      </c>
      <c r="C409" s="1"/>
      <c r="E409" t="s">
        <v>1512</v>
      </c>
      <c r="G409" t="s">
        <v>470</v>
      </c>
      <c r="H409" t="s">
        <v>1513</v>
      </c>
      <c r="I409">
        <v>1</v>
      </c>
      <c r="J409">
        <v>78</v>
      </c>
      <c r="K409">
        <v>30</v>
      </c>
      <c r="L409">
        <v>35</v>
      </c>
      <c r="M409" t="s">
        <v>49</v>
      </c>
      <c r="N409" t="s">
        <v>24</v>
      </c>
      <c r="O409" t="b">
        <v>1</v>
      </c>
      <c r="AA409" t="e">
        <f>Table1[[#This Row],[qPer board]]*Table1[[#This Row],[boards]]</f>
        <v>#REF!</v>
      </c>
      <c r="AB409" t="e">
        <f>VLOOKUP(Table1[[#This Row],[MA_Number]],#REF!, 2,FALSE)</f>
        <v>#REF!</v>
      </c>
      <c r="AD409" t="e">
        <f>VLOOKUP(Table1[[#This Row],[Product_Name]],'c174_calc'!$A$2:$C$153, 1, FALSE)</f>
        <v>#N/A</v>
      </c>
      <c r="AE409" t="e">
        <f>VLOOKUP(Table1[[#This Row],[Product_Name]],'c174_calc'!$A$2:$C$153, 2, FALSE)</f>
        <v>#N/A</v>
      </c>
      <c r="AF409" t="e">
        <f>VLOOKUP(Table1[[#This Row],[Product_Name]],'c174_calc'!$A$2:$C$153, 3, FALSE)</f>
        <v>#N/A</v>
      </c>
      <c r="AG409" t="e">
        <f>Table1[[#This Row],[vma]]=Table1[[#This Row],[MA_Number]]</f>
        <v>#N/A</v>
      </c>
    </row>
    <row r="410" spans="1:33" hidden="1" x14ac:dyDescent="0.3">
      <c r="A410" t="s">
        <v>1514</v>
      </c>
      <c r="B410" s="1">
        <v>7247764130</v>
      </c>
      <c r="C410" s="1"/>
      <c r="D410" t="s">
        <v>1186</v>
      </c>
      <c r="F410" t="b">
        <v>1</v>
      </c>
      <c r="I410">
        <v>1</v>
      </c>
      <c r="J410" t="s">
        <v>670</v>
      </c>
      <c r="K410" t="s">
        <v>670</v>
      </c>
      <c r="L410" t="s">
        <v>670</v>
      </c>
      <c r="O410" t="b">
        <v>1</v>
      </c>
      <c r="AA410">
        <f>Table1[[#This Row],[qPer board]]*Table1[[#This Row],[boards]]</f>
        <v>0</v>
      </c>
      <c r="AB410">
        <v>1</v>
      </c>
      <c r="AD410" t="e">
        <f>VLOOKUP(Table1[[#This Row],[Product_Name]],'c174_calc'!$A$2:$C$153, 1, FALSE)</f>
        <v>#N/A</v>
      </c>
      <c r="AE410" t="e">
        <f>VLOOKUP(Table1[[#This Row],[Product_Name]],'c174_calc'!$A$2:$C$153, 2, FALSE)</f>
        <v>#N/A</v>
      </c>
      <c r="AF410" t="e">
        <f>VLOOKUP(Table1[[#This Row],[Product_Name]],'c174_calc'!$A$2:$C$153, 3, FALSE)</f>
        <v>#N/A</v>
      </c>
      <c r="AG410" t="e">
        <f>Table1[[#This Row],[vma]]=Table1[[#This Row],[MA_Number]]</f>
        <v>#N/A</v>
      </c>
    </row>
    <row r="411" spans="1:33" hidden="1" x14ac:dyDescent="0.3">
      <c r="B411" s="1">
        <v>7247764130</v>
      </c>
      <c r="C411" s="1"/>
      <c r="E411" t="s">
        <v>1515</v>
      </c>
      <c r="G411" t="s">
        <v>1514</v>
      </c>
      <c r="H411" t="s">
        <v>1516</v>
      </c>
      <c r="I411">
        <v>1</v>
      </c>
      <c r="J411">
        <v>22</v>
      </c>
      <c r="K411">
        <v>25</v>
      </c>
      <c r="L411">
        <v>35</v>
      </c>
      <c r="N411" t="s">
        <v>40</v>
      </c>
      <c r="O411" t="b">
        <v>1</v>
      </c>
      <c r="AA411">
        <f>Table1[[#This Row],[qPer board]]*Table1[[#This Row],[boards]]</f>
        <v>0</v>
      </c>
      <c r="AB411">
        <v>1</v>
      </c>
      <c r="AD411" t="e">
        <f>VLOOKUP(Table1[[#This Row],[Product_Name]],'c174_calc'!$A$2:$C$153, 1, FALSE)</f>
        <v>#N/A</v>
      </c>
      <c r="AE411" t="e">
        <f>VLOOKUP(Table1[[#This Row],[Product_Name]],'c174_calc'!$A$2:$C$153, 2, FALSE)</f>
        <v>#N/A</v>
      </c>
      <c r="AF411" t="e">
        <f>VLOOKUP(Table1[[#This Row],[Product_Name]],'c174_calc'!$A$2:$C$153, 3, FALSE)</f>
        <v>#N/A</v>
      </c>
      <c r="AG411" t="e">
        <f>Table1[[#This Row],[vma]]=Table1[[#This Row],[MA_Number]]</f>
        <v>#N/A</v>
      </c>
    </row>
    <row r="412" spans="1:33" hidden="1" x14ac:dyDescent="0.3">
      <c r="A412" t="s">
        <v>1185</v>
      </c>
      <c r="B412" s="1">
        <v>7247781530</v>
      </c>
      <c r="C412" s="1"/>
      <c r="D412" t="s">
        <v>1186</v>
      </c>
      <c r="E412" t="s">
        <v>1517</v>
      </c>
      <c r="F412" t="b">
        <v>1</v>
      </c>
      <c r="I412">
        <v>1</v>
      </c>
      <c r="J412" t="s">
        <v>670</v>
      </c>
      <c r="K412" t="s">
        <v>670</v>
      </c>
      <c r="L412" t="s">
        <v>670</v>
      </c>
      <c r="O412" t="b">
        <v>1</v>
      </c>
      <c r="AA412" t="e">
        <f>Table1[[#This Row],[qPer board]]*Table1[[#This Row],[boards]]</f>
        <v>#REF!</v>
      </c>
      <c r="AB412" t="e">
        <f>VLOOKUP(Table1[[#This Row],[MA_Number]],#REF!, 2,FALSE)</f>
        <v>#REF!</v>
      </c>
      <c r="AD412" t="e">
        <f>VLOOKUP(Table1[[#This Row],[Product_Name]],'c174_calc'!$A$2:$C$153, 1, FALSE)</f>
        <v>#N/A</v>
      </c>
      <c r="AE412" t="e">
        <f>VLOOKUP(Table1[[#This Row],[Product_Name]],'c174_calc'!$A$2:$C$153, 2, FALSE)</f>
        <v>#N/A</v>
      </c>
      <c r="AF412" t="e">
        <f>VLOOKUP(Table1[[#This Row],[Product_Name]],'c174_calc'!$A$2:$C$153, 3, FALSE)</f>
        <v>#N/A</v>
      </c>
      <c r="AG412" t="e">
        <f>Table1[[#This Row],[vma]]=Table1[[#This Row],[MA_Number]]</f>
        <v>#N/A</v>
      </c>
    </row>
    <row r="413" spans="1:33" hidden="1" x14ac:dyDescent="0.3">
      <c r="B413" s="1">
        <v>7247781530</v>
      </c>
      <c r="C413" s="1"/>
      <c r="E413" t="s">
        <v>1518</v>
      </c>
      <c r="G413" t="s">
        <v>1185</v>
      </c>
      <c r="H413" t="s">
        <v>1519</v>
      </c>
      <c r="I413">
        <v>1</v>
      </c>
      <c r="J413">
        <v>33</v>
      </c>
      <c r="K413">
        <v>30</v>
      </c>
      <c r="L413">
        <v>32</v>
      </c>
      <c r="N413" t="s">
        <v>40</v>
      </c>
      <c r="O413" t="b">
        <v>1</v>
      </c>
      <c r="AA413" t="e">
        <f>Table1[[#This Row],[qPer board]]*Table1[[#This Row],[boards]]</f>
        <v>#REF!</v>
      </c>
      <c r="AB413" t="e">
        <f>VLOOKUP(Table1[[#This Row],[MA_Number]],#REF!, 2,FALSE)</f>
        <v>#REF!</v>
      </c>
      <c r="AD413" t="e">
        <f>VLOOKUP(Table1[[#This Row],[Product_Name]],'c174_calc'!$A$2:$C$153, 1, FALSE)</f>
        <v>#N/A</v>
      </c>
      <c r="AE413" t="e">
        <f>VLOOKUP(Table1[[#This Row],[Product_Name]],'c174_calc'!$A$2:$C$153, 2, FALSE)</f>
        <v>#N/A</v>
      </c>
      <c r="AF413" t="e">
        <f>VLOOKUP(Table1[[#This Row],[Product_Name]],'c174_calc'!$A$2:$C$153, 3, FALSE)</f>
        <v>#N/A</v>
      </c>
      <c r="AG413" t="e">
        <f>Table1[[#This Row],[vma]]=Table1[[#This Row],[MA_Number]]</f>
        <v>#N/A</v>
      </c>
    </row>
    <row r="414" spans="1:33" hidden="1" x14ac:dyDescent="0.3">
      <c r="B414" s="1">
        <v>7247781530</v>
      </c>
      <c r="C414" s="1"/>
      <c r="E414" t="s">
        <v>1520</v>
      </c>
      <c r="G414" t="s">
        <v>1185</v>
      </c>
      <c r="H414" t="s">
        <v>1521</v>
      </c>
      <c r="I414">
        <v>1</v>
      </c>
      <c r="J414">
        <v>52</v>
      </c>
      <c r="K414">
        <v>30</v>
      </c>
      <c r="L414">
        <v>47</v>
      </c>
      <c r="M414" t="s">
        <v>49</v>
      </c>
      <c r="N414" t="s">
        <v>24</v>
      </c>
      <c r="O414" t="b">
        <v>1</v>
      </c>
      <c r="AA414" t="e">
        <f>Table1[[#This Row],[qPer board]]*Table1[[#This Row],[boards]]</f>
        <v>#REF!</v>
      </c>
      <c r="AB414" t="e">
        <f>VLOOKUP(Table1[[#This Row],[MA_Number]],#REF!, 2,FALSE)</f>
        <v>#REF!</v>
      </c>
      <c r="AD414" t="e">
        <f>VLOOKUP(Table1[[#This Row],[Product_Name]],'c174_calc'!$A$2:$C$153, 1, FALSE)</f>
        <v>#N/A</v>
      </c>
      <c r="AE414" t="e">
        <f>VLOOKUP(Table1[[#This Row],[Product_Name]],'c174_calc'!$A$2:$C$153, 2, FALSE)</f>
        <v>#N/A</v>
      </c>
      <c r="AF414" t="e">
        <f>VLOOKUP(Table1[[#This Row],[Product_Name]],'c174_calc'!$A$2:$C$153, 3, FALSE)</f>
        <v>#N/A</v>
      </c>
      <c r="AG414" t="e">
        <f>Table1[[#This Row],[vma]]=Table1[[#This Row],[MA_Number]]</f>
        <v>#N/A</v>
      </c>
    </row>
    <row r="415" spans="1:33" hidden="1" x14ac:dyDescent="0.3">
      <c r="B415" s="1">
        <v>7247781530</v>
      </c>
      <c r="C415" s="1"/>
      <c r="E415" t="s">
        <v>1522</v>
      </c>
      <c r="G415" t="s">
        <v>1185</v>
      </c>
      <c r="H415" t="s">
        <v>1523</v>
      </c>
      <c r="I415">
        <v>1</v>
      </c>
      <c r="J415">
        <v>74</v>
      </c>
      <c r="K415">
        <v>30</v>
      </c>
      <c r="L415">
        <v>35</v>
      </c>
      <c r="M415" t="s">
        <v>49</v>
      </c>
      <c r="N415" t="s">
        <v>24</v>
      </c>
      <c r="O415" t="b">
        <v>1</v>
      </c>
      <c r="AA415" t="e">
        <f>Table1[[#This Row],[qPer board]]*Table1[[#This Row],[boards]]</f>
        <v>#REF!</v>
      </c>
      <c r="AB415" t="e">
        <f>VLOOKUP(Table1[[#This Row],[MA_Number]],#REF!, 2,FALSE)</f>
        <v>#REF!</v>
      </c>
      <c r="AD415" t="e">
        <f>VLOOKUP(Table1[[#This Row],[Product_Name]],'c174_calc'!$A$2:$C$153, 1, FALSE)</f>
        <v>#N/A</v>
      </c>
      <c r="AE415" t="e">
        <f>VLOOKUP(Table1[[#This Row],[Product_Name]],'c174_calc'!$A$2:$C$153, 2, FALSE)</f>
        <v>#N/A</v>
      </c>
      <c r="AF415" t="e">
        <f>VLOOKUP(Table1[[#This Row],[Product_Name]],'c174_calc'!$A$2:$C$153, 3, FALSE)</f>
        <v>#N/A</v>
      </c>
      <c r="AG415" t="e">
        <f>Table1[[#This Row],[vma]]=Table1[[#This Row],[MA_Number]]</f>
        <v>#N/A</v>
      </c>
    </row>
    <row r="416" spans="1:33" hidden="1" x14ac:dyDescent="0.3">
      <c r="A416" t="s">
        <v>1524</v>
      </c>
      <c r="B416" s="1">
        <v>7247787730</v>
      </c>
      <c r="C416" s="1"/>
      <c r="D416" t="s">
        <v>1186</v>
      </c>
      <c r="F416" t="b">
        <v>1</v>
      </c>
      <c r="I416">
        <v>1</v>
      </c>
      <c r="J416" t="s">
        <v>670</v>
      </c>
      <c r="K416" t="s">
        <v>670</v>
      </c>
      <c r="L416" t="s">
        <v>670</v>
      </c>
      <c r="O416" t="b">
        <v>1</v>
      </c>
      <c r="AA416">
        <f>Table1[[#This Row],[qPer board]]*Table1[[#This Row],[boards]]</f>
        <v>0</v>
      </c>
      <c r="AB416">
        <v>2</v>
      </c>
      <c r="AD416" t="e">
        <f>VLOOKUP(Table1[[#This Row],[Product_Name]],'c174_calc'!$A$2:$C$153, 1, FALSE)</f>
        <v>#N/A</v>
      </c>
      <c r="AE416" t="e">
        <f>VLOOKUP(Table1[[#This Row],[Product_Name]],'c174_calc'!$A$2:$C$153, 2, FALSE)</f>
        <v>#N/A</v>
      </c>
      <c r="AF416" t="e">
        <f>VLOOKUP(Table1[[#This Row],[Product_Name]],'c174_calc'!$A$2:$C$153, 3, FALSE)</f>
        <v>#N/A</v>
      </c>
      <c r="AG416" t="e">
        <f>Table1[[#This Row],[vma]]=Table1[[#This Row],[MA_Number]]</f>
        <v>#N/A</v>
      </c>
    </row>
    <row r="417" spans="1:33" hidden="1" x14ac:dyDescent="0.3">
      <c r="B417" s="1">
        <v>7247787730</v>
      </c>
      <c r="C417" s="1"/>
      <c r="E417" t="s">
        <v>1525</v>
      </c>
      <c r="G417" t="s">
        <v>1524</v>
      </c>
      <c r="H417" t="s">
        <v>1526</v>
      </c>
      <c r="I417">
        <v>1</v>
      </c>
      <c r="J417">
        <v>22</v>
      </c>
      <c r="K417">
        <v>24</v>
      </c>
      <c r="L417">
        <v>35</v>
      </c>
      <c r="N417" t="s">
        <v>40</v>
      </c>
      <c r="O417" t="b">
        <v>1</v>
      </c>
      <c r="AA417">
        <f>Table1[[#This Row],[qPer board]]*Table1[[#This Row],[boards]]</f>
        <v>0</v>
      </c>
      <c r="AB417">
        <v>2</v>
      </c>
      <c r="AD417" t="e">
        <f>VLOOKUP(Table1[[#This Row],[Product_Name]],'c174_calc'!$A$2:$C$153, 1, FALSE)</f>
        <v>#N/A</v>
      </c>
      <c r="AE417" t="e">
        <f>VLOOKUP(Table1[[#This Row],[Product_Name]],'c174_calc'!$A$2:$C$153, 2, FALSE)</f>
        <v>#N/A</v>
      </c>
      <c r="AF417" t="e">
        <f>VLOOKUP(Table1[[#This Row],[Product_Name]],'c174_calc'!$A$2:$C$153, 3, FALSE)</f>
        <v>#N/A</v>
      </c>
      <c r="AG417" t="e">
        <f>Table1[[#This Row],[vma]]=Table1[[#This Row],[MA_Number]]</f>
        <v>#N/A</v>
      </c>
    </row>
    <row r="418" spans="1:33" hidden="1" x14ac:dyDescent="0.3">
      <c r="A418" t="s">
        <v>1527</v>
      </c>
      <c r="B418" s="1">
        <v>7252779130</v>
      </c>
      <c r="C418" s="1"/>
      <c r="D418" t="s">
        <v>1186</v>
      </c>
      <c r="E418" t="s">
        <v>1199</v>
      </c>
      <c r="F418" t="b">
        <v>1</v>
      </c>
      <c r="I418">
        <v>1</v>
      </c>
      <c r="J418" t="s">
        <v>670</v>
      </c>
      <c r="K418" t="s">
        <v>670</v>
      </c>
      <c r="L418" t="s">
        <v>670</v>
      </c>
      <c r="AA418" t="e">
        <f>Table1[[#This Row],[qPer board]]*Table1[[#This Row],[boards]]</f>
        <v>#REF!</v>
      </c>
      <c r="AB418" t="e">
        <f>VLOOKUP(Table1[[#This Row],[MA_Number]],#REF!, 2,FALSE)</f>
        <v>#REF!</v>
      </c>
      <c r="AD418" t="e">
        <f>VLOOKUP(Table1[[#This Row],[Product_Name]],'c174_calc'!$A$2:$C$153, 1, FALSE)</f>
        <v>#N/A</v>
      </c>
      <c r="AE418" t="e">
        <f>VLOOKUP(Table1[[#This Row],[Product_Name]],'c174_calc'!$A$2:$C$153, 2, FALSE)</f>
        <v>#N/A</v>
      </c>
      <c r="AF418" t="e">
        <f>VLOOKUP(Table1[[#This Row],[Product_Name]],'c174_calc'!$A$2:$C$153, 3, FALSE)</f>
        <v>#N/A</v>
      </c>
      <c r="AG418" t="e">
        <f>Table1[[#This Row],[vma]]=Table1[[#This Row],[MA_Number]]</f>
        <v>#N/A</v>
      </c>
    </row>
    <row r="419" spans="1:33" hidden="1" x14ac:dyDescent="0.3">
      <c r="B419" s="1">
        <v>7252779130</v>
      </c>
      <c r="C419" s="1"/>
      <c r="G419" t="s">
        <v>1527</v>
      </c>
      <c r="H419" t="s">
        <v>1528</v>
      </c>
      <c r="I419">
        <v>1</v>
      </c>
      <c r="AA419" t="e">
        <f>Table1[[#This Row],[qPer board]]*Table1[[#This Row],[boards]]</f>
        <v>#REF!</v>
      </c>
      <c r="AB419" t="e">
        <f>VLOOKUP(Table1[[#This Row],[MA_Number]],#REF!, 2,FALSE)</f>
        <v>#REF!</v>
      </c>
      <c r="AD419" t="e">
        <f>VLOOKUP(Table1[[#This Row],[Product_Name]],'c174_calc'!$A$2:$C$153, 1, FALSE)</f>
        <v>#N/A</v>
      </c>
      <c r="AE419" t="e">
        <f>VLOOKUP(Table1[[#This Row],[Product_Name]],'c174_calc'!$A$2:$C$153, 2, FALSE)</f>
        <v>#N/A</v>
      </c>
      <c r="AF419" t="e">
        <f>VLOOKUP(Table1[[#This Row],[Product_Name]],'c174_calc'!$A$2:$C$153, 3, FALSE)</f>
        <v>#N/A</v>
      </c>
      <c r="AG419" t="e">
        <f>Table1[[#This Row],[vma]]=Table1[[#This Row],[MA_Number]]</f>
        <v>#N/A</v>
      </c>
    </row>
    <row r="420" spans="1:33" hidden="1" x14ac:dyDescent="0.3">
      <c r="A420" t="s">
        <v>1529</v>
      </c>
      <c r="B420" s="1">
        <v>7252785330</v>
      </c>
      <c r="C420" s="1"/>
      <c r="D420" t="s">
        <v>1186</v>
      </c>
      <c r="E420" t="s">
        <v>1199</v>
      </c>
      <c r="F420" t="b">
        <v>1</v>
      </c>
      <c r="I420">
        <v>1</v>
      </c>
      <c r="J420" t="s">
        <v>670</v>
      </c>
      <c r="K420" t="s">
        <v>670</v>
      </c>
      <c r="L420" t="s">
        <v>670</v>
      </c>
      <c r="AA420">
        <f>Table1[[#This Row],[qPer board]]*Table1[[#This Row],[boards]]</f>
        <v>0</v>
      </c>
      <c r="AB420">
        <v>5</v>
      </c>
      <c r="AD420" t="e">
        <f>VLOOKUP(Table1[[#This Row],[Product_Name]],'c174_calc'!$A$2:$C$153, 1, FALSE)</f>
        <v>#N/A</v>
      </c>
      <c r="AE420" t="e">
        <f>VLOOKUP(Table1[[#This Row],[Product_Name]],'c174_calc'!$A$2:$C$153, 2, FALSE)</f>
        <v>#N/A</v>
      </c>
      <c r="AF420" t="e">
        <f>VLOOKUP(Table1[[#This Row],[Product_Name]],'c174_calc'!$A$2:$C$153, 3, FALSE)</f>
        <v>#N/A</v>
      </c>
      <c r="AG420" t="e">
        <f>Table1[[#This Row],[vma]]=Table1[[#This Row],[MA_Number]]</f>
        <v>#N/A</v>
      </c>
    </row>
    <row r="421" spans="1:33" hidden="1" x14ac:dyDescent="0.3">
      <c r="B421" s="1">
        <v>7252785330</v>
      </c>
      <c r="C421" s="1"/>
      <c r="G421" t="s">
        <v>1529</v>
      </c>
      <c r="H421" t="s">
        <v>1503</v>
      </c>
      <c r="I421">
        <v>1</v>
      </c>
      <c r="AA421">
        <f>Table1[[#This Row],[qPer board]]*Table1[[#This Row],[boards]]</f>
        <v>0</v>
      </c>
      <c r="AB421">
        <v>5</v>
      </c>
      <c r="AD421" t="e">
        <f>VLOOKUP(Table1[[#This Row],[Product_Name]],'c174_calc'!$A$2:$C$153, 1, FALSE)</f>
        <v>#N/A</v>
      </c>
      <c r="AE421" t="e">
        <f>VLOOKUP(Table1[[#This Row],[Product_Name]],'c174_calc'!$A$2:$C$153, 2, FALSE)</f>
        <v>#N/A</v>
      </c>
      <c r="AF421" t="e">
        <f>VLOOKUP(Table1[[#This Row],[Product_Name]],'c174_calc'!$A$2:$C$153, 3, FALSE)</f>
        <v>#N/A</v>
      </c>
      <c r="AG421" t="e">
        <f>Table1[[#This Row],[vma]]=Table1[[#This Row],[MA_Number]]</f>
        <v>#N/A</v>
      </c>
    </row>
    <row r="422" spans="1:33" hidden="1" x14ac:dyDescent="0.3">
      <c r="A422" t="s">
        <v>1530</v>
      </c>
      <c r="B422" s="1">
        <v>7252809330</v>
      </c>
      <c r="C422" s="1"/>
      <c r="D422" t="s">
        <v>1186</v>
      </c>
      <c r="F422" t="b">
        <v>1</v>
      </c>
      <c r="I422">
        <v>1</v>
      </c>
      <c r="J422" t="s">
        <v>670</v>
      </c>
      <c r="K422" t="s">
        <v>670</v>
      </c>
      <c r="L422" t="s">
        <v>670</v>
      </c>
      <c r="O422" t="b">
        <v>1</v>
      </c>
      <c r="AA422" t="e">
        <f>Table1[[#This Row],[qPer board]]*Table1[[#This Row],[boards]]</f>
        <v>#REF!</v>
      </c>
      <c r="AB422" t="e">
        <f>VLOOKUP(Table1[[#This Row],[MA_Number]],#REF!, 2,FALSE)</f>
        <v>#REF!</v>
      </c>
      <c r="AD422" t="e">
        <f>VLOOKUP(Table1[[#This Row],[Product_Name]],'c174_calc'!$A$2:$C$153, 1, FALSE)</f>
        <v>#N/A</v>
      </c>
      <c r="AE422" t="e">
        <f>VLOOKUP(Table1[[#This Row],[Product_Name]],'c174_calc'!$A$2:$C$153, 2, FALSE)</f>
        <v>#N/A</v>
      </c>
      <c r="AF422" t="e">
        <f>VLOOKUP(Table1[[#This Row],[Product_Name]],'c174_calc'!$A$2:$C$153, 3, FALSE)</f>
        <v>#N/A</v>
      </c>
      <c r="AG422" t="e">
        <f>Table1[[#This Row],[vma]]=Table1[[#This Row],[MA_Number]]</f>
        <v>#N/A</v>
      </c>
    </row>
    <row r="423" spans="1:33" hidden="1" x14ac:dyDescent="0.3">
      <c r="B423" s="1">
        <v>7252809330</v>
      </c>
      <c r="C423" s="1"/>
      <c r="E423" t="s">
        <v>1531</v>
      </c>
      <c r="G423" t="s">
        <v>1530</v>
      </c>
      <c r="H423" t="s">
        <v>1532</v>
      </c>
      <c r="I423">
        <v>1</v>
      </c>
      <c r="J423">
        <v>35</v>
      </c>
      <c r="K423">
        <v>35</v>
      </c>
      <c r="L423">
        <v>35</v>
      </c>
      <c r="N423" t="s">
        <v>40</v>
      </c>
      <c r="O423" t="b">
        <v>1</v>
      </c>
      <c r="AA423" t="e">
        <f>Table1[[#This Row],[qPer board]]*Table1[[#This Row],[boards]]</f>
        <v>#REF!</v>
      </c>
      <c r="AB423" t="e">
        <f>VLOOKUP(Table1[[#This Row],[MA_Number]],#REF!, 2,FALSE)</f>
        <v>#REF!</v>
      </c>
      <c r="AD423" t="e">
        <f>VLOOKUP(Table1[[#This Row],[Product_Name]],'c174_calc'!$A$2:$C$153, 1, FALSE)</f>
        <v>#N/A</v>
      </c>
      <c r="AE423" t="e">
        <f>VLOOKUP(Table1[[#This Row],[Product_Name]],'c174_calc'!$A$2:$C$153, 2, FALSE)</f>
        <v>#N/A</v>
      </c>
      <c r="AF423" t="e">
        <f>VLOOKUP(Table1[[#This Row],[Product_Name]],'c174_calc'!$A$2:$C$153, 3, FALSE)</f>
        <v>#N/A</v>
      </c>
      <c r="AG423" t="e">
        <f>Table1[[#This Row],[vma]]=Table1[[#This Row],[MA_Number]]</f>
        <v>#N/A</v>
      </c>
    </row>
    <row r="424" spans="1:33" hidden="1" x14ac:dyDescent="0.3">
      <c r="A424" t="s">
        <v>1533</v>
      </c>
      <c r="B424" s="1" t="s">
        <v>1534</v>
      </c>
      <c r="C424" s="1"/>
      <c r="D424" t="s">
        <v>279</v>
      </c>
      <c r="E424" t="s">
        <v>1535</v>
      </c>
      <c r="F424" t="b">
        <v>1</v>
      </c>
      <c r="I424">
        <v>1</v>
      </c>
      <c r="J424" t="s">
        <v>670</v>
      </c>
      <c r="K424" t="s">
        <v>670</v>
      </c>
      <c r="L424" t="s">
        <v>670</v>
      </c>
      <c r="O424" t="b">
        <v>1</v>
      </c>
      <c r="AA424" t="e">
        <f>Table1[[#This Row],[qPer board]]*Table1[[#This Row],[boards]]</f>
        <v>#REF!</v>
      </c>
      <c r="AB424" t="e">
        <f>VLOOKUP(Table1[[#This Row],[MA_Number]],#REF!, 2,FALSE)</f>
        <v>#REF!</v>
      </c>
      <c r="AD424" t="e">
        <f>VLOOKUP(Table1[[#This Row],[Product_Name]],'c174_calc'!$A$2:$C$153, 1, FALSE)</f>
        <v>#N/A</v>
      </c>
      <c r="AE424" t="e">
        <f>VLOOKUP(Table1[[#This Row],[Product_Name]],'c174_calc'!$A$2:$C$153, 2, FALSE)</f>
        <v>#N/A</v>
      </c>
      <c r="AF424" t="e">
        <f>VLOOKUP(Table1[[#This Row],[Product_Name]],'c174_calc'!$A$2:$C$153, 3, FALSE)</f>
        <v>#N/A</v>
      </c>
      <c r="AG424" t="e">
        <f>Table1[[#This Row],[vma]]=Table1[[#This Row],[MA_Number]]</f>
        <v>#N/A</v>
      </c>
    </row>
    <row r="425" spans="1:33" hidden="1" x14ac:dyDescent="0.3">
      <c r="B425" s="1" t="s">
        <v>1534</v>
      </c>
      <c r="C425" s="1"/>
      <c r="E425" t="s">
        <v>1536</v>
      </c>
      <c r="G425" t="s">
        <v>1533</v>
      </c>
      <c r="H425" t="s">
        <v>1537</v>
      </c>
      <c r="I425">
        <v>1</v>
      </c>
      <c r="J425">
        <v>60</v>
      </c>
      <c r="K425">
        <v>40</v>
      </c>
      <c r="L425">
        <v>53</v>
      </c>
      <c r="M425" t="s">
        <v>49</v>
      </c>
      <c r="N425" t="s">
        <v>24</v>
      </c>
      <c r="O425" t="b">
        <v>1</v>
      </c>
      <c r="AA425" t="e">
        <f>Table1[[#This Row],[qPer board]]*Table1[[#This Row],[boards]]</f>
        <v>#REF!</v>
      </c>
      <c r="AB425" t="e">
        <f>VLOOKUP(Table1[[#This Row],[MA_Number]],#REF!, 2,FALSE)</f>
        <v>#REF!</v>
      </c>
      <c r="AD425" t="e">
        <f>VLOOKUP(Table1[[#This Row],[Product_Name]],'c174_calc'!$A$2:$C$153, 1, FALSE)</f>
        <v>#N/A</v>
      </c>
      <c r="AE425" t="e">
        <f>VLOOKUP(Table1[[#This Row],[Product_Name]],'c174_calc'!$A$2:$C$153, 2, FALSE)</f>
        <v>#N/A</v>
      </c>
      <c r="AF425" t="e">
        <f>VLOOKUP(Table1[[#This Row],[Product_Name]],'c174_calc'!$A$2:$C$153, 3, FALSE)</f>
        <v>#N/A</v>
      </c>
      <c r="AG425" t="e">
        <f>Table1[[#This Row],[vma]]=Table1[[#This Row],[MA_Number]]</f>
        <v>#N/A</v>
      </c>
    </row>
    <row r="426" spans="1:33" hidden="1" x14ac:dyDescent="0.3">
      <c r="B426" s="1" t="s">
        <v>1534</v>
      </c>
      <c r="C426" s="1"/>
      <c r="E426" t="s">
        <v>1538</v>
      </c>
      <c r="G426" t="s">
        <v>1533</v>
      </c>
      <c r="H426" t="s">
        <v>1539</v>
      </c>
      <c r="I426">
        <v>1</v>
      </c>
      <c r="J426">
        <v>60</v>
      </c>
      <c r="K426">
        <v>40</v>
      </c>
      <c r="L426">
        <v>30</v>
      </c>
      <c r="M426" t="s">
        <v>49</v>
      </c>
      <c r="N426" t="s">
        <v>24</v>
      </c>
      <c r="O426" t="b">
        <v>1</v>
      </c>
      <c r="AA426" t="e">
        <f>Table1[[#This Row],[qPer board]]*Table1[[#This Row],[boards]]</f>
        <v>#REF!</v>
      </c>
      <c r="AB426" t="e">
        <f>VLOOKUP(Table1[[#This Row],[MA_Number]],#REF!, 2,FALSE)</f>
        <v>#REF!</v>
      </c>
      <c r="AD426" t="e">
        <f>VLOOKUP(Table1[[#This Row],[Product_Name]],'c174_calc'!$A$2:$C$153, 1, FALSE)</f>
        <v>#N/A</v>
      </c>
      <c r="AE426" t="e">
        <f>VLOOKUP(Table1[[#This Row],[Product_Name]],'c174_calc'!$A$2:$C$153, 2, FALSE)</f>
        <v>#N/A</v>
      </c>
      <c r="AF426" t="e">
        <f>VLOOKUP(Table1[[#This Row],[Product_Name]],'c174_calc'!$A$2:$C$153, 3, FALSE)</f>
        <v>#N/A</v>
      </c>
      <c r="AG426" t="e">
        <f>Table1[[#This Row],[vma]]=Table1[[#This Row],[MA_Number]]</f>
        <v>#N/A</v>
      </c>
    </row>
    <row r="427" spans="1:33" hidden="1" x14ac:dyDescent="0.3">
      <c r="B427" s="1" t="s">
        <v>1534</v>
      </c>
      <c r="C427" s="1"/>
      <c r="E427" t="s">
        <v>1540</v>
      </c>
      <c r="G427" t="s">
        <v>1533</v>
      </c>
      <c r="H427" t="s">
        <v>1541</v>
      </c>
      <c r="I427">
        <v>1</v>
      </c>
      <c r="J427">
        <v>60</v>
      </c>
      <c r="K427">
        <v>40</v>
      </c>
      <c r="L427">
        <v>20</v>
      </c>
      <c r="M427" t="s">
        <v>49</v>
      </c>
      <c r="N427" t="s">
        <v>24</v>
      </c>
      <c r="O427" t="b">
        <v>1</v>
      </c>
      <c r="AA427" t="e">
        <f>Table1[[#This Row],[qPer board]]*Table1[[#This Row],[boards]]</f>
        <v>#REF!</v>
      </c>
      <c r="AB427" t="e">
        <f>VLOOKUP(Table1[[#This Row],[MA_Number]],#REF!, 2,FALSE)</f>
        <v>#REF!</v>
      </c>
      <c r="AD427" t="e">
        <f>VLOOKUP(Table1[[#This Row],[Product_Name]],'c174_calc'!$A$2:$C$153, 1, FALSE)</f>
        <v>#N/A</v>
      </c>
      <c r="AE427" t="e">
        <f>VLOOKUP(Table1[[#This Row],[Product_Name]],'c174_calc'!$A$2:$C$153, 2, FALSE)</f>
        <v>#N/A</v>
      </c>
      <c r="AF427" t="e">
        <f>VLOOKUP(Table1[[#This Row],[Product_Name]],'c174_calc'!$A$2:$C$153, 3, FALSE)</f>
        <v>#N/A</v>
      </c>
      <c r="AG427" t="e">
        <f>Table1[[#This Row],[vma]]=Table1[[#This Row],[MA_Number]]</f>
        <v>#N/A</v>
      </c>
    </row>
    <row r="428" spans="1:33" hidden="1" x14ac:dyDescent="0.3">
      <c r="A428" t="s">
        <v>476</v>
      </c>
      <c r="B428" s="1" t="s">
        <v>1016</v>
      </c>
      <c r="C428" s="1"/>
      <c r="D428" t="s">
        <v>279</v>
      </c>
      <c r="E428" t="s">
        <v>1542</v>
      </c>
      <c r="F428" t="b">
        <v>1</v>
      </c>
      <c r="I428">
        <v>1</v>
      </c>
      <c r="J428" t="s">
        <v>670</v>
      </c>
      <c r="K428" t="s">
        <v>670</v>
      </c>
      <c r="L428" t="s">
        <v>670</v>
      </c>
      <c r="O428" t="b">
        <v>1</v>
      </c>
      <c r="AA428" t="e">
        <f>Table1[[#This Row],[qPer board]]*Table1[[#This Row],[boards]]</f>
        <v>#REF!</v>
      </c>
      <c r="AB428" t="e">
        <f>VLOOKUP(Table1[[#This Row],[MA_Number]],#REF!, 2,FALSE)</f>
        <v>#REF!</v>
      </c>
      <c r="AD428" t="e">
        <f>VLOOKUP(Table1[[#This Row],[Product_Name]],'c174_calc'!$A$2:$C$153, 1, FALSE)</f>
        <v>#N/A</v>
      </c>
      <c r="AE428" t="e">
        <f>VLOOKUP(Table1[[#This Row],[Product_Name]],'c174_calc'!$A$2:$C$153, 2, FALSE)</f>
        <v>#N/A</v>
      </c>
      <c r="AF428" t="e">
        <f>VLOOKUP(Table1[[#This Row],[Product_Name]],'c174_calc'!$A$2:$C$153, 3, FALSE)</f>
        <v>#N/A</v>
      </c>
      <c r="AG428" t="e">
        <f>Table1[[#This Row],[vma]]=Table1[[#This Row],[MA_Number]]</f>
        <v>#N/A</v>
      </c>
    </row>
    <row r="429" spans="1:33" hidden="1" x14ac:dyDescent="0.3">
      <c r="B429" s="1" t="s">
        <v>1016</v>
      </c>
      <c r="C429" s="1"/>
      <c r="E429" t="s">
        <v>1543</v>
      </c>
      <c r="G429" t="s">
        <v>476</v>
      </c>
      <c r="H429" t="s">
        <v>1544</v>
      </c>
      <c r="I429">
        <v>1</v>
      </c>
      <c r="J429">
        <v>61</v>
      </c>
      <c r="K429">
        <v>55</v>
      </c>
      <c r="L429">
        <v>48</v>
      </c>
      <c r="M429" t="s">
        <v>49</v>
      </c>
      <c r="N429" t="s">
        <v>24</v>
      </c>
      <c r="O429" t="b">
        <v>1</v>
      </c>
      <c r="AA429" t="e">
        <f>Table1[[#This Row],[qPer board]]*Table1[[#This Row],[boards]]</f>
        <v>#REF!</v>
      </c>
      <c r="AB429" t="e">
        <f>VLOOKUP(Table1[[#This Row],[MA_Number]],#REF!, 2,FALSE)</f>
        <v>#REF!</v>
      </c>
      <c r="AD429" t="e">
        <f>VLOOKUP(Table1[[#This Row],[Product_Name]],'c174_calc'!$A$2:$C$153, 1, FALSE)</f>
        <v>#N/A</v>
      </c>
      <c r="AE429" t="e">
        <f>VLOOKUP(Table1[[#This Row],[Product_Name]],'c174_calc'!$A$2:$C$153, 2, FALSE)</f>
        <v>#N/A</v>
      </c>
      <c r="AF429" t="e">
        <f>VLOOKUP(Table1[[#This Row],[Product_Name]],'c174_calc'!$A$2:$C$153, 3, FALSE)</f>
        <v>#N/A</v>
      </c>
      <c r="AG429" t="e">
        <f>Table1[[#This Row],[vma]]=Table1[[#This Row],[MA_Number]]</f>
        <v>#N/A</v>
      </c>
    </row>
    <row r="430" spans="1:33" hidden="1" x14ac:dyDescent="0.3">
      <c r="B430" s="1" t="s">
        <v>1016</v>
      </c>
      <c r="C430" s="1"/>
      <c r="E430" t="s">
        <v>1545</v>
      </c>
      <c r="G430" t="s">
        <v>476</v>
      </c>
      <c r="H430" t="s">
        <v>1546</v>
      </c>
      <c r="I430">
        <v>1</v>
      </c>
      <c r="J430">
        <v>61</v>
      </c>
      <c r="K430">
        <v>55</v>
      </c>
      <c r="L430">
        <v>30</v>
      </c>
      <c r="M430" t="s">
        <v>49</v>
      </c>
      <c r="N430" t="s">
        <v>24</v>
      </c>
      <c r="O430" t="b">
        <v>1</v>
      </c>
      <c r="AA430" t="e">
        <f>Table1[[#This Row],[qPer board]]*Table1[[#This Row],[boards]]</f>
        <v>#REF!</v>
      </c>
      <c r="AB430" t="e">
        <f>VLOOKUP(Table1[[#This Row],[MA_Number]],#REF!, 2,FALSE)</f>
        <v>#REF!</v>
      </c>
      <c r="AD430" t="e">
        <f>VLOOKUP(Table1[[#This Row],[Product_Name]],'c174_calc'!$A$2:$C$153, 1, FALSE)</f>
        <v>#N/A</v>
      </c>
      <c r="AE430" t="e">
        <f>VLOOKUP(Table1[[#This Row],[Product_Name]],'c174_calc'!$A$2:$C$153, 2, FALSE)</f>
        <v>#N/A</v>
      </c>
      <c r="AF430" t="e">
        <f>VLOOKUP(Table1[[#This Row],[Product_Name]],'c174_calc'!$A$2:$C$153, 3, FALSE)</f>
        <v>#N/A</v>
      </c>
      <c r="AG430" t="e">
        <f>Table1[[#This Row],[vma]]=Table1[[#This Row],[MA_Number]]</f>
        <v>#N/A</v>
      </c>
    </row>
    <row r="431" spans="1:33" hidden="1" x14ac:dyDescent="0.3">
      <c r="B431" s="1" t="s">
        <v>1016</v>
      </c>
      <c r="C431" s="1"/>
      <c r="E431" t="s">
        <v>1547</v>
      </c>
      <c r="G431" t="s">
        <v>476</v>
      </c>
      <c r="H431" t="s">
        <v>1548</v>
      </c>
      <c r="I431">
        <v>1</v>
      </c>
      <c r="J431">
        <v>61</v>
      </c>
      <c r="K431">
        <v>55</v>
      </c>
      <c r="L431">
        <v>20</v>
      </c>
      <c r="M431" t="s">
        <v>49</v>
      </c>
      <c r="N431" t="s">
        <v>24</v>
      </c>
      <c r="O431" t="b">
        <v>1</v>
      </c>
      <c r="AA431" t="e">
        <f>Table1[[#This Row],[qPer board]]*Table1[[#This Row],[boards]]</f>
        <v>#REF!</v>
      </c>
      <c r="AB431" t="e">
        <f>VLOOKUP(Table1[[#This Row],[MA_Number]],#REF!, 2,FALSE)</f>
        <v>#REF!</v>
      </c>
      <c r="AD431" t="e">
        <f>VLOOKUP(Table1[[#This Row],[Product_Name]],'c174_calc'!$A$2:$C$153, 1, FALSE)</f>
        <v>#N/A</v>
      </c>
      <c r="AE431" t="e">
        <f>VLOOKUP(Table1[[#This Row],[Product_Name]],'c174_calc'!$A$2:$C$153, 2, FALSE)</f>
        <v>#N/A</v>
      </c>
      <c r="AF431" t="e">
        <f>VLOOKUP(Table1[[#This Row],[Product_Name]],'c174_calc'!$A$2:$C$153, 3, FALSE)</f>
        <v>#N/A</v>
      </c>
      <c r="AG431" t="e">
        <f>Table1[[#This Row],[vma]]=Table1[[#This Row],[MA_Number]]</f>
        <v>#N/A</v>
      </c>
    </row>
    <row r="432" spans="1:33" hidden="1" x14ac:dyDescent="0.3">
      <c r="A432" t="s">
        <v>700</v>
      </c>
      <c r="B432" s="1" t="s">
        <v>1549</v>
      </c>
      <c r="C432" s="1"/>
      <c r="D432" t="s">
        <v>279</v>
      </c>
      <c r="E432" t="s">
        <v>1550</v>
      </c>
      <c r="F432" t="b">
        <v>1</v>
      </c>
      <c r="I432">
        <v>1</v>
      </c>
      <c r="J432" t="s">
        <v>670</v>
      </c>
      <c r="K432" t="s">
        <v>670</v>
      </c>
      <c r="L432" t="s">
        <v>670</v>
      </c>
      <c r="O432" t="b">
        <v>1</v>
      </c>
      <c r="AA432" t="e">
        <f>Table1[[#This Row],[qPer board]]*Table1[[#This Row],[boards]]</f>
        <v>#REF!</v>
      </c>
      <c r="AB432" t="e">
        <f>VLOOKUP(Table1[[#This Row],[MA_Number]],#REF!, 2,FALSE)</f>
        <v>#REF!</v>
      </c>
      <c r="AD432" t="e">
        <f>VLOOKUP(Table1[[#This Row],[Product_Name]],'c174_calc'!$A$2:$C$153, 1, FALSE)</f>
        <v>#N/A</v>
      </c>
      <c r="AE432" t="e">
        <f>VLOOKUP(Table1[[#This Row],[Product_Name]],'c174_calc'!$A$2:$C$153, 2, FALSE)</f>
        <v>#N/A</v>
      </c>
      <c r="AF432" t="e">
        <f>VLOOKUP(Table1[[#This Row],[Product_Name]],'c174_calc'!$A$2:$C$153, 3, FALSE)</f>
        <v>#N/A</v>
      </c>
      <c r="AG432" t="e">
        <f>Table1[[#This Row],[vma]]=Table1[[#This Row],[MA_Number]]</f>
        <v>#N/A</v>
      </c>
    </row>
    <row r="433" spans="1:33" hidden="1" x14ac:dyDescent="0.3">
      <c r="B433" s="1" t="s">
        <v>1549</v>
      </c>
      <c r="C433" s="1"/>
      <c r="E433" t="s">
        <v>1551</v>
      </c>
      <c r="G433" t="s">
        <v>700</v>
      </c>
      <c r="H433" t="s">
        <v>1552</v>
      </c>
      <c r="I433">
        <v>1</v>
      </c>
      <c r="J433">
        <v>61</v>
      </c>
      <c r="K433">
        <v>42</v>
      </c>
      <c r="L433">
        <v>53</v>
      </c>
      <c r="M433" t="s">
        <v>49</v>
      </c>
      <c r="N433" t="s">
        <v>24</v>
      </c>
      <c r="O433" t="b">
        <v>1</v>
      </c>
      <c r="AA433" t="e">
        <f>Table1[[#This Row],[qPer board]]*Table1[[#This Row],[boards]]</f>
        <v>#REF!</v>
      </c>
      <c r="AB433" t="e">
        <f>VLOOKUP(Table1[[#This Row],[MA_Number]],#REF!, 2,FALSE)</f>
        <v>#REF!</v>
      </c>
      <c r="AD433" t="e">
        <f>VLOOKUP(Table1[[#This Row],[Product_Name]],'c174_calc'!$A$2:$C$153, 1, FALSE)</f>
        <v>#N/A</v>
      </c>
      <c r="AE433" t="e">
        <f>VLOOKUP(Table1[[#This Row],[Product_Name]],'c174_calc'!$A$2:$C$153, 2, FALSE)</f>
        <v>#N/A</v>
      </c>
      <c r="AF433" t="e">
        <f>VLOOKUP(Table1[[#This Row],[Product_Name]],'c174_calc'!$A$2:$C$153, 3, FALSE)</f>
        <v>#N/A</v>
      </c>
      <c r="AG433" t="e">
        <f>Table1[[#This Row],[vma]]=Table1[[#This Row],[MA_Number]]</f>
        <v>#N/A</v>
      </c>
    </row>
    <row r="434" spans="1:33" hidden="1" x14ac:dyDescent="0.3">
      <c r="B434" s="1" t="s">
        <v>1549</v>
      </c>
      <c r="C434" s="1"/>
      <c r="E434" t="s">
        <v>1553</v>
      </c>
      <c r="G434" t="s">
        <v>700</v>
      </c>
      <c r="H434" t="s">
        <v>1554</v>
      </c>
      <c r="I434">
        <v>1</v>
      </c>
      <c r="J434">
        <v>61</v>
      </c>
      <c r="K434">
        <v>42</v>
      </c>
      <c r="L434">
        <v>30</v>
      </c>
      <c r="M434" t="s">
        <v>49</v>
      </c>
      <c r="N434" t="s">
        <v>24</v>
      </c>
      <c r="O434" t="b">
        <v>1</v>
      </c>
      <c r="AA434" t="e">
        <f>Table1[[#This Row],[qPer board]]*Table1[[#This Row],[boards]]</f>
        <v>#REF!</v>
      </c>
      <c r="AB434" t="e">
        <f>VLOOKUP(Table1[[#This Row],[MA_Number]],#REF!, 2,FALSE)</f>
        <v>#REF!</v>
      </c>
      <c r="AD434" t="e">
        <f>VLOOKUP(Table1[[#This Row],[Product_Name]],'c174_calc'!$A$2:$C$153, 1, FALSE)</f>
        <v>#N/A</v>
      </c>
      <c r="AE434" t="e">
        <f>VLOOKUP(Table1[[#This Row],[Product_Name]],'c174_calc'!$A$2:$C$153, 2, FALSE)</f>
        <v>#N/A</v>
      </c>
      <c r="AF434" t="e">
        <f>VLOOKUP(Table1[[#This Row],[Product_Name]],'c174_calc'!$A$2:$C$153, 3, FALSE)</f>
        <v>#N/A</v>
      </c>
      <c r="AG434" t="e">
        <f>Table1[[#This Row],[vma]]=Table1[[#This Row],[MA_Number]]</f>
        <v>#N/A</v>
      </c>
    </row>
    <row r="435" spans="1:33" hidden="1" x14ac:dyDescent="0.3">
      <c r="B435" s="1" t="s">
        <v>1549</v>
      </c>
      <c r="C435" s="1"/>
      <c r="E435" t="s">
        <v>1555</v>
      </c>
      <c r="G435" t="s">
        <v>700</v>
      </c>
      <c r="H435" t="s">
        <v>1556</v>
      </c>
      <c r="I435">
        <v>1</v>
      </c>
      <c r="J435">
        <v>61</v>
      </c>
      <c r="K435">
        <v>42</v>
      </c>
      <c r="L435">
        <v>20</v>
      </c>
      <c r="M435" t="s">
        <v>49</v>
      </c>
      <c r="N435" t="s">
        <v>24</v>
      </c>
      <c r="O435" t="b">
        <v>1</v>
      </c>
      <c r="AA435" t="e">
        <f>Table1[[#This Row],[qPer board]]*Table1[[#This Row],[boards]]</f>
        <v>#REF!</v>
      </c>
      <c r="AB435" t="e">
        <f>VLOOKUP(Table1[[#This Row],[MA_Number]],#REF!, 2,FALSE)</f>
        <v>#REF!</v>
      </c>
      <c r="AD435" t="e">
        <f>VLOOKUP(Table1[[#This Row],[Product_Name]],'c174_calc'!$A$2:$C$153, 1, FALSE)</f>
        <v>#N/A</v>
      </c>
      <c r="AE435" t="e">
        <f>VLOOKUP(Table1[[#This Row],[Product_Name]],'c174_calc'!$A$2:$C$153, 2, FALSE)</f>
        <v>#N/A</v>
      </c>
      <c r="AF435" t="e">
        <f>VLOOKUP(Table1[[#This Row],[Product_Name]],'c174_calc'!$A$2:$C$153, 3, FALSE)</f>
        <v>#N/A</v>
      </c>
      <c r="AG435" t="e">
        <f>Table1[[#This Row],[vma]]=Table1[[#This Row],[MA_Number]]</f>
        <v>#N/A</v>
      </c>
    </row>
    <row r="436" spans="1:33" hidden="1" x14ac:dyDescent="0.3">
      <c r="A436" t="s">
        <v>478</v>
      </c>
      <c r="B436" s="1" t="s">
        <v>1026</v>
      </c>
      <c r="C436" s="1"/>
      <c r="D436" t="s">
        <v>279</v>
      </c>
      <c r="E436" t="s">
        <v>1557</v>
      </c>
      <c r="F436" t="b">
        <v>1</v>
      </c>
      <c r="I436">
        <v>1</v>
      </c>
      <c r="J436" t="s">
        <v>670</v>
      </c>
      <c r="K436" t="s">
        <v>670</v>
      </c>
      <c r="L436" t="s">
        <v>670</v>
      </c>
      <c r="O436" t="b">
        <v>1</v>
      </c>
      <c r="AA436">
        <v>1</v>
      </c>
      <c r="AB436">
        <v>1</v>
      </c>
      <c r="AD436" t="e">
        <f>VLOOKUP(Table1[[#This Row],[Product_Name]],'c174_calc'!$A$2:$C$153, 1, FALSE)</f>
        <v>#N/A</v>
      </c>
      <c r="AE436" t="e">
        <f>VLOOKUP(Table1[[#This Row],[Product_Name]],'c174_calc'!$A$2:$C$153, 2, FALSE)</f>
        <v>#N/A</v>
      </c>
      <c r="AF436" t="e">
        <f>VLOOKUP(Table1[[#This Row],[Product_Name]],'c174_calc'!$A$2:$C$153, 3, FALSE)</f>
        <v>#N/A</v>
      </c>
      <c r="AG436" t="e">
        <f>Table1[[#This Row],[vma]]=Table1[[#This Row],[MA_Number]]</f>
        <v>#N/A</v>
      </c>
    </row>
    <row r="437" spans="1:33" hidden="1" x14ac:dyDescent="0.3">
      <c r="B437" s="1" t="s">
        <v>1026</v>
      </c>
      <c r="C437" s="1"/>
      <c r="E437" t="s">
        <v>1558</v>
      </c>
      <c r="G437" t="s">
        <v>478</v>
      </c>
      <c r="H437" t="s">
        <v>1559</v>
      </c>
      <c r="I437">
        <v>1</v>
      </c>
      <c r="J437">
        <v>60</v>
      </c>
      <c r="K437">
        <v>46</v>
      </c>
      <c r="L437">
        <v>47</v>
      </c>
      <c r="M437" t="s">
        <v>49</v>
      </c>
      <c r="N437" t="s">
        <v>24</v>
      </c>
      <c r="O437" t="b">
        <v>1</v>
      </c>
      <c r="AA437">
        <v>1</v>
      </c>
      <c r="AB437">
        <v>1</v>
      </c>
      <c r="AD437" t="e">
        <f>VLOOKUP(Table1[[#This Row],[Product_Name]],'c174_calc'!$A$2:$C$153, 1, FALSE)</f>
        <v>#N/A</v>
      </c>
      <c r="AE437" t="e">
        <f>VLOOKUP(Table1[[#This Row],[Product_Name]],'c174_calc'!$A$2:$C$153, 2, FALSE)</f>
        <v>#N/A</v>
      </c>
      <c r="AF437" t="e">
        <f>VLOOKUP(Table1[[#This Row],[Product_Name]],'c174_calc'!$A$2:$C$153, 3, FALSE)</f>
        <v>#N/A</v>
      </c>
      <c r="AG437" t="e">
        <f>Table1[[#This Row],[vma]]=Table1[[#This Row],[MA_Number]]</f>
        <v>#N/A</v>
      </c>
    </row>
    <row r="438" spans="1:33" hidden="1" x14ac:dyDescent="0.3">
      <c r="B438" s="1" t="s">
        <v>1026</v>
      </c>
      <c r="C438" s="1"/>
      <c r="E438" t="s">
        <v>1560</v>
      </c>
      <c r="G438" t="s">
        <v>478</v>
      </c>
      <c r="H438" t="s">
        <v>1561</v>
      </c>
      <c r="I438">
        <v>1</v>
      </c>
      <c r="J438">
        <v>60</v>
      </c>
      <c r="K438">
        <v>46</v>
      </c>
      <c r="L438">
        <v>30</v>
      </c>
      <c r="M438" t="s">
        <v>49</v>
      </c>
      <c r="N438" t="s">
        <v>24</v>
      </c>
      <c r="O438" t="b">
        <v>1</v>
      </c>
      <c r="AA438">
        <v>1</v>
      </c>
      <c r="AB438">
        <v>1</v>
      </c>
      <c r="AD438" t="e">
        <f>VLOOKUP(Table1[[#This Row],[Product_Name]],'c174_calc'!$A$2:$C$153, 1, FALSE)</f>
        <v>#N/A</v>
      </c>
      <c r="AE438" t="e">
        <f>VLOOKUP(Table1[[#This Row],[Product_Name]],'c174_calc'!$A$2:$C$153, 2, FALSE)</f>
        <v>#N/A</v>
      </c>
      <c r="AF438" t="e">
        <f>VLOOKUP(Table1[[#This Row],[Product_Name]],'c174_calc'!$A$2:$C$153, 3, FALSE)</f>
        <v>#N/A</v>
      </c>
      <c r="AG438" t="e">
        <f>Table1[[#This Row],[vma]]=Table1[[#This Row],[MA_Number]]</f>
        <v>#N/A</v>
      </c>
    </row>
    <row r="439" spans="1:33" hidden="1" x14ac:dyDescent="0.3">
      <c r="B439" s="1" t="s">
        <v>1026</v>
      </c>
      <c r="C439" s="1"/>
      <c r="E439" t="s">
        <v>1562</v>
      </c>
      <c r="G439" t="s">
        <v>478</v>
      </c>
      <c r="H439" t="s">
        <v>1563</v>
      </c>
      <c r="I439">
        <v>1</v>
      </c>
      <c r="J439">
        <v>60</v>
      </c>
      <c r="K439">
        <v>46</v>
      </c>
      <c r="L439">
        <v>20</v>
      </c>
      <c r="M439" t="s">
        <v>49</v>
      </c>
      <c r="N439" t="s">
        <v>24</v>
      </c>
      <c r="O439" t="b">
        <v>1</v>
      </c>
      <c r="AA439">
        <v>1</v>
      </c>
      <c r="AB439">
        <v>1</v>
      </c>
      <c r="AD439" t="e">
        <f>VLOOKUP(Table1[[#This Row],[Product_Name]],'c174_calc'!$A$2:$C$153, 1, FALSE)</f>
        <v>#N/A</v>
      </c>
      <c r="AE439" t="e">
        <f>VLOOKUP(Table1[[#This Row],[Product_Name]],'c174_calc'!$A$2:$C$153, 2, FALSE)</f>
        <v>#N/A</v>
      </c>
      <c r="AF439" t="e">
        <f>VLOOKUP(Table1[[#This Row],[Product_Name]],'c174_calc'!$A$2:$C$153, 3, FALSE)</f>
        <v>#N/A</v>
      </c>
      <c r="AG439" t="e">
        <f>Table1[[#This Row],[vma]]=Table1[[#This Row],[MA_Number]]</f>
        <v>#N/A</v>
      </c>
    </row>
    <row r="440" spans="1:33" hidden="1" x14ac:dyDescent="0.3">
      <c r="A440" t="s">
        <v>479</v>
      </c>
      <c r="B440" s="1" t="s">
        <v>1020</v>
      </c>
      <c r="C440" s="1"/>
      <c r="D440" t="s">
        <v>279</v>
      </c>
      <c r="E440" t="s">
        <v>1564</v>
      </c>
      <c r="F440" t="b">
        <v>1</v>
      </c>
      <c r="I440">
        <v>1</v>
      </c>
      <c r="J440" t="s">
        <v>670</v>
      </c>
      <c r="K440" t="s">
        <v>670</v>
      </c>
      <c r="L440" t="s">
        <v>670</v>
      </c>
      <c r="O440" t="b">
        <v>1</v>
      </c>
      <c r="AA440" t="e">
        <f>Table1[[#This Row],[qPer board]]*Table1[[#This Row],[boards]]</f>
        <v>#REF!</v>
      </c>
      <c r="AB440" t="e">
        <f>VLOOKUP(Table1[[#This Row],[MA_Number]],#REF!, 2,FALSE)</f>
        <v>#REF!</v>
      </c>
      <c r="AD440" t="e">
        <f>VLOOKUP(Table1[[#This Row],[Product_Name]],'c174_calc'!$A$2:$C$153, 1, FALSE)</f>
        <v>#N/A</v>
      </c>
      <c r="AE440" t="e">
        <f>VLOOKUP(Table1[[#This Row],[Product_Name]],'c174_calc'!$A$2:$C$153, 2, FALSE)</f>
        <v>#N/A</v>
      </c>
      <c r="AF440" t="e">
        <f>VLOOKUP(Table1[[#This Row],[Product_Name]],'c174_calc'!$A$2:$C$153, 3, FALSE)</f>
        <v>#N/A</v>
      </c>
      <c r="AG440" t="e">
        <f>Table1[[#This Row],[vma]]=Table1[[#This Row],[MA_Number]]</f>
        <v>#N/A</v>
      </c>
    </row>
    <row r="441" spans="1:33" hidden="1" x14ac:dyDescent="0.3">
      <c r="B441" s="1" t="s">
        <v>1020</v>
      </c>
      <c r="C441" s="1"/>
      <c r="E441" t="s">
        <v>1565</v>
      </c>
      <c r="G441" t="s">
        <v>479</v>
      </c>
      <c r="H441" t="s">
        <v>1566</v>
      </c>
      <c r="I441">
        <v>1</v>
      </c>
      <c r="J441">
        <v>60</v>
      </c>
      <c r="K441">
        <v>41</v>
      </c>
      <c r="L441">
        <v>51</v>
      </c>
      <c r="M441" t="s">
        <v>49</v>
      </c>
      <c r="N441" t="s">
        <v>24</v>
      </c>
      <c r="O441" t="b">
        <v>1</v>
      </c>
      <c r="AA441" t="e">
        <f>Table1[[#This Row],[qPer board]]*Table1[[#This Row],[boards]]</f>
        <v>#REF!</v>
      </c>
      <c r="AB441" t="e">
        <f>VLOOKUP(Table1[[#This Row],[MA_Number]],#REF!, 2,FALSE)</f>
        <v>#REF!</v>
      </c>
      <c r="AD441" t="e">
        <f>VLOOKUP(Table1[[#This Row],[Product_Name]],'c174_calc'!$A$2:$C$153, 1, FALSE)</f>
        <v>#N/A</v>
      </c>
      <c r="AE441" t="e">
        <f>VLOOKUP(Table1[[#This Row],[Product_Name]],'c174_calc'!$A$2:$C$153, 2, FALSE)</f>
        <v>#N/A</v>
      </c>
      <c r="AF441" t="e">
        <f>VLOOKUP(Table1[[#This Row],[Product_Name]],'c174_calc'!$A$2:$C$153, 3, FALSE)</f>
        <v>#N/A</v>
      </c>
      <c r="AG441" t="e">
        <f>Table1[[#This Row],[vma]]=Table1[[#This Row],[MA_Number]]</f>
        <v>#N/A</v>
      </c>
    </row>
    <row r="442" spans="1:33" hidden="1" x14ac:dyDescent="0.3">
      <c r="B442" s="1" t="s">
        <v>1020</v>
      </c>
      <c r="C442" s="1"/>
      <c r="E442" t="s">
        <v>1567</v>
      </c>
      <c r="G442" t="s">
        <v>479</v>
      </c>
      <c r="H442" t="s">
        <v>1568</v>
      </c>
      <c r="I442">
        <v>1</v>
      </c>
      <c r="J442">
        <v>60</v>
      </c>
      <c r="K442">
        <v>41</v>
      </c>
      <c r="L442">
        <v>30</v>
      </c>
      <c r="M442" t="s">
        <v>49</v>
      </c>
      <c r="N442" t="s">
        <v>24</v>
      </c>
      <c r="O442" t="b">
        <v>1</v>
      </c>
      <c r="AA442" t="e">
        <f>Table1[[#This Row],[qPer board]]*Table1[[#This Row],[boards]]</f>
        <v>#REF!</v>
      </c>
      <c r="AB442" t="e">
        <f>VLOOKUP(Table1[[#This Row],[MA_Number]],#REF!, 2,FALSE)</f>
        <v>#REF!</v>
      </c>
      <c r="AD442" t="e">
        <f>VLOOKUP(Table1[[#This Row],[Product_Name]],'c174_calc'!$A$2:$C$153, 1, FALSE)</f>
        <v>#N/A</v>
      </c>
      <c r="AE442" t="e">
        <f>VLOOKUP(Table1[[#This Row],[Product_Name]],'c174_calc'!$A$2:$C$153, 2, FALSE)</f>
        <v>#N/A</v>
      </c>
      <c r="AF442" t="e">
        <f>VLOOKUP(Table1[[#This Row],[Product_Name]],'c174_calc'!$A$2:$C$153, 3, FALSE)</f>
        <v>#N/A</v>
      </c>
      <c r="AG442" t="e">
        <f>Table1[[#This Row],[vma]]=Table1[[#This Row],[MA_Number]]</f>
        <v>#N/A</v>
      </c>
    </row>
    <row r="443" spans="1:33" hidden="1" x14ac:dyDescent="0.3">
      <c r="B443" s="1" t="s">
        <v>1020</v>
      </c>
      <c r="C443" s="1"/>
      <c r="E443" t="s">
        <v>1569</v>
      </c>
      <c r="G443" t="s">
        <v>479</v>
      </c>
      <c r="H443" t="s">
        <v>1570</v>
      </c>
      <c r="I443">
        <v>1</v>
      </c>
      <c r="J443">
        <v>60</v>
      </c>
      <c r="K443">
        <v>41</v>
      </c>
      <c r="L443">
        <v>20</v>
      </c>
      <c r="M443" t="s">
        <v>49</v>
      </c>
      <c r="N443" t="s">
        <v>24</v>
      </c>
      <c r="O443" t="b">
        <v>1</v>
      </c>
      <c r="AA443" t="e">
        <f>Table1[[#This Row],[qPer board]]*Table1[[#This Row],[boards]]</f>
        <v>#REF!</v>
      </c>
      <c r="AB443" t="e">
        <f>VLOOKUP(Table1[[#This Row],[MA_Number]],#REF!, 2,FALSE)</f>
        <v>#REF!</v>
      </c>
      <c r="AD443" t="e">
        <f>VLOOKUP(Table1[[#This Row],[Product_Name]],'c174_calc'!$A$2:$C$153, 1, FALSE)</f>
        <v>#N/A</v>
      </c>
      <c r="AE443" t="e">
        <f>VLOOKUP(Table1[[#This Row],[Product_Name]],'c174_calc'!$A$2:$C$153, 2, FALSE)</f>
        <v>#N/A</v>
      </c>
      <c r="AF443" t="e">
        <f>VLOOKUP(Table1[[#This Row],[Product_Name]],'c174_calc'!$A$2:$C$153, 3, FALSE)</f>
        <v>#N/A</v>
      </c>
      <c r="AG443" t="e">
        <f>Table1[[#This Row],[vma]]=Table1[[#This Row],[MA_Number]]</f>
        <v>#N/A</v>
      </c>
    </row>
    <row r="444" spans="1:33" hidden="1" x14ac:dyDescent="0.3">
      <c r="A444" t="s">
        <v>480</v>
      </c>
      <c r="B444" s="1" t="s">
        <v>1571</v>
      </c>
      <c r="C444" s="1"/>
      <c r="D444" t="s">
        <v>279</v>
      </c>
      <c r="E444" t="s">
        <v>1572</v>
      </c>
      <c r="F444" t="b">
        <v>1</v>
      </c>
      <c r="I444">
        <v>1</v>
      </c>
      <c r="J444" t="s">
        <v>670</v>
      </c>
      <c r="K444" t="s">
        <v>670</v>
      </c>
      <c r="L444" t="s">
        <v>670</v>
      </c>
      <c r="O444" t="b">
        <v>1</v>
      </c>
      <c r="AA444" t="e">
        <f>Table1[[#This Row],[qPer board]]*Table1[[#This Row],[boards]]</f>
        <v>#REF!</v>
      </c>
      <c r="AB444" t="e">
        <f>VLOOKUP(Table1[[#This Row],[MA_Number]],#REF!, 2,FALSE)</f>
        <v>#REF!</v>
      </c>
      <c r="AD444" t="e">
        <f>VLOOKUP(Table1[[#This Row],[Product_Name]],'c174_calc'!$A$2:$C$153, 1, FALSE)</f>
        <v>#N/A</v>
      </c>
      <c r="AE444" t="e">
        <f>VLOOKUP(Table1[[#This Row],[Product_Name]],'c174_calc'!$A$2:$C$153, 2, FALSE)</f>
        <v>#N/A</v>
      </c>
      <c r="AF444" t="e">
        <f>VLOOKUP(Table1[[#This Row],[Product_Name]],'c174_calc'!$A$2:$C$153, 3, FALSE)</f>
        <v>#N/A</v>
      </c>
      <c r="AG444" t="e">
        <f>Table1[[#This Row],[vma]]=Table1[[#This Row],[MA_Number]]</f>
        <v>#N/A</v>
      </c>
    </row>
    <row r="445" spans="1:33" hidden="1" x14ac:dyDescent="0.3">
      <c r="B445" s="1" t="s">
        <v>1571</v>
      </c>
      <c r="C445" s="1"/>
      <c r="E445" t="s">
        <v>1573</v>
      </c>
      <c r="G445" t="s">
        <v>480</v>
      </c>
      <c r="H445" t="s">
        <v>1574</v>
      </c>
      <c r="I445">
        <v>1</v>
      </c>
      <c r="J445">
        <v>61</v>
      </c>
      <c r="K445">
        <v>42</v>
      </c>
      <c r="L445">
        <v>52</v>
      </c>
      <c r="M445" t="s">
        <v>49</v>
      </c>
      <c r="N445" t="s">
        <v>24</v>
      </c>
      <c r="O445" t="b">
        <v>1</v>
      </c>
      <c r="AA445" t="e">
        <f>Table1[[#This Row],[qPer board]]*Table1[[#This Row],[boards]]</f>
        <v>#REF!</v>
      </c>
      <c r="AB445" t="e">
        <f>VLOOKUP(Table1[[#This Row],[MA_Number]],#REF!, 2,FALSE)</f>
        <v>#REF!</v>
      </c>
      <c r="AD445" t="e">
        <f>VLOOKUP(Table1[[#This Row],[Product_Name]],'c174_calc'!$A$2:$C$153, 1, FALSE)</f>
        <v>#N/A</v>
      </c>
      <c r="AE445" t="e">
        <f>VLOOKUP(Table1[[#This Row],[Product_Name]],'c174_calc'!$A$2:$C$153, 2, FALSE)</f>
        <v>#N/A</v>
      </c>
      <c r="AF445" t="e">
        <f>VLOOKUP(Table1[[#This Row],[Product_Name]],'c174_calc'!$A$2:$C$153, 3, FALSE)</f>
        <v>#N/A</v>
      </c>
      <c r="AG445" t="e">
        <f>Table1[[#This Row],[vma]]=Table1[[#This Row],[MA_Number]]</f>
        <v>#N/A</v>
      </c>
    </row>
    <row r="446" spans="1:33" hidden="1" x14ac:dyDescent="0.3">
      <c r="B446" s="1" t="s">
        <v>1571</v>
      </c>
      <c r="C446" s="1"/>
      <c r="E446" t="s">
        <v>1553</v>
      </c>
      <c r="G446" t="s">
        <v>480</v>
      </c>
      <c r="H446" t="s">
        <v>1575</v>
      </c>
      <c r="I446">
        <v>1</v>
      </c>
      <c r="J446">
        <v>61</v>
      </c>
      <c r="K446">
        <v>42</v>
      </c>
      <c r="L446">
        <v>30</v>
      </c>
      <c r="M446" t="s">
        <v>49</v>
      </c>
      <c r="N446" t="s">
        <v>24</v>
      </c>
      <c r="O446" t="b">
        <v>1</v>
      </c>
      <c r="AA446" t="e">
        <f>Table1[[#This Row],[qPer board]]*Table1[[#This Row],[boards]]</f>
        <v>#REF!</v>
      </c>
      <c r="AB446" t="e">
        <f>VLOOKUP(Table1[[#This Row],[MA_Number]],#REF!, 2,FALSE)</f>
        <v>#REF!</v>
      </c>
      <c r="AD446" t="e">
        <f>VLOOKUP(Table1[[#This Row],[Product_Name]],'c174_calc'!$A$2:$C$153, 1, FALSE)</f>
        <v>#N/A</v>
      </c>
      <c r="AE446" t="e">
        <f>VLOOKUP(Table1[[#This Row],[Product_Name]],'c174_calc'!$A$2:$C$153, 2, FALSE)</f>
        <v>#N/A</v>
      </c>
      <c r="AF446" t="e">
        <f>VLOOKUP(Table1[[#This Row],[Product_Name]],'c174_calc'!$A$2:$C$153, 3, FALSE)</f>
        <v>#N/A</v>
      </c>
      <c r="AG446" t="e">
        <f>Table1[[#This Row],[vma]]=Table1[[#This Row],[MA_Number]]</f>
        <v>#N/A</v>
      </c>
    </row>
    <row r="447" spans="1:33" hidden="1" x14ac:dyDescent="0.3">
      <c r="B447" s="1" t="s">
        <v>1571</v>
      </c>
      <c r="C447" s="1"/>
      <c r="E447" t="s">
        <v>1576</v>
      </c>
      <c r="G447" t="s">
        <v>480</v>
      </c>
      <c r="H447" t="s">
        <v>1577</v>
      </c>
      <c r="I447">
        <v>1</v>
      </c>
      <c r="J447">
        <v>61</v>
      </c>
      <c r="K447">
        <v>42</v>
      </c>
      <c r="L447">
        <v>21</v>
      </c>
      <c r="M447" t="s">
        <v>49</v>
      </c>
      <c r="N447" t="s">
        <v>24</v>
      </c>
      <c r="O447" t="b">
        <v>1</v>
      </c>
      <c r="AA447" t="e">
        <f>Table1[[#This Row],[qPer board]]*Table1[[#This Row],[boards]]</f>
        <v>#REF!</v>
      </c>
      <c r="AB447" t="e">
        <f>VLOOKUP(Table1[[#This Row],[MA_Number]],#REF!, 2,FALSE)</f>
        <v>#REF!</v>
      </c>
      <c r="AD447" t="e">
        <f>VLOOKUP(Table1[[#This Row],[Product_Name]],'c174_calc'!$A$2:$C$153, 1, FALSE)</f>
        <v>#N/A</v>
      </c>
      <c r="AE447" t="e">
        <f>VLOOKUP(Table1[[#This Row],[Product_Name]],'c174_calc'!$A$2:$C$153, 2, FALSE)</f>
        <v>#N/A</v>
      </c>
      <c r="AF447" t="e">
        <f>VLOOKUP(Table1[[#This Row],[Product_Name]],'c174_calc'!$A$2:$C$153, 3, FALSE)</f>
        <v>#N/A</v>
      </c>
      <c r="AG447" t="e">
        <f>Table1[[#This Row],[vma]]=Table1[[#This Row],[MA_Number]]</f>
        <v>#N/A</v>
      </c>
    </row>
    <row r="448" spans="1:33" hidden="1" x14ac:dyDescent="0.3">
      <c r="A448" t="s">
        <v>1578</v>
      </c>
      <c r="B448" s="1" t="s">
        <v>1579</v>
      </c>
      <c r="C448" s="1"/>
      <c r="D448" t="s">
        <v>279</v>
      </c>
      <c r="E448" t="s">
        <v>1580</v>
      </c>
      <c r="F448" t="b">
        <v>1</v>
      </c>
      <c r="I448">
        <v>1</v>
      </c>
      <c r="J448" t="s">
        <v>670</v>
      </c>
      <c r="K448" t="s">
        <v>670</v>
      </c>
      <c r="L448" t="s">
        <v>670</v>
      </c>
      <c r="O448" t="b">
        <v>1</v>
      </c>
      <c r="AA448" t="e">
        <f>Table1[[#This Row],[qPer board]]*Table1[[#This Row],[boards]]</f>
        <v>#REF!</v>
      </c>
      <c r="AB448" t="e">
        <f>VLOOKUP(Table1[[#This Row],[MA_Number]],#REF!, 2,FALSE)</f>
        <v>#REF!</v>
      </c>
      <c r="AD448" t="e">
        <f>VLOOKUP(Table1[[#This Row],[Product_Name]],'c174_calc'!$A$2:$C$153, 1, FALSE)</f>
        <v>#N/A</v>
      </c>
      <c r="AE448" t="e">
        <f>VLOOKUP(Table1[[#This Row],[Product_Name]],'c174_calc'!$A$2:$C$153, 2, FALSE)</f>
        <v>#N/A</v>
      </c>
      <c r="AF448" t="e">
        <f>VLOOKUP(Table1[[#This Row],[Product_Name]],'c174_calc'!$A$2:$C$153, 3, FALSE)</f>
        <v>#N/A</v>
      </c>
      <c r="AG448" t="e">
        <f>Table1[[#This Row],[vma]]=Table1[[#This Row],[MA_Number]]</f>
        <v>#N/A</v>
      </c>
    </row>
    <row r="449" spans="1:33" hidden="1" x14ac:dyDescent="0.3">
      <c r="B449" s="1" t="s">
        <v>1579</v>
      </c>
      <c r="C449" s="1"/>
      <c r="E449" t="s">
        <v>1581</v>
      </c>
      <c r="G449" t="s">
        <v>1578</v>
      </c>
      <c r="H449" t="s">
        <v>1582</v>
      </c>
      <c r="I449">
        <v>1</v>
      </c>
      <c r="J449">
        <v>61</v>
      </c>
      <c r="K449">
        <v>43</v>
      </c>
      <c r="L449">
        <v>63</v>
      </c>
      <c r="M449" t="s">
        <v>49</v>
      </c>
      <c r="N449" t="s">
        <v>24</v>
      </c>
      <c r="O449" t="b">
        <v>1</v>
      </c>
      <c r="AA449" t="e">
        <f>Table1[[#This Row],[qPer board]]*Table1[[#This Row],[boards]]</f>
        <v>#REF!</v>
      </c>
      <c r="AB449" t="e">
        <f>VLOOKUP(Table1[[#This Row],[MA_Number]],#REF!, 2,FALSE)</f>
        <v>#REF!</v>
      </c>
      <c r="AD449" t="e">
        <f>VLOOKUP(Table1[[#This Row],[Product_Name]],'c174_calc'!$A$2:$C$153, 1, FALSE)</f>
        <v>#N/A</v>
      </c>
      <c r="AE449" t="e">
        <f>VLOOKUP(Table1[[#This Row],[Product_Name]],'c174_calc'!$A$2:$C$153, 2, FALSE)</f>
        <v>#N/A</v>
      </c>
      <c r="AF449" t="e">
        <f>VLOOKUP(Table1[[#This Row],[Product_Name]],'c174_calc'!$A$2:$C$153, 3, FALSE)</f>
        <v>#N/A</v>
      </c>
      <c r="AG449" t="e">
        <f>Table1[[#This Row],[vma]]=Table1[[#This Row],[MA_Number]]</f>
        <v>#N/A</v>
      </c>
    </row>
    <row r="450" spans="1:33" hidden="1" x14ac:dyDescent="0.3">
      <c r="B450" s="1" t="s">
        <v>1579</v>
      </c>
      <c r="C450" s="1"/>
      <c r="E450" t="s">
        <v>1583</v>
      </c>
      <c r="G450" t="s">
        <v>1578</v>
      </c>
      <c r="H450" t="s">
        <v>1584</v>
      </c>
      <c r="I450">
        <v>1</v>
      </c>
      <c r="J450">
        <v>61</v>
      </c>
      <c r="K450">
        <v>43</v>
      </c>
      <c r="L450">
        <v>30</v>
      </c>
      <c r="M450" t="s">
        <v>49</v>
      </c>
      <c r="N450" t="s">
        <v>24</v>
      </c>
      <c r="O450" t="b">
        <v>1</v>
      </c>
      <c r="AA450" t="e">
        <f>Table1[[#This Row],[qPer board]]*Table1[[#This Row],[boards]]</f>
        <v>#REF!</v>
      </c>
      <c r="AB450" t="e">
        <f>VLOOKUP(Table1[[#This Row],[MA_Number]],#REF!, 2,FALSE)</f>
        <v>#REF!</v>
      </c>
      <c r="AD450" t="e">
        <f>VLOOKUP(Table1[[#This Row],[Product_Name]],'c174_calc'!$A$2:$C$153, 1, FALSE)</f>
        <v>#N/A</v>
      </c>
      <c r="AE450" t="e">
        <f>VLOOKUP(Table1[[#This Row],[Product_Name]],'c174_calc'!$A$2:$C$153, 2, FALSE)</f>
        <v>#N/A</v>
      </c>
      <c r="AF450" t="e">
        <f>VLOOKUP(Table1[[#This Row],[Product_Name]],'c174_calc'!$A$2:$C$153, 3, FALSE)</f>
        <v>#N/A</v>
      </c>
      <c r="AG450" t="e">
        <f>Table1[[#This Row],[vma]]=Table1[[#This Row],[MA_Number]]</f>
        <v>#N/A</v>
      </c>
    </row>
    <row r="451" spans="1:33" hidden="1" x14ac:dyDescent="0.3">
      <c r="B451" s="1" t="s">
        <v>1579</v>
      </c>
      <c r="C451" s="1"/>
      <c r="E451" t="s">
        <v>1585</v>
      </c>
      <c r="G451" t="s">
        <v>1578</v>
      </c>
      <c r="H451" t="s">
        <v>1586</v>
      </c>
      <c r="I451">
        <v>1</v>
      </c>
      <c r="J451">
        <v>61</v>
      </c>
      <c r="K451">
        <v>43</v>
      </c>
      <c r="L451">
        <v>20</v>
      </c>
      <c r="M451" t="s">
        <v>49</v>
      </c>
      <c r="N451" t="s">
        <v>24</v>
      </c>
      <c r="O451" t="b">
        <v>1</v>
      </c>
      <c r="AA451" t="e">
        <f>Table1[[#This Row],[qPer board]]*Table1[[#This Row],[boards]]</f>
        <v>#REF!</v>
      </c>
      <c r="AB451" t="e">
        <f>VLOOKUP(Table1[[#This Row],[MA_Number]],#REF!, 2,FALSE)</f>
        <v>#REF!</v>
      </c>
      <c r="AD451" t="e">
        <f>VLOOKUP(Table1[[#This Row],[Product_Name]],'c174_calc'!$A$2:$C$153, 1, FALSE)</f>
        <v>#N/A</v>
      </c>
      <c r="AE451" t="e">
        <f>VLOOKUP(Table1[[#This Row],[Product_Name]],'c174_calc'!$A$2:$C$153, 2, FALSE)</f>
        <v>#N/A</v>
      </c>
      <c r="AF451" t="e">
        <f>VLOOKUP(Table1[[#This Row],[Product_Name]],'c174_calc'!$A$2:$C$153, 3, FALSE)</f>
        <v>#N/A</v>
      </c>
      <c r="AG451" t="e">
        <f>Table1[[#This Row],[vma]]=Table1[[#This Row],[MA_Number]]</f>
        <v>#N/A</v>
      </c>
    </row>
    <row r="452" spans="1:33" hidden="1" x14ac:dyDescent="0.3">
      <c r="A452" t="s">
        <v>481</v>
      </c>
      <c r="B452" s="1" t="s">
        <v>1050</v>
      </c>
      <c r="C452" s="1"/>
      <c r="D452" t="s">
        <v>279</v>
      </c>
      <c r="E452" t="s">
        <v>1587</v>
      </c>
      <c r="F452" t="b">
        <v>1</v>
      </c>
      <c r="I452">
        <v>1</v>
      </c>
      <c r="J452" t="s">
        <v>670</v>
      </c>
      <c r="K452" t="s">
        <v>670</v>
      </c>
      <c r="L452" t="s">
        <v>670</v>
      </c>
      <c r="O452" t="b">
        <v>1</v>
      </c>
      <c r="AA452">
        <v>1</v>
      </c>
      <c r="AB452">
        <v>1</v>
      </c>
      <c r="AD452" t="e">
        <f>VLOOKUP(Table1[[#This Row],[Product_Name]],'c174_calc'!$A$2:$C$153, 1, FALSE)</f>
        <v>#N/A</v>
      </c>
      <c r="AE452" t="e">
        <f>VLOOKUP(Table1[[#This Row],[Product_Name]],'c174_calc'!$A$2:$C$153, 2, FALSE)</f>
        <v>#N/A</v>
      </c>
      <c r="AF452" t="e">
        <f>VLOOKUP(Table1[[#This Row],[Product_Name]],'c174_calc'!$A$2:$C$153, 3, FALSE)</f>
        <v>#N/A</v>
      </c>
      <c r="AG452" t="e">
        <f>Table1[[#This Row],[vma]]=Table1[[#This Row],[MA_Number]]</f>
        <v>#N/A</v>
      </c>
    </row>
    <row r="453" spans="1:33" hidden="1" x14ac:dyDescent="0.3">
      <c r="B453" s="1" t="s">
        <v>1050</v>
      </c>
      <c r="C453" s="1"/>
      <c r="E453" t="s">
        <v>1588</v>
      </c>
      <c r="G453" t="s">
        <v>481</v>
      </c>
      <c r="H453" t="s">
        <v>1589</v>
      </c>
      <c r="I453">
        <v>1</v>
      </c>
      <c r="J453">
        <v>61</v>
      </c>
      <c r="K453">
        <v>39</v>
      </c>
      <c r="L453">
        <v>65</v>
      </c>
      <c r="M453" t="s">
        <v>49</v>
      </c>
      <c r="N453" t="s">
        <v>24</v>
      </c>
      <c r="O453" t="b">
        <v>1</v>
      </c>
      <c r="AA453">
        <v>1</v>
      </c>
      <c r="AB453">
        <v>1</v>
      </c>
      <c r="AD453" t="e">
        <f>VLOOKUP(Table1[[#This Row],[Product_Name]],'c174_calc'!$A$2:$C$153, 1, FALSE)</f>
        <v>#N/A</v>
      </c>
      <c r="AE453" t="e">
        <f>VLOOKUP(Table1[[#This Row],[Product_Name]],'c174_calc'!$A$2:$C$153, 2, FALSE)</f>
        <v>#N/A</v>
      </c>
      <c r="AF453" t="e">
        <f>VLOOKUP(Table1[[#This Row],[Product_Name]],'c174_calc'!$A$2:$C$153, 3, FALSE)</f>
        <v>#N/A</v>
      </c>
      <c r="AG453" t="e">
        <f>Table1[[#This Row],[vma]]=Table1[[#This Row],[MA_Number]]</f>
        <v>#N/A</v>
      </c>
    </row>
    <row r="454" spans="1:33" hidden="1" x14ac:dyDescent="0.3">
      <c r="B454" s="1" t="s">
        <v>1050</v>
      </c>
      <c r="C454" s="1"/>
      <c r="E454" t="s">
        <v>1590</v>
      </c>
      <c r="G454" t="s">
        <v>481</v>
      </c>
      <c r="H454" t="s">
        <v>1591</v>
      </c>
      <c r="I454">
        <v>1</v>
      </c>
      <c r="J454">
        <v>61</v>
      </c>
      <c r="K454">
        <v>39</v>
      </c>
      <c r="L454">
        <v>30</v>
      </c>
      <c r="M454" t="s">
        <v>49</v>
      </c>
      <c r="N454" t="s">
        <v>24</v>
      </c>
      <c r="O454" t="b">
        <v>1</v>
      </c>
      <c r="AA454">
        <v>1</v>
      </c>
      <c r="AB454">
        <v>1</v>
      </c>
      <c r="AD454" t="e">
        <f>VLOOKUP(Table1[[#This Row],[Product_Name]],'c174_calc'!$A$2:$C$153, 1, FALSE)</f>
        <v>#N/A</v>
      </c>
      <c r="AE454" t="e">
        <f>VLOOKUP(Table1[[#This Row],[Product_Name]],'c174_calc'!$A$2:$C$153, 2, FALSE)</f>
        <v>#N/A</v>
      </c>
      <c r="AF454" t="e">
        <f>VLOOKUP(Table1[[#This Row],[Product_Name]],'c174_calc'!$A$2:$C$153, 3, FALSE)</f>
        <v>#N/A</v>
      </c>
      <c r="AG454" t="e">
        <f>Table1[[#This Row],[vma]]=Table1[[#This Row],[MA_Number]]</f>
        <v>#N/A</v>
      </c>
    </row>
    <row r="455" spans="1:33" hidden="1" x14ac:dyDescent="0.3">
      <c r="B455" s="1" t="s">
        <v>1050</v>
      </c>
      <c r="C455" s="1"/>
      <c r="E455" t="s">
        <v>1592</v>
      </c>
      <c r="G455" t="s">
        <v>481</v>
      </c>
      <c r="H455" t="s">
        <v>1593</v>
      </c>
      <c r="I455">
        <v>1</v>
      </c>
      <c r="J455">
        <v>61</v>
      </c>
      <c r="K455">
        <v>39</v>
      </c>
      <c r="L455">
        <v>20</v>
      </c>
      <c r="M455" t="s">
        <v>49</v>
      </c>
      <c r="N455" t="s">
        <v>24</v>
      </c>
      <c r="O455" t="b">
        <v>1</v>
      </c>
      <c r="AA455">
        <v>1</v>
      </c>
      <c r="AB455">
        <v>1</v>
      </c>
      <c r="AD455" t="e">
        <f>VLOOKUP(Table1[[#This Row],[Product_Name]],'c174_calc'!$A$2:$C$153, 1, FALSE)</f>
        <v>#N/A</v>
      </c>
      <c r="AE455" t="e">
        <f>VLOOKUP(Table1[[#This Row],[Product_Name]],'c174_calc'!$A$2:$C$153, 2, FALSE)</f>
        <v>#N/A</v>
      </c>
      <c r="AF455" t="e">
        <f>VLOOKUP(Table1[[#This Row],[Product_Name]],'c174_calc'!$A$2:$C$153, 3, FALSE)</f>
        <v>#N/A</v>
      </c>
      <c r="AG455" t="e">
        <f>Table1[[#This Row],[vma]]=Table1[[#This Row],[MA_Number]]</f>
        <v>#N/A</v>
      </c>
    </row>
    <row r="456" spans="1:33" hidden="1" x14ac:dyDescent="0.3">
      <c r="A456" t="s">
        <v>484</v>
      </c>
      <c r="B456" s="1" t="s">
        <v>1054</v>
      </c>
      <c r="C456" s="1"/>
      <c r="D456" t="s">
        <v>279</v>
      </c>
      <c r="F456" t="b">
        <v>1</v>
      </c>
      <c r="I456">
        <v>1</v>
      </c>
      <c r="J456" t="s">
        <v>670</v>
      </c>
      <c r="K456" t="s">
        <v>670</v>
      </c>
      <c r="L456" t="s">
        <v>670</v>
      </c>
      <c r="O456" t="b">
        <v>1</v>
      </c>
      <c r="AA456" t="e">
        <f>Table1[[#This Row],[qPer board]]*Table1[[#This Row],[boards]]</f>
        <v>#REF!</v>
      </c>
      <c r="AB456" t="e">
        <f>VLOOKUP(Table1[[#This Row],[MA_Number]],#REF!, 2,FALSE)</f>
        <v>#REF!</v>
      </c>
      <c r="AD456" t="e">
        <f>VLOOKUP(Table1[[#This Row],[Product_Name]],'c174_calc'!$A$2:$C$153, 1, FALSE)</f>
        <v>#N/A</v>
      </c>
      <c r="AE456" t="e">
        <f>VLOOKUP(Table1[[#This Row],[Product_Name]],'c174_calc'!$A$2:$C$153, 2, FALSE)</f>
        <v>#N/A</v>
      </c>
      <c r="AF456" t="e">
        <f>VLOOKUP(Table1[[#This Row],[Product_Name]],'c174_calc'!$A$2:$C$153, 3, FALSE)</f>
        <v>#N/A</v>
      </c>
      <c r="AG456" t="e">
        <f>Table1[[#This Row],[vma]]=Table1[[#This Row],[MA_Number]]</f>
        <v>#N/A</v>
      </c>
    </row>
    <row r="457" spans="1:33" hidden="1" x14ac:dyDescent="0.3">
      <c r="B457" s="1" t="s">
        <v>1054</v>
      </c>
      <c r="C457" s="1"/>
      <c r="E457" t="s">
        <v>1594</v>
      </c>
      <c r="G457" t="s">
        <v>484</v>
      </c>
      <c r="H457" t="s">
        <v>1595</v>
      </c>
      <c r="I457">
        <v>1</v>
      </c>
      <c r="J457">
        <v>65</v>
      </c>
      <c r="K457">
        <v>50</v>
      </c>
      <c r="L457">
        <v>85</v>
      </c>
      <c r="M457" t="s">
        <v>49</v>
      </c>
      <c r="N457" t="s">
        <v>24</v>
      </c>
      <c r="O457" t="b">
        <v>1</v>
      </c>
      <c r="AA457" t="e">
        <f>Table1[[#This Row],[qPer board]]*Table1[[#This Row],[boards]]</f>
        <v>#REF!</v>
      </c>
      <c r="AB457" t="e">
        <f>VLOOKUP(Table1[[#This Row],[MA_Number]],#REF!, 2,FALSE)</f>
        <v>#REF!</v>
      </c>
      <c r="AD457" t="e">
        <f>VLOOKUP(Table1[[#This Row],[Product_Name]],'c174_calc'!$A$2:$C$153, 1, FALSE)</f>
        <v>#N/A</v>
      </c>
      <c r="AE457" t="e">
        <f>VLOOKUP(Table1[[#This Row],[Product_Name]],'c174_calc'!$A$2:$C$153, 2, FALSE)</f>
        <v>#N/A</v>
      </c>
      <c r="AF457" t="e">
        <f>VLOOKUP(Table1[[#This Row],[Product_Name]],'c174_calc'!$A$2:$C$153, 3, FALSE)</f>
        <v>#N/A</v>
      </c>
      <c r="AG457" t="e">
        <f>Table1[[#This Row],[vma]]=Table1[[#This Row],[MA_Number]]</f>
        <v>#N/A</v>
      </c>
    </row>
    <row r="458" spans="1:33" hidden="1" x14ac:dyDescent="0.3">
      <c r="B458" s="1" t="s">
        <v>1054</v>
      </c>
      <c r="C458" s="1"/>
      <c r="E458" t="s">
        <v>1596</v>
      </c>
      <c r="G458" t="s">
        <v>484</v>
      </c>
      <c r="H458" t="s">
        <v>1597</v>
      </c>
      <c r="I458">
        <v>1</v>
      </c>
      <c r="J458">
        <v>65</v>
      </c>
      <c r="K458">
        <v>50</v>
      </c>
      <c r="L458">
        <v>30</v>
      </c>
      <c r="M458" t="s">
        <v>49</v>
      </c>
      <c r="N458" t="s">
        <v>24</v>
      </c>
      <c r="O458" t="b">
        <v>1</v>
      </c>
      <c r="AA458" t="e">
        <f>Table1[[#This Row],[qPer board]]*Table1[[#This Row],[boards]]</f>
        <v>#REF!</v>
      </c>
      <c r="AB458" t="e">
        <f>VLOOKUP(Table1[[#This Row],[MA_Number]],#REF!, 2,FALSE)</f>
        <v>#REF!</v>
      </c>
      <c r="AD458" t="e">
        <f>VLOOKUP(Table1[[#This Row],[Product_Name]],'c174_calc'!$A$2:$C$153, 1, FALSE)</f>
        <v>#N/A</v>
      </c>
      <c r="AE458" t="e">
        <f>VLOOKUP(Table1[[#This Row],[Product_Name]],'c174_calc'!$A$2:$C$153, 2, FALSE)</f>
        <v>#N/A</v>
      </c>
      <c r="AF458" t="e">
        <f>VLOOKUP(Table1[[#This Row],[Product_Name]],'c174_calc'!$A$2:$C$153, 3, FALSE)</f>
        <v>#N/A</v>
      </c>
      <c r="AG458" t="e">
        <f>Table1[[#This Row],[vma]]=Table1[[#This Row],[MA_Number]]</f>
        <v>#N/A</v>
      </c>
    </row>
    <row r="459" spans="1:33" hidden="1" x14ac:dyDescent="0.3">
      <c r="B459" s="1" t="s">
        <v>1054</v>
      </c>
      <c r="C459" s="1"/>
      <c r="E459" t="s">
        <v>1598</v>
      </c>
      <c r="G459" t="s">
        <v>484</v>
      </c>
      <c r="H459" t="s">
        <v>1599</v>
      </c>
      <c r="I459">
        <v>1</v>
      </c>
      <c r="J459">
        <v>65</v>
      </c>
      <c r="K459">
        <v>50</v>
      </c>
      <c r="L459">
        <v>20</v>
      </c>
      <c r="M459" t="s">
        <v>49</v>
      </c>
      <c r="N459" t="s">
        <v>24</v>
      </c>
      <c r="O459" t="b">
        <v>1</v>
      </c>
      <c r="AA459" t="e">
        <f>Table1[[#This Row],[qPer board]]*Table1[[#This Row],[boards]]</f>
        <v>#REF!</v>
      </c>
      <c r="AB459" t="e">
        <f>VLOOKUP(Table1[[#This Row],[MA_Number]],#REF!, 2,FALSE)</f>
        <v>#REF!</v>
      </c>
      <c r="AD459" t="e">
        <f>VLOOKUP(Table1[[#This Row],[Product_Name]],'c174_calc'!$A$2:$C$153, 1, FALSE)</f>
        <v>#N/A</v>
      </c>
      <c r="AE459" t="e">
        <f>VLOOKUP(Table1[[#This Row],[Product_Name]],'c174_calc'!$A$2:$C$153, 2, FALSE)</f>
        <v>#N/A</v>
      </c>
      <c r="AF459" t="e">
        <f>VLOOKUP(Table1[[#This Row],[Product_Name]],'c174_calc'!$A$2:$C$153, 3, FALSE)</f>
        <v>#N/A</v>
      </c>
      <c r="AG459" t="e">
        <f>Table1[[#This Row],[vma]]=Table1[[#This Row],[MA_Number]]</f>
        <v>#N/A</v>
      </c>
    </row>
    <row r="460" spans="1:33" hidden="1" x14ac:dyDescent="0.3">
      <c r="A460" t="s">
        <v>1600</v>
      </c>
      <c r="B460" s="1" t="s">
        <v>1601</v>
      </c>
      <c r="C460" s="1"/>
      <c r="D460" t="s">
        <v>279</v>
      </c>
      <c r="E460" t="s">
        <v>1602</v>
      </c>
      <c r="F460" t="b">
        <v>1</v>
      </c>
      <c r="I460">
        <v>1</v>
      </c>
      <c r="J460" t="s">
        <v>670</v>
      </c>
      <c r="K460" t="s">
        <v>670</v>
      </c>
      <c r="L460" t="s">
        <v>670</v>
      </c>
      <c r="O460" t="b">
        <v>1</v>
      </c>
      <c r="AA460" t="e">
        <f>Table1[[#This Row],[qPer board]]*Table1[[#This Row],[boards]]</f>
        <v>#REF!</v>
      </c>
      <c r="AB460" t="e">
        <f>VLOOKUP(Table1[[#This Row],[MA_Number]],#REF!, 2,FALSE)</f>
        <v>#REF!</v>
      </c>
      <c r="AD460" t="e">
        <f>VLOOKUP(Table1[[#This Row],[Product_Name]],'c174_calc'!$A$2:$C$153, 1, FALSE)</f>
        <v>#N/A</v>
      </c>
      <c r="AE460" t="e">
        <f>VLOOKUP(Table1[[#This Row],[Product_Name]],'c174_calc'!$A$2:$C$153, 2, FALSE)</f>
        <v>#N/A</v>
      </c>
      <c r="AF460" t="e">
        <f>VLOOKUP(Table1[[#This Row],[Product_Name]],'c174_calc'!$A$2:$C$153, 3, FALSE)</f>
        <v>#N/A</v>
      </c>
      <c r="AG460" t="e">
        <f>Table1[[#This Row],[vma]]=Table1[[#This Row],[MA_Number]]</f>
        <v>#N/A</v>
      </c>
    </row>
    <row r="461" spans="1:33" hidden="1" x14ac:dyDescent="0.3">
      <c r="B461" s="1" t="s">
        <v>1601</v>
      </c>
      <c r="C461" s="1"/>
      <c r="E461" t="s">
        <v>1603</v>
      </c>
      <c r="G461" t="s">
        <v>1600</v>
      </c>
      <c r="H461" t="s">
        <v>1604</v>
      </c>
      <c r="I461">
        <v>1</v>
      </c>
      <c r="J461">
        <v>84</v>
      </c>
      <c r="K461">
        <v>48</v>
      </c>
      <c r="L461">
        <v>53</v>
      </c>
      <c r="M461" t="s">
        <v>49</v>
      </c>
      <c r="N461" t="s">
        <v>24</v>
      </c>
      <c r="O461" t="b">
        <v>1</v>
      </c>
      <c r="AA461" t="e">
        <f>Table1[[#This Row],[qPer board]]*Table1[[#This Row],[boards]]</f>
        <v>#REF!</v>
      </c>
      <c r="AB461" t="e">
        <f>VLOOKUP(Table1[[#This Row],[MA_Number]],#REF!, 2,FALSE)</f>
        <v>#REF!</v>
      </c>
      <c r="AD461" t="e">
        <f>VLOOKUP(Table1[[#This Row],[Product_Name]],'c174_calc'!$A$2:$C$153, 1, FALSE)</f>
        <v>#N/A</v>
      </c>
      <c r="AE461" t="e">
        <f>VLOOKUP(Table1[[#This Row],[Product_Name]],'c174_calc'!$A$2:$C$153, 2, FALSE)</f>
        <v>#N/A</v>
      </c>
      <c r="AF461" t="e">
        <f>VLOOKUP(Table1[[#This Row],[Product_Name]],'c174_calc'!$A$2:$C$153, 3, FALSE)</f>
        <v>#N/A</v>
      </c>
      <c r="AG461" t="e">
        <f>Table1[[#This Row],[vma]]=Table1[[#This Row],[MA_Number]]</f>
        <v>#N/A</v>
      </c>
    </row>
    <row r="462" spans="1:33" hidden="1" x14ac:dyDescent="0.3">
      <c r="B462" s="1" t="s">
        <v>1601</v>
      </c>
      <c r="C462" s="1"/>
      <c r="E462" t="s">
        <v>1605</v>
      </c>
      <c r="G462" t="s">
        <v>1600</v>
      </c>
      <c r="H462" t="s">
        <v>1606</v>
      </c>
      <c r="I462">
        <v>1</v>
      </c>
      <c r="J462">
        <v>84</v>
      </c>
      <c r="K462">
        <v>48</v>
      </c>
      <c r="L462">
        <v>30</v>
      </c>
      <c r="M462" t="s">
        <v>49</v>
      </c>
      <c r="N462" t="s">
        <v>24</v>
      </c>
      <c r="O462" t="b">
        <v>1</v>
      </c>
      <c r="AA462" t="e">
        <f>Table1[[#This Row],[qPer board]]*Table1[[#This Row],[boards]]</f>
        <v>#REF!</v>
      </c>
      <c r="AB462" t="e">
        <f>VLOOKUP(Table1[[#This Row],[MA_Number]],#REF!, 2,FALSE)</f>
        <v>#REF!</v>
      </c>
      <c r="AD462" t="e">
        <f>VLOOKUP(Table1[[#This Row],[Product_Name]],'c174_calc'!$A$2:$C$153, 1, FALSE)</f>
        <v>#N/A</v>
      </c>
      <c r="AE462" t="e">
        <f>VLOOKUP(Table1[[#This Row],[Product_Name]],'c174_calc'!$A$2:$C$153, 2, FALSE)</f>
        <v>#N/A</v>
      </c>
      <c r="AF462" t="e">
        <f>VLOOKUP(Table1[[#This Row],[Product_Name]],'c174_calc'!$A$2:$C$153, 3, FALSE)</f>
        <v>#N/A</v>
      </c>
      <c r="AG462" t="e">
        <f>Table1[[#This Row],[vma]]=Table1[[#This Row],[MA_Number]]</f>
        <v>#N/A</v>
      </c>
    </row>
    <row r="463" spans="1:33" hidden="1" x14ac:dyDescent="0.3">
      <c r="B463" s="1" t="s">
        <v>1601</v>
      </c>
      <c r="C463" s="1"/>
      <c r="E463" t="s">
        <v>1607</v>
      </c>
      <c r="G463" t="s">
        <v>1600</v>
      </c>
      <c r="H463" t="s">
        <v>1608</v>
      </c>
      <c r="I463">
        <v>1</v>
      </c>
      <c r="J463">
        <v>84</v>
      </c>
      <c r="K463">
        <v>48</v>
      </c>
      <c r="L463">
        <v>20</v>
      </c>
      <c r="M463" t="s">
        <v>49</v>
      </c>
      <c r="N463" t="s">
        <v>24</v>
      </c>
      <c r="O463" t="b">
        <v>1</v>
      </c>
      <c r="AA463" t="e">
        <f>Table1[[#This Row],[qPer board]]*Table1[[#This Row],[boards]]</f>
        <v>#REF!</v>
      </c>
      <c r="AB463" t="e">
        <f>VLOOKUP(Table1[[#This Row],[MA_Number]],#REF!, 2,FALSE)</f>
        <v>#REF!</v>
      </c>
      <c r="AD463" t="e">
        <f>VLOOKUP(Table1[[#This Row],[Product_Name]],'c174_calc'!$A$2:$C$153, 1, FALSE)</f>
        <v>#N/A</v>
      </c>
      <c r="AE463" t="e">
        <f>VLOOKUP(Table1[[#This Row],[Product_Name]],'c174_calc'!$A$2:$C$153, 2, FALSE)</f>
        <v>#N/A</v>
      </c>
      <c r="AF463" t="e">
        <f>VLOOKUP(Table1[[#This Row],[Product_Name]],'c174_calc'!$A$2:$C$153, 3, FALSE)</f>
        <v>#N/A</v>
      </c>
      <c r="AG463" t="e">
        <f>Table1[[#This Row],[vma]]=Table1[[#This Row],[MA_Number]]</f>
        <v>#N/A</v>
      </c>
    </row>
    <row r="464" spans="1:33" hidden="1" x14ac:dyDescent="0.3">
      <c r="A464" t="s">
        <v>704</v>
      </c>
      <c r="B464" s="1" t="s">
        <v>1063</v>
      </c>
      <c r="C464" s="1"/>
      <c r="D464" t="s">
        <v>279</v>
      </c>
      <c r="F464" t="b">
        <v>1</v>
      </c>
      <c r="I464">
        <v>1</v>
      </c>
      <c r="J464" t="s">
        <v>670</v>
      </c>
      <c r="K464" t="s">
        <v>670</v>
      </c>
      <c r="L464" t="s">
        <v>670</v>
      </c>
      <c r="O464" t="b">
        <v>1</v>
      </c>
      <c r="AA464" t="e">
        <f>Table1[[#This Row],[qPer board]]*Table1[[#This Row],[boards]]</f>
        <v>#REF!</v>
      </c>
      <c r="AB464" t="e">
        <f>VLOOKUP(Table1[[#This Row],[MA_Number]],#REF!, 2,FALSE)</f>
        <v>#REF!</v>
      </c>
      <c r="AD464" t="e">
        <f>VLOOKUP(Table1[[#This Row],[Product_Name]],'c174_calc'!$A$2:$C$153, 1, FALSE)</f>
        <v>#N/A</v>
      </c>
      <c r="AE464" t="e">
        <f>VLOOKUP(Table1[[#This Row],[Product_Name]],'c174_calc'!$A$2:$C$153, 2, FALSE)</f>
        <v>#N/A</v>
      </c>
      <c r="AF464" t="e">
        <f>VLOOKUP(Table1[[#This Row],[Product_Name]],'c174_calc'!$A$2:$C$153, 3, FALSE)</f>
        <v>#N/A</v>
      </c>
      <c r="AG464" t="e">
        <f>Table1[[#This Row],[vma]]=Table1[[#This Row],[MA_Number]]</f>
        <v>#N/A</v>
      </c>
    </row>
    <row r="465" spans="1:33" hidden="1" x14ac:dyDescent="0.3">
      <c r="B465" s="1" t="s">
        <v>1063</v>
      </c>
      <c r="C465" s="1"/>
      <c r="E465" t="s">
        <v>1609</v>
      </c>
      <c r="G465" t="s">
        <v>704</v>
      </c>
      <c r="H465" t="s">
        <v>1610</v>
      </c>
      <c r="I465">
        <v>1</v>
      </c>
      <c r="J465">
        <v>83</v>
      </c>
      <c r="K465">
        <v>54</v>
      </c>
      <c r="L465">
        <v>54</v>
      </c>
      <c r="M465" t="s">
        <v>49</v>
      </c>
      <c r="N465" t="s">
        <v>24</v>
      </c>
      <c r="O465" t="b">
        <v>1</v>
      </c>
      <c r="AA465" t="e">
        <f>Table1[[#This Row],[qPer board]]*Table1[[#This Row],[boards]]</f>
        <v>#REF!</v>
      </c>
      <c r="AB465" t="e">
        <f>VLOOKUP(Table1[[#This Row],[MA_Number]],#REF!, 2,FALSE)</f>
        <v>#REF!</v>
      </c>
      <c r="AD465" t="e">
        <f>VLOOKUP(Table1[[#This Row],[Product_Name]],'c174_calc'!$A$2:$C$153, 1, FALSE)</f>
        <v>#N/A</v>
      </c>
      <c r="AE465" t="e">
        <f>VLOOKUP(Table1[[#This Row],[Product_Name]],'c174_calc'!$A$2:$C$153, 2, FALSE)</f>
        <v>#N/A</v>
      </c>
      <c r="AF465" t="e">
        <f>VLOOKUP(Table1[[#This Row],[Product_Name]],'c174_calc'!$A$2:$C$153, 3, FALSE)</f>
        <v>#N/A</v>
      </c>
      <c r="AG465" t="e">
        <f>Table1[[#This Row],[vma]]=Table1[[#This Row],[MA_Number]]</f>
        <v>#N/A</v>
      </c>
    </row>
    <row r="466" spans="1:33" hidden="1" x14ac:dyDescent="0.3">
      <c r="B466" s="1" t="s">
        <v>1063</v>
      </c>
      <c r="C466" s="1"/>
      <c r="E466" t="s">
        <v>1611</v>
      </c>
      <c r="G466" t="s">
        <v>704</v>
      </c>
      <c r="H466" t="s">
        <v>1612</v>
      </c>
      <c r="I466">
        <v>1</v>
      </c>
      <c r="J466">
        <v>83</v>
      </c>
      <c r="K466">
        <v>54</v>
      </c>
      <c r="L466">
        <v>30</v>
      </c>
      <c r="M466" t="s">
        <v>49</v>
      </c>
      <c r="N466" t="s">
        <v>24</v>
      </c>
      <c r="O466" t="b">
        <v>1</v>
      </c>
      <c r="AA466" t="e">
        <f>Table1[[#This Row],[qPer board]]*Table1[[#This Row],[boards]]</f>
        <v>#REF!</v>
      </c>
      <c r="AB466" t="e">
        <f>VLOOKUP(Table1[[#This Row],[MA_Number]],#REF!, 2,FALSE)</f>
        <v>#REF!</v>
      </c>
      <c r="AD466" t="e">
        <f>VLOOKUP(Table1[[#This Row],[Product_Name]],'c174_calc'!$A$2:$C$153, 1, FALSE)</f>
        <v>#N/A</v>
      </c>
      <c r="AE466" t="e">
        <f>VLOOKUP(Table1[[#This Row],[Product_Name]],'c174_calc'!$A$2:$C$153, 2, FALSE)</f>
        <v>#N/A</v>
      </c>
      <c r="AF466" t="e">
        <f>VLOOKUP(Table1[[#This Row],[Product_Name]],'c174_calc'!$A$2:$C$153, 3, FALSE)</f>
        <v>#N/A</v>
      </c>
      <c r="AG466" t="e">
        <f>Table1[[#This Row],[vma]]=Table1[[#This Row],[MA_Number]]</f>
        <v>#N/A</v>
      </c>
    </row>
    <row r="467" spans="1:33" hidden="1" x14ac:dyDescent="0.3">
      <c r="B467" s="1" t="s">
        <v>1063</v>
      </c>
      <c r="C467" s="1"/>
      <c r="E467" t="s">
        <v>1613</v>
      </c>
      <c r="G467" t="s">
        <v>704</v>
      </c>
      <c r="H467" t="s">
        <v>1614</v>
      </c>
      <c r="I467">
        <v>1</v>
      </c>
      <c r="J467">
        <v>83</v>
      </c>
      <c r="K467">
        <v>54</v>
      </c>
      <c r="L467">
        <v>20</v>
      </c>
      <c r="M467" t="s">
        <v>49</v>
      </c>
      <c r="N467" t="s">
        <v>24</v>
      </c>
      <c r="O467" t="b">
        <v>1</v>
      </c>
      <c r="AA467" t="e">
        <f>Table1[[#This Row],[qPer board]]*Table1[[#This Row],[boards]]</f>
        <v>#REF!</v>
      </c>
      <c r="AB467" t="e">
        <f>VLOOKUP(Table1[[#This Row],[MA_Number]],#REF!, 2,FALSE)</f>
        <v>#REF!</v>
      </c>
      <c r="AD467" t="e">
        <f>VLOOKUP(Table1[[#This Row],[Product_Name]],'c174_calc'!$A$2:$C$153, 1, FALSE)</f>
        <v>#N/A</v>
      </c>
      <c r="AE467" t="e">
        <f>VLOOKUP(Table1[[#This Row],[Product_Name]],'c174_calc'!$A$2:$C$153, 2, FALSE)</f>
        <v>#N/A</v>
      </c>
      <c r="AF467" t="e">
        <f>VLOOKUP(Table1[[#This Row],[Product_Name]],'c174_calc'!$A$2:$C$153, 3, FALSE)</f>
        <v>#N/A</v>
      </c>
      <c r="AG467" t="e">
        <f>Table1[[#This Row],[vma]]=Table1[[#This Row],[MA_Number]]</f>
        <v>#N/A</v>
      </c>
    </row>
    <row r="468" spans="1:33" hidden="1" x14ac:dyDescent="0.3">
      <c r="A468" t="s">
        <v>1615</v>
      </c>
      <c r="B468" s="1" t="s">
        <v>1616</v>
      </c>
      <c r="C468" s="1"/>
      <c r="D468" t="s">
        <v>279</v>
      </c>
      <c r="E468" t="s">
        <v>1617</v>
      </c>
      <c r="F468" t="b">
        <v>1</v>
      </c>
      <c r="I468">
        <v>1</v>
      </c>
      <c r="J468" t="s">
        <v>670</v>
      </c>
      <c r="K468" t="s">
        <v>670</v>
      </c>
      <c r="L468" t="s">
        <v>670</v>
      </c>
      <c r="O468" t="b">
        <v>1</v>
      </c>
      <c r="AA468" t="e">
        <f>Table1[[#This Row],[qPer board]]*Table1[[#This Row],[boards]]</f>
        <v>#REF!</v>
      </c>
      <c r="AB468" t="e">
        <f>VLOOKUP(Table1[[#This Row],[MA_Number]],#REF!, 2,FALSE)</f>
        <v>#REF!</v>
      </c>
      <c r="AD468" t="e">
        <f>VLOOKUP(Table1[[#This Row],[Product_Name]],'c174_calc'!$A$2:$C$153, 1, FALSE)</f>
        <v>#N/A</v>
      </c>
      <c r="AE468" t="e">
        <f>VLOOKUP(Table1[[#This Row],[Product_Name]],'c174_calc'!$A$2:$C$153, 2, FALSE)</f>
        <v>#N/A</v>
      </c>
      <c r="AF468" t="e">
        <f>VLOOKUP(Table1[[#This Row],[Product_Name]],'c174_calc'!$A$2:$C$153, 3, FALSE)</f>
        <v>#N/A</v>
      </c>
      <c r="AG468" t="e">
        <f>Table1[[#This Row],[vma]]=Table1[[#This Row],[MA_Number]]</f>
        <v>#N/A</v>
      </c>
    </row>
    <row r="469" spans="1:33" hidden="1" x14ac:dyDescent="0.3">
      <c r="B469" s="1" t="s">
        <v>1616</v>
      </c>
      <c r="C469" s="1"/>
      <c r="E469" t="s">
        <v>1618</v>
      </c>
      <c r="G469" t="s">
        <v>1615</v>
      </c>
      <c r="H469" t="s">
        <v>1619</v>
      </c>
      <c r="I469">
        <v>1</v>
      </c>
      <c r="J469">
        <v>67</v>
      </c>
      <c r="K469">
        <v>60</v>
      </c>
      <c r="L469">
        <v>63</v>
      </c>
      <c r="M469" t="s">
        <v>1011</v>
      </c>
      <c r="N469" t="s">
        <v>24</v>
      </c>
      <c r="O469" t="b">
        <v>1</v>
      </c>
      <c r="AA469" t="e">
        <f>Table1[[#This Row],[qPer board]]*Table1[[#This Row],[boards]]</f>
        <v>#REF!</v>
      </c>
      <c r="AB469" t="e">
        <f>VLOOKUP(Table1[[#This Row],[MA_Number]],#REF!, 2,FALSE)</f>
        <v>#REF!</v>
      </c>
      <c r="AD469" t="e">
        <f>VLOOKUP(Table1[[#This Row],[Product_Name]],'c174_calc'!$A$2:$C$153, 1, FALSE)</f>
        <v>#N/A</v>
      </c>
      <c r="AE469" t="e">
        <f>VLOOKUP(Table1[[#This Row],[Product_Name]],'c174_calc'!$A$2:$C$153, 2, FALSE)</f>
        <v>#N/A</v>
      </c>
      <c r="AF469" t="e">
        <f>VLOOKUP(Table1[[#This Row],[Product_Name]],'c174_calc'!$A$2:$C$153, 3, FALSE)</f>
        <v>#N/A</v>
      </c>
      <c r="AG469" t="e">
        <f>Table1[[#This Row],[vma]]=Table1[[#This Row],[MA_Number]]</f>
        <v>#N/A</v>
      </c>
    </row>
    <row r="470" spans="1:33" hidden="1" x14ac:dyDescent="0.3">
      <c r="B470" s="1" t="s">
        <v>1616</v>
      </c>
      <c r="C470" s="1"/>
      <c r="E470" t="s">
        <v>1620</v>
      </c>
      <c r="G470" t="s">
        <v>1615</v>
      </c>
      <c r="H470" t="s">
        <v>1621</v>
      </c>
      <c r="I470">
        <v>1</v>
      </c>
      <c r="J470">
        <v>67</v>
      </c>
      <c r="K470">
        <v>60</v>
      </c>
      <c r="L470">
        <v>30</v>
      </c>
      <c r="M470" t="s">
        <v>1011</v>
      </c>
      <c r="N470" t="s">
        <v>24</v>
      </c>
      <c r="O470" t="b">
        <v>1</v>
      </c>
      <c r="AA470" t="e">
        <f>Table1[[#This Row],[qPer board]]*Table1[[#This Row],[boards]]</f>
        <v>#REF!</v>
      </c>
      <c r="AB470" t="e">
        <f>VLOOKUP(Table1[[#This Row],[MA_Number]],#REF!, 2,FALSE)</f>
        <v>#REF!</v>
      </c>
      <c r="AD470" t="e">
        <f>VLOOKUP(Table1[[#This Row],[Product_Name]],'c174_calc'!$A$2:$C$153, 1, FALSE)</f>
        <v>#N/A</v>
      </c>
      <c r="AE470" t="e">
        <f>VLOOKUP(Table1[[#This Row],[Product_Name]],'c174_calc'!$A$2:$C$153, 2, FALSE)</f>
        <v>#N/A</v>
      </c>
      <c r="AF470" t="e">
        <f>VLOOKUP(Table1[[#This Row],[Product_Name]],'c174_calc'!$A$2:$C$153, 3, FALSE)</f>
        <v>#N/A</v>
      </c>
      <c r="AG470" t="e">
        <f>Table1[[#This Row],[vma]]=Table1[[#This Row],[MA_Number]]</f>
        <v>#N/A</v>
      </c>
    </row>
    <row r="471" spans="1:33" hidden="1" x14ac:dyDescent="0.3">
      <c r="B471" s="1" t="s">
        <v>1616</v>
      </c>
      <c r="C471" s="1"/>
      <c r="E471" t="s">
        <v>1622</v>
      </c>
      <c r="G471" t="s">
        <v>1615</v>
      </c>
      <c r="H471" t="s">
        <v>1623</v>
      </c>
      <c r="I471">
        <v>1</v>
      </c>
      <c r="J471">
        <v>67</v>
      </c>
      <c r="K471">
        <v>60</v>
      </c>
      <c r="L471">
        <v>20</v>
      </c>
      <c r="M471" t="s">
        <v>1011</v>
      </c>
      <c r="N471" t="s">
        <v>24</v>
      </c>
      <c r="O471" t="b">
        <v>1</v>
      </c>
      <c r="AA471" t="e">
        <f>Table1[[#This Row],[qPer board]]*Table1[[#This Row],[boards]]</f>
        <v>#REF!</v>
      </c>
      <c r="AB471" t="e">
        <f>VLOOKUP(Table1[[#This Row],[MA_Number]],#REF!, 2,FALSE)</f>
        <v>#REF!</v>
      </c>
      <c r="AD471" t="e">
        <f>VLOOKUP(Table1[[#This Row],[Product_Name]],'c174_calc'!$A$2:$C$153, 1, FALSE)</f>
        <v>#N/A</v>
      </c>
      <c r="AE471" t="e">
        <f>VLOOKUP(Table1[[#This Row],[Product_Name]],'c174_calc'!$A$2:$C$153, 2, FALSE)</f>
        <v>#N/A</v>
      </c>
      <c r="AF471" t="e">
        <f>VLOOKUP(Table1[[#This Row],[Product_Name]],'c174_calc'!$A$2:$C$153, 3, FALSE)</f>
        <v>#N/A</v>
      </c>
      <c r="AG471" t="e">
        <f>Table1[[#This Row],[vma]]=Table1[[#This Row],[MA_Number]]</f>
        <v>#N/A</v>
      </c>
    </row>
    <row r="472" spans="1:33" hidden="1" x14ac:dyDescent="0.3">
      <c r="A472" t="s">
        <v>491</v>
      </c>
      <c r="B472" s="1" t="s">
        <v>1059</v>
      </c>
      <c r="C472" s="1"/>
      <c r="D472" t="s">
        <v>279</v>
      </c>
      <c r="E472" t="s">
        <v>1624</v>
      </c>
      <c r="F472" t="b">
        <v>1</v>
      </c>
      <c r="I472">
        <v>1</v>
      </c>
      <c r="J472" t="s">
        <v>670</v>
      </c>
      <c r="K472" t="s">
        <v>670</v>
      </c>
      <c r="L472" t="s">
        <v>670</v>
      </c>
      <c r="O472" t="b">
        <v>1</v>
      </c>
      <c r="AA472" t="e">
        <f>Table1[[#This Row],[qPer board]]*Table1[[#This Row],[boards]]</f>
        <v>#REF!</v>
      </c>
      <c r="AB472" t="e">
        <f>VLOOKUP(Table1[[#This Row],[MA_Number]],#REF!, 2,FALSE)</f>
        <v>#REF!</v>
      </c>
      <c r="AD472" t="e">
        <f>VLOOKUP(Table1[[#This Row],[Product_Name]],'c174_calc'!$A$2:$C$153, 1, FALSE)</f>
        <v>#N/A</v>
      </c>
      <c r="AE472" t="e">
        <f>VLOOKUP(Table1[[#This Row],[Product_Name]],'c174_calc'!$A$2:$C$153, 2, FALSE)</f>
        <v>#N/A</v>
      </c>
      <c r="AF472" t="e">
        <f>VLOOKUP(Table1[[#This Row],[Product_Name]],'c174_calc'!$A$2:$C$153, 3, FALSE)</f>
        <v>#N/A</v>
      </c>
      <c r="AG472" t="e">
        <f>Table1[[#This Row],[vma]]=Table1[[#This Row],[MA_Number]]</f>
        <v>#N/A</v>
      </c>
    </row>
    <row r="473" spans="1:33" hidden="1" x14ac:dyDescent="0.3">
      <c r="B473" s="1" t="s">
        <v>1059</v>
      </c>
      <c r="C473" s="1"/>
      <c r="E473" t="s">
        <v>1625</v>
      </c>
      <c r="G473" t="s">
        <v>491</v>
      </c>
      <c r="H473" t="s">
        <v>1626</v>
      </c>
      <c r="I473">
        <v>1</v>
      </c>
      <c r="J473">
        <v>61</v>
      </c>
      <c r="K473">
        <v>39</v>
      </c>
      <c r="L473">
        <v>53</v>
      </c>
      <c r="M473" t="s">
        <v>49</v>
      </c>
      <c r="N473" t="s">
        <v>24</v>
      </c>
      <c r="O473" t="b">
        <v>1</v>
      </c>
      <c r="AA473" t="e">
        <f>Table1[[#This Row],[qPer board]]*Table1[[#This Row],[boards]]</f>
        <v>#REF!</v>
      </c>
      <c r="AB473" t="e">
        <f>VLOOKUP(Table1[[#This Row],[MA_Number]],#REF!, 2,FALSE)</f>
        <v>#REF!</v>
      </c>
      <c r="AD473" t="e">
        <f>VLOOKUP(Table1[[#This Row],[Product_Name]],'c174_calc'!$A$2:$C$153, 1, FALSE)</f>
        <v>#N/A</v>
      </c>
      <c r="AE473" t="e">
        <f>VLOOKUP(Table1[[#This Row],[Product_Name]],'c174_calc'!$A$2:$C$153, 2, FALSE)</f>
        <v>#N/A</v>
      </c>
      <c r="AF473" t="e">
        <f>VLOOKUP(Table1[[#This Row],[Product_Name]],'c174_calc'!$A$2:$C$153, 3, FALSE)</f>
        <v>#N/A</v>
      </c>
      <c r="AG473" t="e">
        <f>Table1[[#This Row],[vma]]=Table1[[#This Row],[MA_Number]]</f>
        <v>#N/A</v>
      </c>
    </row>
    <row r="474" spans="1:33" hidden="1" x14ac:dyDescent="0.3">
      <c r="B474" s="1" t="s">
        <v>1059</v>
      </c>
      <c r="C474" s="1"/>
      <c r="E474" t="s">
        <v>1590</v>
      </c>
      <c r="G474" t="s">
        <v>491</v>
      </c>
      <c r="H474" t="s">
        <v>1627</v>
      </c>
      <c r="I474">
        <v>1</v>
      </c>
      <c r="J474">
        <v>61</v>
      </c>
      <c r="K474">
        <v>39</v>
      </c>
      <c r="L474">
        <v>30</v>
      </c>
      <c r="M474" t="s">
        <v>49</v>
      </c>
      <c r="N474" t="s">
        <v>24</v>
      </c>
      <c r="O474" t="b">
        <v>1</v>
      </c>
      <c r="AA474" t="e">
        <f>Table1[[#This Row],[qPer board]]*Table1[[#This Row],[boards]]</f>
        <v>#REF!</v>
      </c>
      <c r="AB474" t="e">
        <f>VLOOKUP(Table1[[#This Row],[MA_Number]],#REF!, 2,FALSE)</f>
        <v>#REF!</v>
      </c>
      <c r="AD474" t="e">
        <f>VLOOKUP(Table1[[#This Row],[Product_Name]],'c174_calc'!$A$2:$C$153, 1, FALSE)</f>
        <v>#N/A</v>
      </c>
      <c r="AE474" t="e">
        <f>VLOOKUP(Table1[[#This Row],[Product_Name]],'c174_calc'!$A$2:$C$153, 2, FALSE)</f>
        <v>#N/A</v>
      </c>
      <c r="AF474" t="e">
        <f>VLOOKUP(Table1[[#This Row],[Product_Name]],'c174_calc'!$A$2:$C$153, 3, FALSE)</f>
        <v>#N/A</v>
      </c>
      <c r="AG474" t="e">
        <f>Table1[[#This Row],[vma]]=Table1[[#This Row],[MA_Number]]</f>
        <v>#N/A</v>
      </c>
    </row>
    <row r="475" spans="1:33" hidden="1" x14ac:dyDescent="0.3">
      <c r="B475" s="1" t="s">
        <v>1059</v>
      </c>
      <c r="C475" s="1"/>
      <c r="E475" t="s">
        <v>1628</v>
      </c>
      <c r="G475" t="s">
        <v>491</v>
      </c>
      <c r="H475" t="s">
        <v>1629</v>
      </c>
      <c r="I475">
        <v>1</v>
      </c>
      <c r="J475">
        <v>61</v>
      </c>
      <c r="K475">
        <v>39</v>
      </c>
      <c r="L475">
        <v>21</v>
      </c>
      <c r="M475" t="s">
        <v>49</v>
      </c>
      <c r="N475" t="s">
        <v>24</v>
      </c>
      <c r="O475" t="b">
        <v>1</v>
      </c>
      <c r="AA475" t="e">
        <f>Table1[[#This Row],[qPer board]]*Table1[[#This Row],[boards]]</f>
        <v>#REF!</v>
      </c>
      <c r="AB475" t="e">
        <f>VLOOKUP(Table1[[#This Row],[MA_Number]],#REF!, 2,FALSE)</f>
        <v>#REF!</v>
      </c>
      <c r="AD475" t="e">
        <f>VLOOKUP(Table1[[#This Row],[Product_Name]],'c174_calc'!$A$2:$C$153, 1, FALSE)</f>
        <v>#N/A</v>
      </c>
      <c r="AE475" t="e">
        <f>VLOOKUP(Table1[[#This Row],[Product_Name]],'c174_calc'!$A$2:$C$153, 2, FALSE)</f>
        <v>#N/A</v>
      </c>
      <c r="AF475" t="e">
        <f>VLOOKUP(Table1[[#This Row],[Product_Name]],'c174_calc'!$A$2:$C$153, 3, FALSE)</f>
        <v>#N/A</v>
      </c>
      <c r="AG475" t="e">
        <f>Table1[[#This Row],[vma]]=Table1[[#This Row],[MA_Number]]</f>
        <v>#N/A</v>
      </c>
    </row>
    <row r="476" spans="1:33" hidden="1" x14ac:dyDescent="0.3">
      <c r="A476" t="s">
        <v>492</v>
      </c>
      <c r="B476" s="1" t="s">
        <v>1630</v>
      </c>
      <c r="C476" s="1"/>
      <c r="D476" t="s">
        <v>279</v>
      </c>
      <c r="E476" t="s">
        <v>1631</v>
      </c>
      <c r="F476" t="b">
        <v>1</v>
      </c>
      <c r="I476">
        <v>1</v>
      </c>
      <c r="J476" t="s">
        <v>670</v>
      </c>
      <c r="K476" t="s">
        <v>670</v>
      </c>
      <c r="L476" t="s">
        <v>670</v>
      </c>
      <c r="O476" t="b">
        <v>1</v>
      </c>
      <c r="AA476" t="e">
        <f>Table1[[#This Row],[qPer board]]*Table1[[#This Row],[boards]]</f>
        <v>#REF!</v>
      </c>
      <c r="AB476" t="e">
        <f>VLOOKUP(Table1[[#This Row],[MA_Number]],#REF!, 2,FALSE)</f>
        <v>#REF!</v>
      </c>
      <c r="AD476" t="e">
        <f>VLOOKUP(Table1[[#This Row],[Product_Name]],'c174_calc'!$A$2:$C$153, 1, FALSE)</f>
        <v>#N/A</v>
      </c>
      <c r="AE476" t="e">
        <f>VLOOKUP(Table1[[#This Row],[Product_Name]],'c174_calc'!$A$2:$C$153, 2, FALSE)</f>
        <v>#N/A</v>
      </c>
      <c r="AF476" t="e">
        <f>VLOOKUP(Table1[[#This Row],[Product_Name]],'c174_calc'!$A$2:$C$153, 3, FALSE)</f>
        <v>#N/A</v>
      </c>
      <c r="AG476" t="e">
        <f>Table1[[#This Row],[vma]]=Table1[[#This Row],[MA_Number]]</f>
        <v>#N/A</v>
      </c>
    </row>
    <row r="477" spans="1:33" hidden="1" x14ac:dyDescent="0.3">
      <c r="B477" s="1" t="s">
        <v>1630</v>
      </c>
      <c r="C477" s="1"/>
      <c r="E477" t="s">
        <v>1632</v>
      </c>
      <c r="G477" t="s">
        <v>492</v>
      </c>
      <c r="H477" t="s">
        <v>1633</v>
      </c>
      <c r="I477">
        <v>1</v>
      </c>
      <c r="J477">
        <v>61</v>
      </c>
      <c r="K477">
        <v>36</v>
      </c>
      <c r="L477">
        <v>53</v>
      </c>
      <c r="M477" t="s">
        <v>49</v>
      </c>
      <c r="N477" t="s">
        <v>24</v>
      </c>
      <c r="O477" t="b">
        <v>1</v>
      </c>
      <c r="AA477" t="e">
        <f>Table1[[#This Row],[qPer board]]*Table1[[#This Row],[boards]]</f>
        <v>#REF!</v>
      </c>
      <c r="AB477" t="e">
        <f>VLOOKUP(Table1[[#This Row],[MA_Number]],#REF!, 2,FALSE)</f>
        <v>#REF!</v>
      </c>
      <c r="AD477" t="e">
        <f>VLOOKUP(Table1[[#This Row],[Product_Name]],'c174_calc'!$A$2:$C$153, 1, FALSE)</f>
        <v>#N/A</v>
      </c>
      <c r="AE477" t="e">
        <f>VLOOKUP(Table1[[#This Row],[Product_Name]],'c174_calc'!$A$2:$C$153, 2, FALSE)</f>
        <v>#N/A</v>
      </c>
      <c r="AF477" t="e">
        <f>VLOOKUP(Table1[[#This Row],[Product_Name]],'c174_calc'!$A$2:$C$153, 3, FALSE)</f>
        <v>#N/A</v>
      </c>
      <c r="AG477" t="e">
        <f>Table1[[#This Row],[vma]]=Table1[[#This Row],[MA_Number]]</f>
        <v>#N/A</v>
      </c>
    </row>
    <row r="478" spans="1:33" hidden="1" x14ac:dyDescent="0.3">
      <c r="B478" s="1" t="s">
        <v>1630</v>
      </c>
      <c r="C478" s="1"/>
      <c r="E478" t="s">
        <v>1634</v>
      </c>
      <c r="G478" t="s">
        <v>492</v>
      </c>
      <c r="H478" t="s">
        <v>1635</v>
      </c>
      <c r="I478">
        <v>1</v>
      </c>
      <c r="J478">
        <v>61</v>
      </c>
      <c r="K478">
        <v>36</v>
      </c>
      <c r="L478">
        <v>30</v>
      </c>
      <c r="M478" t="s">
        <v>49</v>
      </c>
      <c r="N478" t="s">
        <v>24</v>
      </c>
      <c r="O478" t="b">
        <v>1</v>
      </c>
      <c r="AA478" t="e">
        <f>Table1[[#This Row],[qPer board]]*Table1[[#This Row],[boards]]</f>
        <v>#REF!</v>
      </c>
      <c r="AB478" t="e">
        <f>VLOOKUP(Table1[[#This Row],[MA_Number]],#REF!, 2,FALSE)</f>
        <v>#REF!</v>
      </c>
      <c r="AD478" t="e">
        <f>VLOOKUP(Table1[[#This Row],[Product_Name]],'c174_calc'!$A$2:$C$153, 1, FALSE)</f>
        <v>#N/A</v>
      </c>
      <c r="AE478" t="e">
        <f>VLOOKUP(Table1[[#This Row],[Product_Name]],'c174_calc'!$A$2:$C$153, 2, FALSE)</f>
        <v>#N/A</v>
      </c>
      <c r="AF478" t="e">
        <f>VLOOKUP(Table1[[#This Row],[Product_Name]],'c174_calc'!$A$2:$C$153, 3, FALSE)</f>
        <v>#N/A</v>
      </c>
      <c r="AG478" t="e">
        <f>Table1[[#This Row],[vma]]=Table1[[#This Row],[MA_Number]]</f>
        <v>#N/A</v>
      </c>
    </row>
    <row r="479" spans="1:33" hidden="1" x14ac:dyDescent="0.3">
      <c r="B479" s="1" t="s">
        <v>1630</v>
      </c>
      <c r="C479" s="1"/>
      <c r="E479" t="s">
        <v>1636</v>
      </c>
      <c r="G479" t="s">
        <v>492</v>
      </c>
      <c r="H479" t="s">
        <v>1637</v>
      </c>
      <c r="I479">
        <v>1</v>
      </c>
      <c r="J479">
        <v>61</v>
      </c>
      <c r="K479">
        <v>36</v>
      </c>
      <c r="L479">
        <v>21</v>
      </c>
      <c r="M479" t="s">
        <v>49</v>
      </c>
      <c r="N479" t="s">
        <v>24</v>
      </c>
      <c r="O479" t="b">
        <v>1</v>
      </c>
      <c r="AA479" t="e">
        <f>Table1[[#This Row],[qPer board]]*Table1[[#This Row],[boards]]</f>
        <v>#REF!</v>
      </c>
      <c r="AB479" t="e">
        <f>VLOOKUP(Table1[[#This Row],[MA_Number]],#REF!, 2,FALSE)</f>
        <v>#REF!</v>
      </c>
      <c r="AD479" t="e">
        <f>VLOOKUP(Table1[[#This Row],[Product_Name]],'c174_calc'!$A$2:$C$153, 1, FALSE)</f>
        <v>#N/A</v>
      </c>
      <c r="AE479" t="e">
        <f>VLOOKUP(Table1[[#This Row],[Product_Name]],'c174_calc'!$A$2:$C$153, 2, FALSE)</f>
        <v>#N/A</v>
      </c>
      <c r="AF479" t="e">
        <f>VLOOKUP(Table1[[#This Row],[Product_Name]],'c174_calc'!$A$2:$C$153, 3, FALSE)</f>
        <v>#N/A</v>
      </c>
      <c r="AG479" t="e">
        <f>Table1[[#This Row],[vma]]=Table1[[#This Row],[MA_Number]]</f>
        <v>#N/A</v>
      </c>
    </row>
    <row r="480" spans="1:33" hidden="1" x14ac:dyDescent="0.3">
      <c r="A480" t="s">
        <v>708</v>
      </c>
      <c r="B480" s="1" t="s">
        <v>1064</v>
      </c>
      <c r="C480" s="1"/>
      <c r="D480" t="s">
        <v>279</v>
      </c>
      <c r="E480" t="s">
        <v>1638</v>
      </c>
      <c r="F480" t="b">
        <v>1</v>
      </c>
      <c r="I480">
        <v>1</v>
      </c>
      <c r="J480" t="s">
        <v>670</v>
      </c>
      <c r="K480" t="s">
        <v>670</v>
      </c>
      <c r="L480" t="s">
        <v>670</v>
      </c>
      <c r="O480" t="b">
        <v>1</v>
      </c>
      <c r="AA480" t="e">
        <f>Table1[[#This Row],[qPer board]]*Table1[[#This Row],[boards]]</f>
        <v>#REF!</v>
      </c>
      <c r="AB480" t="e">
        <f>VLOOKUP(Table1[[#This Row],[MA_Number]],#REF!, 2,FALSE)</f>
        <v>#REF!</v>
      </c>
      <c r="AD480" t="e">
        <f>VLOOKUP(Table1[[#This Row],[Product_Name]],'c174_calc'!$A$2:$C$153, 1, FALSE)</f>
        <v>#N/A</v>
      </c>
      <c r="AE480" t="e">
        <f>VLOOKUP(Table1[[#This Row],[Product_Name]],'c174_calc'!$A$2:$C$153, 2, FALSE)</f>
        <v>#N/A</v>
      </c>
      <c r="AF480" t="e">
        <f>VLOOKUP(Table1[[#This Row],[Product_Name]],'c174_calc'!$A$2:$C$153, 3, FALSE)</f>
        <v>#N/A</v>
      </c>
      <c r="AG480" t="e">
        <f>Table1[[#This Row],[vma]]=Table1[[#This Row],[MA_Number]]</f>
        <v>#N/A</v>
      </c>
    </row>
    <row r="481" spans="1:33" hidden="1" x14ac:dyDescent="0.3">
      <c r="B481" s="1" t="s">
        <v>1064</v>
      </c>
      <c r="C481" s="1"/>
      <c r="E481" t="s">
        <v>1632</v>
      </c>
      <c r="G481" t="s">
        <v>708</v>
      </c>
      <c r="H481" t="s">
        <v>1639</v>
      </c>
      <c r="I481">
        <v>1</v>
      </c>
      <c r="J481">
        <v>61</v>
      </c>
      <c r="K481">
        <v>36</v>
      </c>
      <c r="L481">
        <v>53</v>
      </c>
      <c r="M481" t="s">
        <v>49</v>
      </c>
      <c r="N481" t="s">
        <v>24</v>
      </c>
      <c r="O481" t="b">
        <v>1</v>
      </c>
      <c r="AA481" t="e">
        <f>Table1[[#This Row],[qPer board]]*Table1[[#This Row],[boards]]</f>
        <v>#REF!</v>
      </c>
      <c r="AB481" t="e">
        <f>VLOOKUP(Table1[[#This Row],[MA_Number]],#REF!, 2,FALSE)</f>
        <v>#REF!</v>
      </c>
      <c r="AD481" t="e">
        <f>VLOOKUP(Table1[[#This Row],[Product_Name]],'c174_calc'!$A$2:$C$153, 1, FALSE)</f>
        <v>#N/A</v>
      </c>
      <c r="AE481" t="e">
        <f>VLOOKUP(Table1[[#This Row],[Product_Name]],'c174_calc'!$A$2:$C$153, 2, FALSE)</f>
        <v>#N/A</v>
      </c>
      <c r="AF481" t="e">
        <f>VLOOKUP(Table1[[#This Row],[Product_Name]],'c174_calc'!$A$2:$C$153, 3, FALSE)</f>
        <v>#N/A</v>
      </c>
      <c r="AG481" t="e">
        <f>Table1[[#This Row],[vma]]=Table1[[#This Row],[MA_Number]]</f>
        <v>#N/A</v>
      </c>
    </row>
    <row r="482" spans="1:33" hidden="1" x14ac:dyDescent="0.3">
      <c r="B482" s="1" t="s">
        <v>1064</v>
      </c>
      <c r="C482" s="1"/>
      <c r="E482" t="s">
        <v>1634</v>
      </c>
      <c r="G482" t="s">
        <v>708</v>
      </c>
      <c r="H482" t="s">
        <v>1640</v>
      </c>
      <c r="I482">
        <v>1</v>
      </c>
      <c r="J482">
        <v>61</v>
      </c>
      <c r="K482">
        <v>36</v>
      </c>
      <c r="L482">
        <v>30</v>
      </c>
      <c r="M482" t="s">
        <v>49</v>
      </c>
      <c r="N482" t="s">
        <v>24</v>
      </c>
      <c r="O482" t="b">
        <v>1</v>
      </c>
      <c r="AA482" t="e">
        <f>Table1[[#This Row],[qPer board]]*Table1[[#This Row],[boards]]</f>
        <v>#REF!</v>
      </c>
      <c r="AB482" t="e">
        <f>VLOOKUP(Table1[[#This Row],[MA_Number]],#REF!, 2,FALSE)</f>
        <v>#REF!</v>
      </c>
      <c r="AD482" t="e">
        <f>VLOOKUP(Table1[[#This Row],[Product_Name]],'c174_calc'!$A$2:$C$153, 1, FALSE)</f>
        <v>#N/A</v>
      </c>
      <c r="AE482" t="e">
        <f>VLOOKUP(Table1[[#This Row],[Product_Name]],'c174_calc'!$A$2:$C$153, 2, FALSE)</f>
        <v>#N/A</v>
      </c>
      <c r="AF482" t="e">
        <f>VLOOKUP(Table1[[#This Row],[Product_Name]],'c174_calc'!$A$2:$C$153, 3, FALSE)</f>
        <v>#N/A</v>
      </c>
      <c r="AG482" t="e">
        <f>Table1[[#This Row],[vma]]=Table1[[#This Row],[MA_Number]]</f>
        <v>#N/A</v>
      </c>
    </row>
    <row r="483" spans="1:33" hidden="1" x14ac:dyDescent="0.3">
      <c r="B483" s="1" t="s">
        <v>1064</v>
      </c>
      <c r="C483" s="1"/>
      <c r="E483" t="s">
        <v>1636</v>
      </c>
      <c r="G483" t="s">
        <v>708</v>
      </c>
      <c r="H483" t="s">
        <v>1641</v>
      </c>
      <c r="I483">
        <v>1</v>
      </c>
      <c r="J483">
        <v>61</v>
      </c>
      <c r="K483">
        <v>36</v>
      </c>
      <c r="L483">
        <v>21</v>
      </c>
      <c r="M483" t="s">
        <v>49</v>
      </c>
      <c r="N483" t="s">
        <v>24</v>
      </c>
      <c r="O483" t="b">
        <v>1</v>
      </c>
      <c r="AA483" t="e">
        <f>Table1[[#This Row],[qPer board]]*Table1[[#This Row],[boards]]</f>
        <v>#REF!</v>
      </c>
      <c r="AB483" t="e">
        <f>VLOOKUP(Table1[[#This Row],[MA_Number]],#REF!, 2,FALSE)</f>
        <v>#REF!</v>
      </c>
      <c r="AD483" t="e">
        <f>VLOOKUP(Table1[[#This Row],[Product_Name]],'c174_calc'!$A$2:$C$153, 1, FALSE)</f>
        <v>#N/A</v>
      </c>
      <c r="AE483" t="e">
        <f>VLOOKUP(Table1[[#This Row],[Product_Name]],'c174_calc'!$A$2:$C$153, 2, FALSE)</f>
        <v>#N/A</v>
      </c>
      <c r="AF483" t="e">
        <f>VLOOKUP(Table1[[#This Row],[Product_Name]],'c174_calc'!$A$2:$C$153, 3, FALSE)</f>
        <v>#N/A</v>
      </c>
      <c r="AG483" t="e">
        <f>Table1[[#This Row],[vma]]=Table1[[#This Row],[MA_Number]]</f>
        <v>#N/A</v>
      </c>
    </row>
    <row r="484" spans="1:33" hidden="1" x14ac:dyDescent="0.3">
      <c r="A484" t="s">
        <v>498</v>
      </c>
      <c r="B484" s="1" t="s">
        <v>1060</v>
      </c>
      <c r="C484" s="1"/>
      <c r="D484" t="s">
        <v>279</v>
      </c>
      <c r="E484" t="s">
        <v>1631</v>
      </c>
      <c r="F484" t="b">
        <v>1</v>
      </c>
      <c r="I484">
        <v>1</v>
      </c>
      <c r="J484" t="s">
        <v>670</v>
      </c>
      <c r="K484" t="s">
        <v>670</v>
      </c>
      <c r="L484" t="s">
        <v>670</v>
      </c>
      <c r="O484" t="b">
        <v>1</v>
      </c>
      <c r="AA484" t="e">
        <f>Table1[[#This Row],[qPer board]]*Table1[[#This Row],[boards]]</f>
        <v>#REF!</v>
      </c>
      <c r="AB484" t="e">
        <f>VLOOKUP(Table1[[#This Row],[MA_Number]],#REF!, 2,FALSE)</f>
        <v>#REF!</v>
      </c>
      <c r="AD484" t="e">
        <f>VLOOKUP(Table1[[#This Row],[Product_Name]],'c174_calc'!$A$2:$C$153, 1, FALSE)</f>
        <v>#N/A</v>
      </c>
      <c r="AE484" t="e">
        <f>VLOOKUP(Table1[[#This Row],[Product_Name]],'c174_calc'!$A$2:$C$153, 2, FALSE)</f>
        <v>#N/A</v>
      </c>
      <c r="AF484" t="e">
        <f>VLOOKUP(Table1[[#This Row],[Product_Name]],'c174_calc'!$A$2:$C$153, 3, FALSE)</f>
        <v>#N/A</v>
      </c>
      <c r="AG484" t="e">
        <f>Table1[[#This Row],[vma]]=Table1[[#This Row],[MA_Number]]</f>
        <v>#N/A</v>
      </c>
    </row>
    <row r="485" spans="1:33" hidden="1" x14ac:dyDescent="0.3">
      <c r="B485" s="1" t="s">
        <v>1060</v>
      </c>
      <c r="C485" s="1"/>
      <c r="E485" t="s">
        <v>1632</v>
      </c>
      <c r="G485" t="s">
        <v>498</v>
      </c>
      <c r="H485" t="s">
        <v>1642</v>
      </c>
      <c r="I485">
        <v>1</v>
      </c>
      <c r="J485">
        <v>61</v>
      </c>
      <c r="K485">
        <v>36</v>
      </c>
      <c r="L485">
        <v>53</v>
      </c>
      <c r="M485" t="s">
        <v>49</v>
      </c>
      <c r="N485" t="s">
        <v>24</v>
      </c>
      <c r="O485" t="b">
        <v>1</v>
      </c>
      <c r="AA485" t="e">
        <f>Table1[[#This Row],[qPer board]]*Table1[[#This Row],[boards]]</f>
        <v>#REF!</v>
      </c>
      <c r="AB485" t="e">
        <f>VLOOKUP(Table1[[#This Row],[MA_Number]],#REF!, 2,FALSE)</f>
        <v>#REF!</v>
      </c>
      <c r="AD485" t="e">
        <f>VLOOKUP(Table1[[#This Row],[Product_Name]],'c174_calc'!$A$2:$C$153, 1, FALSE)</f>
        <v>#N/A</v>
      </c>
      <c r="AE485" t="e">
        <f>VLOOKUP(Table1[[#This Row],[Product_Name]],'c174_calc'!$A$2:$C$153, 2, FALSE)</f>
        <v>#N/A</v>
      </c>
      <c r="AF485" t="e">
        <f>VLOOKUP(Table1[[#This Row],[Product_Name]],'c174_calc'!$A$2:$C$153, 3, FALSE)</f>
        <v>#N/A</v>
      </c>
      <c r="AG485" t="e">
        <f>Table1[[#This Row],[vma]]=Table1[[#This Row],[MA_Number]]</f>
        <v>#N/A</v>
      </c>
    </row>
    <row r="486" spans="1:33" hidden="1" x14ac:dyDescent="0.3">
      <c r="B486" s="1" t="s">
        <v>1060</v>
      </c>
      <c r="C486" s="1"/>
      <c r="E486" t="s">
        <v>1634</v>
      </c>
      <c r="G486" t="s">
        <v>498</v>
      </c>
      <c r="H486" t="s">
        <v>1643</v>
      </c>
      <c r="I486">
        <v>1</v>
      </c>
      <c r="J486">
        <v>61</v>
      </c>
      <c r="K486">
        <v>36</v>
      </c>
      <c r="L486">
        <v>30</v>
      </c>
      <c r="M486" t="s">
        <v>49</v>
      </c>
      <c r="N486" t="s">
        <v>24</v>
      </c>
      <c r="O486" t="b">
        <v>1</v>
      </c>
      <c r="AA486" t="e">
        <f>Table1[[#This Row],[qPer board]]*Table1[[#This Row],[boards]]</f>
        <v>#REF!</v>
      </c>
      <c r="AB486" t="e">
        <f>VLOOKUP(Table1[[#This Row],[MA_Number]],#REF!, 2,FALSE)</f>
        <v>#REF!</v>
      </c>
      <c r="AD486" t="e">
        <f>VLOOKUP(Table1[[#This Row],[Product_Name]],'c174_calc'!$A$2:$C$153, 1, FALSE)</f>
        <v>#N/A</v>
      </c>
      <c r="AE486" t="e">
        <f>VLOOKUP(Table1[[#This Row],[Product_Name]],'c174_calc'!$A$2:$C$153, 2, FALSE)</f>
        <v>#N/A</v>
      </c>
      <c r="AF486" t="e">
        <f>VLOOKUP(Table1[[#This Row],[Product_Name]],'c174_calc'!$A$2:$C$153, 3, FALSE)</f>
        <v>#N/A</v>
      </c>
      <c r="AG486" t="e">
        <f>Table1[[#This Row],[vma]]=Table1[[#This Row],[MA_Number]]</f>
        <v>#N/A</v>
      </c>
    </row>
    <row r="487" spans="1:33" hidden="1" x14ac:dyDescent="0.3">
      <c r="B487" s="1" t="s">
        <v>1060</v>
      </c>
      <c r="C487" s="1"/>
      <c r="E487" t="s">
        <v>1636</v>
      </c>
      <c r="G487" t="s">
        <v>498</v>
      </c>
      <c r="H487" t="s">
        <v>1644</v>
      </c>
      <c r="I487">
        <v>1</v>
      </c>
      <c r="J487">
        <v>61</v>
      </c>
      <c r="K487">
        <v>36</v>
      </c>
      <c r="L487">
        <v>21</v>
      </c>
      <c r="M487" t="s">
        <v>49</v>
      </c>
      <c r="N487" t="s">
        <v>24</v>
      </c>
      <c r="O487" t="b">
        <v>1</v>
      </c>
      <c r="AA487" t="e">
        <f>Table1[[#This Row],[qPer board]]*Table1[[#This Row],[boards]]</f>
        <v>#REF!</v>
      </c>
      <c r="AB487" t="e">
        <f>VLOOKUP(Table1[[#This Row],[MA_Number]],#REF!, 2,FALSE)</f>
        <v>#REF!</v>
      </c>
      <c r="AD487" t="e">
        <f>VLOOKUP(Table1[[#This Row],[Product_Name]],'c174_calc'!$A$2:$C$153, 1, FALSE)</f>
        <v>#N/A</v>
      </c>
      <c r="AE487" t="e">
        <f>VLOOKUP(Table1[[#This Row],[Product_Name]],'c174_calc'!$A$2:$C$153, 2, FALSE)</f>
        <v>#N/A</v>
      </c>
      <c r="AF487" t="e">
        <f>VLOOKUP(Table1[[#This Row],[Product_Name]],'c174_calc'!$A$2:$C$153, 3, FALSE)</f>
        <v>#N/A</v>
      </c>
      <c r="AG487" t="e">
        <f>Table1[[#This Row],[vma]]=Table1[[#This Row],[MA_Number]]</f>
        <v>#N/A</v>
      </c>
    </row>
    <row r="488" spans="1:33" hidden="1" x14ac:dyDescent="0.3">
      <c r="A488" t="s">
        <v>710</v>
      </c>
      <c r="B488" s="1" t="s">
        <v>1068</v>
      </c>
      <c r="C488" s="1"/>
      <c r="D488" t="s">
        <v>279</v>
      </c>
      <c r="E488" t="s">
        <v>1624</v>
      </c>
      <c r="F488" t="b">
        <v>1</v>
      </c>
      <c r="I488">
        <v>1</v>
      </c>
      <c r="J488" t="s">
        <v>670</v>
      </c>
      <c r="K488" t="s">
        <v>670</v>
      </c>
      <c r="L488" t="s">
        <v>670</v>
      </c>
      <c r="O488" t="b">
        <v>1</v>
      </c>
      <c r="AA488" t="e">
        <f>Table1[[#This Row],[qPer board]]*Table1[[#This Row],[boards]]</f>
        <v>#REF!</v>
      </c>
      <c r="AB488" t="e">
        <f>VLOOKUP(Table1[[#This Row],[MA_Number]],#REF!, 2,FALSE)</f>
        <v>#REF!</v>
      </c>
      <c r="AD488" t="e">
        <f>VLOOKUP(Table1[[#This Row],[Product_Name]],'c174_calc'!$A$2:$C$153, 1, FALSE)</f>
        <v>#N/A</v>
      </c>
      <c r="AE488" t="e">
        <f>VLOOKUP(Table1[[#This Row],[Product_Name]],'c174_calc'!$A$2:$C$153, 2, FALSE)</f>
        <v>#N/A</v>
      </c>
      <c r="AF488" t="e">
        <f>VLOOKUP(Table1[[#This Row],[Product_Name]],'c174_calc'!$A$2:$C$153, 3, FALSE)</f>
        <v>#N/A</v>
      </c>
      <c r="AG488" t="e">
        <f>Table1[[#This Row],[vma]]=Table1[[#This Row],[MA_Number]]</f>
        <v>#N/A</v>
      </c>
    </row>
    <row r="489" spans="1:33" hidden="1" x14ac:dyDescent="0.3">
      <c r="B489" s="1" t="s">
        <v>1068</v>
      </c>
      <c r="C489" s="1"/>
      <c r="E489" t="s">
        <v>1645</v>
      </c>
      <c r="G489" t="s">
        <v>710</v>
      </c>
      <c r="H489" t="s">
        <v>1646</v>
      </c>
      <c r="I489">
        <v>1</v>
      </c>
      <c r="J489">
        <v>56</v>
      </c>
      <c r="K489">
        <v>51</v>
      </c>
      <c r="L489">
        <v>53</v>
      </c>
      <c r="M489" t="s">
        <v>49</v>
      </c>
      <c r="N489" t="s">
        <v>24</v>
      </c>
      <c r="O489" t="b">
        <v>1</v>
      </c>
      <c r="AA489" t="e">
        <f>Table1[[#This Row],[qPer board]]*Table1[[#This Row],[boards]]</f>
        <v>#REF!</v>
      </c>
      <c r="AB489" t="e">
        <f>VLOOKUP(Table1[[#This Row],[MA_Number]],#REF!, 2,FALSE)</f>
        <v>#REF!</v>
      </c>
      <c r="AD489" t="e">
        <f>VLOOKUP(Table1[[#This Row],[Product_Name]],'c174_calc'!$A$2:$C$153, 1, FALSE)</f>
        <v>#N/A</v>
      </c>
      <c r="AE489" t="e">
        <f>VLOOKUP(Table1[[#This Row],[Product_Name]],'c174_calc'!$A$2:$C$153, 2, FALSE)</f>
        <v>#N/A</v>
      </c>
      <c r="AF489" t="e">
        <f>VLOOKUP(Table1[[#This Row],[Product_Name]],'c174_calc'!$A$2:$C$153, 3, FALSE)</f>
        <v>#N/A</v>
      </c>
      <c r="AG489" t="e">
        <f>Table1[[#This Row],[vma]]=Table1[[#This Row],[MA_Number]]</f>
        <v>#N/A</v>
      </c>
    </row>
    <row r="490" spans="1:33" hidden="1" x14ac:dyDescent="0.3">
      <c r="B490" s="1" t="s">
        <v>1068</v>
      </c>
      <c r="C490" s="1"/>
      <c r="E490" t="s">
        <v>1647</v>
      </c>
      <c r="G490" t="s">
        <v>710</v>
      </c>
      <c r="H490" t="s">
        <v>1648</v>
      </c>
      <c r="I490">
        <v>1</v>
      </c>
      <c r="J490">
        <v>56</v>
      </c>
      <c r="K490">
        <v>51</v>
      </c>
      <c r="L490">
        <v>30</v>
      </c>
      <c r="M490" t="s">
        <v>49</v>
      </c>
      <c r="N490" t="s">
        <v>24</v>
      </c>
      <c r="O490" t="b">
        <v>1</v>
      </c>
      <c r="AA490" t="e">
        <f>Table1[[#This Row],[qPer board]]*Table1[[#This Row],[boards]]</f>
        <v>#REF!</v>
      </c>
      <c r="AB490" t="e">
        <f>VLOOKUP(Table1[[#This Row],[MA_Number]],#REF!, 2,FALSE)</f>
        <v>#REF!</v>
      </c>
      <c r="AD490" t="e">
        <f>VLOOKUP(Table1[[#This Row],[Product_Name]],'c174_calc'!$A$2:$C$153, 1, FALSE)</f>
        <v>#N/A</v>
      </c>
      <c r="AE490" t="e">
        <f>VLOOKUP(Table1[[#This Row],[Product_Name]],'c174_calc'!$A$2:$C$153, 2, FALSE)</f>
        <v>#N/A</v>
      </c>
      <c r="AF490" t="e">
        <f>VLOOKUP(Table1[[#This Row],[Product_Name]],'c174_calc'!$A$2:$C$153, 3, FALSE)</f>
        <v>#N/A</v>
      </c>
      <c r="AG490" t="e">
        <f>Table1[[#This Row],[vma]]=Table1[[#This Row],[MA_Number]]</f>
        <v>#N/A</v>
      </c>
    </row>
    <row r="491" spans="1:33" hidden="1" x14ac:dyDescent="0.3">
      <c r="B491" s="1" t="s">
        <v>1068</v>
      </c>
      <c r="C491" s="1"/>
      <c r="E491" t="s">
        <v>1649</v>
      </c>
      <c r="G491" t="s">
        <v>710</v>
      </c>
      <c r="H491" t="s">
        <v>1650</v>
      </c>
      <c r="I491">
        <v>1</v>
      </c>
      <c r="J491">
        <v>56</v>
      </c>
      <c r="K491">
        <v>51</v>
      </c>
      <c r="L491">
        <v>20</v>
      </c>
      <c r="M491" t="s">
        <v>49</v>
      </c>
      <c r="N491" t="s">
        <v>24</v>
      </c>
      <c r="O491" t="b">
        <v>1</v>
      </c>
      <c r="AA491" t="e">
        <f>Table1[[#This Row],[qPer board]]*Table1[[#This Row],[boards]]</f>
        <v>#REF!</v>
      </c>
      <c r="AB491" t="e">
        <f>VLOOKUP(Table1[[#This Row],[MA_Number]],#REF!, 2,FALSE)</f>
        <v>#REF!</v>
      </c>
      <c r="AD491" t="e">
        <f>VLOOKUP(Table1[[#This Row],[Product_Name]],'c174_calc'!$A$2:$C$153, 1, FALSE)</f>
        <v>#N/A</v>
      </c>
      <c r="AE491" t="e">
        <f>VLOOKUP(Table1[[#This Row],[Product_Name]],'c174_calc'!$A$2:$C$153, 2, FALSE)</f>
        <v>#N/A</v>
      </c>
      <c r="AF491" t="e">
        <f>VLOOKUP(Table1[[#This Row],[Product_Name]],'c174_calc'!$A$2:$C$153, 3, FALSE)</f>
        <v>#N/A</v>
      </c>
      <c r="AG491" t="e">
        <f>Table1[[#This Row],[vma]]=Table1[[#This Row],[MA_Number]]</f>
        <v>#N/A</v>
      </c>
    </row>
    <row r="492" spans="1:33" hidden="1" x14ac:dyDescent="0.3">
      <c r="A492" t="s">
        <v>1188</v>
      </c>
      <c r="B492" s="1" t="s">
        <v>1189</v>
      </c>
      <c r="C492" s="1"/>
      <c r="D492" t="s">
        <v>279</v>
      </c>
      <c r="E492" t="s">
        <v>1190</v>
      </c>
      <c r="F492" t="b">
        <v>1</v>
      </c>
      <c r="I492">
        <v>1</v>
      </c>
      <c r="J492" t="s">
        <v>670</v>
      </c>
      <c r="K492" t="s">
        <v>670</v>
      </c>
      <c r="L492" t="s">
        <v>670</v>
      </c>
      <c r="O492" t="b">
        <v>1</v>
      </c>
      <c r="AA492">
        <v>1</v>
      </c>
      <c r="AB492">
        <v>1</v>
      </c>
      <c r="AD492" t="e">
        <f>VLOOKUP(Table1[[#This Row],[Product_Name]],'c174_calc'!$A$2:$C$153, 1, FALSE)</f>
        <v>#N/A</v>
      </c>
      <c r="AE492" t="e">
        <f>VLOOKUP(Table1[[#This Row],[Product_Name]],'c174_calc'!$A$2:$C$153, 2, FALSE)</f>
        <v>#N/A</v>
      </c>
      <c r="AF492" t="e">
        <f>VLOOKUP(Table1[[#This Row],[Product_Name]],'c174_calc'!$A$2:$C$153, 3, FALSE)</f>
        <v>#N/A</v>
      </c>
      <c r="AG492" t="e">
        <f>Table1[[#This Row],[vma]]=Table1[[#This Row],[MA_Number]]</f>
        <v>#N/A</v>
      </c>
    </row>
    <row r="493" spans="1:33" hidden="1" x14ac:dyDescent="0.3">
      <c r="B493" s="1" t="s">
        <v>1189</v>
      </c>
      <c r="C493" s="1"/>
      <c r="E493" t="s">
        <v>1651</v>
      </c>
      <c r="G493" t="s">
        <v>1188</v>
      </c>
      <c r="H493" t="s">
        <v>1191</v>
      </c>
      <c r="I493">
        <v>1</v>
      </c>
      <c r="J493">
        <v>66</v>
      </c>
      <c r="K493">
        <v>47</v>
      </c>
      <c r="L493">
        <v>48</v>
      </c>
      <c r="M493" t="s">
        <v>48</v>
      </c>
      <c r="N493" t="s">
        <v>24</v>
      </c>
      <c r="O493" t="b">
        <v>1</v>
      </c>
      <c r="AA493">
        <v>1</v>
      </c>
      <c r="AB493">
        <v>1</v>
      </c>
      <c r="AD493" t="e">
        <f>VLOOKUP(Table1[[#This Row],[Product_Name]],'c174_calc'!$A$2:$C$153, 1, FALSE)</f>
        <v>#N/A</v>
      </c>
      <c r="AE493" t="e">
        <f>VLOOKUP(Table1[[#This Row],[Product_Name]],'c174_calc'!$A$2:$C$153, 2, FALSE)</f>
        <v>#N/A</v>
      </c>
      <c r="AF493" t="e">
        <f>VLOOKUP(Table1[[#This Row],[Product_Name]],'c174_calc'!$A$2:$C$153, 3, FALSE)</f>
        <v>#N/A</v>
      </c>
      <c r="AG493" t="e">
        <f>Table1[[#This Row],[vma]]=Table1[[#This Row],[MA_Number]]</f>
        <v>#N/A</v>
      </c>
    </row>
    <row r="494" spans="1:33" hidden="1" x14ac:dyDescent="0.3">
      <c r="B494" s="1" t="s">
        <v>1189</v>
      </c>
      <c r="C494" s="1"/>
      <c r="E494" t="s">
        <v>1652</v>
      </c>
      <c r="G494" t="s">
        <v>1188</v>
      </c>
      <c r="H494" t="s">
        <v>1192</v>
      </c>
      <c r="I494">
        <v>1</v>
      </c>
      <c r="J494">
        <v>66</v>
      </c>
      <c r="K494">
        <v>47</v>
      </c>
      <c r="L494">
        <v>30</v>
      </c>
      <c r="M494" t="s">
        <v>48</v>
      </c>
      <c r="N494" t="s">
        <v>24</v>
      </c>
      <c r="O494" t="b">
        <v>1</v>
      </c>
      <c r="AA494">
        <v>1</v>
      </c>
      <c r="AB494">
        <v>1</v>
      </c>
      <c r="AD494" t="e">
        <f>VLOOKUP(Table1[[#This Row],[Product_Name]],'c174_calc'!$A$2:$C$153, 1, FALSE)</f>
        <v>#N/A</v>
      </c>
      <c r="AE494" t="e">
        <f>VLOOKUP(Table1[[#This Row],[Product_Name]],'c174_calc'!$A$2:$C$153, 2, FALSE)</f>
        <v>#N/A</v>
      </c>
      <c r="AF494" t="e">
        <f>VLOOKUP(Table1[[#This Row],[Product_Name]],'c174_calc'!$A$2:$C$153, 3, FALSE)</f>
        <v>#N/A</v>
      </c>
      <c r="AG494" t="e">
        <f>Table1[[#This Row],[vma]]=Table1[[#This Row],[MA_Number]]</f>
        <v>#N/A</v>
      </c>
    </row>
    <row r="495" spans="1:33" hidden="1" x14ac:dyDescent="0.3">
      <c r="B495" s="1" t="s">
        <v>1189</v>
      </c>
      <c r="C495" s="1"/>
      <c r="E495" t="s">
        <v>1653</v>
      </c>
      <c r="G495" t="s">
        <v>1188</v>
      </c>
      <c r="H495" t="s">
        <v>1193</v>
      </c>
      <c r="I495">
        <v>1</v>
      </c>
      <c r="J495">
        <v>66</v>
      </c>
      <c r="K495">
        <v>47</v>
      </c>
      <c r="L495">
        <v>20</v>
      </c>
      <c r="M495" t="s">
        <v>48</v>
      </c>
      <c r="N495" t="s">
        <v>24</v>
      </c>
      <c r="O495" t="b">
        <v>1</v>
      </c>
      <c r="AA495">
        <v>1</v>
      </c>
      <c r="AB495">
        <v>1</v>
      </c>
      <c r="AD495" t="e">
        <f>VLOOKUP(Table1[[#This Row],[Product_Name]],'c174_calc'!$A$2:$C$153, 1, FALSE)</f>
        <v>#N/A</v>
      </c>
      <c r="AE495" t="e">
        <f>VLOOKUP(Table1[[#This Row],[Product_Name]],'c174_calc'!$A$2:$C$153, 2, FALSE)</f>
        <v>#N/A</v>
      </c>
      <c r="AF495" t="e">
        <f>VLOOKUP(Table1[[#This Row],[Product_Name]],'c174_calc'!$A$2:$C$153, 3, FALSE)</f>
        <v>#N/A</v>
      </c>
      <c r="AG495" t="e">
        <f>Table1[[#This Row],[vma]]=Table1[[#This Row],[MA_Number]]</f>
        <v>#N/A</v>
      </c>
    </row>
    <row r="496" spans="1:33" hidden="1" x14ac:dyDescent="0.3">
      <c r="A496" t="s">
        <v>1689</v>
      </c>
      <c r="B496" s="1" t="s">
        <v>1654</v>
      </c>
      <c r="C496" s="1"/>
      <c r="D496" t="s">
        <v>279</v>
      </c>
      <c r="F496" t="b">
        <v>1</v>
      </c>
      <c r="I496">
        <v>1</v>
      </c>
      <c r="J496" t="s">
        <v>670</v>
      </c>
      <c r="K496" t="s">
        <v>670</v>
      </c>
      <c r="L496" t="s">
        <v>670</v>
      </c>
      <c r="O496" t="b">
        <v>1</v>
      </c>
      <c r="AA496">
        <v>1</v>
      </c>
      <c r="AB496">
        <v>1</v>
      </c>
      <c r="AD496" t="e">
        <f>VLOOKUP(Table1[[#This Row],[Product_Name]],'c174_calc'!$A$2:$C$153, 1, FALSE)</f>
        <v>#N/A</v>
      </c>
      <c r="AE496" t="e">
        <f>VLOOKUP(Table1[[#This Row],[Product_Name]],'c174_calc'!$A$2:$C$153, 2, FALSE)</f>
        <v>#N/A</v>
      </c>
      <c r="AF496" t="e">
        <f>VLOOKUP(Table1[[#This Row],[Product_Name]],'c174_calc'!$A$2:$C$153, 3, FALSE)</f>
        <v>#N/A</v>
      </c>
      <c r="AG496" t="e">
        <f>Table1[[#This Row],[vma]]=Table1[[#This Row],[MA_Number]]</f>
        <v>#N/A</v>
      </c>
    </row>
    <row r="497" spans="1:33" hidden="1" x14ac:dyDescent="0.3">
      <c r="B497" s="1" t="s">
        <v>1654</v>
      </c>
      <c r="C497" s="1"/>
      <c r="G497" t="s">
        <v>1689</v>
      </c>
      <c r="H497" t="s">
        <v>1690</v>
      </c>
      <c r="I497">
        <v>1</v>
      </c>
      <c r="J497">
        <v>66</v>
      </c>
      <c r="K497">
        <v>47</v>
      </c>
      <c r="L497">
        <v>47</v>
      </c>
      <c r="M497" t="s">
        <v>48</v>
      </c>
      <c r="N497" t="s">
        <v>24</v>
      </c>
      <c r="O497" t="b">
        <v>1</v>
      </c>
      <c r="AA497">
        <v>1</v>
      </c>
      <c r="AB497">
        <v>1</v>
      </c>
      <c r="AD497" t="e">
        <f>VLOOKUP(Table1[[#This Row],[Product_Name]],'c174_calc'!$A$2:$C$153, 1, FALSE)</f>
        <v>#N/A</v>
      </c>
      <c r="AE497" t="e">
        <f>VLOOKUP(Table1[[#This Row],[Product_Name]],'c174_calc'!$A$2:$C$153, 2, FALSE)</f>
        <v>#N/A</v>
      </c>
      <c r="AF497" t="e">
        <f>VLOOKUP(Table1[[#This Row],[Product_Name]],'c174_calc'!$A$2:$C$153, 3, FALSE)</f>
        <v>#N/A</v>
      </c>
      <c r="AG497" t="e">
        <f>Table1[[#This Row],[vma]]=Table1[[#This Row],[MA_Number]]</f>
        <v>#N/A</v>
      </c>
    </row>
    <row r="498" spans="1:33" hidden="1" x14ac:dyDescent="0.3">
      <c r="B498" s="1" t="s">
        <v>1654</v>
      </c>
      <c r="C498" s="1"/>
      <c r="G498" t="s">
        <v>1689</v>
      </c>
      <c r="H498" t="s">
        <v>1691</v>
      </c>
      <c r="I498">
        <v>1</v>
      </c>
      <c r="J498">
        <v>66</v>
      </c>
      <c r="K498">
        <v>47</v>
      </c>
      <c r="L498">
        <v>30</v>
      </c>
      <c r="M498" t="s">
        <v>48</v>
      </c>
      <c r="N498" t="s">
        <v>24</v>
      </c>
      <c r="O498" t="b">
        <v>1</v>
      </c>
      <c r="AA498">
        <v>1</v>
      </c>
      <c r="AB498">
        <v>1</v>
      </c>
      <c r="AD498" t="e">
        <f>VLOOKUP(Table1[[#This Row],[Product_Name]],'c174_calc'!$A$2:$C$153, 1, FALSE)</f>
        <v>#N/A</v>
      </c>
      <c r="AE498" t="e">
        <f>VLOOKUP(Table1[[#This Row],[Product_Name]],'c174_calc'!$A$2:$C$153, 2, FALSE)</f>
        <v>#N/A</v>
      </c>
      <c r="AF498" t="e">
        <f>VLOOKUP(Table1[[#This Row],[Product_Name]],'c174_calc'!$A$2:$C$153, 3, FALSE)</f>
        <v>#N/A</v>
      </c>
      <c r="AG498" t="e">
        <f>Table1[[#This Row],[vma]]=Table1[[#This Row],[MA_Number]]</f>
        <v>#N/A</v>
      </c>
    </row>
    <row r="499" spans="1:33" hidden="1" x14ac:dyDescent="0.3">
      <c r="B499" s="1" t="s">
        <v>1654</v>
      </c>
      <c r="C499" s="1"/>
      <c r="G499" t="s">
        <v>1689</v>
      </c>
      <c r="H499" t="s">
        <v>1692</v>
      </c>
      <c r="I499">
        <v>1</v>
      </c>
      <c r="J499">
        <v>66</v>
      </c>
      <c r="K499">
        <v>47</v>
      </c>
      <c r="L499">
        <v>20</v>
      </c>
      <c r="M499" t="s">
        <v>48</v>
      </c>
      <c r="N499" t="s">
        <v>24</v>
      </c>
      <c r="O499" t="b">
        <v>1</v>
      </c>
      <c r="AA499">
        <v>1</v>
      </c>
      <c r="AB499">
        <v>1</v>
      </c>
      <c r="AD499" t="e">
        <f>VLOOKUP(Table1[[#This Row],[Product_Name]],'c174_calc'!$A$2:$C$153, 1, FALSE)</f>
        <v>#N/A</v>
      </c>
      <c r="AE499" t="e">
        <f>VLOOKUP(Table1[[#This Row],[Product_Name]],'c174_calc'!$A$2:$C$153, 2, FALSE)</f>
        <v>#N/A</v>
      </c>
      <c r="AF499" t="e">
        <f>VLOOKUP(Table1[[#This Row],[Product_Name]],'c174_calc'!$A$2:$C$153, 3, FALSE)</f>
        <v>#N/A</v>
      </c>
      <c r="AG499" t="e">
        <f>Table1[[#This Row],[vma]]=Table1[[#This Row],[MA_Number]]</f>
        <v>#N/A</v>
      </c>
    </row>
    <row r="500" spans="1:33" hidden="1" x14ac:dyDescent="0.3">
      <c r="A500" t="s">
        <v>712</v>
      </c>
      <c r="B500" s="1" t="s">
        <v>1084</v>
      </c>
      <c r="C500" s="1"/>
      <c r="D500" t="s">
        <v>279</v>
      </c>
      <c r="E500" t="s">
        <v>1655</v>
      </c>
      <c r="F500" t="b">
        <v>1</v>
      </c>
      <c r="I500">
        <v>1</v>
      </c>
      <c r="J500" t="s">
        <v>670</v>
      </c>
      <c r="K500" t="s">
        <v>670</v>
      </c>
      <c r="L500" t="s">
        <v>670</v>
      </c>
      <c r="O500" t="b">
        <v>1</v>
      </c>
      <c r="AA500" t="e">
        <f>Table1[[#This Row],[qPer board]]*Table1[[#This Row],[boards]]</f>
        <v>#REF!</v>
      </c>
      <c r="AB500" t="e">
        <f>VLOOKUP(Table1[[#This Row],[MA_Number]],#REF!, 2,FALSE)</f>
        <v>#REF!</v>
      </c>
      <c r="AD500" t="e">
        <f>VLOOKUP(Table1[[#This Row],[Product_Name]],'c174_calc'!$A$2:$C$153, 1, FALSE)</f>
        <v>#N/A</v>
      </c>
      <c r="AE500" t="e">
        <f>VLOOKUP(Table1[[#This Row],[Product_Name]],'c174_calc'!$A$2:$C$153, 2, FALSE)</f>
        <v>#N/A</v>
      </c>
      <c r="AF500" t="e">
        <f>VLOOKUP(Table1[[#This Row],[Product_Name]],'c174_calc'!$A$2:$C$153, 3, FALSE)</f>
        <v>#N/A</v>
      </c>
      <c r="AG500" t="e">
        <f>Table1[[#This Row],[vma]]=Table1[[#This Row],[MA_Number]]</f>
        <v>#N/A</v>
      </c>
    </row>
    <row r="501" spans="1:33" hidden="1" x14ac:dyDescent="0.3">
      <c r="B501" s="1" t="s">
        <v>1084</v>
      </c>
      <c r="C501" s="1"/>
      <c r="E501" t="s">
        <v>1656</v>
      </c>
      <c r="G501" t="s">
        <v>712</v>
      </c>
      <c r="H501" t="s">
        <v>1657</v>
      </c>
      <c r="I501">
        <v>1</v>
      </c>
      <c r="J501">
        <v>56</v>
      </c>
      <c r="K501">
        <v>50</v>
      </c>
      <c r="L501">
        <v>52</v>
      </c>
      <c r="M501" t="s">
        <v>49</v>
      </c>
      <c r="N501" t="s">
        <v>24</v>
      </c>
      <c r="O501" t="b">
        <v>1</v>
      </c>
      <c r="AA501" t="e">
        <f>Table1[[#This Row],[qPer board]]*Table1[[#This Row],[boards]]</f>
        <v>#REF!</v>
      </c>
      <c r="AB501" t="e">
        <f>VLOOKUP(Table1[[#This Row],[MA_Number]],#REF!, 2,FALSE)</f>
        <v>#REF!</v>
      </c>
      <c r="AD501" t="e">
        <f>VLOOKUP(Table1[[#This Row],[Product_Name]],'c174_calc'!$A$2:$C$153, 1, FALSE)</f>
        <v>#N/A</v>
      </c>
      <c r="AE501" t="e">
        <f>VLOOKUP(Table1[[#This Row],[Product_Name]],'c174_calc'!$A$2:$C$153, 2, FALSE)</f>
        <v>#N/A</v>
      </c>
      <c r="AF501" t="e">
        <f>VLOOKUP(Table1[[#This Row],[Product_Name]],'c174_calc'!$A$2:$C$153, 3, FALSE)</f>
        <v>#N/A</v>
      </c>
      <c r="AG501" t="e">
        <f>Table1[[#This Row],[vma]]=Table1[[#This Row],[MA_Number]]</f>
        <v>#N/A</v>
      </c>
    </row>
    <row r="502" spans="1:33" hidden="1" x14ac:dyDescent="0.3">
      <c r="B502" s="1" t="s">
        <v>1084</v>
      </c>
      <c r="C502" s="1"/>
      <c r="E502" t="s">
        <v>1658</v>
      </c>
      <c r="G502" t="s">
        <v>712</v>
      </c>
      <c r="H502" t="s">
        <v>1659</v>
      </c>
      <c r="I502">
        <v>1</v>
      </c>
      <c r="J502">
        <v>56</v>
      </c>
      <c r="K502">
        <v>50</v>
      </c>
      <c r="L502">
        <v>30</v>
      </c>
      <c r="M502" t="s">
        <v>49</v>
      </c>
      <c r="N502" t="s">
        <v>24</v>
      </c>
      <c r="O502" t="b">
        <v>1</v>
      </c>
      <c r="AA502" t="e">
        <f>Table1[[#This Row],[qPer board]]*Table1[[#This Row],[boards]]</f>
        <v>#REF!</v>
      </c>
      <c r="AB502" t="e">
        <f>VLOOKUP(Table1[[#This Row],[MA_Number]],#REF!, 2,FALSE)</f>
        <v>#REF!</v>
      </c>
      <c r="AD502" t="e">
        <f>VLOOKUP(Table1[[#This Row],[Product_Name]],'c174_calc'!$A$2:$C$153, 1, FALSE)</f>
        <v>#N/A</v>
      </c>
      <c r="AE502" t="e">
        <f>VLOOKUP(Table1[[#This Row],[Product_Name]],'c174_calc'!$A$2:$C$153, 2, FALSE)</f>
        <v>#N/A</v>
      </c>
      <c r="AF502" t="e">
        <f>VLOOKUP(Table1[[#This Row],[Product_Name]],'c174_calc'!$A$2:$C$153, 3, FALSE)</f>
        <v>#N/A</v>
      </c>
      <c r="AG502" t="e">
        <f>Table1[[#This Row],[vma]]=Table1[[#This Row],[MA_Number]]</f>
        <v>#N/A</v>
      </c>
    </row>
    <row r="503" spans="1:33" hidden="1" x14ac:dyDescent="0.3">
      <c r="B503" s="1" t="s">
        <v>1084</v>
      </c>
      <c r="C503" s="1"/>
      <c r="E503" t="s">
        <v>1660</v>
      </c>
      <c r="G503" t="s">
        <v>712</v>
      </c>
      <c r="H503" t="s">
        <v>1661</v>
      </c>
      <c r="I503">
        <v>1</v>
      </c>
      <c r="J503">
        <v>56</v>
      </c>
      <c r="K503">
        <v>50</v>
      </c>
      <c r="L503">
        <v>20</v>
      </c>
      <c r="M503" t="s">
        <v>49</v>
      </c>
      <c r="N503" t="s">
        <v>24</v>
      </c>
      <c r="O503" t="b">
        <v>1</v>
      </c>
      <c r="AA503" t="e">
        <f>Table1[[#This Row],[qPer board]]*Table1[[#This Row],[boards]]</f>
        <v>#REF!</v>
      </c>
      <c r="AB503" t="e">
        <f>VLOOKUP(Table1[[#This Row],[MA_Number]],#REF!, 2,FALSE)</f>
        <v>#REF!</v>
      </c>
      <c r="AD503" t="e">
        <f>VLOOKUP(Table1[[#This Row],[Product_Name]],'c174_calc'!$A$2:$C$153, 1, FALSE)</f>
        <v>#N/A</v>
      </c>
      <c r="AE503" t="e">
        <f>VLOOKUP(Table1[[#This Row],[Product_Name]],'c174_calc'!$A$2:$C$153, 2, FALSE)</f>
        <v>#N/A</v>
      </c>
      <c r="AF503" t="e">
        <f>VLOOKUP(Table1[[#This Row],[Product_Name]],'c174_calc'!$A$2:$C$153, 3, FALSE)</f>
        <v>#N/A</v>
      </c>
      <c r="AG503" t="e">
        <f>Table1[[#This Row],[vma]]=Table1[[#This Row],[MA_Number]]</f>
        <v>#N/A</v>
      </c>
    </row>
    <row r="504" spans="1:33" hidden="1" x14ac:dyDescent="0.3">
      <c r="A504" t="s">
        <v>1780</v>
      </c>
      <c r="B504" s="1" t="s">
        <v>1203</v>
      </c>
      <c r="C504" s="1"/>
      <c r="D504" t="s">
        <v>279</v>
      </c>
      <c r="E504" t="s">
        <v>1686</v>
      </c>
      <c r="F504" t="b">
        <v>1</v>
      </c>
      <c r="I504">
        <v>1</v>
      </c>
      <c r="J504" t="s">
        <v>670</v>
      </c>
      <c r="K504" t="s">
        <v>670</v>
      </c>
      <c r="L504" t="s">
        <v>670</v>
      </c>
      <c r="O504" t="b">
        <v>1</v>
      </c>
      <c r="AA504" t="e">
        <f>Table1[[#This Row],[qPer board]]*Table1[[#This Row],[boards]]</f>
        <v>#REF!</v>
      </c>
      <c r="AB504" t="e">
        <f>VLOOKUP(Table1[[#This Row],[MA_Number]],#REF!, 2,FALSE)</f>
        <v>#REF!</v>
      </c>
      <c r="AD504" t="e">
        <f>VLOOKUP(Table1[[#This Row],[Product_Name]],'c174_calc'!$A$2:$C$153, 1, FALSE)</f>
        <v>#N/A</v>
      </c>
      <c r="AE504" t="e">
        <f>VLOOKUP(Table1[[#This Row],[Product_Name]],'c174_calc'!$A$2:$C$153, 2, FALSE)</f>
        <v>#N/A</v>
      </c>
      <c r="AF504" t="e">
        <f>VLOOKUP(Table1[[#This Row],[Product_Name]],'c174_calc'!$A$2:$C$153, 3, FALSE)</f>
        <v>#N/A</v>
      </c>
      <c r="AG504" t="e">
        <f>Table1[[#This Row],[vma]]=Table1[[#This Row],[MA_Number]]</f>
        <v>#N/A</v>
      </c>
    </row>
    <row r="505" spans="1:33" hidden="1" x14ac:dyDescent="0.3">
      <c r="B505" s="1" t="s">
        <v>1203</v>
      </c>
      <c r="C505" s="1"/>
      <c r="G505" t="s">
        <v>1780</v>
      </c>
      <c r="H505" t="s">
        <v>1781</v>
      </c>
      <c r="I505">
        <v>1</v>
      </c>
      <c r="J505">
        <v>58</v>
      </c>
      <c r="K505">
        <v>35</v>
      </c>
      <c r="L505">
        <v>41</v>
      </c>
      <c r="M505" t="s">
        <v>49</v>
      </c>
      <c r="N505" t="s">
        <v>24</v>
      </c>
      <c r="O505" t="b">
        <v>1</v>
      </c>
      <c r="AA505" t="e">
        <f>Table1[[#This Row],[qPer board]]*Table1[[#This Row],[boards]]</f>
        <v>#REF!</v>
      </c>
      <c r="AB505" t="e">
        <f>VLOOKUP(Table1[[#This Row],[MA_Number]],#REF!, 2,FALSE)</f>
        <v>#REF!</v>
      </c>
      <c r="AD505" t="e">
        <f>VLOOKUP(Table1[[#This Row],[Product_Name]],'c174_calc'!$A$2:$C$153, 1, FALSE)</f>
        <v>#N/A</v>
      </c>
      <c r="AE505" t="e">
        <f>VLOOKUP(Table1[[#This Row],[Product_Name]],'c174_calc'!$A$2:$C$153, 2, FALSE)</f>
        <v>#N/A</v>
      </c>
      <c r="AF505" t="e">
        <f>VLOOKUP(Table1[[#This Row],[Product_Name]],'c174_calc'!$A$2:$C$153, 3, FALSE)</f>
        <v>#N/A</v>
      </c>
      <c r="AG505" t="e">
        <f>Table1[[#This Row],[vma]]=Table1[[#This Row],[MA_Number]]</f>
        <v>#N/A</v>
      </c>
    </row>
    <row r="506" spans="1:33" hidden="1" x14ac:dyDescent="0.3">
      <c r="B506" s="1" t="s">
        <v>1203</v>
      </c>
      <c r="C506" s="1"/>
      <c r="G506" t="s">
        <v>1780</v>
      </c>
      <c r="H506" t="s">
        <v>1782</v>
      </c>
      <c r="I506">
        <v>1</v>
      </c>
      <c r="J506">
        <v>58</v>
      </c>
      <c r="K506">
        <v>35</v>
      </c>
      <c r="L506">
        <v>30</v>
      </c>
      <c r="M506" t="s">
        <v>49</v>
      </c>
      <c r="N506" t="s">
        <v>24</v>
      </c>
      <c r="O506" t="b">
        <v>1</v>
      </c>
      <c r="AA506" t="e">
        <f>Table1[[#This Row],[qPer board]]*Table1[[#This Row],[boards]]</f>
        <v>#REF!</v>
      </c>
      <c r="AB506" t="e">
        <f>VLOOKUP(Table1[[#This Row],[MA_Number]],#REF!, 2,FALSE)</f>
        <v>#REF!</v>
      </c>
      <c r="AD506" t="e">
        <f>VLOOKUP(Table1[[#This Row],[Product_Name]],'c174_calc'!$A$2:$C$153, 1, FALSE)</f>
        <v>#N/A</v>
      </c>
      <c r="AE506" t="e">
        <f>VLOOKUP(Table1[[#This Row],[Product_Name]],'c174_calc'!$A$2:$C$153, 2, FALSE)</f>
        <v>#N/A</v>
      </c>
      <c r="AF506" t="e">
        <f>VLOOKUP(Table1[[#This Row],[Product_Name]],'c174_calc'!$A$2:$C$153, 3, FALSE)</f>
        <v>#N/A</v>
      </c>
      <c r="AG506" t="e">
        <f>Table1[[#This Row],[vma]]=Table1[[#This Row],[MA_Number]]</f>
        <v>#N/A</v>
      </c>
    </row>
    <row r="507" spans="1:33" hidden="1" x14ac:dyDescent="0.3">
      <c r="B507" s="1" t="s">
        <v>1203</v>
      </c>
      <c r="C507" s="1"/>
      <c r="G507" t="s">
        <v>1780</v>
      </c>
      <c r="H507" t="s">
        <v>1783</v>
      </c>
      <c r="I507">
        <v>1</v>
      </c>
      <c r="J507">
        <v>58</v>
      </c>
      <c r="K507">
        <v>35</v>
      </c>
      <c r="L507">
        <v>20</v>
      </c>
      <c r="M507" t="s">
        <v>49</v>
      </c>
      <c r="N507" t="s">
        <v>24</v>
      </c>
      <c r="O507" t="b">
        <v>1</v>
      </c>
      <c r="AA507" t="e">
        <f>Table1[[#This Row],[qPer board]]*Table1[[#This Row],[boards]]</f>
        <v>#REF!</v>
      </c>
      <c r="AB507" t="e">
        <f>VLOOKUP(Table1[[#This Row],[MA_Number]],#REF!, 2,FALSE)</f>
        <v>#REF!</v>
      </c>
      <c r="AD507" t="e">
        <f>VLOOKUP(Table1[[#This Row],[Product_Name]],'c174_calc'!$A$2:$C$153, 1, FALSE)</f>
        <v>#N/A</v>
      </c>
      <c r="AE507" t="e">
        <f>VLOOKUP(Table1[[#This Row],[Product_Name]],'c174_calc'!$A$2:$C$153, 2, FALSE)</f>
        <v>#N/A</v>
      </c>
      <c r="AF507" t="e">
        <f>VLOOKUP(Table1[[#This Row],[Product_Name]],'c174_calc'!$A$2:$C$153, 3, FALSE)</f>
        <v>#N/A</v>
      </c>
      <c r="AG507" t="e">
        <f>Table1[[#This Row],[vma]]=Table1[[#This Row],[MA_Number]]</f>
        <v>#N/A</v>
      </c>
    </row>
    <row r="508" spans="1:33" hidden="1" x14ac:dyDescent="0.3">
      <c r="A508" t="s">
        <v>1662</v>
      </c>
      <c r="B508" s="1" t="s">
        <v>1663</v>
      </c>
      <c r="C508" s="1"/>
      <c r="D508" t="s">
        <v>279</v>
      </c>
      <c r="E508" t="s">
        <v>1414</v>
      </c>
      <c r="F508" t="b">
        <v>1</v>
      </c>
      <c r="I508">
        <v>1</v>
      </c>
      <c r="J508" t="s">
        <v>670</v>
      </c>
      <c r="K508" t="s">
        <v>670</v>
      </c>
      <c r="L508" t="s">
        <v>670</v>
      </c>
      <c r="O508" t="b">
        <v>1</v>
      </c>
      <c r="AA508">
        <v>1</v>
      </c>
      <c r="AB508">
        <v>1</v>
      </c>
      <c r="AD508" t="e">
        <f>VLOOKUP(Table1[[#This Row],[Product_Name]],'c174_calc'!$A$2:$C$153, 1, FALSE)</f>
        <v>#N/A</v>
      </c>
      <c r="AE508" t="e">
        <f>VLOOKUP(Table1[[#This Row],[Product_Name]],'c174_calc'!$A$2:$C$153, 2, FALSE)</f>
        <v>#N/A</v>
      </c>
      <c r="AF508" t="e">
        <f>VLOOKUP(Table1[[#This Row],[Product_Name]],'c174_calc'!$A$2:$C$153, 3, FALSE)</f>
        <v>#N/A</v>
      </c>
      <c r="AG508" t="e">
        <f>Table1[[#This Row],[vma]]=Table1[[#This Row],[MA_Number]]</f>
        <v>#N/A</v>
      </c>
    </row>
    <row r="509" spans="1:33" hidden="1" x14ac:dyDescent="0.3">
      <c r="B509" s="1" t="s">
        <v>1663</v>
      </c>
      <c r="C509" s="1"/>
      <c r="E509" t="s">
        <v>1664</v>
      </c>
      <c r="G509" t="s">
        <v>1662</v>
      </c>
      <c r="H509" t="s">
        <v>1665</v>
      </c>
      <c r="I509">
        <v>1</v>
      </c>
      <c r="J509">
        <v>60</v>
      </c>
      <c r="K509">
        <v>40</v>
      </c>
      <c r="L509">
        <v>46</v>
      </c>
      <c r="M509" t="s">
        <v>48</v>
      </c>
      <c r="N509" t="s">
        <v>24</v>
      </c>
      <c r="O509" t="b">
        <v>1</v>
      </c>
      <c r="AA509">
        <v>1</v>
      </c>
      <c r="AB509">
        <v>1</v>
      </c>
      <c r="AD509" t="e">
        <f>VLOOKUP(Table1[[#This Row],[Product_Name]],'c174_calc'!$A$2:$C$153, 1, FALSE)</f>
        <v>#N/A</v>
      </c>
      <c r="AE509" t="e">
        <f>VLOOKUP(Table1[[#This Row],[Product_Name]],'c174_calc'!$A$2:$C$153, 2, FALSE)</f>
        <v>#N/A</v>
      </c>
      <c r="AF509" t="e">
        <f>VLOOKUP(Table1[[#This Row],[Product_Name]],'c174_calc'!$A$2:$C$153, 3, FALSE)</f>
        <v>#N/A</v>
      </c>
      <c r="AG509" t="e">
        <f>Table1[[#This Row],[vma]]=Table1[[#This Row],[MA_Number]]</f>
        <v>#N/A</v>
      </c>
    </row>
    <row r="510" spans="1:33" hidden="1" x14ac:dyDescent="0.3">
      <c r="B510" s="1" t="s">
        <v>1663</v>
      </c>
      <c r="C510" s="1"/>
      <c r="E510" t="s">
        <v>1538</v>
      </c>
      <c r="G510" t="s">
        <v>1662</v>
      </c>
      <c r="H510" t="s">
        <v>1666</v>
      </c>
      <c r="I510">
        <v>1</v>
      </c>
      <c r="J510">
        <v>60</v>
      </c>
      <c r="K510">
        <v>40</v>
      </c>
      <c r="L510">
        <v>30</v>
      </c>
      <c r="M510" t="s">
        <v>48</v>
      </c>
      <c r="N510" t="s">
        <v>24</v>
      </c>
      <c r="O510" t="b">
        <v>1</v>
      </c>
      <c r="AA510">
        <v>1</v>
      </c>
      <c r="AB510">
        <v>1</v>
      </c>
      <c r="AD510" t="e">
        <f>VLOOKUP(Table1[[#This Row],[Product_Name]],'c174_calc'!$A$2:$C$153, 1, FALSE)</f>
        <v>#N/A</v>
      </c>
      <c r="AE510" t="e">
        <f>VLOOKUP(Table1[[#This Row],[Product_Name]],'c174_calc'!$A$2:$C$153, 2, FALSE)</f>
        <v>#N/A</v>
      </c>
      <c r="AF510" t="e">
        <f>VLOOKUP(Table1[[#This Row],[Product_Name]],'c174_calc'!$A$2:$C$153, 3, FALSE)</f>
        <v>#N/A</v>
      </c>
      <c r="AG510" t="e">
        <f>Table1[[#This Row],[vma]]=Table1[[#This Row],[MA_Number]]</f>
        <v>#N/A</v>
      </c>
    </row>
    <row r="511" spans="1:33" hidden="1" x14ac:dyDescent="0.3">
      <c r="B511" s="1" t="s">
        <v>1663</v>
      </c>
      <c r="C511" s="1"/>
      <c r="E511" t="s">
        <v>1540</v>
      </c>
      <c r="G511" t="s">
        <v>1662</v>
      </c>
      <c r="H511" t="s">
        <v>1667</v>
      </c>
      <c r="I511">
        <v>1</v>
      </c>
      <c r="J511">
        <v>60</v>
      </c>
      <c r="K511">
        <v>40</v>
      </c>
      <c r="L511">
        <v>20</v>
      </c>
      <c r="M511" t="s">
        <v>48</v>
      </c>
      <c r="N511" t="s">
        <v>24</v>
      </c>
      <c r="O511" t="b">
        <v>1</v>
      </c>
      <c r="AA511">
        <v>1</v>
      </c>
      <c r="AB511">
        <v>1</v>
      </c>
      <c r="AD511" t="e">
        <f>VLOOKUP(Table1[[#This Row],[Product_Name]],'c174_calc'!$A$2:$C$153, 1, FALSE)</f>
        <v>#N/A</v>
      </c>
      <c r="AE511" t="e">
        <f>VLOOKUP(Table1[[#This Row],[Product_Name]],'c174_calc'!$A$2:$C$153, 2, FALSE)</f>
        <v>#N/A</v>
      </c>
      <c r="AF511" t="e">
        <f>VLOOKUP(Table1[[#This Row],[Product_Name]],'c174_calc'!$A$2:$C$153, 3, FALSE)</f>
        <v>#N/A</v>
      </c>
      <c r="AG511" t="e">
        <f>Table1[[#This Row],[vma]]=Table1[[#This Row],[MA_Number]]</f>
        <v>#N/A</v>
      </c>
    </row>
    <row r="512" spans="1:33" hidden="1" x14ac:dyDescent="0.3">
      <c r="A512" t="s">
        <v>601</v>
      </c>
      <c r="B512" s="1" t="s">
        <v>1077</v>
      </c>
      <c r="C512" s="1"/>
      <c r="D512" t="s">
        <v>279</v>
      </c>
      <c r="E512" t="s">
        <v>1668</v>
      </c>
      <c r="F512" t="b">
        <v>1</v>
      </c>
      <c r="I512">
        <v>1</v>
      </c>
      <c r="J512" t="s">
        <v>670</v>
      </c>
      <c r="K512" t="s">
        <v>670</v>
      </c>
      <c r="L512" t="s">
        <v>670</v>
      </c>
      <c r="O512" t="b">
        <v>1</v>
      </c>
      <c r="AA512">
        <v>1</v>
      </c>
      <c r="AB512">
        <v>1</v>
      </c>
      <c r="AD512" t="e">
        <f>VLOOKUP(Table1[[#This Row],[Product_Name]],'c174_calc'!$A$2:$C$153, 1, FALSE)</f>
        <v>#N/A</v>
      </c>
      <c r="AE512" t="e">
        <f>VLOOKUP(Table1[[#This Row],[Product_Name]],'c174_calc'!$A$2:$C$153, 2, FALSE)</f>
        <v>#N/A</v>
      </c>
      <c r="AF512" t="e">
        <f>VLOOKUP(Table1[[#This Row],[Product_Name]],'c174_calc'!$A$2:$C$153, 3, FALSE)</f>
        <v>#N/A</v>
      </c>
      <c r="AG512" t="e">
        <f>Table1[[#This Row],[vma]]=Table1[[#This Row],[MA_Number]]</f>
        <v>#N/A</v>
      </c>
    </row>
    <row r="513" spans="1:33" hidden="1" x14ac:dyDescent="0.3">
      <c r="B513" s="1" t="s">
        <v>1077</v>
      </c>
      <c r="C513" s="1"/>
      <c r="E513" t="s">
        <v>1669</v>
      </c>
      <c r="G513" t="s">
        <v>601</v>
      </c>
      <c r="H513" t="s">
        <v>1670</v>
      </c>
      <c r="I513">
        <v>1</v>
      </c>
      <c r="J513">
        <v>60</v>
      </c>
      <c r="K513">
        <v>39</v>
      </c>
      <c r="L513">
        <v>47</v>
      </c>
      <c r="M513" t="s">
        <v>50</v>
      </c>
      <c r="N513" t="s">
        <v>24</v>
      </c>
      <c r="O513" t="b">
        <v>1</v>
      </c>
      <c r="AA513">
        <v>1</v>
      </c>
      <c r="AB513">
        <v>1</v>
      </c>
      <c r="AD513" t="e">
        <f>VLOOKUP(Table1[[#This Row],[Product_Name]],'c174_calc'!$A$2:$C$153, 1, FALSE)</f>
        <v>#N/A</v>
      </c>
      <c r="AE513" t="e">
        <f>VLOOKUP(Table1[[#This Row],[Product_Name]],'c174_calc'!$A$2:$C$153, 2, FALSE)</f>
        <v>#N/A</v>
      </c>
      <c r="AF513" t="e">
        <f>VLOOKUP(Table1[[#This Row],[Product_Name]],'c174_calc'!$A$2:$C$153, 3, FALSE)</f>
        <v>#N/A</v>
      </c>
      <c r="AG513" t="e">
        <f>Table1[[#This Row],[vma]]=Table1[[#This Row],[MA_Number]]</f>
        <v>#N/A</v>
      </c>
    </row>
    <row r="514" spans="1:33" hidden="1" x14ac:dyDescent="0.3">
      <c r="B514" s="1" t="s">
        <v>1077</v>
      </c>
      <c r="C514" s="1"/>
      <c r="E514" t="s">
        <v>1671</v>
      </c>
      <c r="G514" t="s">
        <v>601</v>
      </c>
      <c r="H514" t="s">
        <v>1672</v>
      </c>
      <c r="I514">
        <v>1</v>
      </c>
      <c r="J514">
        <v>60</v>
      </c>
      <c r="K514">
        <v>39</v>
      </c>
      <c r="L514">
        <v>30</v>
      </c>
      <c r="M514" t="s">
        <v>50</v>
      </c>
      <c r="N514" t="s">
        <v>24</v>
      </c>
      <c r="O514" t="b">
        <v>1</v>
      </c>
      <c r="AA514">
        <f>Table1[[#This Row],[qPer board]]*Table1[[#This Row],[boards]]</f>
        <v>0</v>
      </c>
      <c r="AB514">
        <v>1</v>
      </c>
      <c r="AD514" t="e">
        <f>VLOOKUP(Table1[[#This Row],[Product_Name]],'c174_calc'!$A$2:$C$153, 1, FALSE)</f>
        <v>#N/A</v>
      </c>
      <c r="AE514" t="e">
        <f>VLOOKUP(Table1[[#This Row],[Product_Name]],'c174_calc'!$A$2:$C$153, 2, FALSE)</f>
        <v>#N/A</v>
      </c>
      <c r="AF514" t="e">
        <f>VLOOKUP(Table1[[#This Row],[Product_Name]],'c174_calc'!$A$2:$C$153, 3, FALSE)</f>
        <v>#N/A</v>
      </c>
      <c r="AG514" t="e">
        <f>Table1[[#This Row],[vma]]=Table1[[#This Row],[MA_Number]]</f>
        <v>#N/A</v>
      </c>
    </row>
    <row r="515" spans="1:33" hidden="1" x14ac:dyDescent="0.3">
      <c r="B515" s="1" t="s">
        <v>1077</v>
      </c>
      <c r="C515" s="1"/>
      <c r="E515" t="s">
        <v>1673</v>
      </c>
      <c r="G515" t="s">
        <v>601</v>
      </c>
      <c r="H515" t="s">
        <v>1674</v>
      </c>
      <c r="I515">
        <v>1</v>
      </c>
      <c r="J515">
        <v>60</v>
      </c>
      <c r="K515">
        <v>39</v>
      </c>
      <c r="L515">
        <v>21</v>
      </c>
      <c r="M515" t="s">
        <v>50</v>
      </c>
      <c r="N515" t="s">
        <v>24</v>
      </c>
      <c r="O515" t="b">
        <v>1</v>
      </c>
      <c r="AA515">
        <f>Table1[[#This Row],[qPer board]]*Table1[[#This Row],[boards]]</f>
        <v>0</v>
      </c>
      <c r="AB515">
        <v>1</v>
      </c>
      <c r="AD515" t="e">
        <f>VLOOKUP(Table1[[#This Row],[Product_Name]],'c174_calc'!$A$2:$C$153, 1, FALSE)</f>
        <v>#N/A</v>
      </c>
      <c r="AE515" t="e">
        <f>VLOOKUP(Table1[[#This Row],[Product_Name]],'c174_calc'!$A$2:$C$153, 2, FALSE)</f>
        <v>#N/A</v>
      </c>
      <c r="AF515" t="e">
        <f>VLOOKUP(Table1[[#This Row],[Product_Name]],'c174_calc'!$A$2:$C$153, 3, FALSE)</f>
        <v>#N/A</v>
      </c>
      <c r="AG515" t="e">
        <f>Table1[[#This Row],[vma]]=Table1[[#This Row],[MA_Number]]</f>
        <v>#N/A</v>
      </c>
    </row>
    <row r="516" spans="1:33" hidden="1" x14ac:dyDescent="0.3">
      <c r="A516" t="s">
        <v>717</v>
      </c>
      <c r="B516" s="1" t="s">
        <v>1085</v>
      </c>
      <c r="C516" s="1"/>
      <c r="D516" t="s">
        <v>279</v>
      </c>
      <c r="E516" t="s">
        <v>1675</v>
      </c>
      <c r="F516" t="b">
        <v>1</v>
      </c>
      <c r="I516">
        <v>1</v>
      </c>
      <c r="J516" t="s">
        <v>670</v>
      </c>
      <c r="K516" t="s">
        <v>670</v>
      </c>
      <c r="L516" t="s">
        <v>670</v>
      </c>
      <c r="O516" t="b">
        <v>1</v>
      </c>
      <c r="AA516" t="e">
        <f>Table1[[#This Row],[qPer board]]*Table1[[#This Row],[boards]]</f>
        <v>#REF!</v>
      </c>
      <c r="AB516" t="e">
        <f>VLOOKUP(Table1[[#This Row],[MA_Number]],#REF!, 2,FALSE)</f>
        <v>#REF!</v>
      </c>
      <c r="AD516" t="e">
        <f>VLOOKUP(Table1[[#This Row],[Product_Name]],'c174_calc'!$A$2:$C$153, 1, FALSE)</f>
        <v>#N/A</v>
      </c>
      <c r="AE516" t="e">
        <f>VLOOKUP(Table1[[#This Row],[Product_Name]],'c174_calc'!$A$2:$C$153, 2, FALSE)</f>
        <v>#N/A</v>
      </c>
      <c r="AF516" t="e">
        <f>VLOOKUP(Table1[[#This Row],[Product_Name]],'c174_calc'!$A$2:$C$153, 3, FALSE)</f>
        <v>#N/A</v>
      </c>
      <c r="AG516" t="e">
        <f>Table1[[#This Row],[vma]]=Table1[[#This Row],[MA_Number]]</f>
        <v>#N/A</v>
      </c>
    </row>
    <row r="517" spans="1:33" hidden="1" x14ac:dyDescent="0.3">
      <c r="B517" s="1" t="s">
        <v>1085</v>
      </c>
      <c r="C517" s="1"/>
      <c r="E517" t="s">
        <v>1676</v>
      </c>
      <c r="G517" t="s">
        <v>717</v>
      </c>
      <c r="H517" t="s">
        <v>1677</v>
      </c>
      <c r="I517">
        <v>1</v>
      </c>
      <c r="J517">
        <v>57</v>
      </c>
      <c r="K517">
        <v>40</v>
      </c>
      <c r="L517">
        <v>47</v>
      </c>
      <c r="M517" t="s">
        <v>51</v>
      </c>
      <c r="N517" t="s">
        <v>24</v>
      </c>
      <c r="O517" t="b">
        <v>1</v>
      </c>
      <c r="AA517" t="e">
        <f>Table1[[#This Row],[qPer board]]*Table1[[#This Row],[boards]]</f>
        <v>#REF!</v>
      </c>
      <c r="AB517" t="e">
        <f>VLOOKUP(Table1[[#This Row],[MA_Number]],#REF!, 2,FALSE)</f>
        <v>#REF!</v>
      </c>
      <c r="AD517" t="e">
        <f>VLOOKUP(Table1[[#This Row],[Product_Name]],'c174_calc'!$A$2:$C$153, 1, FALSE)</f>
        <v>#N/A</v>
      </c>
      <c r="AE517" t="e">
        <f>VLOOKUP(Table1[[#This Row],[Product_Name]],'c174_calc'!$A$2:$C$153, 2, FALSE)</f>
        <v>#N/A</v>
      </c>
      <c r="AF517" t="e">
        <f>VLOOKUP(Table1[[#This Row],[Product_Name]],'c174_calc'!$A$2:$C$153, 3, FALSE)</f>
        <v>#N/A</v>
      </c>
      <c r="AG517" t="e">
        <f>Table1[[#This Row],[vma]]=Table1[[#This Row],[MA_Number]]</f>
        <v>#N/A</v>
      </c>
    </row>
    <row r="518" spans="1:33" hidden="1" x14ac:dyDescent="0.3">
      <c r="B518" s="1" t="s">
        <v>1085</v>
      </c>
      <c r="C518" s="1"/>
      <c r="E518" t="s">
        <v>1678</v>
      </c>
      <c r="G518" t="s">
        <v>717</v>
      </c>
      <c r="H518" t="s">
        <v>1679</v>
      </c>
      <c r="I518">
        <v>1</v>
      </c>
      <c r="J518">
        <v>57</v>
      </c>
      <c r="K518">
        <v>40</v>
      </c>
      <c r="L518">
        <v>30</v>
      </c>
      <c r="M518" t="s">
        <v>51</v>
      </c>
      <c r="N518" t="s">
        <v>24</v>
      </c>
      <c r="O518" t="b">
        <v>1</v>
      </c>
      <c r="AA518" t="e">
        <f>Table1[[#This Row],[qPer board]]*Table1[[#This Row],[boards]]</f>
        <v>#REF!</v>
      </c>
      <c r="AB518" t="e">
        <f>VLOOKUP(Table1[[#This Row],[MA_Number]],#REF!, 2,FALSE)</f>
        <v>#REF!</v>
      </c>
      <c r="AD518" t="e">
        <f>VLOOKUP(Table1[[#This Row],[Product_Name]],'c174_calc'!$A$2:$C$153, 1, FALSE)</f>
        <v>#N/A</v>
      </c>
      <c r="AE518" t="e">
        <f>VLOOKUP(Table1[[#This Row],[Product_Name]],'c174_calc'!$A$2:$C$153, 2, FALSE)</f>
        <v>#N/A</v>
      </c>
      <c r="AF518" t="e">
        <f>VLOOKUP(Table1[[#This Row],[Product_Name]],'c174_calc'!$A$2:$C$153, 3, FALSE)</f>
        <v>#N/A</v>
      </c>
      <c r="AG518" t="e">
        <f>Table1[[#This Row],[vma]]=Table1[[#This Row],[MA_Number]]</f>
        <v>#N/A</v>
      </c>
    </row>
    <row r="519" spans="1:33" hidden="1" x14ac:dyDescent="0.3">
      <c r="B519" s="1" t="s">
        <v>1085</v>
      </c>
      <c r="C519" s="1"/>
      <c r="E519" t="s">
        <v>1680</v>
      </c>
      <c r="G519" t="s">
        <v>717</v>
      </c>
      <c r="H519" t="s">
        <v>1681</v>
      </c>
      <c r="I519">
        <v>1</v>
      </c>
      <c r="J519">
        <v>57</v>
      </c>
      <c r="K519">
        <v>40</v>
      </c>
      <c r="L519">
        <v>21</v>
      </c>
      <c r="M519" t="s">
        <v>51</v>
      </c>
      <c r="N519" t="s">
        <v>24</v>
      </c>
      <c r="O519" t="b">
        <v>1</v>
      </c>
      <c r="AA519" t="e">
        <f>Table1[[#This Row],[qPer board]]*Table1[[#This Row],[boards]]</f>
        <v>#REF!</v>
      </c>
      <c r="AB519" t="e">
        <f>VLOOKUP(Table1[[#This Row],[MA_Number]],#REF!, 2,FALSE)</f>
        <v>#REF!</v>
      </c>
      <c r="AD519" t="e">
        <f>VLOOKUP(Table1[[#This Row],[Product_Name]],'c174_calc'!$A$2:$C$153, 1, FALSE)</f>
        <v>#N/A</v>
      </c>
      <c r="AE519" t="e">
        <f>VLOOKUP(Table1[[#This Row],[Product_Name]],'c174_calc'!$A$2:$C$153, 2, FALSE)</f>
        <v>#N/A</v>
      </c>
      <c r="AF519" t="e">
        <f>VLOOKUP(Table1[[#This Row],[Product_Name]],'c174_calc'!$A$2:$C$153, 3, FALSE)</f>
        <v>#N/A</v>
      </c>
      <c r="AG519" t="e">
        <f>Table1[[#This Row],[vma]]=Table1[[#This Row],[MA_Number]]</f>
        <v>#N/A</v>
      </c>
    </row>
    <row r="520" spans="1:33" hidden="1" x14ac:dyDescent="0.3">
      <c r="A520" s="62" t="s">
        <v>1882</v>
      </c>
      <c r="B520" s="1" t="s">
        <v>1682</v>
      </c>
      <c r="C520" s="1"/>
      <c r="D520" t="s">
        <v>279</v>
      </c>
      <c r="E520" t="s">
        <v>1890</v>
      </c>
      <c r="F520" t="b">
        <v>1</v>
      </c>
      <c r="I520">
        <v>1</v>
      </c>
      <c r="J520" t="s">
        <v>670</v>
      </c>
      <c r="K520" t="s">
        <v>670</v>
      </c>
      <c r="L520" t="s">
        <v>670</v>
      </c>
      <c r="N520" t="s">
        <v>24</v>
      </c>
      <c r="O520" t="b">
        <v>1</v>
      </c>
      <c r="AA520" t="e">
        <f>Table1[[#This Row],[qPer board]]*Table1[[#This Row],[boards]]</f>
        <v>#REF!</v>
      </c>
      <c r="AB520" t="e">
        <f>VLOOKUP(Table1[[#This Row],[MA_Number]],#REF!, 2,FALSE)</f>
        <v>#REF!</v>
      </c>
      <c r="AD520" t="e">
        <f>VLOOKUP(Table1[[#This Row],[Product_Name]],'c174_calc'!$A$2:$C$153, 1, FALSE)</f>
        <v>#N/A</v>
      </c>
      <c r="AE520" t="e">
        <f>VLOOKUP(Table1[[#This Row],[Product_Name]],'c174_calc'!$A$2:$C$153, 2, FALSE)</f>
        <v>#N/A</v>
      </c>
      <c r="AF520" t="e">
        <f>VLOOKUP(Table1[[#This Row],[Product_Name]],'c174_calc'!$A$2:$C$153, 3, FALSE)</f>
        <v>#N/A</v>
      </c>
      <c r="AG520" t="e">
        <f>Table1[[#This Row],[vma]]=Table1[[#This Row],[MA_Number]]</f>
        <v>#N/A</v>
      </c>
    </row>
    <row r="521" spans="1:33" hidden="1" x14ac:dyDescent="0.3">
      <c r="A521" s="62"/>
      <c r="B521" s="1" t="s">
        <v>1682</v>
      </c>
      <c r="C521" s="1"/>
      <c r="G521" t="s">
        <v>1882</v>
      </c>
      <c r="H521" t="s">
        <v>1884</v>
      </c>
      <c r="I521">
        <v>1</v>
      </c>
      <c r="J521">
        <v>70</v>
      </c>
      <c r="K521">
        <v>40</v>
      </c>
      <c r="L521">
        <v>48</v>
      </c>
      <c r="M521" t="s">
        <v>49</v>
      </c>
      <c r="N521" t="s">
        <v>24</v>
      </c>
      <c r="O521" t="b">
        <v>1</v>
      </c>
      <c r="AA521" t="e">
        <f>Table1[[#This Row],[qPer board]]*Table1[[#This Row],[boards]]</f>
        <v>#REF!</v>
      </c>
      <c r="AB521" t="e">
        <f>VLOOKUP(Table1[[#This Row],[MA_Number]],#REF!, 2,FALSE)</f>
        <v>#REF!</v>
      </c>
      <c r="AD521" t="e">
        <f>VLOOKUP(Table1[[#This Row],[Product_Name]],'c174_calc'!$A$2:$C$153, 1, FALSE)</f>
        <v>#N/A</v>
      </c>
      <c r="AE521" t="e">
        <f>VLOOKUP(Table1[[#This Row],[Product_Name]],'c174_calc'!$A$2:$C$153, 2, FALSE)</f>
        <v>#N/A</v>
      </c>
      <c r="AF521" t="e">
        <f>VLOOKUP(Table1[[#This Row],[Product_Name]],'c174_calc'!$A$2:$C$153, 3, FALSE)</f>
        <v>#N/A</v>
      </c>
      <c r="AG521" t="e">
        <f>Table1[[#This Row],[vma]]=Table1[[#This Row],[MA_Number]]</f>
        <v>#N/A</v>
      </c>
    </row>
    <row r="522" spans="1:33" hidden="1" x14ac:dyDescent="0.3">
      <c r="A522" s="62"/>
      <c r="B522" s="1" t="s">
        <v>1682</v>
      </c>
      <c r="C522" s="1"/>
      <c r="G522" t="s">
        <v>1882</v>
      </c>
      <c r="H522" t="s">
        <v>1885</v>
      </c>
      <c r="I522">
        <v>1</v>
      </c>
      <c r="J522">
        <v>70</v>
      </c>
      <c r="K522">
        <v>40</v>
      </c>
      <c r="L522">
        <v>30</v>
      </c>
      <c r="M522" t="s">
        <v>49</v>
      </c>
      <c r="N522" t="s">
        <v>24</v>
      </c>
      <c r="O522" t="b">
        <v>1</v>
      </c>
      <c r="AA522" t="e">
        <f>Table1[[#This Row],[qPer board]]*Table1[[#This Row],[boards]]</f>
        <v>#REF!</v>
      </c>
      <c r="AB522" t="e">
        <f>VLOOKUP(Table1[[#This Row],[MA_Number]],#REF!, 2,FALSE)</f>
        <v>#REF!</v>
      </c>
      <c r="AD522" t="e">
        <f>VLOOKUP(Table1[[#This Row],[Product_Name]],'c174_calc'!$A$2:$C$153, 1, FALSE)</f>
        <v>#N/A</v>
      </c>
      <c r="AE522" t="e">
        <f>VLOOKUP(Table1[[#This Row],[Product_Name]],'c174_calc'!$A$2:$C$153, 2, FALSE)</f>
        <v>#N/A</v>
      </c>
      <c r="AF522" t="e">
        <f>VLOOKUP(Table1[[#This Row],[Product_Name]],'c174_calc'!$A$2:$C$153, 3, FALSE)</f>
        <v>#N/A</v>
      </c>
      <c r="AG522" t="e">
        <f>Table1[[#This Row],[vma]]=Table1[[#This Row],[MA_Number]]</f>
        <v>#N/A</v>
      </c>
    </row>
    <row r="523" spans="1:33" hidden="1" x14ac:dyDescent="0.3">
      <c r="A523" s="62"/>
      <c r="B523" s="1" t="s">
        <v>1682</v>
      </c>
      <c r="C523" s="1"/>
      <c r="G523" t="s">
        <v>1882</v>
      </c>
      <c r="H523" t="s">
        <v>1886</v>
      </c>
      <c r="I523">
        <v>1</v>
      </c>
      <c r="J523">
        <v>70</v>
      </c>
      <c r="K523">
        <v>40</v>
      </c>
      <c r="L523">
        <v>20</v>
      </c>
      <c r="M523" t="s">
        <v>49</v>
      </c>
      <c r="N523" t="s">
        <v>24</v>
      </c>
      <c r="O523" t="b">
        <v>1</v>
      </c>
      <c r="AA523" t="e">
        <f>Table1[[#This Row],[qPer board]]*Table1[[#This Row],[boards]]</f>
        <v>#REF!</v>
      </c>
      <c r="AB523" t="e">
        <f>VLOOKUP(Table1[[#This Row],[MA_Number]],#REF!, 2,FALSE)</f>
        <v>#REF!</v>
      </c>
      <c r="AD523" t="e">
        <f>VLOOKUP(Table1[[#This Row],[Product_Name]],'c174_calc'!$A$2:$C$153, 1, FALSE)</f>
        <v>#N/A</v>
      </c>
      <c r="AE523" t="e">
        <f>VLOOKUP(Table1[[#This Row],[Product_Name]],'c174_calc'!$A$2:$C$153, 2, FALSE)</f>
        <v>#N/A</v>
      </c>
      <c r="AF523" t="e">
        <f>VLOOKUP(Table1[[#This Row],[Product_Name]],'c174_calc'!$A$2:$C$153, 3, FALSE)</f>
        <v>#N/A</v>
      </c>
      <c r="AG523" t="e">
        <f>Table1[[#This Row],[vma]]=Table1[[#This Row],[MA_Number]]</f>
        <v>#N/A</v>
      </c>
    </row>
    <row r="524" spans="1:33" hidden="1" x14ac:dyDescent="0.3">
      <c r="A524" s="62" t="s">
        <v>1883</v>
      </c>
      <c r="B524" s="1" t="s">
        <v>1682</v>
      </c>
      <c r="C524" s="1"/>
      <c r="D524" t="s">
        <v>279</v>
      </c>
      <c r="E524" t="s">
        <v>1891</v>
      </c>
      <c r="F524" t="b">
        <v>1</v>
      </c>
      <c r="I524">
        <v>1</v>
      </c>
      <c r="J524" t="s">
        <v>670</v>
      </c>
      <c r="K524" t="s">
        <v>670</v>
      </c>
      <c r="L524" t="s">
        <v>670</v>
      </c>
      <c r="N524" t="s">
        <v>24</v>
      </c>
      <c r="O524" t="b">
        <v>1</v>
      </c>
      <c r="AA524">
        <f>Table1[[#This Row],[qPer board]]*Table1[[#This Row],[boards]]</f>
        <v>0</v>
      </c>
      <c r="AB524">
        <v>1</v>
      </c>
      <c r="AD524" t="e">
        <f>VLOOKUP(Table1[[#This Row],[Product_Name]],'c174_calc'!$A$2:$C$153, 1, FALSE)</f>
        <v>#N/A</v>
      </c>
      <c r="AE524" t="e">
        <f>VLOOKUP(Table1[[#This Row],[Product_Name]],'c174_calc'!$A$2:$C$153, 2, FALSE)</f>
        <v>#N/A</v>
      </c>
      <c r="AF524" t="e">
        <f>VLOOKUP(Table1[[#This Row],[Product_Name]],'c174_calc'!$A$2:$C$153, 3, FALSE)</f>
        <v>#N/A</v>
      </c>
      <c r="AG524" t="e">
        <f>Table1[[#This Row],[vma]]=Table1[[#This Row],[MA_Number]]</f>
        <v>#N/A</v>
      </c>
    </row>
    <row r="525" spans="1:33" hidden="1" x14ac:dyDescent="0.3">
      <c r="A525" s="62"/>
      <c r="B525" s="1" t="s">
        <v>1682</v>
      </c>
      <c r="C525" s="1"/>
      <c r="G525" t="s">
        <v>1883</v>
      </c>
      <c r="H525" t="s">
        <v>1887</v>
      </c>
      <c r="I525">
        <v>1</v>
      </c>
      <c r="J525">
        <v>50</v>
      </c>
      <c r="K525">
        <v>40</v>
      </c>
      <c r="L525">
        <v>70</v>
      </c>
      <c r="M525" t="s">
        <v>48</v>
      </c>
      <c r="N525" t="s">
        <v>24</v>
      </c>
      <c r="O525" t="b">
        <v>1</v>
      </c>
      <c r="AA525">
        <f>Table1[[#This Row],[qPer board]]*Table1[[#This Row],[boards]]</f>
        <v>0</v>
      </c>
      <c r="AB525">
        <v>1</v>
      </c>
      <c r="AD525" t="e">
        <f>VLOOKUP(Table1[[#This Row],[Product_Name]],'c174_calc'!$A$2:$C$153, 1, FALSE)</f>
        <v>#N/A</v>
      </c>
      <c r="AE525" t="e">
        <f>VLOOKUP(Table1[[#This Row],[Product_Name]],'c174_calc'!$A$2:$C$153, 2, FALSE)</f>
        <v>#N/A</v>
      </c>
      <c r="AF525" t="e">
        <f>VLOOKUP(Table1[[#This Row],[Product_Name]],'c174_calc'!$A$2:$C$153, 3, FALSE)</f>
        <v>#N/A</v>
      </c>
      <c r="AG525" t="e">
        <f>Table1[[#This Row],[vma]]=Table1[[#This Row],[MA_Number]]</f>
        <v>#N/A</v>
      </c>
    </row>
    <row r="526" spans="1:33" hidden="1" x14ac:dyDescent="0.3">
      <c r="A526" s="62"/>
      <c r="B526" s="1" t="s">
        <v>1682</v>
      </c>
      <c r="C526" s="1"/>
      <c r="G526" t="s">
        <v>1883</v>
      </c>
      <c r="H526" t="s">
        <v>1888</v>
      </c>
      <c r="I526">
        <v>1</v>
      </c>
      <c r="J526">
        <v>50</v>
      </c>
      <c r="K526">
        <v>40</v>
      </c>
      <c r="L526">
        <v>30</v>
      </c>
      <c r="M526" t="s">
        <v>48</v>
      </c>
      <c r="N526" t="s">
        <v>24</v>
      </c>
      <c r="O526" t="b">
        <v>1</v>
      </c>
      <c r="AA526">
        <f>Table1[[#This Row],[qPer board]]*Table1[[#This Row],[boards]]</f>
        <v>0</v>
      </c>
      <c r="AB526">
        <v>1</v>
      </c>
      <c r="AD526" t="e">
        <f>VLOOKUP(Table1[[#This Row],[Product_Name]],'c174_calc'!$A$2:$C$153, 1, FALSE)</f>
        <v>#N/A</v>
      </c>
      <c r="AE526" t="e">
        <f>VLOOKUP(Table1[[#This Row],[Product_Name]],'c174_calc'!$A$2:$C$153, 2, FALSE)</f>
        <v>#N/A</v>
      </c>
      <c r="AF526" t="e">
        <f>VLOOKUP(Table1[[#This Row],[Product_Name]],'c174_calc'!$A$2:$C$153, 3, FALSE)</f>
        <v>#N/A</v>
      </c>
      <c r="AG526" t="e">
        <f>Table1[[#This Row],[vma]]=Table1[[#This Row],[MA_Number]]</f>
        <v>#N/A</v>
      </c>
    </row>
    <row r="527" spans="1:33" hidden="1" x14ac:dyDescent="0.3">
      <c r="A527" s="62"/>
      <c r="B527" s="1" t="s">
        <v>1682</v>
      </c>
      <c r="C527" s="1"/>
      <c r="G527" t="s">
        <v>1883</v>
      </c>
      <c r="H527" t="s">
        <v>1889</v>
      </c>
      <c r="I527">
        <v>1</v>
      </c>
      <c r="J527">
        <v>50</v>
      </c>
      <c r="K527">
        <v>40</v>
      </c>
      <c r="L527">
        <v>20</v>
      </c>
      <c r="M527" t="s">
        <v>48</v>
      </c>
      <c r="N527" t="s">
        <v>24</v>
      </c>
      <c r="O527" t="b">
        <v>1</v>
      </c>
      <c r="AA527">
        <f>Table1[[#This Row],[qPer board]]*Table1[[#This Row],[boards]]</f>
        <v>0</v>
      </c>
      <c r="AB527">
        <v>1</v>
      </c>
      <c r="AD527" t="e">
        <f>VLOOKUP(Table1[[#This Row],[Product_Name]],'c174_calc'!$A$2:$C$153, 1, FALSE)</f>
        <v>#N/A</v>
      </c>
      <c r="AE527" t="e">
        <f>VLOOKUP(Table1[[#This Row],[Product_Name]],'c174_calc'!$A$2:$C$153, 2, FALSE)</f>
        <v>#N/A</v>
      </c>
      <c r="AF527" t="e">
        <f>VLOOKUP(Table1[[#This Row],[Product_Name]],'c174_calc'!$A$2:$C$153, 3, FALSE)</f>
        <v>#N/A</v>
      </c>
      <c r="AG527" t="e">
        <f>Table1[[#This Row],[vma]]=Table1[[#This Row],[MA_Number]]</f>
        <v>#N/A</v>
      </c>
    </row>
    <row r="528" spans="1:33" hidden="1" x14ac:dyDescent="0.3">
      <c r="A528" s="62" t="s">
        <v>1862</v>
      </c>
      <c r="B528" s="1">
        <v>7035990430</v>
      </c>
      <c r="C528" s="1"/>
      <c r="D528" t="s">
        <v>279</v>
      </c>
      <c r="E528" t="s">
        <v>1699</v>
      </c>
      <c r="F528" t="b">
        <v>1</v>
      </c>
      <c r="I528">
        <v>1</v>
      </c>
      <c r="N528" t="s">
        <v>24</v>
      </c>
      <c r="O528" t="b">
        <v>1</v>
      </c>
      <c r="AA528" t="e">
        <f>Table1[[#This Row],[qPer board]]*Table1[[#This Row],[boards]]</f>
        <v>#REF!</v>
      </c>
      <c r="AB528" t="e">
        <f>VLOOKUP(Table1[[#This Row],[MA_Number]],#REF!, 2,FALSE)</f>
        <v>#REF!</v>
      </c>
      <c r="AD528" t="e">
        <f>VLOOKUP(Table1[[#This Row],[Product_Name]],'c174_calc'!$A$2:$C$153, 1, FALSE)</f>
        <v>#N/A</v>
      </c>
      <c r="AE528" t="e">
        <f>VLOOKUP(Table1[[#This Row],[Product_Name]],'c174_calc'!$A$2:$C$153, 2, FALSE)</f>
        <v>#N/A</v>
      </c>
      <c r="AF528" t="e">
        <f>VLOOKUP(Table1[[#This Row],[Product_Name]],'c174_calc'!$A$2:$C$153, 3, FALSE)</f>
        <v>#N/A</v>
      </c>
      <c r="AG528" t="e">
        <f>Table1[[#This Row],[vma]]=Table1[[#This Row],[MA_Number]]</f>
        <v>#N/A</v>
      </c>
    </row>
    <row r="529" spans="1:33" hidden="1" x14ac:dyDescent="0.3">
      <c r="A529" s="62"/>
      <c r="B529" s="1">
        <v>7035990430</v>
      </c>
      <c r="C529" s="1"/>
      <c r="G529" t="s">
        <v>1862</v>
      </c>
      <c r="H529" t="s">
        <v>1863</v>
      </c>
      <c r="I529">
        <v>1</v>
      </c>
      <c r="J529">
        <v>70</v>
      </c>
      <c r="K529">
        <v>65</v>
      </c>
      <c r="L529">
        <v>70</v>
      </c>
      <c r="M529" t="s">
        <v>49</v>
      </c>
      <c r="N529" t="s">
        <v>24</v>
      </c>
      <c r="O529" t="b">
        <v>1</v>
      </c>
      <c r="AA529" t="e">
        <f>Table1[[#This Row],[qPer board]]*Table1[[#This Row],[boards]]</f>
        <v>#REF!</v>
      </c>
      <c r="AB529" t="e">
        <f>VLOOKUP(Table1[[#This Row],[MA_Number]],#REF!, 2,FALSE)</f>
        <v>#REF!</v>
      </c>
      <c r="AD529" t="e">
        <f>VLOOKUP(Table1[[#This Row],[Product_Name]],'c174_calc'!$A$2:$C$153, 1, FALSE)</f>
        <v>#N/A</v>
      </c>
      <c r="AE529" t="e">
        <f>VLOOKUP(Table1[[#This Row],[Product_Name]],'c174_calc'!$A$2:$C$153, 2, FALSE)</f>
        <v>#N/A</v>
      </c>
      <c r="AF529" t="e">
        <f>VLOOKUP(Table1[[#This Row],[Product_Name]],'c174_calc'!$A$2:$C$153, 3, FALSE)</f>
        <v>#N/A</v>
      </c>
      <c r="AG529" t="e">
        <f>Table1[[#This Row],[vma]]=Table1[[#This Row],[MA_Number]]</f>
        <v>#N/A</v>
      </c>
    </row>
    <row r="530" spans="1:33" hidden="1" x14ac:dyDescent="0.3">
      <c r="A530" s="62"/>
      <c r="B530" s="1">
        <v>7035990430</v>
      </c>
      <c r="C530" s="1"/>
      <c r="G530" t="s">
        <v>1862</v>
      </c>
      <c r="H530" t="s">
        <v>1864</v>
      </c>
      <c r="I530">
        <v>1</v>
      </c>
      <c r="J530">
        <v>35</v>
      </c>
      <c r="K530">
        <v>15</v>
      </c>
      <c r="L530">
        <v>25</v>
      </c>
      <c r="M530" t="s">
        <v>49</v>
      </c>
      <c r="N530" t="s">
        <v>24</v>
      </c>
      <c r="O530" t="b">
        <v>1</v>
      </c>
      <c r="AA530" t="e">
        <f>Table1[[#This Row],[qPer board]]*Table1[[#This Row],[boards]]</f>
        <v>#REF!</v>
      </c>
      <c r="AB530" t="e">
        <f>VLOOKUP(Table1[[#This Row],[MA_Number]],#REF!, 2,FALSE)</f>
        <v>#REF!</v>
      </c>
      <c r="AD530" t="e">
        <f>VLOOKUP(Table1[[#This Row],[Product_Name]],'c174_calc'!$A$2:$C$153, 1, FALSE)</f>
        <v>#N/A</v>
      </c>
      <c r="AE530" t="e">
        <f>VLOOKUP(Table1[[#This Row],[Product_Name]],'c174_calc'!$A$2:$C$153, 2, FALSE)</f>
        <v>#N/A</v>
      </c>
      <c r="AF530" t="e">
        <f>VLOOKUP(Table1[[#This Row],[Product_Name]],'c174_calc'!$A$2:$C$153, 3, FALSE)</f>
        <v>#N/A</v>
      </c>
      <c r="AG530" t="e">
        <f>Table1[[#This Row],[vma]]=Table1[[#This Row],[MA_Number]]</f>
        <v>#N/A</v>
      </c>
    </row>
    <row r="531" spans="1:33" hidden="1" x14ac:dyDescent="0.3">
      <c r="A531" s="62" t="s">
        <v>1777</v>
      </c>
      <c r="B531" s="1">
        <v>7035990930</v>
      </c>
      <c r="C531" s="1"/>
      <c r="D531" t="s">
        <v>279</v>
      </c>
      <c r="E531" t="s">
        <v>1700</v>
      </c>
      <c r="F531" t="b">
        <v>1</v>
      </c>
      <c r="I531">
        <v>1</v>
      </c>
      <c r="N531" t="s">
        <v>24</v>
      </c>
      <c r="O531" t="b">
        <v>1</v>
      </c>
      <c r="AA531" t="e">
        <f>Table1[[#This Row],[qPer board]]*Table1[[#This Row],[boards]]</f>
        <v>#REF!</v>
      </c>
      <c r="AB531" t="e">
        <f>VLOOKUP(Table1[[#This Row],[MA_Number]],#REF!, 2,FALSE)</f>
        <v>#REF!</v>
      </c>
      <c r="AD531" t="e">
        <f>VLOOKUP(Table1[[#This Row],[Product_Name]],'c174_calc'!$A$2:$C$153, 1, FALSE)</f>
        <v>#N/A</v>
      </c>
      <c r="AE531" t="e">
        <f>VLOOKUP(Table1[[#This Row],[Product_Name]],'c174_calc'!$A$2:$C$153, 2, FALSE)</f>
        <v>#N/A</v>
      </c>
      <c r="AF531" t="e">
        <f>VLOOKUP(Table1[[#This Row],[Product_Name]],'c174_calc'!$A$2:$C$153, 3, FALSE)</f>
        <v>#N/A</v>
      </c>
      <c r="AG531" t="e">
        <f>Table1[[#This Row],[vma]]=Table1[[#This Row],[MA_Number]]</f>
        <v>#N/A</v>
      </c>
    </row>
    <row r="532" spans="1:33" hidden="1" x14ac:dyDescent="0.3">
      <c r="A532" s="62"/>
      <c r="B532" s="1">
        <v>7035990930</v>
      </c>
      <c r="C532" s="1"/>
      <c r="G532" t="s">
        <v>1777</v>
      </c>
      <c r="H532" t="s">
        <v>1778</v>
      </c>
      <c r="I532">
        <v>1</v>
      </c>
      <c r="J532">
        <v>110</v>
      </c>
      <c r="K532">
        <v>50</v>
      </c>
      <c r="L532">
        <v>75</v>
      </c>
      <c r="M532" t="s">
        <v>49</v>
      </c>
      <c r="N532" t="s">
        <v>24</v>
      </c>
      <c r="O532" t="b">
        <v>1</v>
      </c>
      <c r="AA532" t="e">
        <f>Table1[[#This Row],[qPer board]]*Table1[[#This Row],[boards]]</f>
        <v>#REF!</v>
      </c>
      <c r="AB532" t="e">
        <f>VLOOKUP(Table1[[#This Row],[MA_Number]],#REF!, 2,FALSE)</f>
        <v>#REF!</v>
      </c>
      <c r="AD532" t="e">
        <f>VLOOKUP(Table1[[#This Row],[Product_Name]],'c174_calc'!$A$2:$C$153, 1, FALSE)</f>
        <v>#N/A</v>
      </c>
      <c r="AE532" t="e">
        <f>VLOOKUP(Table1[[#This Row],[Product_Name]],'c174_calc'!$A$2:$C$153, 2, FALSE)</f>
        <v>#N/A</v>
      </c>
      <c r="AF532" t="e">
        <f>VLOOKUP(Table1[[#This Row],[Product_Name]],'c174_calc'!$A$2:$C$153, 3, FALSE)</f>
        <v>#N/A</v>
      </c>
      <c r="AG532" t="e">
        <f>Table1[[#This Row],[vma]]=Table1[[#This Row],[MA_Number]]</f>
        <v>#N/A</v>
      </c>
    </row>
    <row r="533" spans="1:33" hidden="1" x14ac:dyDescent="0.3">
      <c r="A533" s="62"/>
      <c r="B533" s="1">
        <v>7035990930</v>
      </c>
      <c r="C533" s="1"/>
      <c r="G533" t="s">
        <v>1777</v>
      </c>
      <c r="H533" t="s">
        <v>1779</v>
      </c>
      <c r="I533">
        <v>1</v>
      </c>
      <c r="J533">
        <v>45</v>
      </c>
      <c r="K533">
        <v>15</v>
      </c>
      <c r="L533">
        <v>42</v>
      </c>
      <c r="M533" t="s">
        <v>49</v>
      </c>
      <c r="N533" t="s">
        <v>24</v>
      </c>
      <c r="O533" t="b">
        <v>1</v>
      </c>
      <c r="AA533" t="e">
        <f>Table1[[#This Row],[qPer board]]*Table1[[#This Row],[boards]]</f>
        <v>#REF!</v>
      </c>
      <c r="AB533" t="e">
        <f>VLOOKUP(Table1[[#This Row],[MA_Number]],#REF!, 2,FALSE)</f>
        <v>#REF!</v>
      </c>
      <c r="AD533" t="e">
        <f>VLOOKUP(Table1[[#This Row],[Product_Name]],'c174_calc'!$A$2:$C$153, 1, FALSE)</f>
        <v>#N/A</v>
      </c>
      <c r="AE533" t="e">
        <f>VLOOKUP(Table1[[#This Row],[Product_Name]],'c174_calc'!$A$2:$C$153, 2, FALSE)</f>
        <v>#N/A</v>
      </c>
      <c r="AF533" t="e">
        <f>VLOOKUP(Table1[[#This Row],[Product_Name]],'c174_calc'!$A$2:$C$153, 3, FALSE)</f>
        <v>#N/A</v>
      </c>
      <c r="AG533" t="e">
        <f>Table1[[#This Row],[vma]]=Table1[[#This Row],[MA_Number]]</f>
        <v>#N/A</v>
      </c>
    </row>
    <row r="534" spans="1:33" hidden="1" x14ac:dyDescent="0.3">
      <c r="A534" t="s">
        <v>1748</v>
      </c>
      <c r="B534" s="1">
        <v>7075244730</v>
      </c>
      <c r="C534" s="1"/>
      <c r="D534" t="s">
        <v>278</v>
      </c>
      <c r="E534" t="s">
        <v>1749</v>
      </c>
      <c r="F534" t="b">
        <v>0</v>
      </c>
      <c r="I534">
        <v>1</v>
      </c>
      <c r="J534">
        <v>56</v>
      </c>
      <c r="K534">
        <v>55</v>
      </c>
      <c r="L534">
        <v>65</v>
      </c>
      <c r="M534" t="s">
        <v>49</v>
      </c>
      <c r="N534" t="s">
        <v>24</v>
      </c>
      <c r="O534" t="b">
        <v>1</v>
      </c>
      <c r="AA534">
        <f>Table1[[#This Row],[qPer board]]*Table1[[#This Row],[boards]]</f>
        <v>0</v>
      </c>
      <c r="AB534">
        <v>1</v>
      </c>
      <c r="AD534" t="e">
        <f>VLOOKUP(Table1[[#This Row],[Product_Name]],'c174_calc'!$A$2:$C$153, 1, FALSE)</f>
        <v>#N/A</v>
      </c>
      <c r="AE534" t="e">
        <f>VLOOKUP(Table1[[#This Row],[Product_Name]],'c174_calc'!$A$2:$C$153, 2, FALSE)</f>
        <v>#N/A</v>
      </c>
      <c r="AF534" t="e">
        <f>VLOOKUP(Table1[[#This Row],[Product_Name]],'c174_calc'!$A$2:$C$153, 3, FALSE)</f>
        <v>#N/A</v>
      </c>
      <c r="AG534" t="e">
        <f>Table1[[#This Row],[vma]]=Table1[[#This Row],[MA_Number]]</f>
        <v>#N/A</v>
      </c>
    </row>
    <row r="535" spans="1:33" hidden="1" x14ac:dyDescent="0.3">
      <c r="A535" t="s">
        <v>1751</v>
      </c>
      <c r="B535" s="1" t="s">
        <v>1212</v>
      </c>
      <c r="C535" s="1"/>
      <c r="D535" t="s">
        <v>278</v>
      </c>
      <c r="E535" t="s">
        <v>1746</v>
      </c>
      <c r="F535" t="b">
        <v>0</v>
      </c>
      <c r="I535">
        <v>1</v>
      </c>
      <c r="J535">
        <v>56</v>
      </c>
      <c r="K535">
        <v>48</v>
      </c>
      <c r="L535">
        <v>57</v>
      </c>
      <c r="M535" t="s">
        <v>53</v>
      </c>
      <c r="N535" t="s">
        <v>24</v>
      </c>
      <c r="O535" t="b">
        <v>1</v>
      </c>
      <c r="AA535" t="e">
        <f>Table1[[#This Row],[qPer board]]*Table1[[#This Row],[boards]]</f>
        <v>#REF!</v>
      </c>
      <c r="AB535" t="e">
        <f>VLOOKUP(Table1[[#This Row],[MA_Number]],#REF!, 2,FALSE)</f>
        <v>#REF!</v>
      </c>
      <c r="AD535" t="e">
        <f>VLOOKUP(Table1[[#This Row],[Product_Name]],'c174_calc'!$A$2:$C$153, 1, FALSE)</f>
        <v>#N/A</v>
      </c>
      <c r="AE535" t="e">
        <f>VLOOKUP(Table1[[#This Row],[Product_Name]],'c174_calc'!$A$2:$C$153, 2, FALSE)</f>
        <v>#N/A</v>
      </c>
      <c r="AF535" t="e">
        <f>VLOOKUP(Table1[[#This Row],[Product_Name]],'c174_calc'!$A$2:$C$153, 3, FALSE)</f>
        <v>#N/A</v>
      </c>
      <c r="AG535" t="e">
        <f>Table1[[#This Row],[vma]]=Table1[[#This Row],[MA_Number]]</f>
        <v>#N/A</v>
      </c>
    </row>
    <row r="536" spans="1:33" hidden="1" x14ac:dyDescent="0.3">
      <c r="A536" t="s">
        <v>1759</v>
      </c>
      <c r="B536" s="1" t="s">
        <v>520</v>
      </c>
      <c r="C536" s="1"/>
      <c r="D536" t="s">
        <v>278</v>
      </c>
      <c r="E536" t="s">
        <v>1746</v>
      </c>
      <c r="F536" t="b">
        <v>1</v>
      </c>
      <c r="I536">
        <v>1</v>
      </c>
      <c r="N536" t="s">
        <v>24</v>
      </c>
      <c r="O536" t="b">
        <v>1</v>
      </c>
      <c r="V536" t="b">
        <v>1</v>
      </c>
      <c r="AA536">
        <f>Table1[[#This Row],[qPer board]]*Table1[[#This Row],[boards]]</f>
        <v>0</v>
      </c>
      <c r="AB536">
        <f>Table1[[#This Row],[vqty]]</f>
        <v>2</v>
      </c>
      <c r="AD536" t="str">
        <f>VLOOKUP(Table1[[#This Row],[Product_Name]],'c174_calc'!$A$2:$C$153, 1, FALSE)</f>
        <v>7119140530+7119140640+72741359</v>
      </c>
      <c r="AE536" t="str">
        <f>VLOOKUP(Table1[[#This Row],[Product_Name]],'c174_calc'!$A$2:$C$153, 2, FALSE)</f>
        <v>10.21.80751A</v>
      </c>
      <c r="AF536">
        <f>VLOOKUP(Table1[[#This Row],[Product_Name]],'c174_calc'!$A$2:$C$153, 3, FALSE)</f>
        <v>2</v>
      </c>
      <c r="AG536" t="b">
        <f>Table1[[#This Row],[vma]]=Table1[[#This Row],[MA_Number]]</f>
        <v>0</v>
      </c>
    </row>
    <row r="537" spans="1:33" hidden="1" x14ac:dyDescent="0.3">
      <c r="B537" s="1" t="s">
        <v>520</v>
      </c>
      <c r="C537" s="1"/>
      <c r="E537" t="s">
        <v>1893</v>
      </c>
      <c r="G537" t="s">
        <v>1759</v>
      </c>
      <c r="H537" t="s">
        <v>1760</v>
      </c>
      <c r="I537">
        <v>1</v>
      </c>
      <c r="M537" t="s">
        <v>1011</v>
      </c>
      <c r="V537" t="b">
        <v>1</v>
      </c>
      <c r="AB537">
        <f>Table1[[#This Row],[vqty]]</f>
        <v>2</v>
      </c>
      <c r="AD537" t="str">
        <f>VLOOKUP(Table1[[#This Row],[Product_Name]],'c174_calc'!$A$2:$C$153, 1, FALSE)</f>
        <v>7119140530+7119140640+72741359</v>
      </c>
      <c r="AE537" t="str">
        <f>VLOOKUP(Table1[[#This Row],[Product_Name]],'c174_calc'!$A$2:$C$153, 2, FALSE)</f>
        <v>10.21.80751A</v>
      </c>
      <c r="AF537">
        <f>VLOOKUP(Table1[[#This Row],[Product_Name]],'c174_calc'!$A$2:$C$153, 3, FALSE)</f>
        <v>2</v>
      </c>
      <c r="AG537" t="b">
        <f>Table1[[#This Row],[vma]]=Table1[[#This Row],[MA_Number]]</f>
        <v>0</v>
      </c>
    </row>
    <row r="538" spans="1:33" hidden="1" x14ac:dyDescent="0.3">
      <c r="B538" s="1" t="s">
        <v>520</v>
      </c>
      <c r="C538" s="1"/>
      <c r="E538" t="s">
        <v>1893</v>
      </c>
      <c r="G538" t="s">
        <v>1759</v>
      </c>
      <c r="H538" t="s">
        <v>1761</v>
      </c>
      <c r="I538">
        <v>1</v>
      </c>
      <c r="M538" t="s">
        <v>49</v>
      </c>
      <c r="V538" t="b">
        <v>1</v>
      </c>
      <c r="AB538">
        <f>Table1[[#This Row],[vqty]]</f>
        <v>2</v>
      </c>
      <c r="AD538" t="str">
        <f>VLOOKUP(Table1[[#This Row],[Product_Name]],'c174_calc'!$A$2:$C$153, 1, FALSE)</f>
        <v>7119140530+7119140640+72741359</v>
      </c>
      <c r="AE538" t="str">
        <f>VLOOKUP(Table1[[#This Row],[Product_Name]],'c174_calc'!$A$2:$C$153, 2, FALSE)</f>
        <v>10.21.80751A</v>
      </c>
      <c r="AF538">
        <f>VLOOKUP(Table1[[#This Row],[Product_Name]],'c174_calc'!$A$2:$C$153, 3, FALSE)</f>
        <v>2</v>
      </c>
      <c r="AG538" t="b">
        <f>Table1[[#This Row],[vma]]=Table1[[#This Row],[MA_Number]]</f>
        <v>0</v>
      </c>
    </row>
    <row r="539" spans="1:33" hidden="1" x14ac:dyDescent="0.3">
      <c r="B539" s="1" t="s">
        <v>520</v>
      </c>
      <c r="C539" s="1"/>
      <c r="G539" t="s">
        <v>1759</v>
      </c>
      <c r="H539" t="s">
        <v>1762</v>
      </c>
      <c r="I539">
        <v>1</v>
      </c>
      <c r="J539">
        <v>42</v>
      </c>
      <c r="K539">
        <v>46</v>
      </c>
      <c r="L539">
        <v>62</v>
      </c>
      <c r="M539" t="s">
        <v>48</v>
      </c>
      <c r="N539" t="s">
        <v>24</v>
      </c>
      <c r="O539" t="b">
        <v>1</v>
      </c>
      <c r="AB539">
        <f>Table1[[#This Row],[vqty]]</f>
        <v>2</v>
      </c>
      <c r="AD539" t="str">
        <f>VLOOKUP(Table1[[#This Row],[Product_Name]],'c174_calc'!$A$2:$C$153, 1, FALSE)</f>
        <v>7119140530+7119140640+72741359</v>
      </c>
      <c r="AE539" t="str">
        <f>VLOOKUP(Table1[[#This Row],[Product_Name]],'c174_calc'!$A$2:$C$153, 2, FALSE)</f>
        <v>10.21.80751A</v>
      </c>
      <c r="AF539">
        <f>VLOOKUP(Table1[[#This Row],[Product_Name]],'c174_calc'!$A$2:$C$153, 3, FALSE)</f>
        <v>2</v>
      </c>
      <c r="AG539" t="b">
        <f>Table1[[#This Row],[vma]]=Table1[[#This Row],[MA_Number]]</f>
        <v>0</v>
      </c>
    </row>
    <row r="540" spans="1:33" hidden="1" x14ac:dyDescent="0.3">
      <c r="A540" t="s">
        <v>1763</v>
      </c>
      <c r="B540" s="1">
        <v>7119641970</v>
      </c>
      <c r="C540" s="1"/>
      <c r="D540" t="s">
        <v>278</v>
      </c>
      <c r="E540" t="s">
        <v>1746</v>
      </c>
      <c r="F540" t="b">
        <v>0</v>
      </c>
      <c r="I540">
        <v>1</v>
      </c>
      <c r="J540">
        <v>42</v>
      </c>
      <c r="K540">
        <v>34</v>
      </c>
      <c r="L540">
        <v>46</v>
      </c>
      <c r="M540" t="s">
        <v>54</v>
      </c>
      <c r="N540" t="s">
        <v>24</v>
      </c>
      <c r="O540" t="b">
        <v>1</v>
      </c>
      <c r="AA540">
        <f>Table1[[#This Row],[qPer board]]*Table1[[#This Row],[boards]]</f>
        <v>0</v>
      </c>
      <c r="AB540">
        <f>Table1[[#This Row],[vqty]]</f>
        <v>0</v>
      </c>
      <c r="AD540">
        <f>VLOOKUP(Table1[[#This Row],[Product_Name]],'c174_calc'!$A$2:$C$153, 1, FALSE)</f>
        <v>7119641970</v>
      </c>
      <c r="AE540" t="str">
        <f>VLOOKUP(Table1[[#This Row],[Product_Name]],'c174_calc'!$A$2:$C$153, 2, FALSE)</f>
        <v>10.21.83709A</v>
      </c>
      <c r="AF540">
        <f>VLOOKUP(Table1[[#This Row],[Product_Name]],'c174_calc'!$A$2:$C$153, 3, FALSE)</f>
        <v>0</v>
      </c>
      <c r="AG540" t="b">
        <f>Table1[[#This Row],[vma]]=Table1[[#This Row],[MA_Number]]</f>
        <v>0</v>
      </c>
    </row>
    <row r="541" spans="1:33" hidden="1" x14ac:dyDescent="0.3">
      <c r="A541" t="s">
        <v>1894</v>
      </c>
      <c r="B541" s="1" t="s">
        <v>248</v>
      </c>
      <c r="C541" s="1"/>
      <c r="D541" t="s">
        <v>278</v>
      </c>
      <c r="E541" t="s">
        <v>1746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AA541">
        <f>Table1[[#This Row],[qPer board]]*Table1[[#This Row],[boards]]</f>
        <v>0</v>
      </c>
      <c r="AB541">
        <f>Table1[[#This Row],[vqty]]</f>
        <v>2</v>
      </c>
      <c r="AD541" t="str">
        <f>VLOOKUP(Table1[[#This Row],[Product_Name]],'c174_calc'!$A$2:$C$153, 1, FALSE)</f>
        <v>ASSY_CA288A25199XXX</v>
      </c>
      <c r="AE541" t="str">
        <f>VLOOKUP(Table1[[#This Row],[Product_Name]],'c174_calc'!$A$2:$C$153, 2, FALSE)</f>
        <v>10.21.77040A</v>
      </c>
      <c r="AF541">
        <f>VLOOKUP(Table1[[#This Row],[Product_Name]],'c174_calc'!$A$2:$C$153, 3, FALSE)</f>
        <v>2</v>
      </c>
      <c r="AG541" t="b">
        <f>Table1[[#This Row],[vma]]=Table1[[#This Row],[MA_Number]]</f>
        <v>0</v>
      </c>
    </row>
    <row r="542" spans="1:33" hidden="1" x14ac:dyDescent="0.3">
      <c r="A542" t="s">
        <v>1895</v>
      </c>
      <c r="B542" s="1" t="s">
        <v>247</v>
      </c>
      <c r="C542" s="1"/>
      <c r="D542" t="s">
        <v>278</v>
      </c>
      <c r="E542" t="s">
        <v>1746</v>
      </c>
      <c r="F542" t="b">
        <v>0</v>
      </c>
      <c r="I542">
        <v>1</v>
      </c>
      <c r="J542">
        <v>42</v>
      </c>
      <c r="K542">
        <v>37</v>
      </c>
      <c r="L542">
        <v>43</v>
      </c>
      <c r="M542" t="s">
        <v>54</v>
      </c>
      <c r="N542" t="s">
        <v>24</v>
      </c>
      <c r="O542" t="b">
        <v>1</v>
      </c>
      <c r="AA542">
        <f>Table1[[#This Row],[qPer board]]*Table1[[#This Row],[boards]]</f>
        <v>0</v>
      </c>
      <c r="AB542">
        <f>Table1[[#This Row],[vqty]]</f>
        <v>2</v>
      </c>
      <c r="AD542" t="str">
        <f>VLOOKUP(Table1[[#This Row],[Product_Name]],'c174_calc'!$A$2:$C$153, 1, FALSE)</f>
        <v>ASSY_CA288A15199XXX</v>
      </c>
      <c r="AE542" t="str">
        <f>VLOOKUP(Table1[[#This Row],[Product_Name]],'c174_calc'!$A$2:$C$153, 2, FALSE)</f>
        <v>10.21.77038A</v>
      </c>
      <c r="AF542">
        <f>VLOOKUP(Table1[[#This Row],[Product_Name]],'c174_calc'!$A$2:$C$153, 3, FALSE)</f>
        <v>2</v>
      </c>
      <c r="AG542" t="b">
        <f>Table1[[#This Row],[vma]]=Table1[[#This Row],[MA_Number]]</f>
        <v>0</v>
      </c>
    </row>
    <row r="543" spans="1:33" hidden="1" x14ac:dyDescent="0.3">
      <c r="A543" t="s">
        <v>1960</v>
      </c>
      <c r="B543" s="1" t="s">
        <v>219</v>
      </c>
      <c r="C543" s="1"/>
      <c r="D543" t="s">
        <v>278</v>
      </c>
      <c r="E543" t="s">
        <v>1746</v>
      </c>
      <c r="F543" t="b">
        <v>0</v>
      </c>
      <c r="I543">
        <v>1</v>
      </c>
      <c r="J543">
        <v>80</v>
      </c>
      <c r="K543">
        <v>76</v>
      </c>
      <c r="L543">
        <v>52</v>
      </c>
      <c r="M543" t="s">
        <v>48</v>
      </c>
      <c r="N543" t="s">
        <v>24</v>
      </c>
      <c r="O543" t="b">
        <v>1</v>
      </c>
      <c r="AA543">
        <f>Table1[[#This Row],[qPer board]]*Table1[[#This Row],[boards]]</f>
        <v>0</v>
      </c>
      <c r="AB543">
        <f>Table1[[#This Row],[vqty]]</f>
        <v>1</v>
      </c>
      <c r="AD543" t="str">
        <f>VLOOKUP(Table1[[#This Row],[Product_Name]],'c174_calc'!$A$2:$C$153, 1, FALSE)</f>
        <v>7183288530+7183288630+72742612A</v>
      </c>
      <c r="AE543" t="str">
        <f>VLOOKUP(Table1[[#This Row],[Product_Name]],'c174_calc'!$A$2:$C$153, 2, FALSE)</f>
        <v>10.21.72974A</v>
      </c>
      <c r="AF543">
        <f>VLOOKUP(Table1[[#This Row],[Product_Name]],'c174_calc'!$A$2:$C$153, 3, FALSE)</f>
        <v>1</v>
      </c>
      <c r="AG543" t="b">
        <f>Table1[[#This Row],[vma]]=Table1[[#This Row],[MA_Number]]</f>
        <v>0</v>
      </c>
    </row>
    <row r="544" spans="1:33" hidden="1" x14ac:dyDescent="0.3">
      <c r="A544" t="s">
        <v>1959</v>
      </c>
      <c r="B544" s="1" t="s">
        <v>1220</v>
      </c>
      <c r="C544" s="1"/>
      <c r="D544" t="s">
        <v>278</v>
      </c>
      <c r="E544" t="s">
        <v>1746</v>
      </c>
      <c r="F544" t="b">
        <v>0</v>
      </c>
      <c r="I544">
        <v>1</v>
      </c>
      <c r="J544">
        <v>67</v>
      </c>
      <c r="K544">
        <v>40</v>
      </c>
      <c r="L544">
        <v>53</v>
      </c>
      <c r="M544" t="s">
        <v>48</v>
      </c>
      <c r="N544" t="s">
        <v>24</v>
      </c>
      <c r="O544" t="b">
        <v>1</v>
      </c>
      <c r="AA544">
        <f>Table1[[#This Row],[qPer board]]*Table1[[#This Row],[boards]]</f>
        <v>0</v>
      </c>
      <c r="AB544">
        <v>2</v>
      </c>
      <c r="AD544" t="e">
        <f>VLOOKUP(Table1[[#This Row],[Product_Name]],'c174_calc'!$A$2:$C$153, 1, FALSE)</f>
        <v>#N/A</v>
      </c>
      <c r="AE544" t="e">
        <f>VLOOKUP(Table1[[#This Row],[Product_Name]],'c174_calc'!$A$2:$C$153, 2, FALSE)</f>
        <v>#N/A</v>
      </c>
      <c r="AF544" t="e">
        <f>VLOOKUP(Table1[[#This Row],[Product_Name]],'c174_calc'!$A$2:$C$153, 3, FALSE)</f>
        <v>#N/A</v>
      </c>
      <c r="AG544" t="e">
        <f>Table1[[#This Row],[vma]]=Table1[[#This Row],[MA_Number]]</f>
        <v>#N/A</v>
      </c>
    </row>
    <row r="545" spans="1:33" hidden="1" x14ac:dyDescent="0.3">
      <c r="A545" t="s">
        <v>1962</v>
      </c>
      <c r="B545" s="1" t="s">
        <v>1219</v>
      </c>
      <c r="C545" s="1"/>
      <c r="D545" t="s">
        <v>278</v>
      </c>
      <c r="E545" t="s">
        <v>1746</v>
      </c>
      <c r="F545" t="b">
        <v>1</v>
      </c>
      <c r="I545">
        <v>1</v>
      </c>
      <c r="AA545">
        <f>Table1[[#This Row],[qPer board]]*Table1[[#This Row],[boards]]</f>
        <v>0</v>
      </c>
      <c r="AB545">
        <f>Table1[[#This Row],[vqty]]</f>
        <v>2</v>
      </c>
      <c r="AD545" t="str">
        <f>VLOOKUP(Table1[[#This Row],[Product_Name]],'c174_calc'!$A$2:$C$153, 1, FALSE)</f>
        <v>7198774930+7198947430+72742908</v>
      </c>
      <c r="AE545" t="str">
        <f>VLOOKUP(Table1[[#This Row],[Product_Name]],'c174_calc'!$A$2:$C$153, 2, FALSE)</f>
        <v>10.21.80775B</v>
      </c>
      <c r="AF545">
        <f>VLOOKUP(Table1[[#This Row],[Product_Name]],'c174_calc'!$A$2:$C$153, 3, FALSE)</f>
        <v>2</v>
      </c>
      <c r="AG545" t="b">
        <f>Table1[[#This Row],[vma]]=Table1[[#This Row],[MA_Number]]</f>
        <v>0</v>
      </c>
    </row>
    <row r="546" spans="1:33" hidden="1" x14ac:dyDescent="0.3">
      <c r="B546" s="1" t="s">
        <v>1219</v>
      </c>
      <c r="C546" s="1"/>
      <c r="G546" t="s">
        <v>1962</v>
      </c>
      <c r="H546" t="s">
        <v>1963</v>
      </c>
      <c r="I546">
        <v>1</v>
      </c>
      <c r="J546">
        <v>75</v>
      </c>
      <c r="K546">
        <v>65</v>
      </c>
      <c r="L546">
        <v>55</v>
      </c>
      <c r="M546" t="s">
        <v>49</v>
      </c>
      <c r="N546" t="s">
        <v>24</v>
      </c>
      <c r="O546" t="b">
        <v>1</v>
      </c>
      <c r="AA546">
        <f>Table1[[#This Row],[qPer board]]*Table1[[#This Row],[boards]]</f>
        <v>0</v>
      </c>
      <c r="AB546">
        <f>Table1[[#This Row],[vqty]]</f>
        <v>2</v>
      </c>
      <c r="AD546" t="str">
        <f>VLOOKUP(Table1[[#This Row],[Product_Name]],'c174_calc'!$A$2:$C$153, 1, FALSE)</f>
        <v>7198774930+7198947430+72742908</v>
      </c>
      <c r="AE546" t="str">
        <f>VLOOKUP(Table1[[#This Row],[Product_Name]],'c174_calc'!$A$2:$C$153, 2, FALSE)</f>
        <v>10.21.80775B</v>
      </c>
      <c r="AF546">
        <f>VLOOKUP(Table1[[#This Row],[Product_Name]],'c174_calc'!$A$2:$C$153, 3, FALSE)</f>
        <v>2</v>
      </c>
      <c r="AG546" t="b">
        <f>Table1[[#This Row],[vma]]=Table1[[#This Row],[MA_Number]]</f>
        <v>0</v>
      </c>
    </row>
    <row r="547" spans="1:33" hidden="1" x14ac:dyDescent="0.3">
      <c r="B547" s="1" t="s">
        <v>1219</v>
      </c>
      <c r="C547" s="1"/>
      <c r="G547" t="s">
        <v>1962</v>
      </c>
      <c r="H547" t="s">
        <v>1964</v>
      </c>
      <c r="I547">
        <v>1</v>
      </c>
      <c r="J547">
        <v>45</v>
      </c>
      <c r="K547">
        <v>40</v>
      </c>
      <c r="L547">
        <v>78</v>
      </c>
      <c r="M547" t="s">
        <v>48</v>
      </c>
      <c r="N547" t="s">
        <v>24</v>
      </c>
      <c r="O547" t="b">
        <v>1</v>
      </c>
      <c r="AA547">
        <f>Table1[[#This Row],[qPer board]]*Table1[[#This Row],[boards]]</f>
        <v>0</v>
      </c>
      <c r="AB547">
        <f>Table1[[#This Row],[vqty]]</f>
        <v>2</v>
      </c>
      <c r="AD547" t="str">
        <f>VLOOKUP(Table1[[#This Row],[Product_Name]],'c174_calc'!$A$2:$C$153, 1, FALSE)</f>
        <v>7198774930+7198947430+72742908</v>
      </c>
      <c r="AE547" t="str">
        <f>VLOOKUP(Table1[[#This Row],[Product_Name]],'c174_calc'!$A$2:$C$153, 2, FALSE)</f>
        <v>10.21.80775B</v>
      </c>
      <c r="AF547">
        <f>VLOOKUP(Table1[[#This Row],[Product_Name]],'c174_calc'!$A$2:$C$153, 3, FALSE)</f>
        <v>2</v>
      </c>
      <c r="AG547" t="b">
        <f>Table1[[#This Row],[vma]]=Table1[[#This Row],[MA_Number]]</f>
        <v>0</v>
      </c>
    </row>
    <row r="548" spans="1:33" hidden="1" x14ac:dyDescent="0.3">
      <c r="A548" t="s">
        <v>1992</v>
      </c>
      <c r="B548" s="1">
        <v>7223686530</v>
      </c>
      <c r="C548" s="1"/>
      <c r="D548" t="s">
        <v>278</v>
      </c>
      <c r="E548" t="s">
        <v>1746</v>
      </c>
      <c r="F548" t="b">
        <v>0</v>
      </c>
      <c r="I548">
        <v>1</v>
      </c>
      <c r="J548">
        <v>61</v>
      </c>
      <c r="K548">
        <v>61</v>
      </c>
      <c r="L548">
        <v>58</v>
      </c>
      <c r="M548" t="s">
        <v>49</v>
      </c>
      <c r="N548" t="s">
        <v>24</v>
      </c>
      <c r="O548" t="b">
        <v>1</v>
      </c>
      <c r="AA548">
        <f>Table1[[#This Row],[qPer board]]*Table1[[#This Row],[boards]]</f>
        <v>0</v>
      </c>
      <c r="AB548">
        <f>Table1[[#This Row],[vqty]]</f>
        <v>1</v>
      </c>
      <c r="AD548">
        <f>VLOOKUP(Table1[[#This Row],[Product_Name]],'c174_calc'!$A$2:$C$153, 1, FALSE)</f>
        <v>7223686530</v>
      </c>
      <c r="AE548" t="str">
        <f>VLOOKUP(Table1[[#This Row],[Product_Name]],'c174_calc'!$A$2:$C$153, 2, FALSE)</f>
        <v>10.21.35898A</v>
      </c>
      <c r="AF548">
        <f>VLOOKUP(Table1[[#This Row],[Product_Name]],'c174_calc'!$A$2:$C$153, 3, FALSE)</f>
        <v>1</v>
      </c>
      <c r="AG548" t="b">
        <f>Table1[[#This Row],[vma]]=Table1[[#This Row],[MA_Number]]</f>
        <v>0</v>
      </c>
    </row>
    <row r="549" spans="1:33" hidden="1" x14ac:dyDescent="0.3">
      <c r="A549" t="s">
        <v>1994</v>
      </c>
      <c r="B549" s="1" t="s">
        <v>546</v>
      </c>
      <c r="C549" s="1"/>
      <c r="D549" t="s">
        <v>278</v>
      </c>
      <c r="E549" t="s">
        <v>1746</v>
      </c>
      <c r="F549" t="b">
        <v>1</v>
      </c>
      <c r="I549">
        <v>1</v>
      </c>
      <c r="AA549">
        <f>Table1[[#This Row],[qPer board]]*Table1[[#This Row],[boards]]</f>
        <v>0</v>
      </c>
      <c r="AB549">
        <f>Table1[[#This Row],[vqty]]</f>
        <v>1</v>
      </c>
      <c r="AD549" t="str">
        <f>VLOOKUP(Table1[[#This Row],[Product_Name]],'c174_calc'!$A$2:$C$153, 1, FALSE)</f>
        <v>7185173030+7185173130+72742608</v>
      </c>
      <c r="AE549" t="str">
        <f>VLOOKUP(Table1[[#This Row],[Product_Name]],'c174_calc'!$A$2:$C$153, 2, FALSE)</f>
        <v>10.21.77049A</v>
      </c>
      <c r="AF549">
        <f>VLOOKUP(Table1[[#This Row],[Product_Name]],'c174_calc'!$A$2:$C$153, 3, FALSE)</f>
        <v>1</v>
      </c>
      <c r="AG549" t="b">
        <f>Table1[[#This Row],[vma]]=Table1[[#This Row],[MA_Number]]</f>
        <v>0</v>
      </c>
    </row>
    <row r="550" spans="1:33" hidden="1" x14ac:dyDescent="0.3">
      <c r="B550" s="1" t="s">
        <v>546</v>
      </c>
      <c r="C550" s="1"/>
      <c r="G550" t="s">
        <v>1994</v>
      </c>
      <c r="H550" t="s">
        <v>1995</v>
      </c>
      <c r="I550">
        <v>1</v>
      </c>
      <c r="J550">
        <v>68</v>
      </c>
      <c r="K550">
        <v>37</v>
      </c>
      <c r="L550">
        <v>52</v>
      </c>
      <c r="M550" t="s">
        <v>48</v>
      </c>
      <c r="N550" t="s">
        <v>24</v>
      </c>
      <c r="O550" t="b">
        <v>1</v>
      </c>
      <c r="AA550">
        <f>Table1[[#This Row],[qPer board]]*Table1[[#This Row],[boards]]</f>
        <v>0</v>
      </c>
      <c r="AB550">
        <f>Table1[[#This Row],[vqty]]</f>
        <v>1</v>
      </c>
      <c r="AD550" t="str">
        <f>VLOOKUP(Table1[[#This Row],[Product_Name]],'c174_calc'!$A$2:$C$153, 1, FALSE)</f>
        <v>7185173030+7185173130+72742608</v>
      </c>
      <c r="AE550" t="str">
        <f>VLOOKUP(Table1[[#This Row],[Product_Name]],'c174_calc'!$A$2:$C$153, 2, FALSE)</f>
        <v>10.21.77049A</v>
      </c>
      <c r="AF550">
        <f>VLOOKUP(Table1[[#This Row],[Product_Name]],'c174_calc'!$A$2:$C$153, 3, FALSE)</f>
        <v>1</v>
      </c>
      <c r="AG550" t="b">
        <f>Table1[[#This Row],[vma]]=Table1[[#This Row],[MA_Number]]</f>
        <v>0</v>
      </c>
    </row>
    <row r="551" spans="1:33" hidden="1" x14ac:dyDescent="0.3">
      <c r="B551" s="1" t="s">
        <v>546</v>
      </c>
      <c r="C551" s="1"/>
      <c r="G551" t="s">
        <v>1994</v>
      </c>
      <c r="H551" t="s">
        <v>1996</v>
      </c>
      <c r="I551">
        <v>1</v>
      </c>
      <c r="J551">
        <v>76</v>
      </c>
      <c r="K551">
        <v>56</v>
      </c>
      <c r="L551">
        <v>49</v>
      </c>
      <c r="M551" t="s">
        <v>48</v>
      </c>
      <c r="N551" t="s">
        <v>24</v>
      </c>
      <c r="O551" t="b">
        <v>1</v>
      </c>
      <c r="AA551">
        <f>Table1[[#This Row],[qPer board]]*Table1[[#This Row],[boards]]</f>
        <v>0</v>
      </c>
      <c r="AB551">
        <f>Table1[[#This Row],[vqty]]</f>
        <v>1</v>
      </c>
      <c r="AD551" t="str">
        <f>VLOOKUP(Table1[[#This Row],[Product_Name]],'c174_calc'!$A$2:$C$153, 1, FALSE)</f>
        <v>7185173030+7185173130+72742608</v>
      </c>
      <c r="AE551" t="str">
        <f>VLOOKUP(Table1[[#This Row],[Product_Name]],'c174_calc'!$A$2:$C$153, 2, FALSE)</f>
        <v>10.21.77049A</v>
      </c>
      <c r="AF551">
        <f>VLOOKUP(Table1[[#This Row],[Product_Name]],'c174_calc'!$A$2:$C$153, 3, FALSE)</f>
        <v>1</v>
      </c>
      <c r="AG551" t="b">
        <f>Table1[[#This Row],[vma]]=Table1[[#This Row],[MA_Number]]</f>
        <v>0</v>
      </c>
    </row>
    <row r="552" spans="1:33" hidden="1" x14ac:dyDescent="0.3">
      <c r="A552" t="s">
        <v>1998</v>
      </c>
      <c r="B552" s="1">
        <v>71799512</v>
      </c>
      <c r="C552" s="1"/>
      <c r="D552" t="s">
        <v>278</v>
      </c>
      <c r="E552" t="s">
        <v>1746</v>
      </c>
      <c r="F552" t="b">
        <v>0</v>
      </c>
      <c r="I552">
        <v>1</v>
      </c>
      <c r="J552">
        <v>46</v>
      </c>
      <c r="K552">
        <v>36</v>
      </c>
      <c r="L552">
        <v>76</v>
      </c>
      <c r="M552" t="s">
        <v>48</v>
      </c>
      <c r="N552" t="s">
        <v>24</v>
      </c>
      <c r="O552" t="b">
        <v>1</v>
      </c>
      <c r="AA552">
        <f>Table1[[#This Row],[qPer board]]*Table1[[#This Row],[boards]]</f>
        <v>0</v>
      </c>
      <c r="AB552">
        <v>1</v>
      </c>
      <c r="AD552">
        <f>VLOOKUP(Table1[[#This Row],[Product_Name]],'c174_calc'!$A$2:$C$153, 1, FALSE)</f>
        <v>71799512</v>
      </c>
      <c r="AE552" t="str">
        <f>VLOOKUP(Table1[[#This Row],[Product_Name]],'c174_calc'!$A$2:$C$153, 2, FALSE)</f>
        <v>10.21.80734A</v>
      </c>
      <c r="AF552">
        <f>VLOOKUP(Table1[[#This Row],[Product_Name]],'c174_calc'!$A$2:$C$153, 3, FALSE)</f>
        <v>1</v>
      </c>
      <c r="AG552" t="b">
        <f>Table1[[#This Row],[vma]]=Table1[[#This Row],[MA_Number]]</f>
        <v>0</v>
      </c>
    </row>
    <row r="553" spans="1:33" hidden="1" x14ac:dyDescent="0.3">
      <c r="A553" t="s">
        <v>2015</v>
      </c>
      <c r="B553" s="1" t="s">
        <v>2016</v>
      </c>
      <c r="C553" s="1" t="s">
        <v>873</v>
      </c>
      <c r="D553" t="s">
        <v>278</v>
      </c>
      <c r="E553" t="s">
        <v>1746</v>
      </c>
      <c r="F553" t="b">
        <v>0</v>
      </c>
      <c r="I553">
        <v>1</v>
      </c>
      <c r="J553">
        <v>42</v>
      </c>
      <c r="K553">
        <v>37</v>
      </c>
      <c r="L553">
        <v>43</v>
      </c>
      <c r="M553" t="s">
        <v>54</v>
      </c>
      <c r="N553" t="s">
        <v>24</v>
      </c>
      <c r="O553" t="b">
        <v>1</v>
      </c>
      <c r="AA553">
        <f>Table1[[#This Row],[qPer board]]*Table1[[#This Row],[boards]]</f>
        <v>0</v>
      </c>
      <c r="AB553">
        <v>4</v>
      </c>
      <c r="AD553" t="e">
        <f>VLOOKUP(Table1[[#This Row],[Product_Name]],'c174_calc'!$A$2:$C$153, 1, FALSE)</f>
        <v>#N/A</v>
      </c>
      <c r="AE553" t="e">
        <f>VLOOKUP(Table1[[#This Row],[Product_Name]],'c174_calc'!$A$2:$C$153, 2, FALSE)</f>
        <v>#N/A</v>
      </c>
      <c r="AF553" t="e">
        <f>VLOOKUP(Table1[[#This Row],[Product_Name]],'c174_calc'!$A$2:$C$153, 3, FALSE)</f>
        <v>#N/A</v>
      </c>
      <c r="AG553" t="e">
        <f>Table1[[#This Row],[vma]]=Table1[[#This Row],[MA_Number]]</f>
        <v>#N/A</v>
      </c>
    </row>
    <row r="554" spans="1:33" hidden="1" x14ac:dyDescent="0.3">
      <c r="A554" t="s">
        <v>2018</v>
      </c>
      <c r="B554" s="1" t="s">
        <v>225</v>
      </c>
      <c r="C554" s="1"/>
      <c r="D554" t="s">
        <v>278</v>
      </c>
      <c r="E554" t="s">
        <v>1746</v>
      </c>
      <c r="F554" t="b">
        <v>0</v>
      </c>
      <c r="I554">
        <v>1</v>
      </c>
      <c r="J554">
        <v>64</v>
      </c>
      <c r="K554">
        <v>56</v>
      </c>
      <c r="L554">
        <v>52</v>
      </c>
      <c r="M554" t="s">
        <v>52</v>
      </c>
      <c r="N554" t="s">
        <v>24</v>
      </c>
      <c r="O554" t="b">
        <v>1</v>
      </c>
      <c r="V554" t="b">
        <v>1</v>
      </c>
      <c r="AA554">
        <f>Table1[[#This Row],[qPer board]]*Table1[[#This Row],[boards]]</f>
        <v>0</v>
      </c>
      <c r="AB554">
        <f>Table1[[#This Row],[vqty]]</f>
        <v>1</v>
      </c>
      <c r="AD554" t="str">
        <f>VLOOKUP(Table1[[#This Row],[Product_Name]],'c174_calc'!$A$2:$C$153, 1, FALSE)</f>
        <v>7189730210+7274146260A</v>
      </c>
      <c r="AE554" t="str">
        <f>VLOOKUP(Table1[[#This Row],[Product_Name]],'c174_calc'!$A$2:$C$153, 2, FALSE)</f>
        <v>10.21.47065D</v>
      </c>
      <c r="AF554">
        <f>VLOOKUP(Table1[[#This Row],[Product_Name]],'c174_calc'!$A$2:$C$153, 3, FALSE)</f>
        <v>1</v>
      </c>
      <c r="AG554" t="b">
        <f>Table1[[#This Row],[vma]]=Table1[[#This Row],[MA_Number]]</f>
        <v>0</v>
      </c>
    </row>
    <row r="555" spans="1:33" hidden="1" x14ac:dyDescent="0.3">
      <c r="A555" t="s">
        <v>2019</v>
      </c>
      <c r="B555" s="1" t="s">
        <v>224</v>
      </c>
      <c r="C555" s="1"/>
      <c r="D555" t="s">
        <v>278</v>
      </c>
      <c r="E555" t="s">
        <v>1746</v>
      </c>
      <c r="F555" t="b">
        <v>0</v>
      </c>
      <c r="I555">
        <v>1</v>
      </c>
      <c r="J555">
        <v>65</v>
      </c>
      <c r="K555">
        <v>55</v>
      </c>
      <c r="L555">
        <v>52</v>
      </c>
      <c r="M555" t="s">
        <v>50</v>
      </c>
      <c r="N555" t="s">
        <v>24</v>
      </c>
      <c r="O555" t="b">
        <v>1</v>
      </c>
      <c r="V555" t="b">
        <v>1</v>
      </c>
      <c r="AA555">
        <f>Table1[[#This Row],[qPer board]]*Table1[[#This Row],[boards]]</f>
        <v>0</v>
      </c>
      <c r="AB555">
        <f>Table1[[#This Row],[vqty]]</f>
        <v>1</v>
      </c>
      <c r="AD555" t="str">
        <f>VLOOKUP(Table1[[#This Row],[Product_Name]],'c174_calc'!$A$2:$C$153, 1, FALSE)</f>
        <v>7189668330+7274136090A</v>
      </c>
      <c r="AE555" t="str">
        <f>VLOOKUP(Table1[[#This Row],[Product_Name]],'c174_calc'!$A$2:$C$153, 2, FALSE)</f>
        <v>10.21.47047D</v>
      </c>
      <c r="AF555">
        <f>VLOOKUP(Table1[[#This Row],[Product_Name]],'c174_calc'!$A$2:$C$153, 3, FALSE)</f>
        <v>1</v>
      </c>
      <c r="AG555" t="b">
        <f>Table1[[#This Row],[vma]]=Table1[[#This Row],[MA_Number]]</f>
        <v>0</v>
      </c>
    </row>
    <row r="556" spans="1:33" hidden="1" x14ac:dyDescent="0.3">
      <c r="A556" t="s">
        <v>2020</v>
      </c>
      <c r="B556" s="1" t="s">
        <v>842</v>
      </c>
      <c r="C556" s="1"/>
      <c r="D556" t="s">
        <v>278</v>
      </c>
      <c r="E556" t="s">
        <v>1746</v>
      </c>
      <c r="F556" t="b">
        <v>0</v>
      </c>
      <c r="I556">
        <v>1</v>
      </c>
      <c r="J556">
        <v>65</v>
      </c>
      <c r="K556">
        <v>56</v>
      </c>
      <c r="L556">
        <v>52</v>
      </c>
      <c r="M556" t="s">
        <v>53</v>
      </c>
      <c r="N556" t="s">
        <v>24</v>
      </c>
      <c r="O556" t="b">
        <v>1</v>
      </c>
      <c r="V556" t="b">
        <v>1</v>
      </c>
      <c r="AA556">
        <f>Table1[[#This Row],[qPer board]]*Table1[[#This Row],[boards]]</f>
        <v>0</v>
      </c>
      <c r="AB556">
        <f>Table1[[#This Row],[vqty]]</f>
        <v>1</v>
      </c>
      <c r="AD556" t="str">
        <f>VLOOKUP(Table1[[#This Row],[Product_Name]],'c174_calc'!$A$2:$C$153, 1, FALSE)</f>
        <v>7189668330+7274135020A</v>
      </c>
      <c r="AE556" t="str">
        <f>VLOOKUP(Table1[[#This Row],[Product_Name]],'c174_calc'!$A$2:$C$153, 2, FALSE)</f>
        <v>10.21.47066D</v>
      </c>
      <c r="AF556">
        <f>VLOOKUP(Table1[[#This Row],[Product_Name]],'c174_calc'!$A$2:$C$153, 3, FALSE)</f>
        <v>1</v>
      </c>
      <c r="AG556" t="b">
        <f>Table1[[#This Row],[vma]]=Table1[[#This Row],[MA_Number]]</f>
        <v>0</v>
      </c>
    </row>
    <row r="557" spans="1:33" hidden="1" x14ac:dyDescent="0.3">
      <c r="A557" t="s">
        <v>2021</v>
      </c>
      <c r="B557" s="1" t="s">
        <v>218</v>
      </c>
      <c r="C557" s="1"/>
      <c r="D557" t="s">
        <v>278</v>
      </c>
      <c r="F557" t="b">
        <v>0</v>
      </c>
      <c r="I557">
        <v>1</v>
      </c>
      <c r="J557">
        <v>56</v>
      </c>
      <c r="K557">
        <v>52</v>
      </c>
      <c r="L557">
        <v>53</v>
      </c>
      <c r="M557" t="s">
        <v>49</v>
      </c>
      <c r="N557" t="s">
        <v>24</v>
      </c>
      <c r="O557" t="b">
        <v>1</v>
      </c>
      <c r="V557" t="b">
        <v>1</v>
      </c>
      <c r="AA557">
        <f>Table1[[#This Row],[qPer board]]*Table1[[#This Row],[boards]]</f>
        <v>0</v>
      </c>
      <c r="AB557">
        <f>Table1[[#This Row],[vqty]]</f>
        <v>1</v>
      </c>
      <c r="AD557" t="str">
        <f>VLOOKUP(Table1[[#This Row],[Product_Name]],'c174_calc'!$A$2:$C$153, 1, FALSE)</f>
        <v>7119648630+7274171430A</v>
      </c>
      <c r="AE557" t="str">
        <f>VLOOKUP(Table1[[#This Row],[Product_Name]],'c174_calc'!$A$2:$C$153, 2, FALSE)</f>
        <v>10.21.42593A</v>
      </c>
      <c r="AF557">
        <f>VLOOKUP(Table1[[#This Row],[Product_Name]],'c174_calc'!$A$2:$C$153, 3, FALSE)</f>
        <v>1</v>
      </c>
      <c r="AG557" t="b">
        <f>Table1[[#This Row],[vma]]=Table1[[#This Row],[MA_Number]]</f>
        <v>0</v>
      </c>
    </row>
    <row r="558" spans="1:33" hidden="1" x14ac:dyDescent="0.3">
      <c r="A558" t="s">
        <v>2034</v>
      </c>
      <c r="B558" s="1">
        <v>71196506</v>
      </c>
      <c r="C558" s="1"/>
      <c r="D558" t="s">
        <v>278</v>
      </c>
      <c r="E558" t="s">
        <v>1746</v>
      </c>
      <c r="F558" t="b">
        <v>0</v>
      </c>
      <c r="I558">
        <v>1</v>
      </c>
      <c r="J558">
        <v>45</v>
      </c>
      <c r="K558">
        <v>38</v>
      </c>
      <c r="L558">
        <v>48</v>
      </c>
      <c r="M558" t="s">
        <v>48</v>
      </c>
      <c r="N558" t="s">
        <v>24</v>
      </c>
      <c r="O558" t="b">
        <v>1</v>
      </c>
      <c r="V558" t="b">
        <v>1</v>
      </c>
      <c r="AA558">
        <f>Table1[[#This Row],[qPer board]]*Table1[[#This Row],[boards]]</f>
        <v>0</v>
      </c>
      <c r="AB558">
        <f>Table1[[#This Row],[vqty]]</f>
        <v>1</v>
      </c>
      <c r="AD558">
        <f>VLOOKUP(Table1[[#This Row],[Product_Name]],'c174_calc'!$A$2:$C$153, 1, FALSE)</f>
        <v>71196506</v>
      </c>
      <c r="AE558" t="str">
        <f>VLOOKUP(Table1[[#This Row],[Product_Name]],'c174_calc'!$A$2:$C$153, 2, FALSE)</f>
        <v>10.21.47236A</v>
      </c>
      <c r="AF558">
        <f>VLOOKUP(Table1[[#This Row],[Product_Name]],'c174_calc'!$A$2:$C$153, 3, FALSE)</f>
        <v>1</v>
      </c>
      <c r="AG558" t="b">
        <f>Table1[[#This Row],[vma]]=Table1[[#This Row],[MA_Number]]</f>
        <v>0</v>
      </c>
    </row>
    <row r="559" spans="1:33" hidden="1" x14ac:dyDescent="0.3">
      <c r="A559" t="s">
        <v>2035</v>
      </c>
      <c r="B559" s="1" t="s">
        <v>1230</v>
      </c>
      <c r="C559" s="1"/>
      <c r="D559" t="s">
        <v>278</v>
      </c>
      <c r="E559" t="s">
        <v>1746</v>
      </c>
      <c r="F559" t="b">
        <v>1</v>
      </c>
      <c r="I559">
        <v>1</v>
      </c>
      <c r="AA559">
        <f>Table1[[#This Row],[qPer board]]*Table1[[#This Row],[boards]]</f>
        <v>0</v>
      </c>
      <c r="AB559">
        <f>Table1[[#This Row],[vqty]]</f>
        <v>1</v>
      </c>
      <c r="AD559" t="str">
        <f>VLOOKUP(Table1[[#This Row],[Product_Name]],'c174_calc'!$A$2:$C$153, 1, FALSE)</f>
        <v>7289811630+7289811730+72741551</v>
      </c>
      <c r="AE559" t="str">
        <f>VLOOKUP(Table1[[#This Row],[Product_Name]],'c174_calc'!$A$2:$C$153, 2, FALSE)</f>
        <v>10.21.76940C</v>
      </c>
      <c r="AF559">
        <f>VLOOKUP(Table1[[#This Row],[Product_Name]],'c174_calc'!$A$2:$C$153, 3, FALSE)</f>
        <v>1</v>
      </c>
      <c r="AG559" t="b">
        <f>Table1[[#This Row],[vma]]=Table1[[#This Row],[MA_Number]]</f>
        <v>0</v>
      </c>
    </row>
    <row r="560" spans="1:33" hidden="1" x14ac:dyDescent="0.3">
      <c r="B560" s="1" t="s">
        <v>1230</v>
      </c>
      <c r="C560" s="1"/>
      <c r="G560" t="s">
        <v>2035</v>
      </c>
      <c r="H560" t="s">
        <v>2036</v>
      </c>
      <c r="I560">
        <v>1</v>
      </c>
      <c r="J560">
        <v>80</v>
      </c>
      <c r="K560">
        <v>50</v>
      </c>
      <c r="L560">
        <v>67</v>
      </c>
      <c r="M560" t="s">
        <v>48</v>
      </c>
      <c r="N560" t="s">
        <v>24</v>
      </c>
      <c r="O560" t="b">
        <v>1</v>
      </c>
      <c r="AA560">
        <f>Table1[[#This Row],[qPer board]]*Table1[[#This Row],[boards]]</f>
        <v>0</v>
      </c>
      <c r="AB560">
        <f>Table1[[#This Row],[vqty]]</f>
        <v>1</v>
      </c>
      <c r="AD560" t="str">
        <f>VLOOKUP(Table1[[#This Row],[Product_Name]],'c174_calc'!$A$2:$C$153, 1, FALSE)</f>
        <v>7289811630+7289811730+72741551</v>
      </c>
      <c r="AE560" t="str">
        <f>VLOOKUP(Table1[[#This Row],[Product_Name]],'c174_calc'!$A$2:$C$153, 2, FALSE)</f>
        <v>10.21.76940C</v>
      </c>
      <c r="AF560">
        <f>VLOOKUP(Table1[[#This Row],[Product_Name]],'c174_calc'!$A$2:$C$153, 3, FALSE)</f>
        <v>1</v>
      </c>
      <c r="AG560" t="b">
        <f>Table1[[#This Row],[vma]]=Table1[[#This Row],[MA_Number]]</f>
        <v>0</v>
      </c>
    </row>
    <row r="561" spans="1:33" hidden="1" x14ac:dyDescent="0.3">
      <c r="B561" s="1" t="s">
        <v>1230</v>
      </c>
      <c r="C561" s="1"/>
      <c r="G561" t="s">
        <v>2035</v>
      </c>
      <c r="H561" t="s">
        <v>2037</v>
      </c>
      <c r="I561">
        <v>1</v>
      </c>
      <c r="J561">
        <v>80</v>
      </c>
      <c r="K561">
        <v>71</v>
      </c>
      <c r="L561">
        <v>52</v>
      </c>
      <c r="M561" t="s">
        <v>49</v>
      </c>
      <c r="N561" t="s">
        <v>24</v>
      </c>
      <c r="O561" t="b">
        <v>1</v>
      </c>
      <c r="AA561">
        <f>Table1[[#This Row],[qPer board]]*Table1[[#This Row],[boards]]</f>
        <v>0</v>
      </c>
      <c r="AB561">
        <f>Table1[[#This Row],[vqty]]</f>
        <v>1</v>
      </c>
      <c r="AD561" t="str">
        <f>VLOOKUP(Table1[[#This Row],[Product_Name]],'c174_calc'!$A$2:$C$153, 1, FALSE)</f>
        <v>7289811630+7289811730+72741551</v>
      </c>
      <c r="AE561" t="str">
        <f>VLOOKUP(Table1[[#This Row],[Product_Name]],'c174_calc'!$A$2:$C$153, 2, FALSE)</f>
        <v>10.21.76940C</v>
      </c>
      <c r="AF561">
        <f>VLOOKUP(Table1[[#This Row],[Product_Name]],'c174_calc'!$A$2:$C$153, 3, FALSE)</f>
        <v>1</v>
      </c>
      <c r="AG561" t="b">
        <f>Table1[[#This Row],[vma]]=Table1[[#This Row],[MA_Number]]</f>
        <v>0</v>
      </c>
    </row>
    <row r="562" spans="1:33" hidden="1" x14ac:dyDescent="0.3">
      <c r="A562" t="s">
        <v>2038</v>
      </c>
      <c r="B562" s="1">
        <v>7119172930</v>
      </c>
      <c r="C562" s="1"/>
      <c r="D562" t="s">
        <v>278</v>
      </c>
      <c r="E562" t="s">
        <v>1746</v>
      </c>
      <c r="F562" t="b">
        <v>0</v>
      </c>
      <c r="I562">
        <v>1</v>
      </c>
      <c r="J562">
        <v>41</v>
      </c>
      <c r="K562">
        <v>36</v>
      </c>
      <c r="L562">
        <v>45</v>
      </c>
      <c r="M562" t="s">
        <v>49</v>
      </c>
      <c r="N562" t="s">
        <v>24</v>
      </c>
      <c r="O562" t="b">
        <v>1</v>
      </c>
      <c r="AA562">
        <f>Table1[[#This Row],[qPer board]]*Table1[[#This Row],[boards]]</f>
        <v>0</v>
      </c>
      <c r="AB562">
        <v>1</v>
      </c>
      <c r="AD562" t="e">
        <f>VLOOKUP(Table1[[#This Row],[Product_Name]],'c174_calc'!$A$2:$C$153, 1, FALSE)</f>
        <v>#N/A</v>
      </c>
      <c r="AE562" t="e">
        <f>VLOOKUP(Table1[[#This Row],[Product_Name]],'c174_calc'!$A$2:$C$153, 2, FALSE)</f>
        <v>#N/A</v>
      </c>
      <c r="AF562" t="e">
        <f>VLOOKUP(Table1[[#This Row],[Product_Name]],'c174_calc'!$A$2:$C$153, 3, FALSE)</f>
        <v>#N/A</v>
      </c>
      <c r="AG562" t="e">
        <f>Table1[[#This Row],[vma]]=Table1[[#This Row],[MA_Number]]</f>
        <v>#N/A</v>
      </c>
    </row>
    <row r="563" spans="1:33" hidden="1" x14ac:dyDescent="0.3">
      <c r="A563" t="s">
        <v>2040</v>
      </c>
      <c r="B563" s="1" t="s">
        <v>214</v>
      </c>
      <c r="C563" s="1"/>
      <c r="D563" t="s">
        <v>278</v>
      </c>
      <c r="E563" t="s">
        <v>1746</v>
      </c>
      <c r="F563" t="b">
        <v>0</v>
      </c>
      <c r="I563">
        <v>1</v>
      </c>
      <c r="J563">
        <v>48</v>
      </c>
      <c r="K563">
        <v>48</v>
      </c>
      <c r="L563">
        <v>51</v>
      </c>
      <c r="M563" t="s">
        <v>49</v>
      </c>
      <c r="N563" t="s">
        <v>24</v>
      </c>
      <c r="O563" t="b">
        <v>1</v>
      </c>
      <c r="V563" t="b">
        <v>1</v>
      </c>
      <c r="AA563">
        <f>Table1[[#This Row],[qPer board]]*Table1[[#This Row],[boards]]</f>
        <v>0</v>
      </c>
      <c r="AB563">
        <f>Table1[[#This Row],[vqty]]</f>
        <v>1</v>
      </c>
      <c r="AD563" t="str">
        <f>VLOOKUP(Table1[[#This Row],[Product_Name]],'c174_calc'!$A$2:$C$153, 1, FALSE)</f>
        <v>7119127830+7234894130A</v>
      </c>
      <c r="AE563" t="str">
        <f>VLOOKUP(Table1[[#This Row],[Product_Name]],'c174_calc'!$A$2:$C$153, 2, FALSE)</f>
        <v>10.21.36860F</v>
      </c>
      <c r="AF563">
        <f>VLOOKUP(Table1[[#This Row],[Product_Name]],'c174_calc'!$A$2:$C$153, 3, FALSE)</f>
        <v>1</v>
      </c>
      <c r="AG563" t="b">
        <f>Table1[[#This Row],[vma]]=Table1[[#This Row],[MA_Number]]</f>
        <v>0</v>
      </c>
    </row>
    <row r="564" spans="1:33" hidden="1" x14ac:dyDescent="0.3">
      <c r="A564" t="s">
        <v>2041</v>
      </c>
      <c r="B564" s="1" t="s">
        <v>578</v>
      </c>
      <c r="C564" s="1"/>
      <c r="D564" t="s">
        <v>278</v>
      </c>
      <c r="E564" t="s">
        <v>1746</v>
      </c>
      <c r="F564" t="b">
        <v>1</v>
      </c>
      <c r="I564">
        <v>1</v>
      </c>
      <c r="V564" t="b">
        <v>1</v>
      </c>
      <c r="AA564">
        <f>Table1[[#This Row],[qPer board]]*Table1[[#This Row],[boards]]</f>
        <v>0</v>
      </c>
      <c r="AB564">
        <v>1</v>
      </c>
      <c r="AD564" t="e">
        <f>VLOOKUP(Table1[[#This Row],[Product_Name]],'c174_calc'!$A$2:$C$153, 1, FALSE)</f>
        <v>#N/A</v>
      </c>
      <c r="AE564" t="e">
        <f>VLOOKUP(Table1[[#This Row],[Product_Name]],'c174_calc'!$A$2:$C$153, 2, FALSE)</f>
        <v>#N/A</v>
      </c>
      <c r="AF564" t="e">
        <f>VLOOKUP(Table1[[#This Row],[Product_Name]],'c174_calc'!$A$2:$C$153, 3, FALSE)</f>
        <v>#N/A</v>
      </c>
      <c r="AG564" t="e">
        <f>Table1[[#This Row],[vma]]=Table1[[#This Row],[MA_Number]]</f>
        <v>#N/A</v>
      </c>
    </row>
    <row r="565" spans="1:33" hidden="1" x14ac:dyDescent="0.3">
      <c r="B565" s="1" t="s">
        <v>578</v>
      </c>
      <c r="C565" s="1"/>
      <c r="G565" t="s">
        <v>2041</v>
      </c>
      <c r="H565" t="s">
        <v>2042</v>
      </c>
      <c r="I565">
        <v>1</v>
      </c>
      <c r="J565">
        <v>82</v>
      </c>
      <c r="K565">
        <v>52</v>
      </c>
      <c r="L565">
        <v>58</v>
      </c>
      <c r="M565" t="s">
        <v>50</v>
      </c>
      <c r="N565" t="s">
        <v>24</v>
      </c>
      <c r="O565" t="b">
        <v>1</v>
      </c>
      <c r="AA565">
        <f>Table1[[#This Row],[qPer board]]*Table1[[#This Row],[boards]]</f>
        <v>0</v>
      </c>
      <c r="AB565">
        <v>1</v>
      </c>
      <c r="AD565" t="e">
        <f>VLOOKUP(Table1[[#This Row],[Product_Name]],'c174_calc'!$A$2:$C$153, 1, FALSE)</f>
        <v>#N/A</v>
      </c>
      <c r="AE565" t="e">
        <f>VLOOKUP(Table1[[#This Row],[Product_Name]],'c174_calc'!$A$2:$C$153, 2, FALSE)</f>
        <v>#N/A</v>
      </c>
      <c r="AF565" t="e">
        <f>VLOOKUP(Table1[[#This Row],[Product_Name]],'c174_calc'!$A$2:$C$153, 3, FALSE)</f>
        <v>#N/A</v>
      </c>
      <c r="AG565" t="e">
        <f>Table1[[#This Row],[vma]]=Table1[[#This Row],[MA_Number]]</f>
        <v>#N/A</v>
      </c>
    </row>
    <row r="566" spans="1:33" hidden="1" x14ac:dyDescent="0.3">
      <c r="B566" s="1" t="s">
        <v>578</v>
      </c>
      <c r="C566" s="1"/>
      <c r="G566" t="s">
        <v>2041</v>
      </c>
      <c r="H566" t="s">
        <v>2043</v>
      </c>
      <c r="I566">
        <v>1</v>
      </c>
      <c r="J566">
        <v>80</v>
      </c>
      <c r="K566">
        <v>72</v>
      </c>
      <c r="L566">
        <v>51</v>
      </c>
      <c r="M566" t="s">
        <v>49</v>
      </c>
      <c r="N566" t="s">
        <v>24</v>
      </c>
      <c r="O566" t="b">
        <v>1</v>
      </c>
      <c r="AA566">
        <f>Table1[[#This Row],[qPer board]]*Table1[[#This Row],[boards]]</f>
        <v>0</v>
      </c>
      <c r="AB566">
        <v>1</v>
      </c>
      <c r="AD566" t="e">
        <f>VLOOKUP(Table1[[#This Row],[Product_Name]],'c174_calc'!$A$2:$C$153, 1, FALSE)</f>
        <v>#N/A</v>
      </c>
      <c r="AE566" t="e">
        <f>VLOOKUP(Table1[[#This Row],[Product_Name]],'c174_calc'!$A$2:$C$153, 2, FALSE)</f>
        <v>#N/A</v>
      </c>
      <c r="AF566" t="e">
        <f>VLOOKUP(Table1[[#This Row],[Product_Name]],'c174_calc'!$A$2:$C$153, 3, FALSE)</f>
        <v>#N/A</v>
      </c>
      <c r="AG566" t="e">
        <f>Table1[[#This Row],[vma]]=Table1[[#This Row],[MA_Number]]</f>
        <v>#N/A</v>
      </c>
    </row>
    <row r="567" spans="1:33" hidden="1" x14ac:dyDescent="0.3">
      <c r="A567" t="s">
        <v>2053</v>
      </c>
      <c r="B567" s="1">
        <v>7119163630</v>
      </c>
      <c r="C567" s="1"/>
      <c r="D567" t="s">
        <v>278</v>
      </c>
      <c r="E567" t="s">
        <v>1746</v>
      </c>
      <c r="F567" t="b">
        <v>0</v>
      </c>
      <c r="I567">
        <v>1</v>
      </c>
      <c r="J567">
        <v>42</v>
      </c>
      <c r="K567">
        <v>35</v>
      </c>
      <c r="L567">
        <v>44</v>
      </c>
      <c r="M567" t="s">
        <v>49</v>
      </c>
      <c r="N567" t="s">
        <v>24</v>
      </c>
      <c r="O567" t="b">
        <v>1</v>
      </c>
      <c r="AA567">
        <f>Table1[[#This Row],[qPer board]]*Table1[[#This Row],[boards]]</f>
        <v>0</v>
      </c>
      <c r="AB567">
        <v>4</v>
      </c>
      <c r="AD567" t="e">
        <f>VLOOKUP(Table1[[#This Row],[Product_Name]],'c174_calc'!$A$2:$C$153, 1, FALSE)</f>
        <v>#N/A</v>
      </c>
      <c r="AE567" t="e">
        <f>VLOOKUP(Table1[[#This Row],[Product_Name]],'c174_calc'!$A$2:$C$153, 2, FALSE)</f>
        <v>#N/A</v>
      </c>
      <c r="AF567" t="e">
        <f>VLOOKUP(Table1[[#This Row],[Product_Name]],'c174_calc'!$A$2:$C$153, 3, FALSE)</f>
        <v>#N/A</v>
      </c>
      <c r="AG567" t="e">
        <f>Table1[[#This Row],[vma]]=Table1[[#This Row],[MA_Number]]</f>
        <v>#N/A</v>
      </c>
    </row>
    <row r="568" spans="1:33" hidden="1" x14ac:dyDescent="0.3">
      <c r="A568" t="s">
        <v>2054</v>
      </c>
      <c r="B568" s="1">
        <v>7119668820</v>
      </c>
      <c r="C568" s="1"/>
      <c r="D568" t="s">
        <v>278</v>
      </c>
      <c r="E568" t="s">
        <v>1746</v>
      </c>
      <c r="F568" t="b">
        <v>0</v>
      </c>
      <c r="I568">
        <v>1</v>
      </c>
      <c r="J568">
        <v>54</v>
      </c>
      <c r="K568">
        <v>42</v>
      </c>
      <c r="L568">
        <v>51</v>
      </c>
      <c r="M568" t="s">
        <v>53</v>
      </c>
      <c r="N568" t="s">
        <v>24</v>
      </c>
      <c r="O568" t="b">
        <v>1</v>
      </c>
      <c r="AA568">
        <f>Table1[[#This Row],[qPer board]]*Table1[[#This Row],[boards]]</f>
        <v>0</v>
      </c>
      <c r="AB568">
        <f>Table1[[#This Row],[vqty]]</f>
        <v>1</v>
      </c>
      <c r="AD568">
        <f>VLOOKUP(Table1[[#This Row],[Product_Name]],'c174_calc'!$A$2:$C$153, 1, FALSE)</f>
        <v>7119668820</v>
      </c>
      <c r="AE568" t="str">
        <f>VLOOKUP(Table1[[#This Row],[Product_Name]],'c174_calc'!$A$2:$C$153, 2, FALSE)</f>
        <v>10.21.77085A</v>
      </c>
      <c r="AF568">
        <f>VLOOKUP(Table1[[#This Row],[Product_Name]],'c174_calc'!$A$2:$C$153, 3, FALSE)</f>
        <v>1</v>
      </c>
      <c r="AG568" t="b">
        <f>Table1[[#This Row],[vma]]=Table1[[#This Row],[MA_Number]]</f>
        <v>0</v>
      </c>
    </row>
    <row r="569" spans="1:33" hidden="1" x14ac:dyDescent="0.3">
      <c r="A569" t="s">
        <v>2057</v>
      </c>
      <c r="B569" s="1" t="s">
        <v>217</v>
      </c>
      <c r="C569" s="1"/>
      <c r="D569" t="s">
        <v>278</v>
      </c>
      <c r="E569" t="s">
        <v>1746</v>
      </c>
      <c r="F569" t="b">
        <v>0</v>
      </c>
      <c r="I569">
        <v>1</v>
      </c>
      <c r="J569">
        <v>67</v>
      </c>
      <c r="K569">
        <v>50</v>
      </c>
      <c r="L569">
        <v>52</v>
      </c>
      <c r="M569" t="s">
        <v>54</v>
      </c>
      <c r="N569" t="s">
        <v>24</v>
      </c>
      <c r="O569" t="b">
        <v>1</v>
      </c>
      <c r="V569" t="b">
        <v>1</v>
      </c>
      <c r="AA569">
        <f>Table1[[#This Row],[qPer board]]*Table1[[#This Row],[boards]]</f>
        <v>0</v>
      </c>
      <c r="AB569">
        <f>Table1[[#This Row],[vqty]]</f>
        <v>2</v>
      </c>
      <c r="AD569" t="str">
        <f>VLOOKUP(Table1[[#This Row],[Product_Name]],'c174_calc'!$A$2:$C$153, 1, FALSE)</f>
        <v>7119670830+7274290770A</v>
      </c>
      <c r="AE569" t="str">
        <f>VLOOKUP(Table1[[#This Row],[Product_Name]],'c174_calc'!$A$2:$C$153, 2, FALSE)</f>
        <v>10.21.73050A</v>
      </c>
      <c r="AF569">
        <f>VLOOKUP(Table1[[#This Row],[Product_Name]],'c174_calc'!$A$2:$C$153, 3, FALSE)</f>
        <v>2</v>
      </c>
      <c r="AG569" t="b">
        <f>Table1[[#This Row],[vma]]=Table1[[#This Row],[MA_Number]]</f>
        <v>0</v>
      </c>
    </row>
    <row r="570" spans="1:33" hidden="1" x14ac:dyDescent="0.3">
      <c r="A570" t="s">
        <v>2069</v>
      </c>
      <c r="B570" s="1">
        <v>7009630402</v>
      </c>
      <c r="C570" s="1"/>
      <c r="D570" t="s">
        <v>278</v>
      </c>
      <c r="E570" t="s">
        <v>2070</v>
      </c>
      <c r="F570" t="b">
        <v>0</v>
      </c>
      <c r="I570">
        <v>1</v>
      </c>
      <c r="J570">
        <v>55</v>
      </c>
      <c r="K570">
        <v>41</v>
      </c>
      <c r="L570">
        <v>45</v>
      </c>
      <c r="M570" t="s">
        <v>48</v>
      </c>
      <c r="N570" t="s">
        <v>24</v>
      </c>
      <c r="O570" t="b">
        <v>1</v>
      </c>
      <c r="AA570">
        <f>Table1[[#This Row],[qPer board]]*Table1[[#This Row],[boards]]</f>
        <v>0</v>
      </c>
      <c r="AB570">
        <v>1</v>
      </c>
      <c r="AD570" t="e">
        <f>VLOOKUP(Table1[[#This Row],[Product_Name]],'c174_calc'!$A$2:$C$153, 1, FALSE)</f>
        <v>#N/A</v>
      </c>
      <c r="AE570" t="e">
        <f>VLOOKUP(Table1[[#This Row],[Product_Name]],'c174_calc'!$A$2:$C$153, 2, FALSE)</f>
        <v>#N/A</v>
      </c>
      <c r="AF570" t="e">
        <f>VLOOKUP(Table1[[#This Row],[Product_Name]],'c174_calc'!$A$2:$C$153, 3, FALSE)</f>
        <v>#N/A</v>
      </c>
      <c r="AG570" t="e">
        <f>Table1[[#This Row],[vma]]=Table1[[#This Row],[MA_Number]]</f>
        <v>#N/A</v>
      </c>
    </row>
    <row r="571" spans="1:33" hidden="1" x14ac:dyDescent="0.3">
      <c r="A571" t="s">
        <v>2068</v>
      </c>
      <c r="B571" s="1">
        <v>7009639402</v>
      </c>
      <c r="C571" s="1"/>
      <c r="D571" t="s">
        <v>278</v>
      </c>
      <c r="E571" t="s">
        <v>2070</v>
      </c>
      <c r="F571" t="b">
        <v>0</v>
      </c>
      <c r="I571">
        <v>1</v>
      </c>
      <c r="J571">
        <v>46</v>
      </c>
      <c r="K571">
        <v>36</v>
      </c>
      <c r="L571">
        <v>42</v>
      </c>
      <c r="M571" t="s">
        <v>48</v>
      </c>
      <c r="N571" t="s">
        <v>24</v>
      </c>
      <c r="O571" t="b">
        <v>1</v>
      </c>
      <c r="AA571">
        <f>Table1[[#This Row],[qPer board]]*Table1[[#This Row],[boards]]</f>
        <v>0</v>
      </c>
      <c r="AB571">
        <v>1</v>
      </c>
      <c r="AD571" t="e">
        <f>VLOOKUP(Table1[[#This Row],[Product_Name]],'c174_calc'!$A$2:$C$153, 1, FALSE)</f>
        <v>#N/A</v>
      </c>
      <c r="AE571" t="e">
        <f>VLOOKUP(Table1[[#This Row],[Product_Name]],'c174_calc'!$A$2:$C$153, 2, FALSE)</f>
        <v>#N/A</v>
      </c>
      <c r="AF571" t="e">
        <f>VLOOKUP(Table1[[#This Row],[Product_Name]],'c174_calc'!$A$2:$C$153, 3, FALSE)</f>
        <v>#N/A</v>
      </c>
      <c r="AG571" t="e">
        <f>Table1[[#This Row],[vma]]=Table1[[#This Row],[MA_Number]]</f>
        <v>#N/A</v>
      </c>
    </row>
    <row r="572" spans="1:33" hidden="1" x14ac:dyDescent="0.3">
      <c r="A572" t="s">
        <v>2071</v>
      </c>
      <c r="B572" s="1">
        <v>7003803502</v>
      </c>
      <c r="C572" s="1"/>
      <c r="D572" t="s">
        <v>278</v>
      </c>
      <c r="E572" t="s">
        <v>2070</v>
      </c>
      <c r="F572" t="b">
        <v>0</v>
      </c>
      <c r="I572">
        <v>1</v>
      </c>
      <c r="J572">
        <v>44</v>
      </c>
      <c r="K572">
        <v>46</v>
      </c>
      <c r="L572">
        <v>46</v>
      </c>
      <c r="M572" t="s">
        <v>48</v>
      </c>
      <c r="N572" t="s">
        <v>24</v>
      </c>
      <c r="O572" t="b">
        <v>1</v>
      </c>
      <c r="AA572">
        <f>Table1[[#This Row],[qPer board]]*Table1[[#This Row],[boards]]</f>
        <v>0</v>
      </c>
      <c r="AB572">
        <v>1</v>
      </c>
      <c r="AD572" t="e">
        <f>VLOOKUP(Table1[[#This Row],[Product_Name]],'c174_calc'!$A$2:$C$153, 1, FALSE)</f>
        <v>#N/A</v>
      </c>
      <c r="AE572" t="e">
        <f>VLOOKUP(Table1[[#This Row],[Product_Name]],'c174_calc'!$A$2:$C$153, 2, FALSE)</f>
        <v>#N/A</v>
      </c>
      <c r="AF572" t="e">
        <f>VLOOKUP(Table1[[#This Row],[Product_Name]],'c174_calc'!$A$2:$C$153, 3, FALSE)</f>
        <v>#N/A</v>
      </c>
      <c r="AG572" t="e">
        <f>Table1[[#This Row],[vma]]=Table1[[#This Row],[MA_Number]]</f>
        <v>#N/A</v>
      </c>
    </row>
    <row r="573" spans="1:33" hidden="1" x14ac:dyDescent="0.3">
      <c r="A573" t="s">
        <v>2072</v>
      </c>
      <c r="B573" s="1">
        <v>7003292202</v>
      </c>
      <c r="C573" s="1"/>
      <c r="D573" t="s">
        <v>278</v>
      </c>
      <c r="E573" t="s">
        <v>2070</v>
      </c>
      <c r="F573" t="b">
        <v>0</v>
      </c>
      <c r="I573">
        <v>1</v>
      </c>
      <c r="J573">
        <v>60</v>
      </c>
      <c r="K573">
        <v>39</v>
      </c>
      <c r="L573">
        <v>45</v>
      </c>
      <c r="M573" t="s">
        <v>48</v>
      </c>
      <c r="N573" t="s">
        <v>24</v>
      </c>
      <c r="O573" t="b">
        <v>1</v>
      </c>
      <c r="AA573">
        <f>Table1[[#This Row],[qPer board]]*Table1[[#This Row],[boards]]</f>
        <v>0</v>
      </c>
      <c r="AB573">
        <v>1</v>
      </c>
      <c r="AD573" t="e">
        <f>VLOOKUP(Table1[[#This Row],[Product_Name]],'c174_calc'!$A$2:$C$153, 1, FALSE)</f>
        <v>#N/A</v>
      </c>
      <c r="AE573" t="e">
        <f>VLOOKUP(Table1[[#This Row],[Product_Name]],'c174_calc'!$A$2:$C$153, 2, FALSE)</f>
        <v>#N/A</v>
      </c>
      <c r="AF573" t="e">
        <f>VLOOKUP(Table1[[#This Row],[Product_Name]],'c174_calc'!$A$2:$C$153, 3, FALSE)</f>
        <v>#N/A</v>
      </c>
      <c r="AG573" t="e">
        <f>Table1[[#This Row],[vma]]=Table1[[#This Row],[MA_Number]]</f>
        <v>#N/A</v>
      </c>
    </row>
    <row r="574" spans="1:33" hidden="1" x14ac:dyDescent="0.3">
      <c r="A574" t="s">
        <v>2073</v>
      </c>
      <c r="B574" s="1">
        <v>7003803702</v>
      </c>
      <c r="C574" s="1"/>
      <c r="D574" t="s">
        <v>278</v>
      </c>
      <c r="E574" t="s">
        <v>2070</v>
      </c>
      <c r="F574" t="b">
        <v>0</v>
      </c>
      <c r="I574">
        <v>1</v>
      </c>
      <c r="J574">
        <v>45</v>
      </c>
      <c r="K574">
        <v>42</v>
      </c>
      <c r="L574">
        <v>45</v>
      </c>
      <c r="M574" t="s">
        <v>48</v>
      </c>
      <c r="N574" t="s">
        <v>24</v>
      </c>
      <c r="O574" t="b">
        <v>1</v>
      </c>
      <c r="AA574">
        <f>Table1[[#This Row],[qPer board]]*Table1[[#This Row],[boards]]</f>
        <v>0</v>
      </c>
      <c r="AB574">
        <v>1</v>
      </c>
      <c r="AD574" t="e">
        <f>VLOOKUP(Table1[[#This Row],[Product_Name]],'c174_calc'!$A$2:$C$153, 1, FALSE)</f>
        <v>#N/A</v>
      </c>
      <c r="AE574" t="e">
        <f>VLOOKUP(Table1[[#This Row],[Product_Name]],'c174_calc'!$A$2:$C$153, 2, FALSE)</f>
        <v>#N/A</v>
      </c>
      <c r="AF574" t="e">
        <f>VLOOKUP(Table1[[#This Row],[Product_Name]],'c174_calc'!$A$2:$C$153, 3, FALSE)</f>
        <v>#N/A</v>
      </c>
      <c r="AG574" t="e">
        <f>Table1[[#This Row],[vma]]=Table1[[#This Row],[MA_Number]]</f>
        <v>#N/A</v>
      </c>
    </row>
    <row r="575" spans="1:33" hidden="1" x14ac:dyDescent="0.3">
      <c r="A575" t="s">
        <v>2099</v>
      </c>
      <c r="B575" s="1" t="s">
        <v>2065</v>
      </c>
      <c r="C575" s="1"/>
      <c r="D575" t="s">
        <v>278</v>
      </c>
      <c r="E575" t="s">
        <v>2101</v>
      </c>
      <c r="F575" t="b">
        <v>0</v>
      </c>
      <c r="I575">
        <v>1</v>
      </c>
      <c r="V575" t="b">
        <v>1</v>
      </c>
      <c r="AA575">
        <f>Table1[[#This Row],[qPer board]]*Table1[[#This Row],[boards]]</f>
        <v>0</v>
      </c>
      <c r="AB575">
        <v>1</v>
      </c>
      <c r="AD575" t="e">
        <f>VLOOKUP(Table1[[#This Row],[Product_Name]],'c174_calc'!$A$2:$C$153, 1, FALSE)</f>
        <v>#N/A</v>
      </c>
      <c r="AE575" t="e">
        <f>VLOOKUP(Table1[[#This Row],[Product_Name]],'c174_calc'!$A$2:$C$153, 2, FALSE)</f>
        <v>#N/A</v>
      </c>
      <c r="AF575" t="e">
        <f>VLOOKUP(Table1[[#This Row],[Product_Name]],'c174_calc'!$A$2:$C$153, 3, FALSE)</f>
        <v>#N/A</v>
      </c>
      <c r="AG575" t="e">
        <f>Table1[[#This Row],[vma]]=Table1[[#This Row],[MA_Number]]</f>
        <v>#N/A</v>
      </c>
    </row>
    <row r="576" spans="1:33" hidden="1" x14ac:dyDescent="0.3">
      <c r="A576" t="s">
        <v>2100</v>
      </c>
      <c r="B576" s="1">
        <v>7289921730</v>
      </c>
      <c r="C576" s="1"/>
      <c r="D576" t="s">
        <v>278</v>
      </c>
      <c r="E576" t="s">
        <v>2101</v>
      </c>
      <c r="F576" t="b">
        <v>0</v>
      </c>
      <c r="I576">
        <v>1</v>
      </c>
      <c r="J576">
        <v>68</v>
      </c>
      <c r="K576">
        <v>48</v>
      </c>
      <c r="L576">
        <v>58</v>
      </c>
      <c r="M576" t="s">
        <v>49</v>
      </c>
      <c r="N576" t="s">
        <v>24</v>
      </c>
      <c r="O576" t="b">
        <v>1</v>
      </c>
      <c r="AA576">
        <f>Table1[[#This Row],[qPer board]]*Table1[[#This Row],[boards]]</f>
        <v>0</v>
      </c>
      <c r="AB576">
        <v>2</v>
      </c>
      <c r="AD576" t="e">
        <f>VLOOKUP(Table1[[#This Row],[Product_Name]],'c174_calc'!$A$2:$C$153, 1, FALSE)</f>
        <v>#N/A</v>
      </c>
      <c r="AE576" t="e">
        <f>VLOOKUP(Table1[[#This Row],[Product_Name]],'c174_calc'!$A$2:$C$153, 2, FALSE)</f>
        <v>#N/A</v>
      </c>
      <c r="AF576" t="e">
        <f>VLOOKUP(Table1[[#This Row],[Product_Name]],'c174_calc'!$A$2:$C$153, 3, FALSE)</f>
        <v>#N/A</v>
      </c>
      <c r="AG576" t="e">
        <f>Table1[[#This Row],[vma]]=Table1[[#This Row],[MA_Number]]</f>
        <v>#N/A</v>
      </c>
    </row>
    <row r="577" spans="1:33" hidden="1" x14ac:dyDescent="0.3">
      <c r="A577" s="79" t="s">
        <v>2102</v>
      </c>
      <c r="B577" s="1">
        <v>72895381</v>
      </c>
      <c r="C577" s="1"/>
      <c r="D577" t="s">
        <v>278</v>
      </c>
      <c r="E577" t="s">
        <v>2101</v>
      </c>
      <c r="F577" t="b">
        <v>0</v>
      </c>
      <c r="I577">
        <v>1</v>
      </c>
      <c r="J577">
        <v>62</v>
      </c>
      <c r="K577">
        <v>49</v>
      </c>
      <c r="L577">
        <v>51</v>
      </c>
      <c r="M577" t="s">
        <v>48</v>
      </c>
      <c r="N577" t="s">
        <v>24</v>
      </c>
      <c r="O577" t="b">
        <v>1</v>
      </c>
      <c r="AA577">
        <f>Table1[[#This Row],[qPer board]]*Table1[[#This Row],[boards]]</f>
        <v>0</v>
      </c>
      <c r="AB577">
        <v>1</v>
      </c>
      <c r="AD577" t="e">
        <f>VLOOKUP(Table1[[#This Row],[Product_Name]],'c174_calc'!$A$2:$C$153, 1, FALSE)</f>
        <v>#N/A</v>
      </c>
      <c r="AE577" t="e">
        <f>VLOOKUP(Table1[[#This Row],[Product_Name]],'c174_calc'!$A$2:$C$153, 2, FALSE)</f>
        <v>#N/A</v>
      </c>
      <c r="AF577" t="e">
        <f>VLOOKUP(Table1[[#This Row],[Product_Name]],'c174_calc'!$A$2:$C$153, 3, FALSE)</f>
        <v>#N/A</v>
      </c>
      <c r="AG577" t="e">
        <f>Table1[[#This Row],[vma]]=Table1[[#This Row],[MA_Number]]</f>
        <v>#N/A</v>
      </c>
    </row>
    <row r="578" spans="1:33" hidden="1" x14ac:dyDescent="0.3">
      <c r="A578" t="s">
        <v>2066</v>
      </c>
      <c r="B578" s="1" t="s">
        <v>250</v>
      </c>
      <c r="C578" s="1"/>
      <c r="D578" t="s">
        <v>278</v>
      </c>
      <c r="E578" t="s">
        <v>1746</v>
      </c>
      <c r="F578" t="b">
        <v>0</v>
      </c>
      <c r="I578">
        <v>1</v>
      </c>
      <c r="J578">
        <v>45</v>
      </c>
      <c r="K578">
        <v>40</v>
      </c>
      <c r="L578">
        <v>50</v>
      </c>
      <c r="M578" t="s">
        <v>54</v>
      </c>
      <c r="N578" t="s">
        <v>24</v>
      </c>
      <c r="O578" t="b">
        <v>1</v>
      </c>
      <c r="AA578">
        <f>Table1[[#This Row],[qPer board]]*Table1[[#This Row],[boards]]</f>
        <v>0</v>
      </c>
      <c r="AB578">
        <f>Table1[[#This Row],[vqty]]</f>
        <v>2</v>
      </c>
      <c r="AD578" t="str">
        <f>VLOOKUP(Table1[[#This Row],[Product_Name]],'c174_calc'!$A$2:$C$153, 1, FALSE)</f>
        <v>ASSY_CA288B1519XXXX</v>
      </c>
      <c r="AE578" t="str">
        <f>VLOOKUP(Table1[[#This Row],[Product_Name]],'c174_calc'!$A$2:$C$153, 2, FALSE)</f>
        <v>10.21.77041A</v>
      </c>
      <c r="AF578">
        <f>VLOOKUP(Table1[[#This Row],[Product_Name]],'c174_calc'!$A$2:$C$153, 3, FALSE)</f>
        <v>2</v>
      </c>
      <c r="AG578" t="b">
        <f>Table1[[#This Row],[vma]]=Table1[[#This Row],[MA_Number]]</f>
        <v>0</v>
      </c>
    </row>
    <row r="579" spans="1:33" hidden="1" x14ac:dyDescent="0.3">
      <c r="A579" t="s">
        <v>2111</v>
      </c>
      <c r="B579" s="1" t="s">
        <v>1231</v>
      </c>
      <c r="C579" s="1"/>
      <c r="D579" t="s">
        <v>278</v>
      </c>
      <c r="E579" t="s">
        <v>1746</v>
      </c>
      <c r="F579" t="b">
        <v>1</v>
      </c>
      <c r="I579">
        <v>1</v>
      </c>
      <c r="AA579">
        <f>Table1[[#This Row],[qPer board]]*Table1[[#This Row],[boards]]</f>
        <v>0</v>
      </c>
      <c r="AB579">
        <f>Table1[[#This Row],[vqty]]</f>
        <v>1</v>
      </c>
      <c r="AD579" t="str">
        <f>VLOOKUP(Table1[[#This Row],[Product_Name]],'c174_calc'!$A$2:$C$153, 1, FALSE)</f>
        <v>7289811630+7289811730+7274155220</v>
      </c>
      <c r="AE579" t="str">
        <f>VLOOKUP(Table1[[#This Row],[Product_Name]],'c174_calc'!$A$2:$C$153, 2, FALSE)</f>
        <v>10.21.80752A</v>
      </c>
      <c r="AF579">
        <f>VLOOKUP(Table1[[#This Row],[Product_Name]],'c174_calc'!$A$2:$C$153, 3, FALSE)</f>
        <v>1</v>
      </c>
      <c r="AG579" t="b">
        <f>Table1[[#This Row],[vma]]=Table1[[#This Row],[MA_Number]]</f>
        <v>0</v>
      </c>
    </row>
    <row r="580" spans="1:33" hidden="1" x14ac:dyDescent="0.3">
      <c r="B580" s="1" t="s">
        <v>1231</v>
      </c>
      <c r="C580" s="1"/>
      <c r="G580" t="s">
        <v>2111</v>
      </c>
      <c r="H580" t="s">
        <v>2112</v>
      </c>
      <c r="I580">
        <v>1</v>
      </c>
      <c r="J580">
        <v>80</v>
      </c>
      <c r="K580">
        <v>50</v>
      </c>
      <c r="L580">
        <v>67</v>
      </c>
      <c r="M580" t="s">
        <v>53</v>
      </c>
      <c r="N580" t="s">
        <v>24</v>
      </c>
      <c r="O580" t="b">
        <v>1</v>
      </c>
      <c r="AA580">
        <f>Table1[[#This Row],[qPer board]]*Table1[[#This Row],[boards]]</f>
        <v>0</v>
      </c>
      <c r="AB580">
        <f>Table1[[#This Row],[vqty]]</f>
        <v>1</v>
      </c>
      <c r="AD580" t="str">
        <f>VLOOKUP(Table1[[#This Row],[Product_Name]],'c174_calc'!$A$2:$C$153, 1, FALSE)</f>
        <v>7289811630+7289811730+7274155220</v>
      </c>
      <c r="AE580" t="str">
        <f>VLOOKUP(Table1[[#This Row],[Product_Name]],'c174_calc'!$A$2:$C$153, 2, FALSE)</f>
        <v>10.21.80752A</v>
      </c>
      <c r="AF580">
        <f>VLOOKUP(Table1[[#This Row],[Product_Name]],'c174_calc'!$A$2:$C$153, 3, FALSE)</f>
        <v>1</v>
      </c>
      <c r="AG580" t="b">
        <f>Table1[[#This Row],[vma]]=Table1[[#This Row],[MA_Number]]</f>
        <v>0</v>
      </c>
    </row>
    <row r="581" spans="1:33" hidden="1" x14ac:dyDescent="0.3">
      <c r="B581" s="1" t="s">
        <v>1231</v>
      </c>
      <c r="C581" s="1"/>
      <c r="G581" t="s">
        <v>2111</v>
      </c>
      <c r="H581" t="s">
        <v>2113</v>
      </c>
      <c r="I581">
        <v>1</v>
      </c>
      <c r="J581">
        <v>80</v>
      </c>
      <c r="K581">
        <v>71</v>
      </c>
      <c r="L581">
        <v>52</v>
      </c>
      <c r="M581" t="s">
        <v>49</v>
      </c>
      <c r="N581" t="s">
        <v>24</v>
      </c>
      <c r="O581" t="b">
        <v>1</v>
      </c>
      <c r="AA581">
        <f>Table1[[#This Row],[qPer board]]*Table1[[#This Row],[boards]]</f>
        <v>0</v>
      </c>
      <c r="AB581">
        <f>Table1[[#This Row],[vqty]]</f>
        <v>1</v>
      </c>
      <c r="AD581" t="str">
        <f>VLOOKUP(Table1[[#This Row],[Product_Name]],'c174_calc'!$A$2:$C$153, 1, FALSE)</f>
        <v>7289811630+7289811730+7274155220</v>
      </c>
      <c r="AE581" t="str">
        <f>VLOOKUP(Table1[[#This Row],[Product_Name]],'c174_calc'!$A$2:$C$153, 2, FALSE)</f>
        <v>10.21.80752A</v>
      </c>
      <c r="AF581">
        <f>VLOOKUP(Table1[[#This Row],[Product_Name]],'c174_calc'!$A$2:$C$153, 3, FALSE)</f>
        <v>1</v>
      </c>
      <c r="AG581" t="b">
        <f>Table1[[#This Row],[vma]]=Table1[[#This Row],[MA_Number]]</f>
        <v>0</v>
      </c>
    </row>
    <row r="582" spans="1:33" hidden="1" x14ac:dyDescent="0.3">
      <c r="A582" t="s">
        <v>2114</v>
      </c>
      <c r="B582" s="1" t="s">
        <v>557</v>
      </c>
      <c r="C582" s="1"/>
      <c r="D582" t="s">
        <v>278</v>
      </c>
      <c r="E582" t="s">
        <v>1746</v>
      </c>
      <c r="F582" t="b">
        <v>1</v>
      </c>
      <c r="I582">
        <v>1</v>
      </c>
      <c r="AA582">
        <f>Table1[[#This Row],[qPer board]]*Table1[[#This Row],[boards]]</f>
        <v>0</v>
      </c>
      <c r="AB582">
        <f>Table1[[#This Row],[vqty]]</f>
        <v>1</v>
      </c>
      <c r="AD582" t="str">
        <f>VLOOKUP(Table1[[#This Row],[Product_Name]],'c174_calc'!$A$2:$C$153, 1, FALSE)</f>
        <v>7198762530+7198600430+72743034</v>
      </c>
      <c r="AE582" t="str">
        <f>VLOOKUP(Table1[[#This Row],[Product_Name]],'c174_calc'!$A$2:$C$153, 2, FALSE)</f>
        <v>10.21.76946A</v>
      </c>
      <c r="AF582">
        <f>VLOOKUP(Table1[[#This Row],[Product_Name]],'c174_calc'!$A$2:$C$153, 3, FALSE)</f>
        <v>1</v>
      </c>
      <c r="AG582" t="b">
        <f>Table1[[#This Row],[vma]]=Table1[[#This Row],[MA_Number]]</f>
        <v>0</v>
      </c>
    </row>
    <row r="583" spans="1:33" hidden="1" x14ac:dyDescent="0.3">
      <c r="B583" s="1" t="s">
        <v>557</v>
      </c>
      <c r="C583" s="1"/>
      <c r="G583" t="s">
        <v>2114</v>
      </c>
      <c r="H583" t="s">
        <v>2115</v>
      </c>
      <c r="I583">
        <v>1</v>
      </c>
      <c r="J583">
        <v>41</v>
      </c>
      <c r="K583">
        <v>46</v>
      </c>
      <c r="L583">
        <v>93</v>
      </c>
      <c r="M583" t="s">
        <v>48</v>
      </c>
      <c r="N583" t="s">
        <v>24</v>
      </c>
      <c r="O583" t="b">
        <v>1</v>
      </c>
      <c r="AA583">
        <f>Table1[[#This Row],[qPer board]]*Table1[[#This Row],[boards]]</f>
        <v>0</v>
      </c>
      <c r="AB583">
        <f>Table1[[#This Row],[vqty]]</f>
        <v>1</v>
      </c>
      <c r="AD583" t="str">
        <f>VLOOKUP(Table1[[#This Row],[Product_Name]],'c174_calc'!$A$2:$C$153, 1, FALSE)</f>
        <v>7198762530+7198600430+72743034</v>
      </c>
      <c r="AE583" t="str">
        <f>VLOOKUP(Table1[[#This Row],[Product_Name]],'c174_calc'!$A$2:$C$153, 2, FALSE)</f>
        <v>10.21.76946A</v>
      </c>
      <c r="AF583">
        <f>VLOOKUP(Table1[[#This Row],[Product_Name]],'c174_calc'!$A$2:$C$153, 3, FALSE)</f>
        <v>1</v>
      </c>
      <c r="AG583" t="b">
        <f>Table1[[#This Row],[vma]]=Table1[[#This Row],[MA_Number]]</f>
        <v>0</v>
      </c>
    </row>
    <row r="584" spans="1:33" hidden="1" x14ac:dyDescent="0.3">
      <c r="B584" s="1" t="s">
        <v>557</v>
      </c>
      <c r="C584" s="1"/>
      <c r="G584" t="s">
        <v>2114</v>
      </c>
      <c r="H584" t="s">
        <v>2116</v>
      </c>
      <c r="I584">
        <v>1</v>
      </c>
      <c r="J584">
        <v>96</v>
      </c>
      <c r="K584">
        <v>70</v>
      </c>
      <c r="L584">
        <v>55</v>
      </c>
      <c r="M584" t="s">
        <v>49</v>
      </c>
      <c r="N584" t="s">
        <v>24</v>
      </c>
      <c r="O584" t="b">
        <v>1</v>
      </c>
      <c r="AA584">
        <f>Table1[[#This Row],[qPer board]]*Table1[[#This Row],[boards]]</f>
        <v>0</v>
      </c>
      <c r="AB584">
        <f>Table1[[#This Row],[vqty]]</f>
        <v>1</v>
      </c>
      <c r="AD584" t="str">
        <f>VLOOKUP(Table1[[#This Row],[Product_Name]],'c174_calc'!$A$2:$C$153, 1, FALSE)</f>
        <v>7198762530+7198600430+72743034</v>
      </c>
      <c r="AE584" t="str">
        <f>VLOOKUP(Table1[[#This Row],[Product_Name]],'c174_calc'!$A$2:$C$153, 2, FALSE)</f>
        <v>10.21.76946A</v>
      </c>
      <c r="AF584">
        <f>VLOOKUP(Table1[[#This Row],[Product_Name]],'c174_calc'!$A$2:$C$153, 3, FALSE)</f>
        <v>1</v>
      </c>
      <c r="AG584" t="b">
        <f>Table1[[#This Row],[vma]]=Table1[[#This Row],[MA_Number]]</f>
        <v>0</v>
      </c>
    </row>
    <row r="585" spans="1:33" hidden="1" x14ac:dyDescent="0.3">
      <c r="A585" t="s">
        <v>2117</v>
      </c>
      <c r="B585" s="1" t="s">
        <v>212</v>
      </c>
      <c r="C585" s="1">
        <v>7177515230</v>
      </c>
      <c r="D585" t="s">
        <v>278</v>
      </c>
      <c r="E585" t="s">
        <v>1746</v>
      </c>
      <c r="F585" t="b">
        <v>0</v>
      </c>
      <c r="I585">
        <v>1</v>
      </c>
      <c r="J585">
        <v>71</v>
      </c>
      <c r="K585">
        <v>60</v>
      </c>
      <c r="L585">
        <v>62</v>
      </c>
      <c r="M585" t="s">
        <v>49</v>
      </c>
      <c r="N585" t="s">
        <v>24</v>
      </c>
      <c r="O585" t="b">
        <v>1</v>
      </c>
      <c r="AA585">
        <f>Table1[[#This Row],[qPer board]]*Table1[[#This Row],[boards]]</f>
        <v>0</v>
      </c>
      <c r="AB585">
        <f>Table1[[#This Row],[vqty]]</f>
        <v>1</v>
      </c>
      <c r="AD585" t="str">
        <f>VLOOKUP(Table1[[#This Row],[Product_Name]],'c174_calc'!$A$2:$C$153, 1, FALSE)</f>
        <v>7118641830+7173344320</v>
      </c>
      <c r="AE585" t="str">
        <f>VLOOKUP(Table1[[#This Row],[Product_Name]],'c174_calc'!$A$2:$C$153, 2, FALSE)</f>
        <v>10.21.35334A</v>
      </c>
      <c r="AF585">
        <f>VLOOKUP(Table1[[#This Row],[Product_Name]],'c174_calc'!$A$2:$C$153, 3, FALSE)</f>
        <v>1</v>
      </c>
      <c r="AG585" t="b">
        <f>Table1[[#This Row],[vma]]=Table1[[#This Row],[MA_Number]]</f>
        <v>0</v>
      </c>
    </row>
    <row r="586" spans="1:33" hidden="1" x14ac:dyDescent="0.3">
      <c r="A586" t="s">
        <v>2187</v>
      </c>
      <c r="B586" s="1" t="s">
        <v>1218</v>
      </c>
      <c r="C586" s="1"/>
      <c r="D586" t="s">
        <v>278</v>
      </c>
      <c r="E586" t="s">
        <v>2186</v>
      </c>
      <c r="F586" t="b">
        <v>1</v>
      </c>
      <c r="I586">
        <v>1</v>
      </c>
      <c r="AA586">
        <f>Table1[[#This Row],[qPer board]]*Table1[[#This Row],[boards]]</f>
        <v>0</v>
      </c>
      <c r="AB586">
        <f>Table1[[#This Row],[vqty]]</f>
        <v>2</v>
      </c>
      <c r="AD586" t="str">
        <f>VLOOKUP(Table1[[#This Row],[Product_Name]],'c174_calc'!$A$2:$C$153, 1, FALSE)</f>
        <v>7198277430+7198277530+72741954</v>
      </c>
      <c r="AE586" t="str">
        <f>VLOOKUP(Table1[[#This Row],[Product_Name]],'c174_calc'!$A$2:$C$153, 2, FALSE)</f>
        <v>10.21.80753C</v>
      </c>
      <c r="AF586">
        <f>VLOOKUP(Table1[[#This Row],[Product_Name]],'c174_calc'!$A$2:$C$153, 3, FALSE)</f>
        <v>2</v>
      </c>
      <c r="AG586" t="b">
        <f>Table1[[#This Row],[vma]]=Table1[[#This Row],[MA_Number]]</f>
        <v>0</v>
      </c>
    </row>
    <row r="587" spans="1:33" hidden="1" x14ac:dyDescent="0.3">
      <c r="B587" s="1" t="s">
        <v>1218</v>
      </c>
      <c r="C587" s="1"/>
      <c r="G587" t="s">
        <v>2187</v>
      </c>
      <c r="H587" t="s">
        <v>2188</v>
      </c>
      <c r="I587">
        <v>1</v>
      </c>
      <c r="J587">
        <v>55</v>
      </c>
      <c r="K587">
        <v>45</v>
      </c>
      <c r="L587">
        <v>58</v>
      </c>
      <c r="M587" t="s">
        <v>48</v>
      </c>
      <c r="N587" t="s">
        <v>24</v>
      </c>
      <c r="O587" t="b">
        <v>1</v>
      </c>
      <c r="AA587">
        <f>Table1[[#This Row],[qPer board]]*Table1[[#This Row],[boards]]</f>
        <v>0</v>
      </c>
      <c r="AB587">
        <f>Table1[[#This Row],[vqty]]</f>
        <v>2</v>
      </c>
      <c r="AD587" t="str">
        <f>VLOOKUP(Table1[[#This Row],[Product_Name]],'c174_calc'!$A$2:$C$153, 1, FALSE)</f>
        <v>7198277430+7198277530+72741954</v>
      </c>
      <c r="AE587" t="str">
        <f>VLOOKUP(Table1[[#This Row],[Product_Name]],'c174_calc'!$A$2:$C$153, 2, FALSE)</f>
        <v>10.21.80753C</v>
      </c>
      <c r="AF587">
        <f>VLOOKUP(Table1[[#This Row],[Product_Name]],'c174_calc'!$A$2:$C$153, 3, FALSE)</f>
        <v>2</v>
      </c>
      <c r="AG587" t="b">
        <f>Table1[[#This Row],[vma]]=Table1[[#This Row],[MA_Number]]</f>
        <v>0</v>
      </c>
    </row>
    <row r="588" spans="1:33" hidden="1" x14ac:dyDescent="0.3">
      <c r="B588" s="1" t="s">
        <v>1218</v>
      </c>
      <c r="C588" s="1"/>
      <c r="G588" t="s">
        <v>2187</v>
      </c>
      <c r="H588" t="s">
        <v>2189</v>
      </c>
      <c r="I588">
        <v>1</v>
      </c>
      <c r="J588">
        <v>61</v>
      </c>
      <c r="K588">
        <v>53</v>
      </c>
      <c r="L588">
        <v>54</v>
      </c>
      <c r="M588" t="s">
        <v>49</v>
      </c>
      <c r="N588" t="s">
        <v>24</v>
      </c>
      <c r="O588" t="b">
        <v>1</v>
      </c>
      <c r="AA588">
        <f>Table1[[#This Row],[qPer board]]*Table1[[#This Row],[boards]]</f>
        <v>0</v>
      </c>
      <c r="AB588">
        <f>Table1[[#This Row],[vqty]]</f>
        <v>2</v>
      </c>
      <c r="AD588" t="str">
        <f>VLOOKUP(Table1[[#This Row],[Product_Name]],'c174_calc'!$A$2:$C$153, 1, FALSE)</f>
        <v>7198277430+7198277530+72741954</v>
      </c>
      <c r="AE588" t="str">
        <f>VLOOKUP(Table1[[#This Row],[Product_Name]],'c174_calc'!$A$2:$C$153, 2, FALSE)</f>
        <v>10.21.80753C</v>
      </c>
      <c r="AF588">
        <f>VLOOKUP(Table1[[#This Row],[Product_Name]],'c174_calc'!$A$2:$C$153, 3, FALSE)</f>
        <v>2</v>
      </c>
      <c r="AG588" t="b">
        <f>Table1[[#This Row],[vma]]=Table1[[#This Row],[MA_Number]]</f>
        <v>0</v>
      </c>
    </row>
    <row r="589" spans="1:33" hidden="1" x14ac:dyDescent="0.3">
      <c r="A589" t="s">
        <v>2236</v>
      </c>
      <c r="B589" s="1">
        <v>7278246930</v>
      </c>
      <c r="C589" s="1"/>
      <c r="D589" t="s">
        <v>278</v>
      </c>
      <c r="E589" t="s">
        <v>1746</v>
      </c>
      <c r="F589" t="b">
        <v>0</v>
      </c>
      <c r="I589">
        <v>1</v>
      </c>
      <c r="J589">
        <v>62</v>
      </c>
      <c r="K589">
        <v>51</v>
      </c>
      <c r="L589">
        <v>61</v>
      </c>
      <c r="M589" t="s">
        <v>49</v>
      </c>
      <c r="N589" t="s">
        <v>49</v>
      </c>
      <c r="O589" t="b">
        <v>1</v>
      </c>
      <c r="AA589">
        <f>Table1[[#This Row],[qPer board]]*Table1[[#This Row],[boards]]</f>
        <v>0</v>
      </c>
      <c r="AB589">
        <f>Table1[[#This Row],[vqty]]</f>
        <v>2</v>
      </c>
      <c r="AD589">
        <f>VLOOKUP(Table1[[#This Row],[Product_Name]],'c174_calc'!$A$2:$C$153, 1, FALSE)</f>
        <v>7278246930</v>
      </c>
      <c r="AE589" t="str">
        <f>VLOOKUP(Table1[[#This Row],[Product_Name]],'c174_calc'!$A$2:$C$153, 2, FALSE)</f>
        <v>10.21.63361A</v>
      </c>
      <c r="AF589">
        <f>VLOOKUP(Table1[[#This Row],[Product_Name]],'c174_calc'!$A$2:$C$153, 3, FALSE)</f>
        <v>2</v>
      </c>
      <c r="AG589" t="b">
        <f>Table1[[#This Row],[vma]]=Table1[[#This Row],[MA_Number]]</f>
        <v>0</v>
      </c>
    </row>
    <row r="590" spans="1:33" hidden="1" x14ac:dyDescent="0.3">
      <c r="A590" t="s">
        <v>727</v>
      </c>
      <c r="B590" s="1" t="s">
        <v>2304</v>
      </c>
      <c r="C590" s="1"/>
      <c r="D590" t="s">
        <v>279</v>
      </c>
      <c r="E590" t="s">
        <v>2311</v>
      </c>
      <c r="F590" t="b">
        <v>1</v>
      </c>
      <c r="I590">
        <v>1</v>
      </c>
      <c r="AA590">
        <f>Table1[[#This Row],[qPer board]]*Table1[[#This Row],[boards]]</f>
        <v>0</v>
      </c>
      <c r="AB590">
        <v>1</v>
      </c>
      <c r="AD590" t="e">
        <f>VLOOKUP(Table1[[#This Row],[Product_Name]],'c174_calc'!$A$2:$C$153, 1, FALSE)</f>
        <v>#N/A</v>
      </c>
      <c r="AE590" t="e">
        <f>VLOOKUP(Table1[[#This Row],[Product_Name]],'c174_calc'!$A$2:$C$153, 2, FALSE)</f>
        <v>#N/A</v>
      </c>
      <c r="AF590" t="e">
        <f>VLOOKUP(Table1[[#This Row],[Product_Name]],'c174_calc'!$A$2:$C$153, 3, FALSE)</f>
        <v>#N/A</v>
      </c>
      <c r="AG590" t="e">
        <f>Table1[[#This Row],[vma]]=Table1[[#This Row],[MA_Number]]</f>
        <v>#N/A</v>
      </c>
    </row>
    <row r="591" spans="1:33" hidden="1" x14ac:dyDescent="0.3">
      <c r="B591" s="1" t="s">
        <v>2304</v>
      </c>
      <c r="C591" s="1"/>
      <c r="G591" t="s">
        <v>727</v>
      </c>
      <c r="H591" t="s">
        <v>2345</v>
      </c>
      <c r="I591">
        <v>1</v>
      </c>
      <c r="J591">
        <v>66</v>
      </c>
      <c r="K591">
        <v>55</v>
      </c>
      <c r="L591">
        <v>53</v>
      </c>
      <c r="M591" t="s">
        <v>49</v>
      </c>
      <c r="N591" t="s">
        <v>49</v>
      </c>
      <c r="O591" t="b">
        <v>1</v>
      </c>
      <c r="AA591">
        <f>Table1[[#This Row],[qPer board]]*Table1[[#This Row],[boards]]</f>
        <v>0</v>
      </c>
      <c r="AB591">
        <v>1</v>
      </c>
      <c r="AD591" t="e">
        <f>VLOOKUP(Table1[[#This Row],[Product_Name]],'c174_calc'!$A$2:$C$153, 1, FALSE)</f>
        <v>#N/A</v>
      </c>
      <c r="AE591" t="e">
        <f>VLOOKUP(Table1[[#This Row],[Product_Name]],'c174_calc'!$A$2:$C$153, 2, FALSE)</f>
        <v>#N/A</v>
      </c>
      <c r="AF591" t="e">
        <f>VLOOKUP(Table1[[#This Row],[Product_Name]],'c174_calc'!$A$2:$C$153, 3, FALSE)</f>
        <v>#N/A</v>
      </c>
      <c r="AG591" t="e">
        <f>Table1[[#This Row],[vma]]=Table1[[#This Row],[MA_Number]]</f>
        <v>#N/A</v>
      </c>
    </row>
    <row r="592" spans="1:33" hidden="1" x14ac:dyDescent="0.3">
      <c r="B592" s="1" t="s">
        <v>2304</v>
      </c>
      <c r="C592" s="1"/>
      <c r="G592" t="s">
        <v>727</v>
      </c>
      <c r="H592" t="s">
        <v>2346</v>
      </c>
      <c r="I592">
        <v>1</v>
      </c>
      <c r="J592">
        <v>66</v>
      </c>
      <c r="K592">
        <v>55</v>
      </c>
      <c r="L592">
        <v>30</v>
      </c>
      <c r="M592" t="s">
        <v>49</v>
      </c>
      <c r="N592" t="s">
        <v>49</v>
      </c>
      <c r="O592" t="b">
        <v>1</v>
      </c>
      <c r="AA592">
        <f>Table1[[#This Row],[qPer board]]*Table1[[#This Row],[boards]]</f>
        <v>0</v>
      </c>
      <c r="AB592">
        <v>1</v>
      </c>
      <c r="AD592" t="e">
        <f>VLOOKUP(Table1[[#This Row],[Product_Name]],'c174_calc'!$A$2:$C$153, 1, FALSE)</f>
        <v>#N/A</v>
      </c>
      <c r="AE592" t="e">
        <f>VLOOKUP(Table1[[#This Row],[Product_Name]],'c174_calc'!$A$2:$C$153, 2, FALSE)</f>
        <v>#N/A</v>
      </c>
      <c r="AF592" t="e">
        <f>VLOOKUP(Table1[[#This Row],[Product_Name]],'c174_calc'!$A$2:$C$153, 3, FALSE)</f>
        <v>#N/A</v>
      </c>
      <c r="AG592" t="e">
        <f>Table1[[#This Row],[vma]]=Table1[[#This Row],[MA_Number]]</f>
        <v>#N/A</v>
      </c>
    </row>
    <row r="593" spans="1:33" hidden="1" x14ac:dyDescent="0.3">
      <c r="B593" s="1" t="s">
        <v>2304</v>
      </c>
      <c r="C593" s="1"/>
      <c r="G593" t="s">
        <v>727</v>
      </c>
      <c r="H593" t="s">
        <v>2347</v>
      </c>
      <c r="I593">
        <v>1</v>
      </c>
      <c r="J593">
        <v>66</v>
      </c>
      <c r="K593">
        <v>55</v>
      </c>
      <c r="L593">
        <v>20</v>
      </c>
      <c r="M593" t="s">
        <v>49</v>
      </c>
      <c r="N593" t="s">
        <v>49</v>
      </c>
      <c r="O593" t="b">
        <v>1</v>
      </c>
      <c r="AA593">
        <f>Table1[[#This Row],[qPer board]]*Table1[[#This Row],[boards]]</f>
        <v>0</v>
      </c>
      <c r="AB593">
        <v>1</v>
      </c>
      <c r="AD593" t="e">
        <f>VLOOKUP(Table1[[#This Row],[Product_Name]],'c174_calc'!$A$2:$C$153, 1, FALSE)</f>
        <v>#N/A</v>
      </c>
      <c r="AE593" t="e">
        <f>VLOOKUP(Table1[[#This Row],[Product_Name]],'c174_calc'!$A$2:$C$153, 2, FALSE)</f>
        <v>#N/A</v>
      </c>
      <c r="AF593" t="e">
        <f>VLOOKUP(Table1[[#This Row],[Product_Name]],'c174_calc'!$A$2:$C$153, 3, FALSE)</f>
        <v>#N/A</v>
      </c>
      <c r="AG593" t="e">
        <f>Table1[[#This Row],[vma]]=Table1[[#This Row],[MA_Number]]</f>
        <v>#N/A</v>
      </c>
    </row>
    <row r="594" spans="1:33" hidden="1" x14ac:dyDescent="0.3">
      <c r="A594" t="s">
        <v>2306</v>
      </c>
      <c r="B594" s="1">
        <v>7035990930</v>
      </c>
      <c r="C594" s="1"/>
      <c r="D594" t="s">
        <v>279</v>
      </c>
      <c r="E594" t="s">
        <v>2309</v>
      </c>
      <c r="F594" t="b">
        <v>1</v>
      </c>
      <c r="I594">
        <v>1</v>
      </c>
      <c r="AA594">
        <f>Table1[[#This Row],[qPer board]]*Table1[[#This Row],[boards]]</f>
        <v>0</v>
      </c>
      <c r="AB594">
        <v>1</v>
      </c>
      <c r="AD594" t="e">
        <f>VLOOKUP(Table1[[#This Row],[Product_Name]],'c174_calc'!$A$2:$C$153, 1, FALSE)</f>
        <v>#N/A</v>
      </c>
      <c r="AE594" t="e">
        <f>VLOOKUP(Table1[[#This Row],[Product_Name]],'c174_calc'!$A$2:$C$153, 2, FALSE)</f>
        <v>#N/A</v>
      </c>
      <c r="AF594" t="e">
        <f>VLOOKUP(Table1[[#This Row],[Product_Name]],'c174_calc'!$A$2:$C$153, 3, FALSE)</f>
        <v>#N/A</v>
      </c>
      <c r="AG594" t="e">
        <f>Table1[[#This Row],[vma]]=Table1[[#This Row],[MA_Number]]</f>
        <v>#N/A</v>
      </c>
    </row>
    <row r="595" spans="1:33" hidden="1" x14ac:dyDescent="0.3">
      <c r="B595" s="1">
        <v>7035990930</v>
      </c>
      <c r="C595" s="1"/>
      <c r="G595" t="s">
        <v>2306</v>
      </c>
      <c r="H595" t="s">
        <v>2307</v>
      </c>
      <c r="I595">
        <v>1</v>
      </c>
      <c r="J595">
        <v>110</v>
      </c>
      <c r="K595">
        <v>50</v>
      </c>
      <c r="L595">
        <v>75</v>
      </c>
      <c r="M595" t="s">
        <v>49</v>
      </c>
      <c r="N595" t="s">
        <v>24</v>
      </c>
      <c r="O595" t="b">
        <v>1</v>
      </c>
      <c r="AA595">
        <f>Table1[[#This Row],[qPer board]]*Table1[[#This Row],[boards]]</f>
        <v>0</v>
      </c>
      <c r="AB595">
        <v>1</v>
      </c>
      <c r="AD595" t="e">
        <f>VLOOKUP(Table1[[#This Row],[Product_Name]],'c174_calc'!$A$2:$C$153, 1, FALSE)</f>
        <v>#N/A</v>
      </c>
      <c r="AE595" t="e">
        <f>VLOOKUP(Table1[[#This Row],[Product_Name]],'c174_calc'!$A$2:$C$153, 2, FALSE)</f>
        <v>#N/A</v>
      </c>
      <c r="AF595" t="e">
        <f>VLOOKUP(Table1[[#This Row],[Product_Name]],'c174_calc'!$A$2:$C$153, 3, FALSE)</f>
        <v>#N/A</v>
      </c>
      <c r="AG595" t="e">
        <f>Table1[[#This Row],[vma]]=Table1[[#This Row],[MA_Number]]</f>
        <v>#N/A</v>
      </c>
    </row>
    <row r="596" spans="1:33" hidden="1" x14ac:dyDescent="0.3">
      <c r="B596" s="1">
        <v>7035990930</v>
      </c>
      <c r="C596" s="1"/>
      <c r="G596" t="s">
        <v>2306</v>
      </c>
      <c r="H596" t="s">
        <v>2308</v>
      </c>
      <c r="I596">
        <v>1</v>
      </c>
      <c r="J596">
        <v>40</v>
      </c>
      <c r="K596">
        <v>15</v>
      </c>
      <c r="L596">
        <v>42</v>
      </c>
      <c r="M596" t="s">
        <v>49</v>
      </c>
      <c r="N596" t="s">
        <v>24</v>
      </c>
      <c r="O596" t="b">
        <v>1</v>
      </c>
      <c r="AA596">
        <f>Table1[[#This Row],[qPer board]]*Table1[[#This Row],[boards]]</f>
        <v>0</v>
      </c>
      <c r="AB596">
        <v>1</v>
      </c>
      <c r="AD596" t="e">
        <f>VLOOKUP(Table1[[#This Row],[Product_Name]],'c174_calc'!$A$2:$C$153, 1, FALSE)</f>
        <v>#N/A</v>
      </c>
      <c r="AE596" t="e">
        <f>VLOOKUP(Table1[[#This Row],[Product_Name]],'c174_calc'!$A$2:$C$153, 2, FALSE)</f>
        <v>#N/A</v>
      </c>
      <c r="AF596" t="e">
        <f>VLOOKUP(Table1[[#This Row],[Product_Name]],'c174_calc'!$A$2:$C$153, 3, FALSE)</f>
        <v>#N/A</v>
      </c>
      <c r="AG596" t="e">
        <f>Table1[[#This Row],[vma]]=Table1[[#This Row],[MA_Number]]</f>
        <v>#N/A</v>
      </c>
    </row>
    <row r="597" spans="1:33" hidden="1" x14ac:dyDescent="0.3">
      <c r="A597" t="s">
        <v>2320</v>
      </c>
      <c r="B597" s="1" t="s">
        <v>227</v>
      </c>
      <c r="C597" s="1"/>
      <c r="D597" t="s">
        <v>278</v>
      </c>
      <c r="E597" t="s">
        <v>2324</v>
      </c>
      <c r="F597" t="b">
        <v>1</v>
      </c>
      <c r="I597">
        <v>1</v>
      </c>
      <c r="AA597">
        <f>Table1[[#This Row],[qPer board]]*Table1[[#This Row],[boards]]</f>
        <v>0</v>
      </c>
      <c r="AB597">
        <f>Table1[[#This Row],[vqty]]</f>
        <v>2</v>
      </c>
      <c r="AD597" t="str">
        <f>VLOOKUP(Table1[[#This Row],[Product_Name]],'c174_calc'!$A$2:$C$153, 1, FALSE)</f>
        <v>7198762530+7198600430+7274261190A</v>
      </c>
      <c r="AE597" t="str">
        <f>VLOOKUP(Table1[[#This Row],[Product_Name]],'c174_calc'!$A$2:$C$153, 2, FALSE)</f>
        <v>10.21.83630A</v>
      </c>
      <c r="AF597">
        <f>VLOOKUP(Table1[[#This Row],[Product_Name]],'c174_calc'!$A$2:$C$153, 3, FALSE)</f>
        <v>2</v>
      </c>
      <c r="AG597" t="b">
        <f>Table1[[#This Row],[vma]]=Table1[[#This Row],[MA_Number]]</f>
        <v>0</v>
      </c>
    </row>
    <row r="598" spans="1:33" hidden="1" x14ac:dyDescent="0.3">
      <c r="B598" s="1" t="s">
        <v>227</v>
      </c>
      <c r="C598" s="1"/>
      <c r="G598" t="s">
        <v>2320</v>
      </c>
      <c r="H598" t="s">
        <v>2321</v>
      </c>
      <c r="I598">
        <v>1</v>
      </c>
      <c r="J598">
        <v>92</v>
      </c>
      <c r="K598">
        <v>86</v>
      </c>
      <c r="L598">
        <v>64</v>
      </c>
      <c r="M598" t="s">
        <v>50</v>
      </c>
      <c r="N598" t="s">
        <v>24</v>
      </c>
      <c r="O598" t="b">
        <v>1</v>
      </c>
      <c r="AA598">
        <f>Table1[[#This Row],[qPer board]]*Table1[[#This Row],[boards]]</f>
        <v>0</v>
      </c>
      <c r="AB598">
        <f>Table1[[#This Row],[vqty]]</f>
        <v>2</v>
      </c>
      <c r="AD598" t="str">
        <f>VLOOKUP(Table1[[#This Row],[Product_Name]],'c174_calc'!$A$2:$C$153, 1, FALSE)</f>
        <v>7198762530+7198600430+7274261190A</v>
      </c>
      <c r="AE598" t="str">
        <f>VLOOKUP(Table1[[#This Row],[Product_Name]],'c174_calc'!$A$2:$C$153, 2, FALSE)</f>
        <v>10.21.83630A</v>
      </c>
      <c r="AF598">
        <f>VLOOKUP(Table1[[#This Row],[Product_Name]],'c174_calc'!$A$2:$C$153, 3, FALSE)</f>
        <v>2</v>
      </c>
      <c r="AG598" t="b">
        <f>Table1[[#This Row],[vma]]=Table1[[#This Row],[MA_Number]]</f>
        <v>0</v>
      </c>
    </row>
    <row r="599" spans="1:33" hidden="1" x14ac:dyDescent="0.3">
      <c r="B599" s="1" t="s">
        <v>227</v>
      </c>
      <c r="C599" s="1"/>
      <c r="G599" t="s">
        <v>2320</v>
      </c>
      <c r="H599" t="s">
        <v>2322</v>
      </c>
      <c r="I599">
        <v>2</v>
      </c>
      <c r="N599" t="s">
        <v>71</v>
      </c>
      <c r="O599" t="b">
        <v>1</v>
      </c>
      <c r="AA599">
        <f>Table1[[#This Row],[qPer board]]*Table1[[#This Row],[boards]]</f>
        <v>0</v>
      </c>
      <c r="AB599">
        <f>Table1[[#This Row],[vqty]]</f>
        <v>2</v>
      </c>
      <c r="AD599" t="str">
        <f>VLOOKUP(Table1[[#This Row],[Product_Name]],'c174_calc'!$A$2:$C$153, 1, FALSE)</f>
        <v>7198762530+7198600430+7274261190A</v>
      </c>
      <c r="AE599" t="str">
        <f>VLOOKUP(Table1[[#This Row],[Product_Name]],'c174_calc'!$A$2:$C$153, 2, FALSE)</f>
        <v>10.21.83630A</v>
      </c>
      <c r="AF599">
        <f>VLOOKUP(Table1[[#This Row],[Product_Name]],'c174_calc'!$A$2:$C$153, 3, FALSE)</f>
        <v>2</v>
      </c>
      <c r="AG599" t="b">
        <f>Table1[[#This Row],[vma]]=Table1[[#This Row],[MA_Number]]</f>
        <v>0</v>
      </c>
    </row>
    <row r="600" spans="1:33" hidden="1" x14ac:dyDescent="0.3">
      <c r="B600" s="1" t="s">
        <v>227</v>
      </c>
      <c r="C600" s="1"/>
      <c r="G600" t="s">
        <v>2320</v>
      </c>
      <c r="H600" t="s">
        <v>2323</v>
      </c>
      <c r="I600">
        <v>1</v>
      </c>
      <c r="J600">
        <v>83</v>
      </c>
      <c r="K600">
        <v>45</v>
      </c>
      <c r="L600">
        <v>30</v>
      </c>
      <c r="M600" t="s">
        <v>48</v>
      </c>
      <c r="N600" t="s">
        <v>24</v>
      </c>
      <c r="O600" t="b">
        <v>1</v>
      </c>
      <c r="AA600">
        <f>Table1[[#This Row],[qPer board]]*Table1[[#This Row],[boards]]</f>
        <v>0</v>
      </c>
      <c r="AB600">
        <f>Table1[[#This Row],[vqty]]</f>
        <v>2</v>
      </c>
      <c r="AD600" t="str">
        <f>VLOOKUP(Table1[[#This Row],[Product_Name]],'c174_calc'!$A$2:$C$153, 1, FALSE)</f>
        <v>7198762530+7198600430+7274261190A</v>
      </c>
      <c r="AE600" t="str">
        <f>VLOOKUP(Table1[[#This Row],[Product_Name]],'c174_calc'!$A$2:$C$153, 2, FALSE)</f>
        <v>10.21.83630A</v>
      </c>
      <c r="AF600">
        <f>VLOOKUP(Table1[[#This Row],[Product_Name]],'c174_calc'!$A$2:$C$153, 3, FALSE)</f>
        <v>2</v>
      </c>
      <c r="AG600" t="b">
        <f>Table1[[#This Row],[vma]]=Table1[[#This Row],[MA_Number]]</f>
        <v>0</v>
      </c>
    </row>
    <row r="601" spans="1:33" hidden="1" x14ac:dyDescent="0.3">
      <c r="A601" t="s">
        <v>2325</v>
      </c>
      <c r="B601" s="1" t="s">
        <v>1234</v>
      </c>
      <c r="C601" s="1"/>
      <c r="D601" t="s">
        <v>278</v>
      </c>
      <c r="E601" t="s">
        <v>2319</v>
      </c>
      <c r="F601" t="b">
        <v>0</v>
      </c>
      <c r="I601">
        <v>1</v>
      </c>
      <c r="J601">
        <v>80</v>
      </c>
      <c r="K601">
        <v>72</v>
      </c>
      <c r="L601">
        <v>56</v>
      </c>
      <c r="M601" t="s">
        <v>54</v>
      </c>
      <c r="N601" t="s">
        <v>24</v>
      </c>
      <c r="O601" t="b">
        <v>1</v>
      </c>
      <c r="AA601">
        <f>Table1[[#This Row],[qPer board]]*Table1[[#This Row],[boards]]</f>
        <v>0</v>
      </c>
      <c r="AB601">
        <f>Table1[[#This Row],[vqty]]</f>
        <v>1</v>
      </c>
      <c r="AD601" t="str">
        <f>VLOOKUP(Table1[[#This Row],[Product_Name]],'c174_calc'!$A$2:$C$153, 1, FALSE)</f>
        <v>7187903970+7187904070+7274060970</v>
      </c>
      <c r="AE601" t="str">
        <f>VLOOKUP(Table1[[#This Row],[Product_Name]],'c174_calc'!$A$2:$C$153, 2, FALSE)</f>
        <v>10.21.42674D</v>
      </c>
      <c r="AF601">
        <f>VLOOKUP(Table1[[#This Row],[Product_Name]],'c174_calc'!$A$2:$C$153, 3, FALSE)</f>
        <v>1</v>
      </c>
      <c r="AG601" t="b">
        <f>Table1[[#This Row],[vma]]=Table1[[#This Row],[MA_Number]]</f>
        <v>0</v>
      </c>
    </row>
    <row r="602" spans="1:33" hidden="1" x14ac:dyDescent="0.3">
      <c r="A602" t="s">
        <v>2326</v>
      </c>
      <c r="B602" s="1" t="s">
        <v>255</v>
      </c>
      <c r="C602" s="1"/>
      <c r="D602" t="s">
        <v>278</v>
      </c>
      <c r="E602" t="s">
        <v>2319</v>
      </c>
      <c r="F602" t="b">
        <v>0</v>
      </c>
      <c r="I602">
        <v>1</v>
      </c>
      <c r="J602">
        <v>97</v>
      </c>
      <c r="K602">
        <v>100</v>
      </c>
      <c r="L602">
        <v>53</v>
      </c>
      <c r="M602" t="s">
        <v>54</v>
      </c>
      <c r="N602" t="s">
        <v>24</v>
      </c>
      <c r="O602" t="b">
        <v>1</v>
      </c>
      <c r="AA602">
        <f>Table1[[#This Row],[qPer board]]*Table1[[#This Row],[boards]]</f>
        <v>0</v>
      </c>
      <c r="AB602">
        <f>Table1[[#This Row],[vqty]]</f>
        <v>1</v>
      </c>
      <c r="AD602" t="str">
        <f>VLOOKUP(Table1[[#This Row],[Product_Name]],'c174_calc'!$A$2:$C$153, 1, FALSE)</f>
        <v>7187903970+7187904070</v>
      </c>
      <c r="AE602" t="str">
        <f>VLOOKUP(Table1[[#This Row],[Product_Name]],'c174_calc'!$A$2:$C$153, 2, FALSE)</f>
        <v>10.21.50179G</v>
      </c>
      <c r="AF602">
        <f>VLOOKUP(Table1[[#This Row],[Product_Name]],'c174_calc'!$A$2:$C$153, 3, FALSE)</f>
        <v>1</v>
      </c>
      <c r="AG602" t="b">
        <f>Table1[[#This Row],[vma]]=Table1[[#This Row],[MA_Number]]</f>
        <v>0</v>
      </c>
    </row>
    <row r="603" spans="1:33" hidden="1" x14ac:dyDescent="0.3">
      <c r="A603" t="s">
        <v>2342</v>
      </c>
      <c r="B603" s="1">
        <v>7178270480</v>
      </c>
      <c r="C603" s="1"/>
      <c r="D603" t="s">
        <v>278</v>
      </c>
      <c r="E603" t="s">
        <v>2319</v>
      </c>
      <c r="F603" t="b">
        <v>0</v>
      </c>
      <c r="I603">
        <v>1</v>
      </c>
      <c r="J603">
        <v>53</v>
      </c>
      <c r="K603">
        <v>53</v>
      </c>
      <c r="L603">
        <v>53</v>
      </c>
      <c r="M603" t="s">
        <v>51</v>
      </c>
      <c r="N603" t="s">
        <v>24</v>
      </c>
      <c r="O603" t="b">
        <v>1</v>
      </c>
      <c r="X603">
        <v>37</v>
      </c>
      <c r="Y603" t="s">
        <v>2239</v>
      </c>
      <c r="Z603" t="s">
        <v>1753</v>
      </c>
      <c r="AA603">
        <f>Table1[[#This Row],[qPer board]]*Table1[[#This Row],[boards]]</f>
        <v>17</v>
      </c>
      <c r="AB603">
        <f>Table1[[#This Row],[vqty]]</f>
        <v>1</v>
      </c>
      <c r="AC603">
        <v>17</v>
      </c>
      <c r="AD603">
        <f>VLOOKUP(Table1[[#This Row],[Product_Name]],'c174_calc'!$A$2:$C$153, 1, FALSE)</f>
        <v>7178270480</v>
      </c>
      <c r="AE603" t="str">
        <f>VLOOKUP(Table1[[#This Row],[Product_Name]],'c174_calc'!$A$2:$C$153, 2, FALSE)</f>
        <v>10.21.83646A</v>
      </c>
      <c r="AF603">
        <f>VLOOKUP(Table1[[#This Row],[Product_Name]],'c174_calc'!$A$2:$C$153, 3, FALSE)</f>
        <v>1</v>
      </c>
      <c r="AG603" t="b">
        <f>Table1[[#This Row],[vma]]=Table1[[#This Row],[MA_Number]]</f>
        <v>0</v>
      </c>
    </row>
    <row r="604" spans="1:33" hidden="1" x14ac:dyDescent="0.3">
      <c r="A604" t="s">
        <v>2343</v>
      </c>
      <c r="B604" s="1" t="s">
        <v>218</v>
      </c>
      <c r="C604" s="1"/>
      <c r="D604" t="s">
        <v>278</v>
      </c>
      <c r="E604" t="s">
        <v>2344</v>
      </c>
      <c r="F604" t="b">
        <v>0</v>
      </c>
      <c r="I604">
        <v>1</v>
      </c>
      <c r="J604">
        <v>56</v>
      </c>
      <c r="K604">
        <v>52</v>
      </c>
      <c r="L604">
        <v>53</v>
      </c>
      <c r="M604" t="s">
        <v>49</v>
      </c>
      <c r="N604" t="s">
        <v>24</v>
      </c>
      <c r="O604" t="b">
        <v>1</v>
      </c>
      <c r="V604" t="b">
        <v>1</v>
      </c>
      <c r="AA604">
        <f>Table1[[#This Row],[qPer board]]*Table1[[#This Row],[boards]]</f>
        <v>0</v>
      </c>
      <c r="AB604">
        <f>Table1[[#This Row],[vqty]]</f>
        <v>1</v>
      </c>
      <c r="AD604" t="str">
        <f>VLOOKUP(Table1[[#This Row],[Product_Name]],'c174_calc'!$A$2:$C$153, 1, FALSE)</f>
        <v>7119648630+7274171430A</v>
      </c>
      <c r="AE604" t="str">
        <f>VLOOKUP(Table1[[#This Row],[Product_Name]],'c174_calc'!$A$2:$C$153, 2, FALSE)</f>
        <v>10.21.42593A</v>
      </c>
      <c r="AF604">
        <f>VLOOKUP(Table1[[#This Row],[Product_Name]],'c174_calc'!$A$2:$C$153, 3, FALSE)</f>
        <v>1</v>
      </c>
      <c r="AG604" t="b">
        <f>Table1[[#This Row],[vma]]=Table1[[#This Row],[MA_Number]]</f>
        <v>0</v>
      </c>
    </row>
    <row r="605" spans="1:33" hidden="1" x14ac:dyDescent="0.3">
      <c r="A605" t="s">
        <v>2414</v>
      </c>
      <c r="B605" s="1" t="s">
        <v>1216</v>
      </c>
      <c r="C605" s="1"/>
      <c r="D605" t="s">
        <v>278</v>
      </c>
      <c r="E605" t="s">
        <v>2418</v>
      </c>
      <c r="F605" t="b">
        <v>0</v>
      </c>
      <c r="I605">
        <v>1</v>
      </c>
      <c r="J605">
        <v>63</v>
      </c>
      <c r="K605">
        <v>57</v>
      </c>
      <c r="L605">
        <v>52</v>
      </c>
      <c r="M605" t="s">
        <v>48</v>
      </c>
      <c r="N605" t="s">
        <v>24</v>
      </c>
      <c r="O605" t="b">
        <v>1</v>
      </c>
      <c r="X605">
        <v>37</v>
      </c>
      <c r="Y605" t="s">
        <v>2239</v>
      </c>
      <c r="Z605" t="s">
        <v>1753</v>
      </c>
      <c r="AA605">
        <f>Table1[[#This Row],[qPer board]]*Table1[[#This Row],[boards]]</f>
        <v>17</v>
      </c>
      <c r="AB605">
        <v>1</v>
      </c>
      <c r="AC605">
        <v>17</v>
      </c>
      <c r="AD605" t="str">
        <f>VLOOKUP(Table1[[#This Row],[Product_Name]],'c174_calc'!$A$2:$C$153, 1, FALSE)</f>
        <v>7189482930+72741357</v>
      </c>
      <c r="AE605" t="str">
        <f>VLOOKUP(Table1[[#This Row],[Product_Name]],'c174_calc'!$A$2:$C$153, 2, FALSE)</f>
        <v>10.21.79595A</v>
      </c>
      <c r="AF605">
        <f>VLOOKUP(Table1[[#This Row],[Product_Name]],'c174_calc'!$A$2:$C$153, 3, FALSE)</f>
        <v>1</v>
      </c>
      <c r="AG605" t="b">
        <f>Table1[[#This Row],[vma]]=Table1[[#This Row],[MA_Number]]</f>
        <v>0</v>
      </c>
    </row>
    <row r="606" spans="1:33" hidden="1" x14ac:dyDescent="0.3">
      <c r="A606" t="s">
        <v>2415</v>
      </c>
      <c r="B606" s="1" t="s">
        <v>647</v>
      </c>
      <c r="C606" s="1"/>
      <c r="D606" t="s">
        <v>278</v>
      </c>
      <c r="E606" t="s">
        <v>2418</v>
      </c>
      <c r="F606" t="b">
        <v>1</v>
      </c>
      <c r="I606">
        <v>1</v>
      </c>
      <c r="X606">
        <v>47</v>
      </c>
      <c r="Y606" t="s">
        <v>2237</v>
      </c>
      <c r="Z606" t="s">
        <v>1288</v>
      </c>
      <c r="AA606">
        <f>Table1[[#This Row],[qPer board]]*Table1[[#This Row],[boards]]</f>
        <v>28</v>
      </c>
      <c r="AB606">
        <v>1</v>
      </c>
      <c r="AC606">
        <v>28</v>
      </c>
      <c r="AD606" t="str">
        <f>VLOOKUP(Table1[[#This Row],[Product_Name]],'c174_calc'!$A$2:$C$153, 1, FALSE)</f>
        <v>7198809140+7274268930</v>
      </c>
      <c r="AE606" t="str">
        <f>VLOOKUP(Table1[[#This Row],[Product_Name]],'c174_calc'!$A$2:$C$153, 2, FALSE)</f>
        <v>10.21.83758A</v>
      </c>
      <c r="AF606">
        <f>VLOOKUP(Table1[[#This Row],[Product_Name]],'c174_calc'!$A$2:$C$153, 3, FALSE)</f>
        <v>1</v>
      </c>
      <c r="AG606" t="b">
        <f>Table1[[#This Row],[vma]]=Table1[[#This Row],[MA_Number]]</f>
        <v>0</v>
      </c>
    </row>
    <row r="607" spans="1:33" hidden="1" x14ac:dyDescent="0.3">
      <c r="B607" s="1" t="s">
        <v>647</v>
      </c>
      <c r="C607" s="1"/>
      <c r="G607" t="s">
        <v>2415</v>
      </c>
      <c r="H607" t="s">
        <v>2416</v>
      </c>
      <c r="I607">
        <v>1</v>
      </c>
      <c r="J607">
        <v>48</v>
      </c>
      <c r="K607">
        <v>42</v>
      </c>
      <c r="L607">
        <v>57</v>
      </c>
      <c r="M607" t="s">
        <v>49</v>
      </c>
      <c r="N607" t="s">
        <v>24</v>
      </c>
      <c r="O607" t="b">
        <v>1</v>
      </c>
      <c r="X607">
        <v>47</v>
      </c>
      <c r="Y607" t="s">
        <v>2237</v>
      </c>
      <c r="Z607" t="s">
        <v>1288</v>
      </c>
      <c r="AA607">
        <f>Table1[[#This Row],[qPer board]]*Table1[[#This Row],[boards]]</f>
        <v>28</v>
      </c>
      <c r="AB607">
        <v>1</v>
      </c>
      <c r="AC607">
        <v>28</v>
      </c>
      <c r="AD607" t="str">
        <f>VLOOKUP(Table1[[#This Row],[Product_Name]],'c174_calc'!$A$2:$C$153, 1, FALSE)</f>
        <v>7198809140+7274268930</v>
      </c>
      <c r="AE607" t="str">
        <f>VLOOKUP(Table1[[#This Row],[Product_Name]],'c174_calc'!$A$2:$C$153, 2, FALSE)</f>
        <v>10.21.83758A</v>
      </c>
      <c r="AF607">
        <f>VLOOKUP(Table1[[#This Row],[Product_Name]],'c174_calc'!$A$2:$C$153, 3, FALSE)</f>
        <v>1</v>
      </c>
      <c r="AG607" t="b">
        <f>Table1[[#This Row],[vma]]=Table1[[#This Row],[MA_Number]]</f>
        <v>0</v>
      </c>
    </row>
    <row r="608" spans="1:33" hidden="1" x14ac:dyDescent="0.3">
      <c r="B608" s="1" t="s">
        <v>647</v>
      </c>
      <c r="C608" s="1"/>
      <c r="G608" t="s">
        <v>2415</v>
      </c>
      <c r="H608" t="s">
        <v>2417</v>
      </c>
      <c r="I608">
        <v>1</v>
      </c>
      <c r="J608">
        <v>51</v>
      </c>
      <c r="K608">
        <v>42</v>
      </c>
      <c r="L608">
        <v>54</v>
      </c>
      <c r="M608" t="s">
        <v>1011</v>
      </c>
      <c r="N608" t="s">
        <v>24</v>
      </c>
      <c r="O608" t="b">
        <v>1</v>
      </c>
      <c r="X608">
        <v>47</v>
      </c>
      <c r="Y608" t="s">
        <v>2237</v>
      </c>
      <c r="Z608" t="s">
        <v>1288</v>
      </c>
      <c r="AA608">
        <f>Table1[[#This Row],[qPer board]]*Table1[[#This Row],[boards]]</f>
        <v>28</v>
      </c>
      <c r="AB608">
        <v>1</v>
      </c>
      <c r="AC608">
        <v>28</v>
      </c>
      <c r="AD608" t="str">
        <f>VLOOKUP(Table1[[#This Row],[Product_Name]],'c174_calc'!$A$2:$C$153, 1, FALSE)</f>
        <v>7198809140+7274268930</v>
      </c>
      <c r="AE608" t="str">
        <f>VLOOKUP(Table1[[#This Row],[Product_Name]],'c174_calc'!$A$2:$C$153, 2, FALSE)</f>
        <v>10.21.83758A</v>
      </c>
      <c r="AF608">
        <f>VLOOKUP(Table1[[#This Row],[Product_Name]],'c174_calc'!$A$2:$C$153, 3, FALSE)</f>
        <v>1</v>
      </c>
      <c r="AG608" t="b">
        <f>Table1[[#This Row],[vma]]=Table1[[#This Row],[MA_Number]]</f>
        <v>0</v>
      </c>
    </row>
    <row r="609" spans="1:33" hidden="1" x14ac:dyDescent="0.3">
      <c r="A609" t="s">
        <v>2419</v>
      </c>
      <c r="B609" s="1">
        <v>7177097330</v>
      </c>
      <c r="C609" s="1"/>
      <c r="D609" t="s">
        <v>278</v>
      </c>
      <c r="E609" t="s">
        <v>2420</v>
      </c>
      <c r="F609" t="b">
        <v>1</v>
      </c>
      <c r="I609">
        <v>1</v>
      </c>
      <c r="X609">
        <v>37</v>
      </c>
      <c r="Y609" t="s">
        <v>2239</v>
      </c>
      <c r="Z609" t="s">
        <v>1753</v>
      </c>
      <c r="AA609">
        <f>Table1[[#This Row],[qPer board]]*Table1[[#This Row],[boards]]</f>
        <v>17</v>
      </c>
      <c r="AB609">
        <v>1</v>
      </c>
      <c r="AC609">
        <v>17</v>
      </c>
      <c r="AD609" t="e">
        <f>VLOOKUP(Table1[[#This Row],[Product_Name]],'c174_calc'!$A$2:$C$153, 1, FALSE)</f>
        <v>#N/A</v>
      </c>
      <c r="AE609" t="e">
        <f>VLOOKUP(Table1[[#This Row],[Product_Name]],'c174_calc'!$A$2:$C$153, 2, FALSE)</f>
        <v>#N/A</v>
      </c>
      <c r="AF609" t="e">
        <f>VLOOKUP(Table1[[#This Row],[Product_Name]],'c174_calc'!$A$2:$C$153, 3, FALSE)</f>
        <v>#N/A</v>
      </c>
      <c r="AG609" t="e">
        <f>Table1[[#This Row],[vma]]=Table1[[#This Row],[MA_Number]]</f>
        <v>#N/A</v>
      </c>
    </row>
    <row r="610" spans="1:33" hidden="1" x14ac:dyDescent="0.3">
      <c r="B610" s="1">
        <v>7177097330</v>
      </c>
      <c r="C610" s="1"/>
      <c r="G610" t="s">
        <v>2419</v>
      </c>
      <c r="H610" t="s">
        <v>2422</v>
      </c>
      <c r="I610">
        <v>1</v>
      </c>
      <c r="J610">
        <v>100</v>
      </c>
      <c r="K610">
        <v>75</v>
      </c>
      <c r="L610">
        <v>58</v>
      </c>
      <c r="M610" t="s">
        <v>49</v>
      </c>
      <c r="N610" t="s">
        <v>24</v>
      </c>
      <c r="O610" t="b">
        <v>1</v>
      </c>
      <c r="X610">
        <v>37</v>
      </c>
      <c r="Y610" t="s">
        <v>2239</v>
      </c>
      <c r="Z610" t="s">
        <v>1753</v>
      </c>
      <c r="AA610">
        <f>Table1[[#This Row],[qPer board]]*Table1[[#This Row],[boards]]</f>
        <v>17</v>
      </c>
      <c r="AB610">
        <v>1</v>
      </c>
      <c r="AC610">
        <v>17</v>
      </c>
      <c r="AD610" t="e">
        <f>VLOOKUP(Table1[[#This Row],[Product_Name]],'c174_calc'!$A$2:$C$153, 1, FALSE)</f>
        <v>#N/A</v>
      </c>
      <c r="AE610" t="e">
        <f>VLOOKUP(Table1[[#This Row],[Product_Name]],'c174_calc'!$A$2:$C$153, 2, FALSE)</f>
        <v>#N/A</v>
      </c>
      <c r="AF610" t="e">
        <f>VLOOKUP(Table1[[#This Row],[Product_Name]],'c174_calc'!$A$2:$C$153, 3, FALSE)</f>
        <v>#N/A</v>
      </c>
      <c r="AG610" t="e">
        <f>Table1[[#This Row],[vma]]=Table1[[#This Row],[MA_Number]]</f>
        <v>#N/A</v>
      </c>
    </row>
    <row r="611" spans="1:33" hidden="1" x14ac:dyDescent="0.3">
      <c r="B611" s="1">
        <v>7177097330</v>
      </c>
      <c r="C611" s="1"/>
      <c r="G611" t="s">
        <v>2419</v>
      </c>
      <c r="H611" t="s">
        <v>2423</v>
      </c>
      <c r="I611">
        <v>1</v>
      </c>
      <c r="J611">
        <v>93</v>
      </c>
      <c r="K611">
        <v>55</v>
      </c>
      <c r="L611">
        <v>55</v>
      </c>
      <c r="M611" t="s">
        <v>49</v>
      </c>
      <c r="N611" t="s">
        <v>24</v>
      </c>
      <c r="O611" t="b">
        <v>1</v>
      </c>
      <c r="Q611" t="b">
        <v>1</v>
      </c>
      <c r="R611">
        <v>93</v>
      </c>
      <c r="S611">
        <v>55</v>
      </c>
      <c r="T611">
        <v>55</v>
      </c>
      <c r="U611">
        <v>5</v>
      </c>
      <c r="X611">
        <v>37</v>
      </c>
      <c r="Y611" t="s">
        <v>2239</v>
      </c>
      <c r="Z611" t="s">
        <v>1753</v>
      </c>
      <c r="AA611">
        <f>Table1[[#This Row],[qPer board]]*Table1[[#This Row],[boards]]</f>
        <v>17</v>
      </c>
      <c r="AB611">
        <v>1</v>
      </c>
      <c r="AC611">
        <v>17</v>
      </c>
      <c r="AD611" t="e">
        <f>VLOOKUP(Table1[[#This Row],[Product_Name]],'c174_calc'!$A$2:$C$153, 1, FALSE)</f>
        <v>#N/A</v>
      </c>
      <c r="AE611" t="e">
        <f>VLOOKUP(Table1[[#This Row],[Product_Name]],'c174_calc'!$A$2:$C$153, 2, FALSE)</f>
        <v>#N/A</v>
      </c>
      <c r="AF611" t="e">
        <f>VLOOKUP(Table1[[#This Row],[Product_Name]],'c174_calc'!$A$2:$C$153, 3, FALSE)</f>
        <v>#N/A</v>
      </c>
      <c r="AG611" t="e">
        <f>Table1[[#This Row],[vma]]=Table1[[#This Row],[MA_Number]]</f>
        <v>#N/A</v>
      </c>
    </row>
    <row r="612" spans="1:33" hidden="1" x14ac:dyDescent="0.3">
      <c r="B612" s="1">
        <v>7177097330</v>
      </c>
      <c r="C612" s="1"/>
      <c r="G612" t="s">
        <v>2419</v>
      </c>
      <c r="H612" t="s">
        <v>2424</v>
      </c>
      <c r="I612">
        <v>1</v>
      </c>
      <c r="J612">
        <v>78</v>
      </c>
      <c r="K612">
        <v>61</v>
      </c>
      <c r="L612">
        <v>30</v>
      </c>
      <c r="M612" t="s">
        <v>48</v>
      </c>
      <c r="N612" t="s">
        <v>24</v>
      </c>
      <c r="O612" t="b">
        <v>1</v>
      </c>
      <c r="Q612" t="b">
        <v>1</v>
      </c>
      <c r="R612">
        <v>78</v>
      </c>
      <c r="S612">
        <v>61</v>
      </c>
      <c r="T612">
        <v>30</v>
      </c>
      <c r="U612">
        <v>5</v>
      </c>
      <c r="X612">
        <v>37</v>
      </c>
      <c r="Y612" t="s">
        <v>2239</v>
      </c>
      <c r="Z612" t="s">
        <v>1753</v>
      </c>
      <c r="AA612">
        <f>Table1[[#This Row],[qPer board]]*Table1[[#This Row],[boards]]</f>
        <v>17</v>
      </c>
      <c r="AB612">
        <v>1</v>
      </c>
      <c r="AC612">
        <v>17</v>
      </c>
      <c r="AD612" t="e">
        <f>VLOOKUP(Table1[[#This Row],[Product_Name]],'c174_calc'!$A$2:$C$153, 1, FALSE)</f>
        <v>#N/A</v>
      </c>
      <c r="AE612" t="e">
        <f>VLOOKUP(Table1[[#This Row],[Product_Name]],'c174_calc'!$A$2:$C$153, 2, FALSE)</f>
        <v>#N/A</v>
      </c>
      <c r="AF612" t="e">
        <f>VLOOKUP(Table1[[#This Row],[Product_Name]],'c174_calc'!$A$2:$C$153, 3, FALSE)</f>
        <v>#N/A</v>
      </c>
      <c r="AG612" t="e">
        <f>Table1[[#This Row],[vma]]=Table1[[#This Row],[MA_Number]]</f>
        <v>#N/A</v>
      </c>
    </row>
    <row r="613" spans="1:33" hidden="1" x14ac:dyDescent="0.3">
      <c r="A613" t="s">
        <v>2425</v>
      </c>
      <c r="B613" s="1">
        <v>7177097330</v>
      </c>
      <c r="C613" s="1"/>
      <c r="D613" t="s">
        <v>278</v>
      </c>
      <c r="E613" t="s">
        <v>2421</v>
      </c>
      <c r="F613" t="b">
        <v>1</v>
      </c>
      <c r="I613">
        <v>1</v>
      </c>
      <c r="X613">
        <v>37</v>
      </c>
      <c r="Y613" t="s">
        <v>2239</v>
      </c>
      <c r="Z613" t="s">
        <v>1753</v>
      </c>
      <c r="AA613">
        <f>Table1[[#This Row],[qPer board]]*Table1[[#This Row],[boards]]</f>
        <v>17</v>
      </c>
      <c r="AB613">
        <v>1</v>
      </c>
      <c r="AC613">
        <v>17</v>
      </c>
      <c r="AD613" t="e">
        <f>VLOOKUP(Table1[[#This Row],[Product_Name]],'c174_calc'!$A$2:$C$153, 1, FALSE)</f>
        <v>#N/A</v>
      </c>
      <c r="AE613" t="e">
        <f>VLOOKUP(Table1[[#This Row],[Product_Name]],'c174_calc'!$A$2:$C$153, 2, FALSE)</f>
        <v>#N/A</v>
      </c>
      <c r="AF613" t="e">
        <f>VLOOKUP(Table1[[#This Row],[Product_Name]],'c174_calc'!$A$2:$C$153, 3, FALSE)</f>
        <v>#N/A</v>
      </c>
      <c r="AG613" t="e">
        <f>Table1[[#This Row],[vma]]=Table1[[#This Row],[MA_Number]]</f>
        <v>#N/A</v>
      </c>
    </row>
    <row r="614" spans="1:33" hidden="1" x14ac:dyDescent="0.3">
      <c r="B614" s="1">
        <v>7177097330</v>
      </c>
      <c r="C614" s="1"/>
      <c r="G614" t="s">
        <v>2425</v>
      </c>
      <c r="H614" t="s">
        <v>2426</v>
      </c>
      <c r="I614">
        <v>1</v>
      </c>
      <c r="J614">
        <v>100</v>
      </c>
      <c r="K614">
        <v>75</v>
      </c>
      <c r="L614">
        <v>58</v>
      </c>
      <c r="M614" t="s">
        <v>49</v>
      </c>
      <c r="N614" t="s">
        <v>24</v>
      </c>
      <c r="O614" t="b">
        <v>1</v>
      </c>
      <c r="X614">
        <v>37</v>
      </c>
      <c r="Y614" t="s">
        <v>2239</v>
      </c>
      <c r="Z614" t="s">
        <v>1753</v>
      </c>
      <c r="AA614">
        <f>Table1[[#This Row],[qPer board]]*Table1[[#This Row],[boards]]</f>
        <v>17</v>
      </c>
      <c r="AB614">
        <v>1</v>
      </c>
      <c r="AC614">
        <v>17</v>
      </c>
      <c r="AD614" t="e">
        <f>VLOOKUP(Table1[[#This Row],[Product_Name]],'c174_calc'!$A$2:$C$153, 1, FALSE)</f>
        <v>#N/A</v>
      </c>
      <c r="AE614" t="e">
        <f>VLOOKUP(Table1[[#This Row],[Product_Name]],'c174_calc'!$A$2:$C$153, 2, FALSE)</f>
        <v>#N/A</v>
      </c>
      <c r="AF614" t="e">
        <f>VLOOKUP(Table1[[#This Row],[Product_Name]],'c174_calc'!$A$2:$C$153, 3, FALSE)</f>
        <v>#N/A</v>
      </c>
      <c r="AG614" t="e">
        <f>Table1[[#This Row],[vma]]=Table1[[#This Row],[MA_Number]]</f>
        <v>#N/A</v>
      </c>
    </row>
    <row r="615" spans="1:33" hidden="1" x14ac:dyDescent="0.3">
      <c r="B615" s="1">
        <v>7177097330</v>
      </c>
      <c r="C615" s="1"/>
      <c r="G615" t="s">
        <v>2425</v>
      </c>
      <c r="H615" t="s">
        <v>2427</v>
      </c>
      <c r="I615">
        <v>1</v>
      </c>
      <c r="J615">
        <v>93</v>
      </c>
      <c r="K615">
        <v>55</v>
      </c>
      <c r="L615">
        <v>55</v>
      </c>
      <c r="M615" t="s">
        <v>49</v>
      </c>
      <c r="N615" t="s">
        <v>24</v>
      </c>
      <c r="O615" t="b">
        <v>1</v>
      </c>
      <c r="Q615" t="b">
        <v>1</v>
      </c>
      <c r="R615">
        <v>93</v>
      </c>
      <c r="S615">
        <v>55</v>
      </c>
      <c r="T615">
        <v>55</v>
      </c>
      <c r="U615">
        <v>5</v>
      </c>
      <c r="X615">
        <v>37</v>
      </c>
      <c r="Y615" t="s">
        <v>2239</v>
      </c>
      <c r="Z615" t="s">
        <v>1753</v>
      </c>
      <c r="AA615">
        <f>Table1[[#This Row],[qPer board]]*Table1[[#This Row],[boards]]</f>
        <v>17</v>
      </c>
      <c r="AB615">
        <v>1</v>
      </c>
      <c r="AC615">
        <v>17</v>
      </c>
      <c r="AD615" t="e">
        <f>VLOOKUP(Table1[[#This Row],[Product_Name]],'c174_calc'!$A$2:$C$153, 1, FALSE)</f>
        <v>#N/A</v>
      </c>
      <c r="AE615" t="e">
        <f>VLOOKUP(Table1[[#This Row],[Product_Name]],'c174_calc'!$A$2:$C$153, 2, FALSE)</f>
        <v>#N/A</v>
      </c>
      <c r="AF615" t="e">
        <f>VLOOKUP(Table1[[#This Row],[Product_Name]],'c174_calc'!$A$2:$C$153, 3, FALSE)</f>
        <v>#N/A</v>
      </c>
      <c r="AG615" t="e">
        <f>Table1[[#This Row],[vma]]=Table1[[#This Row],[MA_Number]]</f>
        <v>#N/A</v>
      </c>
    </row>
    <row r="616" spans="1:33" hidden="1" x14ac:dyDescent="0.3">
      <c r="B616" s="1">
        <v>7177097330</v>
      </c>
      <c r="C616" s="1"/>
      <c r="G616" t="s">
        <v>2425</v>
      </c>
      <c r="H616" t="s">
        <v>2428</v>
      </c>
      <c r="I616">
        <v>1</v>
      </c>
      <c r="J616">
        <v>78</v>
      </c>
      <c r="K616">
        <v>61</v>
      </c>
      <c r="L616">
        <v>30</v>
      </c>
      <c r="M616" t="s">
        <v>48</v>
      </c>
      <c r="N616" t="s">
        <v>24</v>
      </c>
      <c r="O616" t="b">
        <v>1</v>
      </c>
      <c r="Q616" t="b">
        <v>1</v>
      </c>
      <c r="R616">
        <v>78</v>
      </c>
      <c r="S616">
        <v>61</v>
      </c>
      <c r="T616">
        <v>30</v>
      </c>
      <c r="U616">
        <v>5</v>
      </c>
      <c r="X616">
        <v>37</v>
      </c>
      <c r="Y616" t="s">
        <v>2239</v>
      </c>
      <c r="Z616" t="s">
        <v>1753</v>
      </c>
      <c r="AA616">
        <f>Table1[[#This Row],[qPer board]]*Table1[[#This Row],[boards]]</f>
        <v>17</v>
      </c>
      <c r="AB616">
        <v>1</v>
      </c>
      <c r="AC616">
        <v>17</v>
      </c>
      <c r="AD616" t="e">
        <f>VLOOKUP(Table1[[#This Row],[Product_Name]],'c174_calc'!$A$2:$C$153, 1, FALSE)</f>
        <v>#N/A</v>
      </c>
      <c r="AE616" t="e">
        <f>VLOOKUP(Table1[[#This Row],[Product_Name]],'c174_calc'!$A$2:$C$153, 2, FALSE)</f>
        <v>#N/A</v>
      </c>
      <c r="AF616" t="e">
        <f>VLOOKUP(Table1[[#This Row],[Product_Name]],'c174_calc'!$A$2:$C$153, 3, FALSE)</f>
        <v>#N/A</v>
      </c>
      <c r="AG616" t="e">
        <f>Table1[[#This Row],[vma]]=Table1[[#This Row],[MA_Number]]</f>
        <v>#N/A</v>
      </c>
    </row>
    <row r="617" spans="1:33" x14ac:dyDescent="0.3">
      <c r="A617" t="s">
        <v>2574</v>
      </c>
      <c r="B617" s="1">
        <v>71191277</v>
      </c>
      <c r="C617" s="1"/>
      <c r="D617" t="s">
        <v>278</v>
      </c>
      <c r="E617" t="s">
        <v>2575</v>
      </c>
      <c r="F617" t="b">
        <v>0</v>
      </c>
      <c r="I617">
        <v>1</v>
      </c>
      <c r="J617">
        <v>42</v>
      </c>
      <c r="K617">
        <v>36</v>
      </c>
      <c r="L617">
        <v>44</v>
      </c>
      <c r="M617" t="s">
        <v>48</v>
      </c>
      <c r="N617" t="s">
        <v>24</v>
      </c>
      <c r="O617" t="b">
        <v>1</v>
      </c>
      <c r="X617">
        <v>61</v>
      </c>
      <c r="Y617" t="s">
        <v>2376</v>
      </c>
      <c r="Z617" t="s">
        <v>2377</v>
      </c>
      <c r="AA617">
        <f>Table1[[#This Row],[qPer board]]*Table1[[#This Row],[boards]]</f>
        <v>15</v>
      </c>
      <c r="AB617">
        <v>1</v>
      </c>
      <c r="AC617">
        <v>15</v>
      </c>
      <c r="AD617">
        <f>VLOOKUP(Table1[[#This Row],[Product_Name]],'c174_calc'!$A$2:$C$153, 1, FALSE)</f>
        <v>71191277</v>
      </c>
      <c r="AE617">
        <f>VLOOKUP(Table1[[#This Row],[Product_Name]],'c174_calc'!$A$2:$C$153, 2, FALSE)</f>
        <v>0</v>
      </c>
      <c r="AF617">
        <f>VLOOKUP(Table1[[#This Row],[Product_Name]],'c174_calc'!$A$2:$C$153, 3, FALSE)</f>
        <v>1</v>
      </c>
      <c r="AG617" t="b">
        <f>Table1[[#This Row],[vma]]=Table1[[#This Row],[MA_Number]]</f>
        <v>0</v>
      </c>
    </row>
    <row r="618" spans="1:33" x14ac:dyDescent="0.3">
      <c r="A618" t="s">
        <v>2576</v>
      </c>
      <c r="B618" s="1">
        <v>7047797530</v>
      </c>
      <c r="C618" s="1"/>
      <c r="D618" t="s">
        <v>278</v>
      </c>
      <c r="E618" t="s">
        <v>2575</v>
      </c>
      <c r="F618" t="b">
        <v>0</v>
      </c>
      <c r="I618">
        <v>1</v>
      </c>
      <c r="J618">
        <v>40</v>
      </c>
      <c r="K618">
        <v>30</v>
      </c>
      <c r="L618">
        <v>45</v>
      </c>
      <c r="M618" t="s">
        <v>49</v>
      </c>
      <c r="N618" t="s">
        <v>24</v>
      </c>
      <c r="O618" t="b">
        <v>1</v>
      </c>
      <c r="X618">
        <v>61</v>
      </c>
      <c r="Y618" t="s">
        <v>2376</v>
      </c>
      <c r="Z618" t="s">
        <v>2377</v>
      </c>
      <c r="AA618">
        <f>Table1[[#This Row],[qPer board]]*Table1[[#This Row],[boards]]</f>
        <v>30</v>
      </c>
      <c r="AB618">
        <v>2</v>
      </c>
      <c r="AC618">
        <v>15</v>
      </c>
      <c r="AD618" t="e">
        <f>VLOOKUP(Table1[[#This Row],[Product_Name]],'c174_calc'!$A$2:$C$153, 1, FALSE)</f>
        <v>#N/A</v>
      </c>
      <c r="AE618" t="e">
        <f>VLOOKUP(Table1[[#This Row],[Product_Name]],'c174_calc'!$A$2:$C$153, 2, FALSE)</f>
        <v>#N/A</v>
      </c>
      <c r="AF618" t="e">
        <f>VLOOKUP(Table1[[#This Row],[Product_Name]],'c174_calc'!$A$2:$C$153, 3, FALSE)</f>
        <v>#N/A</v>
      </c>
      <c r="AG618" t="e">
        <f>Table1[[#This Row],[vma]]=Table1[[#This Row],[MA_Number]]</f>
        <v>#N/A</v>
      </c>
    </row>
  </sheetData>
  <phoneticPr fontId="1" type="noConversion"/>
  <conditionalFormatting sqref="A1:A1048576">
    <cfRule type="duplicateValues" dxfId="46" priority="35"/>
  </conditionalFormatting>
  <conditionalFormatting sqref="A2:A618">
    <cfRule type="duplicateValues" dxfId="45" priority="116"/>
  </conditionalFormatting>
  <conditionalFormatting sqref="G238">
    <cfRule type="duplicateValues" dxfId="44" priority="21"/>
  </conditionalFormatting>
  <conditionalFormatting sqref="G239">
    <cfRule type="duplicateValues" dxfId="43" priority="20"/>
  </conditionalFormatting>
  <conditionalFormatting sqref="G261">
    <cfRule type="duplicateValues" dxfId="42" priority="14"/>
    <cfRule type="duplicateValues" dxfId="41" priority="15"/>
  </conditionalFormatting>
  <conditionalFormatting sqref="G262">
    <cfRule type="duplicateValues" dxfId="40" priority="12"/>
    <cfRule type="duplicateValues" dxfId="39" priority="13"/>
  </conditionalFormatting>
  <conditionalFormatting sqref="G614">
    <cfRule type="duplicateValues" dxfId="38" priority="5"/>
    <cfRule type="duplicateValues" dxfId="37" priority="6"/>
  </conditionalFormatting>
  <conditionalFormatting sqref="G615">
    <cfRule type="duplicateValues" dxfId="36" priority="3"/>
    <cfRule type="duplicateValues" dxfId="35" priority="4"/>
  </conditionalFormatting>
  <conditionalFormatting sqref="G616">
    <cfRule type="duplicateValues" dxfId="34" priority="1"/>
    <cfRule type="duplicateValues" dxfId="33" priority="2"/>
  </conditionalFormatting>
  <conditionalFormatting sqref="H238">
    <cfRule type="duplicateValues" dxfId="32" priority="19"/>
  </conditionalFormatting>
  <conditionalFormatting sqref="H239">
    <cfRule type="duplicateValues" dxfId="31" priority="18"/>
  </conditionalFormatting>
  <conditionalFormatting sqref="H261:H262">
    <cfRule type="duplicateValues" dxfId="30" priority="10"/>
    <cfRule type="duplicateValues" dxfId="29" priority="11"/>
  </conditionalFormatting>
  <pageMargins left="0.7" right="0.7" top="0.75" bottom="0.75" header="0.3" footer="0.3"/>
  <pageSetup paperSize="9" scale="1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01DC4A4-B6AE-4D11-A27D-80577B7169A8}">
          <x14:formula1>
            <xm:f>color_list!$A$2:$A$9</xm:f>
          </x14:formula1>
          <xm:sqref>M537:M552 M608 M610:M618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M2:M536 M576 M553:M574 M580:M588 M598:M605 M607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D2:D618</xm:sqref>
        </x14:dataValidation>
        <x14:dataValidation type="list" allowBlank="1" showInputMessage="1" showErrorMessage="1" xr:uid="{1631784A-4F5A-469D-AD7C-27E0E3B90894}">
          <x14:formula1>
            <xm:f>price_offer_list!$A$2:$A$24</xm:f>
          </x14:formula1>
          <xm:sqref>Z2:Z618</xm:sqref>
        </x14:dataValidation>
        <x14:dataValidation type="list" allowBlank="1" showInputMessage="1" showErrorMessage="1" xr:uid="{46EE3C07-64A4-4F6F-86B3-7633B2FFA1CE}">
          <x14:formula1>
            <xm:f>projects!$A$2:$A$10</xm:f>
          </x14:formula1>
          <xm:sqref>Y2:Y618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N598:N605 N595:N596 N2:N588 N590 N607:N608 N610:N612 N614:N618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1AB9-9D59-4D6E-BCE2-9D95AEB8FE23}">
  <sheetPr filterMode="1"/>
  <dimension ref="A1:O321"/>
  <sheetViews>
    <sheetView workbookViewId="0">
      <selection activeCell="A116" sqref="A116"/>
    </sheetView>
  </sheetViews>
  <sheetFormatPr defaultRowHeight="14.4" x14ac:dyDescent="0.3"/>
  <cols>
    <col min="1" max="1" width="40.21875" bestFit="1" customWidth="1"/>
    <col min="2" max="2" width="13.33203125" bestFit="1" customWidth="1"/>
    <col min="4" max="4" width="10.6640625" bestFit="1" customWidth="1"/>
  </cols>
  <sheetData>
    <row r="1" spans="1:15" x14ac:dyDescent="0.3">
      <c r="A1" t="s">
        <v>309</v>
      </c>
      <c r="B1" t="s">
        <v>2572</v>
      </c>
      <c r="C1" t="s">
        <v>23</v>
      </c>
      <c r="D1" t="s">
        <v>1237</v>
      </c>
      <c r="E1" t="s">
        <v>1286</v>
      </c>
      <c r="F1" t="s">
        <v>872</v>
      </c>
      <c r="G1" t="s">
        <v>898</v>
      </c>
      <c r="H1" t="s">
        <v>898</v>
      </c>
      <c r="I1" t="s">
        <v>898</v>
      </c>
      <c r="J1" t="s">
        <v>898</v>
      </c>
      <c r="K1" t="s">
        <v>898</v>
      </c>
      <c r="L1" t="s">
        <v>898</v>
      </c>
      <c r="M1" t="s">
        <v>898</v>
      </c>
      <c r="N1" t="s">
        <v>898</v>
      </c>
      <c r="O1" t="s">
        <v>898</v>
      </c>
    </row>
    <row r="2" spans="1:15" hidden="1" x14ac:dyDescent="0.3">
      <c r="A2" t="s">
        <v>238</v>
      </c>
      <c r="B2" t="s">
        <v>139</v>
      </c>
      <c r="C2">
        <v>2</v>
      </c>
      <c r="D2" t="s">
        <v>2411</v>
      </c>
      <c r="E2">
        <v>60</v>
      </c>
    </row>
    <row r="3" spans="1:15" hidden="1" x14ac:dyDescent="0.3">
      <c r="A3" t="s">
        <v>291</v>
      </c>
      <c r="B3" t="s">
        <v>296</v>
      </c>
      <c r="C3">
        <v>1</v>
      </c>
      <c r="D3" t="s">
        <v>2411</v>
      </c>
      <c r="E3">
        <v>60</v>
      </c>
    </row>
    <row r="4" spans="1:15" hidden="1" x14ac:dyDescent="0.3">
      <c r="A4" t="s">
        <v>595</v>
      </c>
      <c r="B4" t="s">
        <v>161</v>
      </c>
      <c r="C4">
        <v>1</v>
      </c>
      <c r="D4" t="s">
        <v>2411</v>
      </c>
      <c r="E4">
        <v>60</v>
      </c>
    </row>
    <row r="5" spans="1:15" hidden="1" x14ac:dyDescent="0.3">
      <c r="A5" t="s">
        <v>243</v>
      </c>
      <c r="B5" t="s">
        <v>147</v>
      </c>
      <c r="C5">
        <v>2</v>
      </c>
      <c r="D5" t="s">
        <v>2411</v>
      </c>
      <c r="E5">
        <v>60</v>
      </c>
    </row>
    <row r="6" spans="1:15" hidden="1" x14ac:dyDescent="0.3">
      <c r="A6" t="s">
        <v>244</v>
      </c>
      <c r="B6" t="s">
        <v>148</v>
      </c>
      <c r="C6">
        <v>1</v>
      </c>
      <c r="D6" t="s">
        <v>2411</v>
      </c>
      <c r="E6">
        <v>60</v>
      </c>
    </row>
    <row r="7" spans="1:15" hidden="1" x14ac:dyDescent="0.3">
      <c r="A7" t="s">
        <v>245</v>
      </c>
      <c r="B7" t="s">
        <v>149</v>
      </c>
      <c r="C7">
        <v>1</v>
      </c>
      <c r="D7" t="s">
        <v>2411</v>
      </c>
      <c r="E7">
        <v>60</v>
      </c>
    </row>
    <row r="8" spans="1:15" hidden="1" x14ac:dyDescent="0.3">
      <c r="A8" t="s">
        <v>246</v>
      </c>
      <c r="B8" t="s">
        <v>150</v>
      </c>
      <c r="C8">
        <v>1</v>
      </c>
      <c r="D8" t="s">
        <v>2411</v>
      </c>
      <c r="E8">
        <v>60</v>
      </c>
    </row>
    <row r="9" spans="1:15" hidden="1" x14ac:dyDescent="0.3">
      <c r="A9" t="s">
        <v>248</v>
      </c>
      <c r="B9" t="s">
        <v>152</v>
      </c>
      <c r="C9">
        <v>2</v>
      </c>
      <c r="D9" t="s">
        <v>2411</v>
      </c>
      <c r="E9">
        <v>60</v>
      </c>
    </row>
    <row r="10" spans="1:15" hidden="1" x14ac:dyDescent="0.3">
      <c r="A10" t="s">
        <v>656</v>
      </c>
      <c r="B10" t="s">
        <v>156</v>
      </c>
      <c r="C10">
        <v>1</v>
      </c>
      <c r="D10" t="s">
        <v>2411</v>
      </c>
      <c r="E10">
        <v>60</v>
      </c>
    </row>
    <row r="11" spans="1:15" hidden="1" x14ac:dyDescent="0.3">
      <c r="A11" t="s">
        <v>260</v>
      </c>
      <c r="B11" t="s">
        <v>170</v>
      </c>
      <c r="C11">
        <v>1</v>
      </c>
      <c r="D11" t="s">
        <v>2411</v>
      </c>
      <c r="E11">
        <v>60</v>
      </c>
    </row>
    <row r="12" spans="1:15" hidden="1" x14ac:dyDescent="0.3">
      <c r="A12">
        <v>7003756102</v>
      </c>
      <c r="B12" t="s">
        <v>856</v>
      </c>
      <c r="C12">
        <v>1</v>
      </c>
      <c r="D12" t="s">
        <v>2411</v>
      </c>
      <c r="E12">
        <v>60</v>
      </c>
    </row>
    <row r="13" spans="1:15" hidden="1" x14ac:dyDescent="0.3">
      <c r="A13">
        <v>7009741102</v>
      </c>
      <c r="B13" t="s">
        <v>164</v>
      </c>
      <c r="C13">
        <v>1</v>
      </c>
      <c r="D13" t="s">
        <v>2411</v>
      </c>
      <c r="E13">
        <v>60</v>
      </c>
    </row>
    <row r="14" spans="1:15" hidden="1" x14ac:dyDescent="0.3">
      <c r="A14">
        <v>7035964930</v>
      </c>
      <c r="B14" t="s">
        <v>949</v>
      </c>
      <c r="C14">
        <v>1</v>
      </c>
      <c r="D14" t="s">
        <v>2411</v>
      </c>
      <c r="E14">
        <v>60</v>
      </c>
    </row>
    <row r="15" spans="1:15" hidden="1" x14ac:dyDescent="0.3">
      <c r="A15">
        <v>7075236930</v>
      </c>
      <c r="B15" t="s">
        <v>76</v>
      </c>
      <c r="C15">
        <v>1</v>
      </c>
      <c r="D15" t="s">
        <v>2411</v>
      </c>
      <c r="E15">
        <v>60</v>
      </c>
    </row>
    <row r="16" spans="1:15" hidden="1" x14ac:dyDescent="0.3">
      <c r="A16">
        <v>7075226830</v>
      </c>
      <c r="B16" t="s">
        <v>275</v>
      </c>
      <c r="C16">
        <v>1</v>
      </c>
      <c r="D16" t="s">
        <v>2411</v>
      </c>
      <c r="E16">
        <v>60</v>
      </c>
    </row>
    <row r="17" spans="1:7" hidden="1" x14ac:dyDescent="0.3">
      <c r="A17">
        <v>7075226730</v>
      </c>
      <c r="B17" t="s">
        <v>158</v>
      </c>
      <c r="C17">
        <v>1</v>
      </c>
      <c r="D17" t="s">
        <v>2411</v>
      </c>
      <c r="E17">
        <v>60</v>
      </c>
    </row>
    <row r="18" spans="1:7" hidden="1" x14ac:dyDescent="0.3">
      <c r="A18">
        <v>7075231830</v>
      </c>
      <c r="B18" t="s">
        <v>74</v>
      </c>
      <c r="C18">
        <v>1</v>
      </c>
      <c r="D18" t="s">
        <v>2411</v>
      </c>
      <c r="E18">
        <v>60</v>
      </c>
    </row>
    <row r="19" spans="1:7" hidden="1" x14ac:dyDescent="0.3">
      <c r="A19">
        <v>7075231930</v>
      </c>
      <c r="B19" t="s">
        <v>75</v>
      </c>
      <c r="C19">
        <v>1</v>
      </c>
      <c r="D19" t="s">
        <v>2411</v>
      </c>
      <c r="E19">
        <v>60</v>
      </c>
    </row>
    <row r="20" spans="1:7" hidden="1" x14ac:dyDescent="0.3">
      <c r="A20">
        <v>71186354</v>
      </c>
      <c r="B20" t="s">
        <v>78</v>
      </c>
      <c r="C20">
        <v>2</v>
      </c>
      <c r="D20" t="s">
        <v>2411</v>
      </c>
      <c r="E20">
        <v>60</v>
      </c>
    </row>
    <row r="21" spans="1:7" hidden="1" x14ac:dyDescent="0.3">
      <c r="A21" t="s">
        <v>212</v>
      </c>
      <c r="B21" t="s">
        <v>79</v>
      </c>
      <c r="C21">
        <v>1</v>
      </c>
      <c r="D21" t="s">
        <v>2411</v>
      </c>
      <c r="E21">
        <v>60</v>
      </c>
    </row>
    <row r="22" spans="1:7" hidden="1" x14ac:dyDescent="0.3">
      <c r="A22">
        <v>7118670020</v>
      </c>
      <c r="B22" t="s">
        <v>81</v>
      </c>
      <c r="C22">
        <v>2</v>
      </c>
      <c r="D22" t="s">
        <v>2411</v>
      </c>
      <c r="E22">
        <v>60</v>
      </c>
    </row>
    <row r="23" spans="1:7" hidden="1" x14ac:dyDescent="0.3">
      <c r="A23" t="s">
        <v>262</v>
      </c>
      <c r="B23" t="s">
        <v>197</v>
      </c>
      <c r="C23">
        <v>1</v>
      </c>
      <c r="D23" t="s">
        <v>2411</v>
      </c>
      <c r="E23">
        <v>60</v>
      </c>
    </row>
    <row r="24" spans="1:7" hidden="1" x14ac:dyDescent="0.3">
      <c r="A24" t="s">
        <v>213</v>
      </c>
      <c r="B24" t="s">
        <v>82</v>
      </c>
      <c r="C24">
        <v>1</v>
      </c>
      <c r="D24" t="s">
        <v>2411</v>
      </c>
      <c r="E24">
        <v>61</v>
      </c>
    </row>
    <row r="25" spans="1:7" x14ac:dyDescent="0.3">
      <c r="A25">
        <v>71191277</v>
      </c>
      <c r="C25">
        <v>1</v>
      </c>
      <c r="D25" t="s">
        <v>2411</v>
      </c>
      <c r="E25">
        <v>61</v>
      </c>
      <c r="F25" t="s">
        <v>2570</v>
      </c>
      <c r="G25" t="s">
        <v>2573</v>
      </c>
    </row>
    <row r="26" spans="1:7" hidden="1" x14ac:dyDescent="0.3">
      <c r="A26" t="s">
        <v>214</v>
      </c>
      <c r="B26" t="s">
        <v>83</v>
      </c>
      <c r="C26">
        <v>1</v>
      </c>
      <c r="D26" t="s">
        <v>2411</v>
      </c>
      <c r="E26">
        <v>60</v>
      </c>
    </row>
    <row r="27" spans="1:7" hidden="1" x14ac:dyDescent="0.3">
      <c r="A27">
        <v>7119131530</v>
      </c>
      <c r="B27" t="s">
        <v>84</v>
      </c>
      <c r="C27">
        <v>1</v>
      </c>
      <c r="D27" t="s">
        <v>2411</v>
      </c>
      <c r="E27">
        <v>60</v>
      </c>
    </row>
    <row r="28" spans="1:7" hidden="1" x14ac:dyDescent="0.3">
      <c r="A28" t="s">
        <v>520</v>
      </c>
      <c r="B28" t="s">
        <v>85</v>
      </c>
      <c r="C28">
        <v>2</v>
      </c>
      <c r="D28" t="s">
        <v>2411</v>
      </c>
      <c r="E28">
        <v>60</v>
      </c>
    </row>
    <row r="29" spans="1:7" hidden="1" x14ac:dyDescent="0.3">
      <c r="A29">
        <v>7119146730</v>
      </c>
      <c r="B29" t="s">
        <v>86</v>
      </c>
      <c r="C29">
        <v>1</v>
      </c>
      <c r="D29" t="s">
        <v>2411</v>
      </c>
      <c r="E29">
        <v>60</v>
      </c>
    </row>
    <row r="30" spans="1:7" hidden="1" x14ac:dyDescent="0.3">
      <c r="A30" t="s">
        <v>286</v>
      </c>
      <c r="B30" t="s">
        <v>277</v>
      </c>
      <c r="C30">
        <v>1</v>
      </c>
      <c r="D30" t="s">
        <v>2411</v>
      </c>
      <c r="E30">
        <v>60</v>
      </c>
    </row>
    <row r="31" spans="1:7" hidden="1" x14ac:dyDescent="0.3">
      <c r="A31">
        <v>71191993</v>
      </c>
      <c r="B31" t="s">
        <v>87</v>
      </c>
      <c r="C31">
        <v>1</v>
      </c>
      <c r="D31" t="s">
        <v>2411</v>
      </c>
      <c r="E31">
        <v>60</v>
      </c>
    </row>
    <row r="32" spans="1:7" hidden="1" x14ac:dyDescent="0.3">
      <c r="A32">
        <v>71196180</v>
      </c>
      <c r="B32" t="s">
        <v>88</v>
      </c>
      <c r="C32">
        <v>1</v>
      </c>
      <c r="D32" t="s">
        <v>2411</v>
      </c>
      <c r="E32">
        <v>60</v>
      </c>
    </row>
    <row r="33" spans="1:6" hidden="1" x14ac:dyDescent="0.3">
      <c r="A33" t="s">
        <v>215</v>
      </c>
      <c r="B33" t="s">
        <v>89</v>
      </c>
      <c r="C33">
        <v>1</v>
      </c>
      <c r="D33" t="s">
        <v>2411</v>
      </c>
      <c r="E33">
        <v>61</v>
      </c>
    </row>
    <row r="34" spans="1:6" hidden="1" x14ac:dyDescent="0.3">
      <c r="A34">
        <v>71196350</v>
      </c>
      <c r="B34" t="s">
        <v>196</v>
      </c>
      <c r="C34">
        <v>2</v>
      </c>
      <c r="D34" t="s">
        <v>2411</v>
      </c>
      <c r="E34">
        <v>60</v>
      </c>
    </row>
    <row r="35" spans="1:6" hidden="1" x14ac:dyDescent="0.3">
      <c r="A35">
        <v>7119637880</v>
      </c>
      <c r="B35" t="s">
        <v>808</v>
      </c>
      <c r="C35">
        <v>1</v>
      </c>
      <c r="D35" t="s">
        <v>2411</v>
      </c>
      <c r="E35">
        <v>60</v>
      </c>
    </row>
    <row r="36" spans="1:6" hidden="1" x14ac:dyDescent="0.3">
      <c r="A36">
        <v>7119639830</v>
      </c>
      <c r="B36" t="s">
        <v>90</v>
      </c>
      <c r="C36">
        <v>1</v>
      </c>
      <c r="D36" t="s">
        <v>2411</v>
      </c>
      <c r="E36">
        <v>60</v>
      </c>
    </row>
    <row r="37" spans="1:6" hidden="1" x14ac:dyDescent="0.3">
      <c r="A37">
        <v>71196401</v>
      </c>
      <c r="B37" t="s">
        <v>91</v>
      </c>
      <c r="C37">
        <v>1</v>
      </c>
      <c r="D37" t="s">
        <v>2411</v>
      </c>
      <c r="E37">
        <v>60</v>
      </c>
    </row>
    <row r="38" spans="1:6" x14ac:dyDescent="0.3">
      <c r="A38">
        <v>7119641970</v>
      </c>
      <c r="B38" t="s">
        <v>92</v>
      </c>
      <c r="C38">
        <v>0</v>
      </c>
      <c r="D38" t="s">
        <v>2411</v>
      </c>
      <c r="F38" t="s">
        <v>2571</v>
      </c>
    </row>
    <row r="39" spans="1:6" hidden="1" x14ac:dyDescent="0.3">
      <c r="A39" t="s">
        <v>218</v>
      </c>
      <c r="B39" t="s">
        <v>98</v>
      </c>
      <c r="C39">
        <v>1</v>
      </c>
      <c r="D39" t="s">
        <v>2411</v>
      </c>
      <c r="E39">
        <v>60</v>
      </c>
    </row>
    <row r="40" spans="1:6" hidden="1" x14ac:dyDescent="0.3">
      <c r="A40">
        <v>71196506</v>
      </c>
      <c r="B40" t="s">
        <v>93</v>
      </c>
      <c r="C40">
        <v>1</v>
      </c>
      <c r="D40" t="s">
        <v>2411</v>
      </c>
      <c r="E40">
        <v>60</v>
      </c>
    </row>
    <row r="41" spans="1:6" hidden="1" x14ac:dyDescent="0.3">
      <c r="A41">
        <v>7119665630</v>
      </c>
      <c r="B41" t="s">
        <v>807</v>
      </c>
      <c r="C41">
        <v>1</v>
      </c>
      <c r="D41" t="s">
        <v>2411</v>
      </c>
      <c r="E41">
        <v>60</v>
      </c>
    </row>
    <row r="42" spans="1:6" hidden="1" x14ac:dyDescent="0.3">
      <c r="A42" t="s">
        <v>2378</v>
      </c>
      <c r="B42" t="s">
        <v>80</v>
      </c>
      <c r="C42">
        <v>1</v>
      </c>
      <c r="D42" t="s">
        <v>2411</v>
      </c>
      <c r="E42">
        <v>61</v>
      </c>
    </row>
    <row r="43" spans="1:6" hidden="1" x14ac:dyDescent="0.3">
      <c r="A43" t="s">
        <v>216</v>
      </c>
      <c r="B43" t="s">
        <v>94</v>
      </c>
      <c r="C43">
        <v>1</v>
      </c>
      <c r="D43" t="s">
        <v>2411</v>
      </c>
      <c r="E43">
        <v>60</v>
      </c>
    </row>
    <row r="44" spans="1:6" hidden="1" x14ac:dyDescent="0.3">
      <c r="A44">
        <v>7119668820</v>
      </c>
      <c r="B44" t="s">
        <v>95</v>
      </c>
      <c r="C44">
        <v>1</v>
      </c>
      <c r="D44" t="s">
        <v>2411</v>
      </c>
      <c r="E44">
        <v>60</v>
      </c>
    </row>
    <row r="45" spans="1:6" hidden="1" x14ac:dyDescent="0.3">
      <c r="A45" t="s">
        <v>217</v>
      </c>
      <c r="B45" t="s">
        <v>96</v>
      </c>
      <c r="C45">
        <v>2</v>
      </c>
      <c r="D45" t="s">
        <v>2411</v>
      </c>
      <c r="E45">
        <v>60</v>
      </c>
    </row>
    <row r="46" spans="1:6" hidden="1" x14ac:dyDescent="0.3">
      <c r="A46">
        <v>71196714</v>
      </c>
      <c r="B46" t="s">
        <v>97</v>
      </c>
      <c r="C46">
        <v>2</v>
      </c>
      <c r="D46" t="s">
        <v>2411</v>
      </c>
      <c r="E46">
        <v>60</v>
      </c>
    </row>
    <row r="47" spans="1:6" hidden="1" x14ac:dyDescent="0.3">
      <c r="A47" t="s">
        <v>222</v>
      </c>
      <c r="B47" t="s">
        <v>104</v>
      </c>
      <c r="C47">
        <v>1</v>
      </c>
      <c r="D47" t="s">
        <v>2411</v>
      </c>
      <c r="E47">
        <v>60</v>
      </c>
    </row>
    <row r="48" spans="1:6" hidden="1" x14ac:dyDescent="0.3">
      <c r="A48" t="s">
        <v>222</v>
      </c>
      <c r="B48" t="s">
        <v>105</v>
      </c>
      <c r="C48">
        <v>1</v>
      </c>
      <c r="D48" t="s">
        <v>2411</v>
      </c>
      <c r="E48">
        <v>60</v>
      </c>
    </row>
    <row r="49" spans="1:5" hidden="1" x14ac:dyDescent="0.3">
      <c r="A49" t="s">
        <v>264</v>
      </c>
      <c r="B49" t="s">
        <v>200</v>
      </c>
      <c r="C49">
        <v>1</v>
      </c>
      <c r="D49" t="s">
        <v>2411</v>
      </c>
      <c r="E49">
        <v>60</v>
      </c>
    </row>
    <row r="50" spans="1:5" hidden="1" x14ac:dyDescent="0.3">
      <c r="A50">
        <v>71799512</v>
      </c>
      <c r="B50" t="s">
        <v>202</v>
      </c>
      <c r="C50">
        <v>1</v>
      </c>
      <c r="D50" t="s">
        <v>2411</v>
      </c>
      <c r="E50">
        <v>61</v>
      </c>
    </row>
    <row r="51" spans="1:5" hidden="1" x14ac:dyDescent="0.3">
      <c r="A51" t="s">
        <v>219</v>
      </c>
      <c r="B51" t="s">
        <v>100</v>
      </c>
      <c r="C51">
        <v>1</v>
      </c>
      <c r="D51" t="s">
        <v>2411</v>
      </c>
      <c r="E51">
        <v>60</v>
      </c>
    </row>
    <row r="52" spans="1:5" hidden="1" x14ac:dyDescent="0.3">
      <c r="A52" t="s">
        <v>546</v>
      </c>
      <c r="B52" t="s">
        <v>101</v>
      </c>
      <c r="C52">
        <v>1</v>
      </c>
      <c r="D52" t="s">
        <v>2411</v>
      </c>
      <c r="E52">
        <v>60</v>
      </c>
    </row>
    <row r="53" spans="1:5" hidden="1" x14ac:dyDescent="0.3">
      <c r="A53" t="s">
        <v>1234</v>
      </c>
      <c r="B53" t="s">
        <v>102</v>
      </c>
      <c r="C53">
        <v>1</v>
      </c>
      <c r="D53" t="s">
        <v>2411</v>
      </c>
      <c r="E53">
        <v>60</v>
      </c>
    </row>
    <row r="54" spans="1:5" hidden="1" x14ac:dyDescent="0.3">
      <c r="A54" t="s">
        <v>255</v>
      </c>
      <c r="B54" t="s">
        <v>162</v>
      </c>
      <c r="C54">
        <v>1</v>
      </c>
      <c r="D54" t="s">
        <v>2411</v>
      </c>
      <c r="E54">
        <v>60</v>
      </c>
    </row>
    <row r="55" spans="1:5" hidden="1" x14ac:dyDescent="0.3">
      <c r="A55" t="s">
        <v>221</v>
      </c>
      <c r="B55" t="s">
        <v>103</v>
      </c>
      <c r="C55">
        <v>1</v>
      </c>
      <c r="D55" t="s">
        <v>2411</v>
      </c>
      <c r="E55">
        <v>60</v>
      </c>
    </row>
    <row r="56" spans="1:5" hidden="1" x14ac:dyDescent="0.3">
      <c r="A56" t="s">
        <v>1216</v>
      </c>
      <c r="B56" t="s">
        <v>205</v>
      </c>
      <c r="C56">
        <v>1</v>
      </c>
      <c r="D56" t="s">
        <v>2411</v>
      </c>
      <c r="E56">
        <v>60</v>
      </c>
    </row>
    <row r="57" spans="1:5" hidden="1" x14ac:dyDescent="0.3">
      <c r="A57">
        <v>7189663170</v>
      </c>
      <c r="B57" t="s">
        <v>106</v>
      </c>
      <c r="C57">
        <v>2</v>
      </c>
      <c r="D57" t="s">
        <v>2411</v>
      </c>
      <c r="E57">
        <v>60</v>
      </c>
    </row>
    <row r="58" spans="1:5" hidden="1" x14ac:dyDescent="0.3">
      <c r="A58" t="s">
        <v>842</v>
      </c>
      <c r="B58" t="s">
        <v>109</v>
      </c>
      <c r="C58">
        <v>1</v>
      </c>
      <c r="D58" t="s">
        <v>2411</v>
      </c>
      <c r="E58">
        <v>60</v>
      </c>
    </row>
    <row r="59" spans="1:5" hidden="1" x14ac:dyDescent="0.3">
      <c r="A59" t="s">
        <v>224</v>
      </c>
      <c r="B59" t="s">
        <v>110</v>
      </c>
      <c r="C59">
        <v>1</v>
      </c>
      <c r="D59" t="s">
        <v>2411</v>
      </c>
      <c r="E59">
        <v>60</v>
      </c>
    </row>
    <row r="60" spans="1:5" hidden="1" x14ac:dyDescent="0.3">
      <c r="A60" t="s">
        <v>225</v>
      </c>
      <c r="B60" t="s">
        <v>111</v>
      </c>
      <c r="C60">
        <v>1</v>
      </c>
      <c r="D60" t="s">
        <v>2411</v>
      </c>
      <c r="E60">
        <v>60</v>
      </c>
    </row>
    <row r="61" spans="1:5" hidden="1" x14ac:dyDescent="0.3">
      <c r="A61" t="s">
        <v>223</v>
      </c>
      <c r="B61" t="s">
        <v>2379</v>
      </c>
      <c r="C61">
        <v>1</v>
      </c>
      <c r="D61" t="s">
        <v>2411</v>
      </c>
      <c r="E61">
        <v>61</v>
      </c>
    </row>
    <row r="62" spans="1:5" hidden="1" x14ac:dyDescent="0.3">
      <c r="A62">
        <v>71899503</v>
      </c>
      <c r="B62" t="s">
        <v>107</v>
      </c>
      <c r="C62">
        <v>2</v>
      </c>
      <c r="D62" t="s">
        <v>2411</v>
      </c>
      <c r="E62">
        <v>60</v>
      </c>
    </row>
    <row r="63" spans="1:5" hidden="1" x14ac:dyDescent="0.3">
      <c r="A63">
        <v>7189982830</v>
      </c>
      <c r="B63" t="s">
        <v>108</v>
      </c>
      <c r="C63">
        <v>1</v>
      </c>
      <c r="D63" t="s">
        <v>2411</v>
      </c>
      <c r="E63">
        <v>60</v>
      </c>
    </row>
    <row r="64" spans="1:5" hidden="1" x14ac:dyDescent="0.3">
      <c r="A64" t="s">
        <v>1218</v>
      </c>
      <c r="B64" t="s">
        <v>113</v>
      </c>
      <c r="C64">
        <v>2</v>
      </c>
      <c r="D64" t="s">
        <v>2411</v>
      </c>
      <c r="E64">
        <v>60</v>
      </c>
    </row>
    <row r="65" spans="1:6" hidden="1" x14ac:dyDescent="0.3">
      <c r="A65" t="s">
        <v>285</v>
      </c>
      <c r="B65" t="s">
        <v>292</v>
      </c>
      <c r="C65">
        <v>1</v>
      </c>
      <c r="D65" t="s">
        <v>2411</v>
      </c>
      <c r="E65">
        <v>60</v>
      </c>
    </row>
    <row r="66" spans="1:6" hidden="1" x14ac:dyDescent="0.3">
      <c r="A66">
        <v>71986562</v>
      </c>
      <c r="B66" t="s">
        <v>744</v>
      </c>
      <c r="C66">
        <v>1</v>
      </c>
      <c r="D66" t="s">
        <v>2411</v>
      </c>
      <c r="E66">
        <v>60</v>
      </c>
    </row>
    <row r="67" spans="1:6" hidden="1" x14ac:dyDescent="0.3">
      <c r="A67" t="s">
        <v>227</v>
      </c>
      <c r="B67" t="s">
        <v>114</v>
      </c>
      <c r="C67">
        <v>2</v>
      </c>
      <c r="D67" t="s">
        <v>2411</v>
      </c>
      <c r="E67">
        <v>60</v>
      </c>
    </row>
    <row r="68" spans="1:6" hidden="1" x14ac:dyDescent="0.3">
      <c r="A68" t="s">
        <v>557</v>
      </c>
      <c r="B68" t="s">
        <v>294</v>
      </c>
      <c r="C68">
        <v>1</v>
      </c>
      <c r="D68" t="s">
        <v>2411</v>
      </c>
      <c r="E68">
        <v>60</v>
      </c>
    </row>
    <row r="69" spans="1:6" hidden="1" x14ac:dyDescent="0.3">
      <c r="A69" t="s">
        <v>1219</v>
      </c>
      <c r="B69" t="s">
        <v>115</v>
      </c>
      <c r="C69">
        <v>2</v>
      </c>
      <c r="D69" t="s">
        <v>2411</v>
      </c>
      <c r="E69">
        <v>60</v>
      </c>
    </row>
    <row r="70" spans="1:6" hidden="1" x14ac:dyDescent="0.3">
      <c r="A70">
        <v>71987958</v>
      </c>
      <c r="B70" t="s">
        <v>116</v>
      </c>
      <c r="C70">
        <v>2</v>
      </c>
      <c r="D70" t="s">
        <v>2411</v>
      </c>
      <c r="E70">
        <v>61</v>
      </c>
    </row>
    <row r="71" spans="1:6" hidden="1" x14ac:dyDescent="0.3">
      <c r="A71">
        <v>7198796290</v>
      </c>
      <c r="B71" t="s">
        <v>117</v>
      </c>
      <c r="C71">
        <v>4</v>
      </c>
      <c r="D71" t="s">
        <v>2411</v>
      </c>
      <c r="E71">
        <v>60</v>
      </c>
    </row>
    <row r="72" spans="1:6" hidden="1" x14ac:dyDescent="0.3">
      <c r="A72" t="s">
        <v>647</v>
      </c>
      <c r="B72" t="s">
        <v>119</v>
      </c>
      <c r="C72">
        <v>1</v>
      </c>
      <c r="D72" t="s">
        <v>2411</v>
      </c>
      <c r="E72">
        <v>60</v>
      </c>
    </row>
    <row r="73" spans="1:6" hidden="1" x14ac:dyDescent="0.3">
      <c r="A73" t="s">
        <v>267</v>
      </c>
      <c r="B73" t="s">
        <v>209</v>
      </c>
      <c r="C73">
        <v>1</v>
      </c>
      <c r="D73" t="s">
        <v>2411</v>
      </c>
      <c r="E73">
        <v>60</v>
      </c>
    </row>
    <row r="74" spans="1:6" hidden="1" x14ac:dyDescent="0.3">
      <c r="A74" t="s">
        <v>284</v>
      </c>
      <c r="B74" t="s">
        <v>276</v>
      </c>
      <c r="C74">
        <v>1</v>
      </c>
      <c r="D74" t="s">
        <v>2411</v>
      </c>
      <c r="E74">
        <v>60</v>
      </c>
    </row>
    <row r="75" spans="1:6" hidden="1" x14ac:dyDescent="0.3">
      <c r="A75" t="s">
        <v>230</v>
      </c>
      <c r="B75" t="s">
        <v>120</v>
      </c>
      <c r="C75">
        <v>1</v>
      </c>
      <c r="D75" t="s">
        <v>2411</v>
      </c>
      <c r="E75">
        <v>60</v>
      </c>
    </row>
    <row r="76" spans="1:6" hidden="1" x14ac:dyDescent="0.3">
      <c r="A76">
        <v>7198916130</v>
      </c>
      <c r="B76" t="s">
        <v>121</v>
      </c>
      <c r="C76">
        <v>1</v>
      </c>
      <c r="D76" t="s">
        <v>2411</v>
      </c>
      <c r="E76">
        <v>60</v>
      </c>
    </row>
    <row r="77" spans="1:6" hidden="1" x14ac:dyDescent="0.3">
      <c r="A77">
        <v>71989162</v>
      </c>
      <c r="B77" t="s">
        <v>122</v>
      </c>
      <c r="C77">
        <v>3</v>
      </c>
      <c r="D77" t="s">
        <v>2411</v>
      </c>
      <c r="E77">
        <v>60</v>
      </c>
    </row>
    <row r="78" spans="1:6" hidden="1" x14ac:dyDescent="0.3">
      <c r="A78">
        <v>7198948560</v>
      </c>
      <c r="B78" t="s">
        <v>123</v>
      </c>
      <c r="C78">
        <v>3</v>
      </c>
      <c r="D78" t="s">
        <v>2411</v>
      </c>
      <c r="E78">
        <v>60</v>
      </c>
    </row>
    <row r="79" spans="1:6" hidden="1" x14ac:dyDescent="0.3">
      <c r="A79">
        <v>72186417</v>
      </c>
      <c r="B79" t="s">
        <v>204</v>
      </c>
      <c r="C79">
        <v>1</v>
      </c>
      <c r="D79" t="s">
        <v>2411</v>
      </c>
      <c r="E79">
        <v>60</v>
      </c>
    </row>
    <row r="80" spans="1:6" x14ac:dyDescent="0.3">
      <c r="A80">
        <v>72191763</v>
      </c>
      <c r="B80" t="s">
        <v>199</v>
      </c>
      <c r="C80">
        <v>0</v>
      </c>
      <c r="D80" t="s">
        <v>2411</v>
      </c>
      <c r="F80" t="s">
        <v>2571</v>
      </c>
    </row>
    <row r="81" spans="1:5" hidden="1" x14ac:dyDescent="0.3">
      <c r="A81">
        <v>7223686530</v>
      </c>
      <c r="B81" t="s">
        <v>124</v>
      </c>
      <c r="C81">
        <v>1</v>
      </c>
      <c r="D81" t="s">
        <v>2411</v>
      </c>
      <c r="E81">
        <v>60</v>
      </c>
    </row>
    <row r="82" spans="1:5" hidden="1" x14ac:dyDescent="0.3">
      <c r="A82" t="s">
        <v>1309</v>
      </c>
      <c r="B82" t="s">
        <v>177</v>
      </c>
      <c r="C82">
        <v>1</v>
      </c>
      <c r="D82" t="s">
        <v>2411</v>
      </c>
      <c r="E82">
        <v>61</v>
      </c>
    </row>
    <row r="83" spans="1:5" hidden="1" x14ac:dyDescent="0.3">
      <c r="A83" t="s">
        <v>1310</v>
      </c>
      <c r="B83" t="s">
        <v>177</v>
      </c>
      <c r="C83">
        <v>9</v>
      </c>
      <c r="D83" t="s">
        <v>2411</v>
      </c>
      <c r="E83">
        <v>61</v>
      </c>
    </row>
    <row r="84" spans="1:5" hidden="1" x14ac:dyDescent="0.3">
      <c r="A84" t="s">
        <v>2380</v>
      </c>
      <c r="B84" t="s">
        <v>178</v>
      </c>
      <c r="C84">
        <v>1</v>
      </c>
      <c r="D84" t="s">
        <v>2411</v>
      </c>
      <c r="E84">
        <v>61</v>
      </c>
    </row>
    <row r="85" spans="1:5" hidden="1" x14ac:dyDescent="0.3">
      <c r="A85" t="s">
        <v>2381</v>
      </c>
      <c r="B85" t="s">
        <v>180</v>
      </c>
      <c r="C85">
        <v>2</v>
      </c>
      <c r="D85" t="s">
        <v>2411</v>
      </c>
      <c r="E85">
        <v>61</v>
      </c>
    </row>
    <row r="86" spans="1:5" hidden="1" x14ac:dyDescent="0.3">
      <c r="A86" t="s">
        <v>2382</v>
      </c>
      <c r="B86" t="s">
        <v>181</v>
      </c>
      <c r="C86">
        <v>1</v>
      </c>
      <c r="D86" t="s">
        <v>2411</v>
      </c>
      <c r="E86">
        <v>61</v>
      </c>
    </row>
    <row r="87" spans="1:5" hidden="1" x14ac:dyDescent="0.3">
      <c r="A87" t="s">
        <v>2383</v>
      </c>
      <c r="B87" t="s">
        <v>182</v>
      </c>
      <c r="C87">
        <v>1</v>
      </c>
      <c r="D87" t="s">
        <v>2411</v>
      </c>
      <c r="E87">
        <v>61</v>
      </c>
    </row>
    <row r="88" spans="1:5" hidden="1" x14ac:dyDescent="0.3">
      <c r="A88" t="s">
        <v>2384</v>
      </c>
      <c r="B88" t="s">
        <v>183</v>
      </c>
      <c r="C88">
        <v>1</v>
      </c>
      <c r="D88" t="s">
        <v>2411</v>
      </c>
      <c r="E88">
        <v>61</v>
      </c>
    </row>
    <row r="89" spans="1:5" hidden="1" x14ac:dyDescent="0.3">
      <c r="A89" t="s">
        <v>2385</v>
      </c>
      <c r="B89" t="s">
        <v>183</v>
      </c>
      <c r="C89">
        <v>1</v>
      </c>
      <c r="D89" t="s">
        <v>2411</v>
      </c>
      <c r="E89">
        <v>61</v>
      </c>
    </row>
    <row r="90" spans="1:5" hidden="1" x14ac:dyDescent="0.3">
      <c r="A90" t="s">
        <v>2386</v>
      </c>
      <c r="B90" t="s">
        <v>185</v>
      </c>
      <c r="C90">
        <v>1</v>
      </c>
      <c r="D90" t="s">
        <v>2411</v>
      </c>
      <c r="E90">
        <v>61</v>
      </c>
    </row>
    <row r="91" spans="1:5" hidden="1" x14ac:dyDescent="0.3">
      <c r="A91" t="s">
        <v>2387</v>
      </c>
      <c r="B91" t="s">
        <v>186</v>
      </c>
      <c r="C91">
        <v>1</v>
      </c>
      <c r="D91" t="s">
        <v>2411</v>
      </c>
      <c r="E91">
        <v>61</v>
      </c>
    </row>
    <row r="92" spans="1:5" hidden="1" x14ac:dyDescent="0.3">
      <c r="A92" t="s">
        <v>2388</v>
      </c>
      <c r="B92" t="s">
        <v>186</v>
      </c>
      <c r="C92">
        <v>1</v>
      </c>
      <c r="D92" t="s">
        <v>2411</v>
      </c>
      <c r="E92">
        <v>61</v>
      </c>
    </row>
    <row r="93" spans="1:5" hidden="1" x14ac:dyDescent="0.3">
      <c r="A93" t="s">
        <v>2389</v>
      </c>
      <c r="B93" t="s">
        <v>186</v>
      </c>
      <c r="C93">
        <v>2</v>
      </c>
      <c r="D93" t="s">
        <v>2411</v>
      </c>
      <c r="E93">
        <v>61</v>
      </c>
    </row>
    <row r="94" spans="1:5" hidden="1" x14ac:dyDescent="0.3">
      <c r="A94" t="s">
        <v>2390</v>
      </c>
      <c r="B94" t="s">
        <v>187</v>
      </c>
      <c r="C94">
        <v>1</v>
      </c>
      <c r="D94" t="s">
        <v>2411</v>
      </c>
      <c r="E94">
        <v>61</v>
      </c>
    </row>
    <row r="95" spans="1:5" hidden="1" x14ac:dyDescent="0.3">
      <c r="A95" t="s">
        <v>1311</v>
      </c>
      <c r="B95" t="s">
        <v>187</v>
      </c>
      <c r="C95">
        <v>2</v>
      </c>
      <c r="D95" t="s">
        <v>2411</v>
      </c>
      <c r="E95">
        <v>61</v>
      </c>
    </row>
    <row r="96" spans="1:5" hidden="1" x14ac:dyDescent="0.3">
      <c r="A96" t="s">
        <v>2391</v>
      </c>
      <c r="B96" t="s">
        <v>188</v>
      </c>
      <c r="C96">
        <v>3</v>
      </c>
      <c r="D96" t="s">
        <v>2411</v>
      </c>
      <c r="E96">
        <v>61</v>
      </c>
    </row>
    <row r="97" spans="1:5" hidden="1" x14ac:dyDescent="0.3">
      <c r="A97" t="s">
        <v>2392</v>
      </c>
      <c r="B97" t="s">
        <v>189</v>
      </c>
      <c r="C97">
        <v>1</v>
      </c>
      <c r="D97" t="s">
        <v>2411</v>
      </c>
      <c r="E97">
        <v>61</v>
      </c>
    </row>
    <row r="98" spans="1:5" hidden="1" x14ac:dyDescent="0.3">
      <c r="A98" t="s">
        <v>2393</v>
      </c>
      <c r="B98" t="s">
        <v>189</v>
      </c>
      <c r="C98">
        <v>1</v>
      </c>
      <c r="D98" t="s">
        <v>2411</v>
      </c>
      <c r="E98">
        <v>61</v>
      </c>
    </row>
    <row r="99" spans="1:5" hidden="1" x14ac:dyDescent="0.3">
      <c r="A99" t="s">
        <v>1312</v>
      </c>
      <c r="B99" t="s">
        <v>190</v>
      </c>
      <c r="C99">
        <v>1</v>
      </c>
      <c r="D99" t="s">
        <v>2411</v>
      </c>
      <c r="E99">
        <v>61</v>
      </c>
    </row>
    <row r="100" spans="1:5" hidden="1" x14ac:dyDescent="0.3">
      <c r="A100" t="s">
        <v>2394</v>
      </c>
      <c r="B100" t="s">
        <v>1349</v>
      </c>
      <c r="C100">
        <v>1</v>
      </c>
      <c r="D100" t="s">
        <v>2411</v>
      </c>
      <c r="E100">
        <v>61</v>
      </c>
    </row>
    <row r="101" spans="1:5" hidden="1" x14ac:dyDescent="0.3">
      <c r="A101" t="s">
        <v>1313</v>
      </c>
      <c r="B101" t="s">
        <v>1349</v>
      </c>
      <c r="C101">
        <v>2</v>
      </c>
      <c r="D101" t="s">
        <v>2411</v>
      </c>
      <c r="E101">
        <v>61</v>
      </c>
    </row>
    <row r="102" spans="1:5" hidden="1" x14ac:dyDescent="0.3">
      <c r="A102" t="s">
        <v>1314</v>
      </c>
      <c r="B102" t="s">
        <v>1349</v>
      </c>
      <c r="C102">
        <v>4</v>
      </c>
      <c r="D102" t="s">
        <v>2411</v>
      </c>
      <c r="E102">
        <v>61</v>
      </c>
    </row>
    <row r="103" spans="1:5" hidden="1" x14ac:dyDescent="0.3">
      <c r="A103" t="s">
        <v>1315</v>
      </c>
      <c r="B103" t="s">
        <v>1331</v>
      </c>
      <c r="C103">
        <v>22</v>
      </c>
      <c r="D103" t="s">
        <v>2411</v>
      </c>
      <c r="E103">
        <v>61</v>
      </c>
    </row>
    <row r="104" spans="1:5" hidden="1" x14ac:dyDescent="0.3">
      <c r="A104" t="s">
        <v>1316</v>
      </c>
      <c r="B104" t="s">
        <v>1331</v>
      </c>
      <c r="C104">
        <v>13</v>
      </c>
      <c r="D104" t="s">
        <v>2411</v>
      </c>
      <c r="E104">
        <v>61</v>
      </c>
    </row>
    <row r="105" spans="1:5" hidden="1" x14ac:dyDescent="0.3">
      <c r="A105" t="s">
        <v>1317</v>
      </c>
      <c r="B105" t="s">
        <v>1331</v>
      </c>
      <c r="C105">
        <v>2</v>
      </c>
      <c r="D105" t="s">
        <v>2411</v>
      </c>
      <c r="E105">
        <v>61</v>
      </c>
    </row>
    <row r="106" spans="1:5" hidden="1" x14ac:dyDescent="0.3">
      <c r="A106" t="s">
        <v>2395</v>
      </c>
      <c r="B106" t="s">
        <v>191</v>
      </c>
      <c r="C106">
        <v>2</v>
      </c>
      <c r="D106" t="s">
        <v>2411</v>
      </c>
      <c r="E106">
        <v>61</v>
      </c>
    </row>
    <row r="107" spans="1:5" hidden="1" x14ac:dyDescent="0.3">
      <c r="A107" t="s">
        <v>1318</v>
      </c>
      <c r="B107" t="s">
        <v>191</v>
      </c>
      <c r="C107">
        <v>9</v>
      </c>
      <c r="D107" t="s">
        <v>2411</v>
      </c>
      <c r="E107">
        <v>61</v>
      </c>
    </row>
    <row r="108" spans="1:5" hidden="1" x14ac:dyDescent="0.3">
      <c r="A108" t="s">
        <v>1319</v>
      </c>
      <c r="B108" t="s">
        <v>191</v>
      </c>
      <c r="C108">
        <v>2</v>
      </c>
      <c r="D108" t="s">
        <v>2411</v>
      </c>
      <c r="E108">
        <v>61</v>
      </c>
    </row>
    <row r="109" spans="1:5" hidden="1" x14ac:dyDescent="0.3">
      <c r="A109" t="s">
        <v>2396</v>
      </c>
      <c r="B109" t="s">
        <v>171</v>
      </c>
      <c r="C109">
        <v>1</v>
      </c>
      <c r="D109" t="s">
        <v>2411</v>
      </c>
      <c r="E109">
        <v>61</v>
      </c>
    </row>
    <row r="110" spans="1:5" hidden="1" x14ac:dyDescent="0.3">
      <c r="A110" t="s">
        <v>2397</v>
      </c>
      <c r="B110" t="s">
        <v>176</v>
      </c>
      <c r="C110">
        <v>1</v>
      </c>
      <c r="D110" t="s">
        <v>2411</v>
      </c>
      <c r="E110">
        <v>61</v>
      </c>
    </row>
    <row r="111" spans="1:5" hidden="1" x14ac:dyDescent="0.3">
      <c r="A111" t="s">
        <v>1307</v>
      </c>
      <c r="B111" t="s">
        <v>1332</v>
      </c>
      <c r="C111">
        <v>6</v>
      </c>
      <c r="D111" t="s">
        <v>2411</v>
      </c>
      <c r="E111">
        <v>61</v>
      </c>
    </row>
    <row r="112" spans="1:5" hidden="1" x14ac:dyDescent="0.3">
      <c r="A112" t="s">
        <v>1308</v>
      </c>
      <c r="B112" t="s">
        <v>1332</v>
      </c>
      <c r="C112">
        <v>13</v>
      </c>
      <c r="D112" t="s">
        <v>2411</v>
      </c>
      <c r="E112">
        <v>61</v>
      </c>
    </row>
    <row r="113" spans="1:7" hidden="1" x14ac:dyDescent="0.3">
      <c r="A113" t="s">
        <v>2398</v>
      </c>
      <c r="B113" t="s">
        <v>173</v>
      </c>
      <c r="C113">
        <v>2</v>
      </c>
      <c r="D113" t="s">
        <v>2411</v>
      </c>
      <c r="E113">
        <v>61</v>
      </c>
    </row>
    <row r="114" spans="1:7" hidden="1" x14ac:dyDescent="0.3">
      <c r="A114" t="s">
        <v>2399</v>
      </c>
      <c r="B114" t="s">
        <v>297</v>
      </c>
      <c r="C114">
        <v>1</v>
      </c>
      <c r="D114" t="s">
        <v>2411</v>
      </c>
      <c r="E114">
        <v>61</v>
      </c>
    </row>
    <row r="115" spans="1:7" hidden="1" x14ac:dyDescent="0.3">
      <c r="A115" t="s">
        <v>2400</v>
      </c>
      <c r="B115" t="s">
        <v>174</v>
      </c>
      <c r="C115">
        <v>1</v>
      </c>
      <c r="D115" t="s">
        <v>2411</v>
      </c>
      <c r="E115">
        <v>61</v>
      </c>
    </row>
    <row r="116" spans="1:7" x14ac:dyDescent="0.3">
      <c r="A116" t="s">
        <v>2401</v>
      </c>
      <c r="C116">
        <v>2</v>
      </c>
      <c r="D116" t="s">
        <v>2411</v>
      </c>
      <c r="E116">
        <v>61</v>
      </c>
      <c r="F116" t="s">
        <v>2056</v>
      </c>
      <c r="G116" t="s">
        <v>2573</v>
      </c>
    </row>
    <row r="117" spans="1:7" hidden="1" x14ac:dyDescent="0.3">
      <c r="A117" t="s">
        <v>2402</v>
      </c>
      <c r="B117" t="s">
        <v>175</v>
      </c>
      <c r="C117">
        <v>2</v>
      </c>
      <c r="D117" t="s">
        <v>2411</v>
      </c>
      <c r="E117">
        <v>61</v>
      </c>
    </row>
    <row r="118" spans="1:7" hidden="1" x14ac:dyDescent="0.3">
      <c r="A118" t="s">
        <v>843</v>
      </c>
      <c r="B118" t="s">
        <v>127</v>
      </c>
      <c r="C118">
        <v>1</v>
      </c>
      <c r="D118" t="s">
        <v>2411</v>
      </c>
      <c r="E118">
        <v>60</v>
      </c>
    </row>
    <row r="119" spans="1:7" hidden="1" x14ac:dyDescent="0.3">
      <c r="A119">
        <v>7278246930</v>
      </c>
      <c r="B119" t="s">
        <v>195</v>
      </c>
      <c r="C119">
        <v>2</v>
      </c>
      <c r="D119" t="s">
        <v>2411</v>
      </c>
      <c r="E119">
        <v>61</v>
      </c>
    </row>
    <row r="120" spans="1:7" hidden="1" x14ac:dyDescent="0.3">
      <c r="A120">
        <v>72897304</v>
      </c>
      <c r="B120" t="s">
        <v>133</v>
      </c>
      <c r="C120">
        <v>2</v>
      </c>
      <c r="D120" t="s">
        <v>2411</v>
      </c>
      <c r="E120">
        <v>60</v>
      </c>
    </row>
    <row r="121" spans="1:7" x14ac:dyDescent="0.3">
      <c r="A121" t="s">
        <v>258</v>
      </c>
      <c r="B121" t="s">
        <v>166</v>
      </c>
      <c r="C121">
        <v>0</v>
      </c>
      <c r="D121" t="s">
        <v>2411</v>
      </c>
      <c r="F121" t="s">
        <v>2571</v>
      </c>
    </row>
    <row r="122" spans="1:7" hidden="1" x14ac:dyDescent="0.3">
      <c r="A122" t="s">
        <v>1230</v>
      </c>
      <c r="B122" t="s">
        <v>130</v>
      </c>
      <c r="C122">
        <v>1</v>
      </c>
      <c r="D122" t="s">
        <v>2411</v>
      </c>
      <c r="E122">
        <v>60</v>
      </c>
    </row>
    <row r="123" spans="1:7" hidden="1" x14ac:dyDescent="0.3">
      <c r="A123" t="s">
        <v>1231</v>
      </c>
      <c r="B123" t="s">
        <v>131</v>
      </c>
      <c r="C123">
        <v>1</v>
      </c>
      <c r="D123" t="s">
        <v>2411</v>
      </c>
      <c r="E123">
        <v>60</v>
      </c>
    </row>
    <row r="124" spans="1:7" hidden="1" x14ac:dyDescent="0.3">
      <c r="A124">
        <v>7289896430</v>
      </c>
      <c r="B124" t="s">
        <v>132</v>
      </c>
      <c r="C124">
        <v>1</v>
      </c>
      <c r="D124" t="s">
        <v>2411</v>
      </c>
      <c r="E124">
        <v>60</v>
      </c>
    </row>
    <row r="125" spans="1:7" hidden="1" x14ac:dyDescent="0.3">
      <c r="A125">
        <v>7297944190</v>
      </c>
      <c r="B125" t="s">
        <v>134</v>
      </c>
      <c r="C125">
        <v>2</v>
      </c>
      <c r="D125" t="s">
        <v>2411</v>
      </c>
      <c r="E125">
        <v>60</v>
      </c>
    </row>
    <row r="126" spans="1:7" x14ac:dyDescent="0.3">
      <c r="A126">
        <v>7298331130</v>
      </c>
      <c r="B126" t="s">
        <v>194</v>
      </c>
      <c r="C126">
        <v>0</v>
      </c>
      <c r="D126" t="s">
        <v>2411</v>
      </c>
      <c r="F126" t="s">
        <v>2571</v>
      </c>
    </row>
    <row r="127" spans="1:7" hidden="1" x14ac:dyDescent="0.3">
      <c r="A127">
        <v>72988085</v>
      </c>
      <c r="B127" t="s">
        <v>289</v>
      </c>
      <c r="C127">
        <v>1</v>
      </c>
      <c r="D127" t="s">
        <v>2411</v>
      </c>
      <c r="E127">
        <v>60</v>
      </c>
    </row>
    <row r="128" spans="1:7" hidden="1" x14ac:dyDescent="0.3">
      <c r="A128">
        <v>7298948930</v>
      </c>
      <c r="B128" t="s">
        <v>783</v>
      </c>
      <c r="C128">
        <v>1</v>
      </c>
      <c r="D128" t="s">
        <v>2411</v>
      </c>
      <c r="E128">
        <v>60</v>
      </c>
    </row>
    <row r="129" spans="1:15" hidden="1" x14ac:dyDescent="0.3">
      <c r="A129" t="s">
        <v>235</v>
      </c>
      <c r="B129" t="s">
        <v>2403</v>
      </c>
      <c r="C129">
        <v>2</v>
      </c>
      <c r="D129" t="s">
        <v>2411</v>
      </c>
      <c r="E129">
        <v>61</v>
      </c>
      <c r="G129">
        <v>203</v>
      </c>
      <c r="H129">
        <v>204</v>
      </c>
    </row>
    <row r="130" spans="1:15" hidden="1" x14ac:dyDescent="0.3">
      <c r="A130" t="s">
        <v>236</v>
      </c>
      <c r="B130" t="s">
        <v>136</v>
      </c>
      <c r="C130">
        <v>1</v>
      </c>
      <c r="D130" t="s">
        <v>2411</v>
      </c>
      <c r="E130">
        <v>60</v>
      </c>
      <c r="G130">
        <v>69</v>
      </c>
    </row>
    <row r="131" spans="1:15" hidden="1" x14ac:dyDescent="0.3">
      <c r="A131" t="s">
        <v>237</v>
      </c>
      <c r="B131" t="s">
        <v>137</v>
      </c>
      <c r="C131">
        <v>9</v>
      </c>
      <c r="D131" t="s">
        <v>2411</v>
      </c>
      <c r="E131">
        <v>61</v>
      </c>
      <c r="G131">
        <v>190</v>
      </c>
      <c r="H131">
        <v>166</v>
      </c>
      <c r="I131">
        <v>149</v>
      </c>
      <c r="J131">
        <v>241</v>
      </c>
      <c r="K131">
        <v>188</v>
      </c>
      <c r="L131">
        <v>179</v>
      </c>
      <c r="M131">
        <v>284</v>
      </c>
      <c r="N131">
        <v>281</v>
      </c>
      <c r="O131">
        <v>135</v>
      </c>
    </row>
    <row r="132" spans="1:15" hidden="1" x14ac:dyDescent="0.3">
      <c r="A132" t="s">
        <v>591</v>
      </c>
      <c r="B132" t="s">
        <v>138</v>
      </c>
      <c r="C132">
        <v>3</v>
      </c>
      <c r="D132" t="s">
        <v>2411</v>
      </c>
      <c r="E132">
        <v>60</v>
      </c>
    </row>
    <row r="133" spans="1:15" hidden="1" x14ac:dyDescent="0.3">
      <c r="A133" t="s">
        <v>598</v>
      </c>
      <c r="B133" t="s">
        <v>288</v>
      </c>
      <c r="C133">
        <v>2</v>
      </c>
      <c r="D133" t="s">
        <v>2411</v>
      </c>
      <c r="E133">
        <v>60</v>
      </c>
    </row>
    <row r="134" spans="1:15" hidden="1" x14ac:dyDescent="0.3">
      <c r="A134" t="s">
        <v>239</v>
      </c>
      <c r="B134" t="s">
        <v>140</v>
      </c>
      <c r="C134">
        <v>1</v>
      </c>
      <c r="D134" t="s">
        <v>2411</v>
      </c>
      <c r="E134">
        <v>60</v>
      </c>
    </row>
    <row r="135" spans="1:15" hidden="1" x14ac:dyDescent="0.3">
      <c r="A135" t="s">
        <v>240</v>
      </c>
      <c r="B135" t="s">
        <v>141</v>
      </c>
      <c r="C135">
        <v>2</v>
      </c>
      <c r="D135" t="s">
        <v>2411</v>
      </c>
      <c r="E135">
        <v>60</v>
      </c>
    </row>
    <row r="136" spans="1:15" hidden="1" x14ac:dyDescent="0.3">
      <c r="A136" t="s">
        <v>602</v>
      </c>
      <c r="B136" t="s">
        <v>855</v>
      </c>
      <c r="C136">
        <v>1</v>
      </c>
      <c r="D136" t="s">
        <v>2411</v>
      </c>
      <c r="E136">
        <v>60</v>
      </c>
    </row>
    <row r="137" spans="1:15" hidden="1" x14ac:dyDescent="0.3">
      <c r="A137" t="s">
        <v>845</v>
      </c>
      <c r="B137" t="s">
        <v>145</v>
      </c>
      <c r="C137">
        <v>1</v>
      </c>
      <c r="D137" t="s">
        <v>2411</v>
      </c>
      <c r="E137">
        <v>60</v>
      </c>
    </row>
    <row r="138" spans="1:15" hidden="1" x14ac:dyDescent="0.3">
      <c r="A138" t="s">
        <v>2404</v>
      </c>
      <c r="B138" t="s">
        <v>146</v>
      </c>
      <c r="C138">
        <v>1</v>
      </c>
      <c r="D138" t="s">
        <v>2411</v>
      </c>
      <c r="E138">
        <v>61</v>
      </c>
    </row>
    <row r="139" spans="1:15" hidden="1" x14ac:dyDescent="0.3">
      <c r="A139" t="s">
        <v>241</v>
      </c>
      <c r="B139" t="s">
        <v>143</v>
      </c>
      <c r="C139">
        <v>2</v>
      </c>
      <c r="D139" t="s">
        <v>2411</v>
      </c>
      <c r="E139">
        <v>60</v>
      </c>
    </row>
    <row r="140" spans="1:15" hidden="1" x14ac:dyDescent="0.3">
      <c r="A140" t="s">
        <v>242</v>
      </c>
      <c r="B140" t="s">
        <v>144</v>
      </c>
      <c r="C140">
        <v>1</v>
      </c>
      <c r="D140" t="s">
        <v>2411</v>
      </c>
      <c r="E140">
        <v>60</v>
      </c>
    </row>
    <row r="141" spans="1:15" hidden="1" x14ac:dyDescent="0.3">
      <c r="A141" t="s">
        <v>611</v>
      </c>
      <c r="B141" t="s">
        <v>142</v>
      </c>
      <c r="C141">
        <v>2</v>
      </c>
      <c r="D141" t="s">
        <v>2411</v>
      </c>
      <c r="E141">
        <v>61</v>
      </c>
    </row>
    <row r="142" spans="1:15" hidden="1" x14ac:dyDescent="0.3">
      <c r="A142" t="s">
        <v>247</v>
      </c>
      <c r="B142" t="s">
        <v>151</v>
      </c>
      <c r="C142">
        <v>2</v>
      </c>
      <c r="D142" t="s">
        <v>2411</v>
      </c>
      <c r="E142">
        <v>60</v>
      </c>
    </row>
    <row r="143" spans="1:15" hidden="1" x14ac:dyDescent="0.3">
      <c r="A143" t="s">
        <v>249</v>
      </c>
      <c r="B143" t="s">
        <v>153</v>
      </c>
      <c r="C143">
        <v>1</v>
      </c>
      <c r="D143" t="s">
        <v>2411</v>
      </c>
      <c r="E143">
        <v>60</v>
      </c>
    </row>
    <row r="144" spans="1:15" hidden="1" x14ac:dyDescent="0.3">
      <c r="A144" t="s">
        <v>250</v>
      </c>
      <c r="B144" t="s">
        <v>154</v>
      </c>
      <c r="C144">
        <v>2</v>
      </c>
      <c r="D144" t="s">
        <v>2411</v>
      </c>
      <c r="E144">
        <v>60</v>
      </c>
    </row>
    <row r="145" spans="1:6" hidden="1" x14ac:dyDescent="0.3">
      <c r="A145" t="s">
        <v>251</v>
      </c>
      <c r="B145" t="s">
        <v>155</v>
      </c>
      <c r="C145">
        <v>1</v>
      </c>
      <c r="D145" t="s">
        <v>2411</v>
      </c>
      <c r="E145">
        <v>60</v>
      </c>
    </row>
    <row r="146" spans="1:6" hidden="1" x14ac:dyDescent="0.3">
      <c r="A146" t="s">
        <v>626</v>
      </c>
      <c r="B146" t="s">
        <v>169</v>
      </c>
      <c r="C146">
        <v>1</v>
      </c>
      <c r="D146" t="s">
        <v>2411</v>
      </c>
      <c r="E146">
        <v>60</v>
      </c>
    </row>
    <row r="147" spans="1:6" hidden="1" x14ac:dyDescent="0.3">
      <c r="A147" t="s">
        <v>298</v>
      </c>
      <c r="B147" t="s">
        <v>934</v>
      </c>
      <c r="C147">
        <v>3</v>
      </c>
      <c r="D147" t="s">
        <v>2411</v>
      </c>
      <c r="E147">
        <v>60</v>
      </c>
    </row>
    <row r="148" spans="1:6" hidden="1" x14ac:dyDescent="0.3">
      <c r="A148">
        <v>7271007230</v>
      </c>
      <c r="B148" t="s">
        <v>126</v>
      </c>
      <c r="C148">
        <v>1</v>
      </c>
      <c r="D148" t="s">
        <v>2411</v>
      </c>
      <c r="E148">
        <v>60</v>
      </c>
    </row>
    <row r="149" spans="1:6" hidden="1" x14ac:dyDescent="0.3">
      <c r="A149">
        <v>7271007030</v>
      </c>
      <c r="B149" t="s">
        <v>125</v>
      </c>
      <c r="C149">
        <v>1</v>
      </c>
      <c r="D149" t="s">
        <v>2411</v>
      </c>
      <c r="E149">
        <v>60</v>
      </c>
    </row>
    <row r="150" spans="1:6" hidden="1" x14ac:dyDescent="0.3">
      <c r="A150" t="s">
        <v>256</v>
      </c>
      <c r="B150" t="s">
        <v>163</v>
      </c>
      <c r="C150">
        <v>1</v>
      </c>
      <c r="D150" t="s">
        <v>2411</v>
      </c>
      <c r="E150">
        <v>60</v>
      </c>
    </row>
    <row r="151" spans="1:6" x14ac:dyDescent="0.3">
      <c r="A151" t="s">
        <v>283</v>
      </c>
      <c r="B151" t="s">
        <v>198</v>
      </c>
      <c r="C151">
        <v>0</v>
      </c>
      <c r="D151" t="s">
        <v>2411</v>
      </c>
      <c r="F151" t="s">
        <v>2571</v>
      </c>
    </row>
    <row r="152" spans="1:6" hidden="1" x14ac:dyDescent="0.3">
      <c r="A152">
        <v>7178270480</v>
      </c>
      <c r="B152" t="s">
        <v>157</v>
      </c>
      <c r="C152">
        <v>1</v>
      </c>
      <c r="D152" t="s">
        <v>2411</v>
      </c>
      <c r="E152">
        <v>60</v>
      </c>
    </row>
    <row r="153" spans="1:6" hidden="1" x14ac:dyDescent="0.3">
      <c r="A153">
        <v>7298808730</v>
      </c>
      <c r="B153" t="s">
        <v>2405</v>
      </c>
      <c r="C153">
        <v>1</v>
      </c>
      <c r="D153" t="s">
        <v>2411</v>
      </c>
      <c r="E153">
        <v>61</v>
      </c>
    </row>
    <row r="154" spans="1:6" x14ac:dyDescent="0.3">
      <c r="A154">
        <v>7075231830</v>
      </c>
      <c r="B154" t="s">
        <v>74</v>
      </c>
      <c r="C154">
        <v>1</v>
      </c>
      <c r="D154" t="s">
        <v>2409</v>
      </c>
    </row>
    <row r="155" spans="1:6" x14ac:dyDescent="0.3">
      <c r="A155">
        <v>7075231930</v>
      </c>
      <c r="B155" t="s">
        <v>75</v>
      </c>
      <c r="C155">
        <v>1</v>
      </c>
      <c r="D155" t="s">
        <v>2409</v>
      </c>
    </row>
    <row r="156" spans="1:6" x14ac:dyDescent="0.3">
      <c r="A156">
        <v>7075236930</v>
      </c>
      <c r="B156" t="s">
        <v>76</v>
      </c>
      <c r="C156">
        <v>1</v>
      </c>
      <c r="D156" t="s">
        <v>2409</v>
      </c>
    </row>
    <row r="157" spans="1:6" x14ac:dyDescent="0.3">
      <c r="A157">
        <v>71186354</v>
      </c>
      <c r="B157" t="s">
        <v>78</v>
      </c>
      <c r="C157">
        <v>2</v>
      </c>
      <c r="D157" t="s">
        <v>2409</v>
      </c>
    </row>
    <row r="158" spans="1:6" x14ac:dyDescent="0.3">
      <c r="A158" t="s">
        <v>212</v>
      </c>
      <c r="B158" t="s">
        <v>79</v>
      </c>
      <c r="C158">
        <v>1</v>
      </c>
      <c r="D158" t="s">
        <v>2409</v>
      </c>
    </row>
    <row r="159" spans="1:6" x14ac:dyDescent="0.3">
      <c r="A159">
        <v>7118670020</v>
      </c>
      <c r="B159" t="s">
        <v>81</v>
      </c>
      <c r="C159">
        <v>2</v>
      </c>
      <c r="D159" t="s">
        <v>2409</v>
      </c>
    </row>
    <row r="160" spans="1:6" x14ac:dyDescent="0.3">
      <c r="A160" t="s">
        <v>214</v>
      </c>
      <c r="B160" t="s">
        <v>83</v>
      </c>
      <c r="C160">
        <v>1</v>
      </c>
      <c r="D160" t="s">
        <v>2409</v>
      </c>
    </row>
    <row r="161" spans="1:4" x14ac:dyDescent="0.3">
      <c r="A161">
        <v>7119131530</v>
      </c>
      <c r="B161" t="s">
        <v>84</v>
      </c>
      <c r="C161">
        <v>1</v>
      </c>
      <c r="D161" t="s">
        <v>2409</v>
      </c>
    </row>
    <row r="162" spans="1:4" x14ac:dyDescent="0.3">
      <c r="A162" t="s">
        <v>520</v>
      </c>
      <c r="B162" t="s">
        <v>85</v>
      </c>
      <c r="C162">
        <v>2</v>
      </c>
      <c r="D162" t="s">
        <v>2409</v>
      </c>
    </row>
    <row r="163" spans="1:4" x14ac:dyDescent="0.3">
      <c r="A163">
        <v>7119146730</v>
      </c>
      <c r="B163" t="s">
        <v>86</v>
      </c>
      <c r="C163">
        <v>1</v>
      </c>
      <c r="D163" t="s">
        <v>2409</v>
      </c>
    </row>
    <row r="164" spans="1:4" x14ac:dyDescent="0.3">
      <c r="A164">
        <v>71191993</v>
      </c>
      <c r="B164" t="s">
        <v>87</v>
      </c>
      <c r="C164">
        <v>1</v>
      </c>
      <c r="D164" t="s">
        <v>2409</v>
      </c>
    </row>
    <row r="165" spans="1:4" x14ac:dyDescent="0.3">
      <c r="A165">
        <v>71196180</v>
      </c>
      <c r="B165" t="s">
        <v>88</v>
      </c>
      <c r="C165">
        <v>1</v>
      </c>
      <c r="D165" t="s">
        <v>2409</v>
      </c>
    </row>
    <row r="166" spans="1:4" x14ac:dyDescent="0.3">
      <c r="A166">
        <v>7119639830</v>
      </c>
      <c r="B166" t="s">
        <v>90</v>
      </c>
      <c r="C166">
        <v>1</v>
      </c>
      <c r="D166" t="s">
        <v>2409</v>
      </c>
    </row>
    <row r="167" spans="1:4" x14ac:dyDescent="0.3">
      <c r="A167">
        <v>71196401</v>
      </c>
      <c r="B167" t="s">
        <v>91</v>
      </c>
      <c r="C167">
        <v>1</v>
      </c>
      <c r="D167" t="s">
        <v>2409</v>
      </c>
    </row>
    <row r="168" spans="1:4" x14ac:dyDescent="0.3">
      <c r="A168">
        <v>71196506</v>
      </c>
      <c r="B168" t="s">
        <v>93</v>
      </c>
      <c r="C168">
        <v>1</v>
      </c>
      <c r="D168" t="s">
        <v>2409</v>
      </c>
    </row>
    <row r="169" spans="1:4" x14ac:dyDescent="0.3">
      <c r="A169" t="s">
        <v>216</v>
      </c>
      <c r="B169" t="s">
        <v>94</v>
      </c>
      <c r="C169">
        <v>1</v>
      </c>
      <c r="D169" t="s">
        <v>2409</v>
      </c>
    </row>
    <row r="170" spans="1:4" x14ac:dyDescent="0.3">
      <c r="A170">
        <v>7119668820</v>
      </c>
      <c r="B170" t="s">
        <v>95</v>
      </c>
      <c r="C170">
        <v>1</v>
      </c>
      <c r="D170" t="s">
        <v>2409</v>
      </c>
    </row>
    <row r="171" spans="1:4" x14ac:dyDescent="0.3">
      <c r="A171" t="s">
        <v>217</v>
      </c>
      <c r="B171" t="s">
        <v>96</v>
      </c>
      <c r="C171">
        <v>2</v>
      </c>
      <c r="D171" t="s">
        <v>2409</v>
      </c>
    </row>
    <row r="172" spans="1:4" x14ac:dyDescent="0.3">
      <c r="A172">
        <v>71196714</v>
      </c>
      <c r="B172" t="s">
        <v>97</v>
      </c>
      <c r="C172">
        <v>2</v>
      </c>
      <c r="D172" t="s">
        <v>2409</v>
      </c>
    </row>
    <row r="173" spans="1:4" x14ac:dyDescent="0.3">
      <c r="A173" t="s">
        <v>218</v>
      </c>
      <c r="B173" t="s">
        <v>98</v>
      </c>
      <c r="C173">
        <v>1</v>
      </c>
      <c r="D173" t="s">
        <v>2409</v>
      </c>
    </row>
    <row r="174" spans="1:4" x14ac:dyDescent="0.3">
      <c r="A174" t="s">
        <v>219</v>
      </c>
      <c r="B174" t="s">
        <v>100</v>
      </c>
      <c r="C174">
        <v>1</v>
      </c>
      <c r="D174" t="s">
        <v>2409</v>
      </c>
    </row>
    <row r="175" spans="1:4" x14ac:dyDescent="0.3">
      <c r="A175" t="s">
        <v>546</v>
      </c>
      <c r="B175" t="s">
        <v>101</v>
      </c>
      <c r="C175">
        <v>1</v>
      </c>
      <c r="D175" t="s">
        <v>2409</v>
      </c>
    </row>
    <row r="176" spans="1:4" x14ac:dyDescent="0.3">
      <c r="A176" t="s">
        <v>1234</v>
      </c>
      <c r="B176" t="s">
        <v>102</v>
      </c>
      <c r="C176">
        <v>1</v>
      </c>
      <c r="D176" t="s">
        <v>2409</v>
      </c>
    </row>
    <row r="177" spans="1:4" x14ac:dyDescent="0.3">
      <c r="A177" t="s">
        <v>221</v>
      </c>
      <c r="B177" t="s">
        <v>103</v>
      </c>
      <c r="C177">
        <v>1</v>
      </c>
      <c r="D177" t="s">
        <v>2409</v>
      </c>
    </row>
    <row r="178" spans="1:4" x14ac:dyDescent="0.3">
      <c r="A178" t="s">
        <v>222</v>
      </c>
      <c r="B178" t="s">
        <v>104</v>
      </c>
      <c r="C178">
        <v>1</v>
      </c>
      <c r="D178" t="s">
        <v>2409</v>
      </c>
    </row>
    <row r="179" spans="1:4" x14ac:dyDescent="0.3">
      <c r="A179">
        <v>7189663170</v>
      </c>
      <c r="B179" t="s">
        <v>106</v>
      </c>
      <c r="C179">
        <v>2</v>
      </c>
      <c r="D179" t="s">
        <v>2409</v>
      </c>
    </row>
    <row r="180" spans="1:4" x14ac:dyDescent="0.3">
      <c r="A180">
        <v>71899503</v>
      </c>
      <c r="B180" t="s">
        <v>107</v>
      </c>
      <c r="C180">
        <v>2</v>
      </c>
      <c r="D180" t="s">
        <v>2409</v>
      </c>
    </row>
    <row r="181" spans="1:4" x14ac:dyDescent="0.3">
      <c r="A181">
        <v>7189982830</v>
      </c>
      <c r="B181" t="s">
        <v>108</v>
      </c>
      <c r="C181">
        <v>1</v>
      </c>
      <c r="D181" t="s">
        <v>2409</v>
      </c>
    </row>
    <row r="182" spans="1:4" x14ac:dyDescent="0.3">
      <c r="A182" t="s">
        <v>842</v>
      </c>
      <c r="B182" t="s">
        <v>109</v>
      </c>
      <c r="C182">
        <v>1</v>
      </c>
      <c r="D182" t="s">
        <v>2409</v>
      </c>
    </row>
    <row r="183" spans="1:4" x14ac:dyDescent="0.3">
      <c r="A183" t="s">
        <v>224</v>
      </c>
      <c r="B183" t="s">
        <v>110</v>
      </c>
      <c r="C183">
        <v>1</v>
      </c>
      <c r="D183" t="s">
        <v>2409</v>
      </c>
    </row>
    <row r="184" spans="1:4" x14ac:dyDescent="0.3">
      <c r="A184" t="s">
        <v>225</v>
      </c>
      <c r="B184" t="s">
        <v>111</v>
      </c>
      <c r="C184">
        <v>1</v>
      </c>
      <c r="D184" t="s">
        <v>2409</v>
      </c>
    </row>
    <row r="185" spans="1:4" x14ac:dyDescent="0.3">
      <c r="A185" t="s">
        <v>1218</v>
      </c>
      <c r="B185" t="s">
        <v>113</v>
      </c>
      <c r="C185">
        <v>2</v>
      </c>
      <c r="D185" t="s">
        <v>2409</v>
      </c>
    </row>
    <row r="186" spans="1:4" x14ac:dyDescent="0.3">
      <c r="A186">
        <v>71986562</v>
      </c>
      <c r="B186" t="s">
        <v>744</v>
      </c>
      <c r="C186">
        <v>1</v>
      </c>
      <c r="D186" t="s">
        <v>2409</v>
      </c>
    </row>
    <row r="187" spans="1:4" x14ac:dyDescent="0.3">
      <c r="A187" t="s">
        <v>227</v>
      </c>
      <c r="B187" t="s">
        <v>114</v>
      </c>
      <c r="C187">
        <v>2</v>
      </c>
      <c r="D187" t="s">
        <v>2409</v>
      </c>
    </row>
    <row r="188" spans="1:4" x14ac:dyDescent="0.3">
      <c r="A188" t="s">
        <v>1219</v>
      </c>
      <c r="B188" t="s">
        <v>115</v>
      </c>
      <c r="C188">
        <v>2</v>
      </c>
      <c r="D188" t="s">
        <v>2409</v>
      </c>
    </row>
    <row r="189" spans="1:4" x14ac:dyDescent="0.3">
      <c r="A189">
        <v>7198796290</v>
      </c>
      <c r="B189" t="s">
        <v>117</v>
      </c>
      <c r="C189">
        <v>4</v>
      </c>
      <c r="D189" t="s">
        <v>2409</v>
      </c>
    </row>
    <row r="190" spans="1:4" x14ac:dyDescent="0.3">
      <c r="A190" t="s">
        <v>647</v>
      </c>
      <c r="B190" t="s">
        <v>119</v>
      </c>
      <c r="C190">
        <v>1</v>
      </c>
      <c r="D190" t="s">
        <v>2409</v>
      </c>
    </row>
    <row r="191" spans="1:4" x14ac:dyDescent="0.3">
      <c r="A191" t="s">
        <v>230</v>
      </c>
      <c r="B191" t="s">
        <v>120</v>
      </c>
      <c r="C191">
        <v>1</v>
      </c>
      <c r="D191" t="s">
        <v>2409</v>
      </c>
    </row>
    <row r="192" spans="1:4" x14ac:dyDescent="0.3">
      <c r="A192">
        <v>7198916130</v>
      </c>
      <c r="B192" t="s">
        <v>121</v>
      </c>
      <c r="C192">
        <v>1</v>
      </c>
      <c r="D192" t="s">
        <v>2409</v>
      </c>
    </row>
    <row r="193" spans="1:4" x14ac:dyDescent="0.3">
      <c r="A193">
        <v>71989162</v>
      </c>
      <c r="B193" t="s">
        <v>122</v>
      </c>
      <c r="C193">
        <v>3</v>
      </c>
      <c r="D193" t="s">
        <v>2409</v>
      </c>
    </row>
    <row r="194" spans="1:4" x14ac:dyDescent="0.3">
      <c r="A194">
        <v>7198948560</v>
      </c>
      <c r="B194" t="s">
        <v>123</v>
      </c>
      <c r="C194">
        <v>3</v>
      </c>
      <c r="D194" t="s">
        <v>2409</v>
      </c>
    </row>
    <row r="195" spans="1:4" x14ac:dyDescent="0.3">
      <c r="A195">
        <v>7223686530</v>
      </c>
      <c r="B195" t="s">
        <v>124</v>
      </c>
      <c r="C195">
        <v>1</v>
      </c>
      <c r="D195" t="s">
        <v>2409</v>
      </c>
    </row>
    <row r="196" spans="1:4" x14ac:dyDescent="0.3">
      <c r="A196">
        <v>7271007030</v>
      </c>
      <c r="B196" t="s">
        <v>125</v>
      </c>
      <c r="C196">
        <v>1</v>
      </c>
      <c r="D196" t="s">
        <v>2409</v>
      </c>
    </row>
    <row r="197" spans="1:4" x14ac:dyDescent="0.3">
      <c r="A197" t="s">
        <v>843</v>
      </c>
      <c r="B197" t="s">
        <v>127</v>
      </c>
      <c r="C197">
        <v>1</v>
      </c>
      <c r="D197" t="s">
        <v>2409</v>
      </c>
    </row>
    <row r="198" spans="1:4" x14ac:dyDescent="0.3">
      <c r="A198" t="s">
        <v>1230</v>
      </c>
      <c r="B198" t="s">
        <v>130</v>
      </c>
      <c r="C198">
        <v>1</v>
      </c>
      <c r="D198" t="s">
        <v>2409</v>
      </c>
    </row>
    <row r="199" spans="1:4" x14ac:dyDescent="0.3">
      <c r="A199" t="s">
        <v>1231</v>
      </c>
      <c r="B199" t="s">
        <v>131</v>
      </c>
      <c r="C199">
        <v>1</v>
      </c>
      <c r="D199" t="s">
        <v>2409</v>
      </c>
    </row>
    <row r="200" spans="1:4" x14ac:dyDescent="0.3">
      <c r="A200">
        <v>7289896430</v>
      </c>
      <c r="B200" t="s">
        <v>132</v>
      </c>
      <c r="C200">
        <v>1</v>
      </c>
      <c r="D200" t="s">
        <v>2409</v>
      </c>
    </row>
    <row r="201" spans="1:4" x14ac:dyDescent="0.3">
      <c r="A201">
        <v>72897304</v>
      </c>
      <c r="B201" t="s">
        <v>133</v>
      </c>
      <c r="C201">
        <v>2</v>
      </c>
      <c r="D201" t="s">
        <v>2409</v>
      </c>
    </row>
    <row r="202" spans="1:4" x14ac:dyDescent="0.3">
      <c r="A202">
        <v>7297944190</v>
      </c>
      <c r="B202" t="s">
        <v>134</v>
      </c>
      <c r="C202">
        <v>2</v>
      </c>
      <c r="D202" t="s">
        <v>2409</v>
      </c>
    </row>
    <row r="203" spans="1:4" x14ac:dyDescent="0.3">
      <c r="A203">
        <v>72988085</v>
      </c>
      <c r="B203" t="s">
        <v>289</v>
      </c>
      <c r="C203">
        <v>1</v>
      </c>
      <c r="D203" t="s">
        <v>2409</v>
      </c>
    </row>
    <row r="204" spans="1:4" x14ac:dyDescent="0.3">
      <c r="A204" t="s">
        <v>236</v>
      </c>
      <c r="B204" t="s">
        <v>136</v>
      </c>
      <c r="C204">
        <v>1</v>
      </c>
      <c r="D204" t="s">
        <v>2409</v>
      </c>
    </row>
    <row r="205" spans="1:4" x14ac:dyDescent="0.3">
      <c r="A205" t="s">
        <v>591</v>
      </c>
      <c r="B205" t="s">
        <v>138</v>
      </c>
      <c r="C205">
        <v>3</v>
      </c>
      <c r="D205" t="s">
        <v>2409</v>
      </c>
    </row>
    <row r="206" spans="1:4" x14ac:dyDescent="0.3">
      <c r="A206" t="s">
        <v>238</v>
      </c>
      <c r="B206" t="s">
        <v>139</v>
      </c>
      <c r="C206">
        <v>2</v>
      </c>
      <c r="D206" t="s">
        <v>2409</v>
      </c>
    </row>
    <row r="207" spans="1:4" x14ac:dyDescent="0.3">
      <c r="A207" t="s">
        <v>239</v>
      </c>
      <c r="B207" t="s">
        <v>140</v>
      </c>
      <c r="C207">
        <v>1</v>
      </c>
      <c r="D207" t="s">
        <v>2409</v>
      </c>
    </row>
    <row r="208" spans="1:4" x14ac:dyDescent="0.3">
      <c r="A208" t="s">
        <v>240</v>
      </c>
      <c r="B208" t="s">
        <v>141</v>
      </c>
      <c r="C208">
        <v>2</v>
      </c>
      <c r="D208" t="s">
        <v>2409</v>
      </c>
    </row>
    <row r="209" spans="1:4" x14ac:dyDescent="0.3">
      <c r="A209" t="s">
        <v>241</v>
      </c>
      <c r="B209" t="s">
        <v>143</v>
      </c>
      <c r="C209">
        <v>2</v>
      </c>
      <c r="D209" t="s">
        <v>2409</v>
      </c>
    </row>
    <row r="210" spans="1:4" x14ac:dyDescent="0.3">
      <c r="A210" t="s">
        <v>242</v>
      </c>
      <c r="B210" t="s">
        <v>144</v>
      </c>
      <c r="C210">
        <v>1</v>
      </c>
      <c r="D210" t="s">
        <v>2409</v>
      </c>
    </row>
    <row r="211" spans="1:4" x14ac:dyDescent="0.3">
      <c r="A211" t="s">
        <v>845</v>
      </c>
      <c r="B211" t="s">
        <v>145</v>
      </c>
      <c r="C211">
        <v>1</v>
      </c>
      <c r="D211" t="s">
        <v>2409</v>
      </c>
    </row>
    <row r="212" spans="1:4" x14ac:dyDescent="0.3">
      <c r="A212" t="s">
        <v>243</v>
      </c>
      <c r="B212" t="s">
        <v>147</v>
      </c>
      <c r="C212">
        <v>2</v>
      </c>
      <c r="D212" t="s">
        <v>2409</v>
      </c>
    </row>
    <row r="213" spans="1:4" x14ac:dyDescent="0.3">
      <c r="A213" t="s">
        <v>244</v>
      </c>
      <c r="B213" t="s">
        <v>148</v>
      </c>
      <c r="C213">
        <v>1</v>
      </c>
      <c r="D213" t="s">
        <v>2409</v>
      </c>
    </row>
    <row r="214" spans="1:4" x14ac:dyDescent="0.3">
      <c r="A214" t="s">
        <v>245</v>
      </c>
      <c r="B214" t="s">
        <v>149</v>
      </c>
      <c r="C214">
        <v>1</v>
      </c>
      <c r="D214" t="s">
        <v>2409</v>
      </c>
    </row>
    <row r="215" spans="1:4" x14ac:dyDescent="0.3">
      <c r="A215" t="s">
        <v>246</v>
      </c>
      <c r="B215" t="s">
        <v>150</v>
      </c>
      <c r="C215">
        <v>1</v>
      </c>
      <c r="D215" t="s">
        <v>2409</v>
      </c>
    </row>
    <row r="216" spans="1:4" x14ac:dyDescent="0.3">
      <c r="A216" t="s">
        <v>247</v>
      </c>
      <c r="B216" t="s">
        <v>151</v>
      </c>
      <c r="C216">
        <v>2</v>
      </c>
      <c r="D216" t="s">
        <v>2409</v>
      </c>
    </row>
    <row r="217" spans="1:4" x14ac:dyDescent="0.3">
      <c r="A217" t="s">
        <v>248</v>
      </c>
      <c r="B217" t="s">
        <v>152</v>
      </c>
      <c r="C217">
        <v>2</v>
      </c>
      <c r="D217" t="s">
        <v>2409</v>
      </c>
    </row>
    <row r="218" spans="1:4" x14ac:dyDescent="0.3">
      <c r="A218" t="s">
        <v>249</v>
      </c>
      <c r="B218" t="s">
        <v>153</v>
      </c>
      <c r="C218">
        <v>1</v>
      </c>
      <c r="D218" t="s">
        <v>2409</v>
      </c>
    </row>
    <row r="219" spans="1:4" x14ac:dyDescent="0.3">
      <c r="A219" t="s">
        <v>250</v>
      </c>
      <c r="B219" t="s">
        <v>154</v>
      </c>
      <c r="C219">
        <v>2</v>
      </c>
      <c r="D219" t="s">
        <v>2409</v>
      </c>
    </row>
    <row r="220" spans="1:4" x14ac:dyDescent="0.3">
      <c r="A220" t="s">
        <v>251</v>
      </c>
      <c r="B220" t="s">
        <v>155</v>
      </c>
      <c r="C220">
        <v>1</v>
      </c>
      <c r="D220" t="s">
        <v>2409</v>
      </c>
    </row>
    <row r="221" spans="1:4" x14ac:dyDescent="0.3">
      <c r="A221" t="s">
        <v>656</v>
      </c>
      <c r="B221" t="s">
        <v>156</v>
      </c>
      <c r="C221">
        <v>1</v>
      </c>
      <c r="D221" t="s">
        <v>2409</v>
      </c>
    </row>
    <row r="222" spans="1:4" x14ac:dyDescent="0.3">
      <c r="A222">
        <v>7178270480</v>
      </c>
      <c r="B222" t="s">
        <v>157</v>
      </c>
      <c r="C222">
        <v>1</v>
      </c>
      <c r="D222" t="s">
        <v>2409</v>
      </c>
    </row>
    <row r="223" spans="1:4" x14ac:dyDescent="0.3">
      <c r="A223">
        <v>7075226730</v>
      </c>
      <c r="B223" t="s">
        <v>158</v>
      </c>
      <c r="C223">
        <v>1</v>
      </c>
      <c r="D223" t="s">
        <v>2409</v>
      </c>
    </row>
    <row r="224" spans="1:4" x14ac:dyDescent="0.3">
      <c r="A224" t="s">
        <v>595</v>
      </c>
      <c r="B224" t="s">
        <v>161</v>
      </c>
      <c r="C224">
        <v>1</v>
      </c>
      <c r="D224" t="s">
        <v>2409</v>
      </c>
    </row>
    <row r="225" spans="1:4" x14ac:dyDescent="0.3">
      <c r="A225" t="s">
        <v>255</v>
      </c>
      <c r="B225" t="s">
        <v>162</v>
      </c>
      <c r="C225">
        <v>1</v>
      </c>
      <c r="D225" t="s">
        <v>2409</v>
      </c>
    </row>
    <row r="226" spans="1:4" x14ac:dyDescent="0.3">
      <c r="A226" t="s">
        <v>256</v>
      </c>
      <c r="B226" t="s">
        <v>163</v>
      </c>
      <c r="C226">
        <v>1</v>
      </c>
      <c r="D226" t="s">
        <v>2409</v>
      </c>
    </row>
    <row r="227" spans="1:4" x14ac:dyDescent="0.3">
      <c r="A227">
        <v>7009741102</v>
      </c>
      <c r="B227" t="s">
        <v>164</v>
      </c>
      <c r="C227">
        <v>1</v>
      </c>
      <c r="D227" t="s">
        <v>2409</v>
      </c>
    </row>
    <row r="228" spans="1:4" x14ac:dyDescent="0.3">
      <c r="A228" t="s">
        <v>626</v>
      </c>
      <c r="B228" t="s">
        <v>169</v>
      </c>
      <c r="C228">
        <v>1</v>
      </c>
      <c r="D228" t="s">
        <v>2409</v>
      </c>
    </row>
    <row r="229" spans="1:4" x14ac:dyDescent="0.3">
      <c r="A229" t="s">
        <v>260</v>
      </c>
      <c r="B229" t="s">
        <v>170</v>
      </c>
      <c r="C229">
        <v>1</v>
      </c>
      <c r="D229" t="s">
        <v>2409</v>
      </c>
    </row>
    <row r="230" spans="1:4" x14ac:dyDescent="0.3">
      <c r="A230">
        <v>71196350</v>
      </c>
      <c r="B230" t="s">
        <v>196</v>
      </c>
      <c r="C230">
        <v>2</v>
      </c>
      <c r="D230" t="s">
        <v>2409</v>
      </c>
    </row>
    <row r="231" spans="1:4" x14ac:dyDescent="0.3">
      <c r="A231" t="s">
        <v>264</v>
      </c>
      <c r="B231" t="s">
        <v>200</v>
      </c>
      <c r="C231">
        <v>1</v>
      </c>
      <c r="D231" t="s">
        <v>2409</v>
      </c>
    </row>
    <row r="232" spans="1:4" x14ac:dyDescent="0.3">
      <c r="A232" t="s">
        <v>262</v>
      </c>
      <c r="B232" t="s">
        <v>197</v>
      </c>
      <c r="C232">
        <v>1</v>
      </c>
      <c r="D232" t="s">
        <v>2409</v>
      </c>
    </row>
    <row r="233" spans="1:4" x14ac:dyDescent="0.3">
      <c r="A233">
        <v>72186417</v>
      </c>
      <c r="B233" t="s">
        <v>204</v>
      </c>
      <c r="C233">
        <v>1</v>
      </c>
      <c r="D233" t="s">
        <v>2409</v>
      </c>
    </row>
    <row r="234" spans="1:4" x14ac:dyDescent="0.3">
      <c r="A234" t="s">
        <v>1216</v>
      </c>
      <c r="B234" t="s">
        <v>205</v>
      </c>
      <c r="C234">
        <v>1</v>
      </c>
      <c r="D234" t="s">
        <v>2409</v>
      </c>
    </row>
    <row r="235" spans="1:4" x14ac:dyDescent="0.3">
      <c r="A235" t="s">
        <v>598</v>
      </c>
      <c r="B235" t="s">
        <v>288</v>
      </c>
      <c r="C235">
        <v>2</v>
      </c>
      <c r="D235" t="s">
        <v>2409</v>
      </c>
    </row>
    <row r="236" spans="1:4" x14ac:dyDescent="0.3">
      <c r="A236" t="s">
        <v>267</v>
      </c>
      <c r="B236" t="s">
        <v>209</v>
      </c>
      <c r="C236">
        <v>1</v>
      </c>
      <c r="D236" t="s">
        <v>2409</v>
      </c>
    </row>
    <row r="237" spans="1:4" x14ac:dyDescent="0.3">
      <c r="A237">
        <v>7075226830</v>
      </c>
      <c r="B237" t="s">
        <v>275</v>
      </c>
      <c r="C237">
        <v>1</v>
      </c>
      <c r="D237" t="s">
        <v>2409</v>
      </c>
    </row>
    <row r="238" spans="1:4" x14ac:dyDescent="0.3">
      <c r="A238" t="s">
        <v>291</v>
      </c>
      <c r="B238" t="s">
        <v>296</v>
      </c>
      <c r="C238">
        <v>1</v>
      </c>
      <c r="D238" t="s">
        <v>2409</v>
      </c>
    </row>
    <row r="239" spans="1:4" x14ac:dyDescent="0.3">
      <c r="A239" t="s">
        <v>284</v>
      </c>
      <c r="B239" t="s">
        <v>276</v>
      </c>
      <c r="C239">
        <v>1</v>
      </c>
      <c r="D239" t="s">
        <v>2409</v>
      </c>
    </row>
    <row r="240" spans="1:4" x14ac:dyDescent="0.3">
      <c r="A240" t="s">
        <v>285</v>
      </c>
      <c r="B240" t="s">
        <v>292</v>
      </c>
      <c r="C240">
        <v>1</v>
      </c>
      <c r="D240" t="s">
        <v>2409</v>
      </c>
    </row>
    <row r="241" spans="1:4" x14ac:dyDescent="0.3">
      <c r="A241" t="s">
        <v>286</v>
      </c>
      <c r="B241" t="s">
        <v>277</v>
      </c>
      <c r="C241">
        <v>1</v>
      </c>
      <c r="D241" t="s">
        <v>2409</v>
      </c>
    </row>
    <row r="242" spans="1:4" x14ac:dyDescent="0.3">
      <c r="A242">
        <v>7271007230</v>
      </c>
      <c r="B242" t="s">
        <v>126</v>
      </c>
      <c r="C242">
        <v>1</v>
      </c>
      <c r="D242" t="s">
        <v>2409</v>
      </c>
    </row>
    <row r="243" spans="1:4" x14ac:dyDescent="0.3">
      <c r="A243" t="s">
        <v>557</v>
      </c>
      <c r="B243" t="s">
        <v>294</v>
      </c>
      <c r="C243">
        <v>1</v>
      </c>
      <c r="D243" t="s">
        <v>2409</v>
      </c>
    </row>
    <row r="244" spans="1:4" x14ac:dyDescent="0.3">
      <c r="A244">
        <v>7298948930</v>
      </c>
      <c r="B244" t="s">
        <v>783</v>
      </c>
      <c r="C244">
        <v>1</v>
      </c>
      <c r="D244" t="s">
        <v>2409</v>
      </c>
    </row>
    <row r="245" spans="1:4" x14ac:dyDescent="0.3">
      <c r="A245">
        <v>7119665630</v>
      </c>
      <c r="B245" t="s">
        <v>807</v>
      </c>
      <c r="C245">
        <v>1</v>
      </c>
      <c r="D245" t="s">
        <v>2409</v>
      </c>
    </row>
    <row r="246" spans="1:4" x14ac:dyDescent="0.3">
      <c r="A246">
        <v>7119637880</v>
      </c>
      <c r="B246" t="s">
        <v>808</v>
      </c>
      <c r="C246">
        <v>1</v>
      </c>
      <c r="D246" t="s">
        <v>2409</v>
      </c>
    </row>
    <row r="247" spans="1:4" x14ac:dyDescent="0.3">
      <c r="A247">
        <v>7035964930</v>
      </c>
      <c r="B247" t="s">
        <v>949</v>
      </c>
      <c r="C247">
        <v>1</v>
      </c>
      <c r="D247" t="s">
        <v>2409</v>
      </c>
    </row>
    <row r="248" spans="1:4" x14ac:dyDescent="0.3">
      <c r="A248" t="s">
        <v>602</v>
      </c>
      <c r="B248" t="s">
        <v>855</v>
      </c>
      <c r="C248">
        <v>1</v>
      </c>
      <c r="D248" t="s">
        <v>2409</v>
      </c>
    </row>
    <row r="249" spans="1:4" x14ac:dyDescent="0.3">
      <c r="A249">
        <v>7003756102</v>
      </c>
      <c r="B249" t="s">
        <v>856</v>
      </c>
      <c r="C249">
        <v>1</v>
      </c>
      <c r="D249" t="s">
        <v>2409</v>
      </c>
    </row>
    <row r="250" spans="1:4" x14ac:dyDescent="0.3">
      <c r="A250" t="s">
        <v>298</v>
      </c>
      <c r="B250" t="s">
        <v>934</v>
      </c>
      <c r="C250">
        <v>3</v>
      </c>
      <c r="D250" t="s">
        <v>2409</v>
      </c>
    </row>
    <row r="251" spans="1:4" x14ac:dyDescent="0.3">
      <c r="D251" t="s">
        <v>2409</v>
      </c>
    </row>
    <row r="252" spans="1:4" x14ac:dyDescent="0.3">
      <c r="D252" t="s">
        <v>2409</v>
      </c>
    </row>
    <row r="253" spans="1:4" x14ac:dyDescent="0.3">
      <c r="D253" t="s">
        <v>2409</v>
      </c>
    </row>
    <row r="254" spans="1:4" x14ac:dyDescent="0.3">
      <c r="D254" t="s">
        <v>2409</v>
      </c>
    </row>
    <row r="255" spans="1:4" x14ac:dyDescent="0.3">
      <c r="D255" t="s">
        <v>2409</v>
      </c>
    </row>
    <row r="256" spans="1:4" x14ac:dyDescent="0.3">
      <c r="D256" t="s">
        <v>2409</v>
      </c>
    </row>
    <row r="257" spans="4:4" x14ac:dyDescent="0.3">
      <c r="D257" t="s">
        <v>2409</v>
      </c>
    </row>
    <row r="258" spans="4:4" x14ac:dyDescent="0.3">
      <c r="D258" t="s">
        <v>2409</v>
      </c>
    </row>
    <row r="259" spans="4:4" x14ac:dyDescent="0.3">
      <c r="D259" t="s">
        <v>2409</v>
      </c>
    </row>
    <row r="260" spans="4:4" x14ac:dyDescent="0.3">
      <c r="D260" t="s">
        <v>2409</v>
      </c>
    </row>
    <row r="261" spans="4:4" x14ac:dyDescent="0.3">
      <c r="D261" t="s">
        <v>2409</v>
      </c>
    </row>
    <row r="262" spans="4:4" x14ac:dyDescent="0.3">
      <c r="D262" t="s">
        <v>2409</v>
      </c>
    </row>
    <row r="263" spans="4:4" x14ac:dyDescent="0.3">
      <c r="D263" t="s">
        <v>2409</v>
      </c>
    </row>
    <row r="264" spans="4:4" x14ac:dyDescent="0.3">
      <c r="D264" t="s">
        <v>2409</v>
      </c>
    </row>
    <row r="265" spans="4:4" x14ac:dyDescent="0.3">
      <c r="D265" t="s">
        <v>2409</v>
      </c>
    </row>
    <row r="266" spans="4:4" x14ac:dyDescent="0.3">
      <c r="D266" t="s">
        <v>2409</v>
      </c>
    </row>
    <row r="267" spans="4:4" x14ac:dyDescent="0.3">
      <c r="D267" t="s">
        <v>2409</v>
      </c>
    </row>
    <row r="268" spans="4:4" x14ac:dyDescent="0.3">
      <c r="D268" t="s">
        <v>2409</v>
      </c>
    </row>
    <row r="269" spans="4:4" x14ac:dyDescent="0.3">
      <c r="D269" t="s">
        <v>2409</v>
      </c>
    </row>
    <row r="270" spans="4:4" x14ac:dyDescent="0.3">
      <c r="D270" t="s">
        <v>2409</v>
      </c>
    </row>
    <row r="271" spans="4:4" x14ac:dyDescent="0.3">
      <c r="D271" t="s">
        <v>2409</v>
      </c>
    </row>
    <row r="272" spans="4:4" x14ac:dyDescent="0.3">
      <c r="D272" t="s">
        <v>2409</v>
      </c>
    </row>
    <row r="273" spans="4:4" x14ac:dyDescent="0.3">
      <c r="D273" t="s">
        <v>2409</v>
      </c>
    </row>
    <row r="274" spans="4:4" x14ac:dyDescent="0.3">
      <c r="D274" t="s">
        <v>2409</v>
      </c>
    </row>
    <row r="275" spans="4:4" x14ac:dyDescent="0.3">
      <c r="D275" t="s">
        <v>2409</v>
      </c>
    </row>
    <row r="276" spans="4:4" x14ac:dyDescent="0.3">
      <c r="D276" t="s">
        <v>2409</v>
      </c>
    </row>
    <row r="277" spans="4:4" x14ac:dyDescent="0.3">
      <c r="D277" t="s">
        <v>2409</v>
      </c>
    </row>
    <row r="278" spans="4:4" x14ac:dyDescent="0.3">
      <c r="D278" t="s">
        <v>2409</v>
      </c>
    </row>
    <row r="279" spans="4:4" x14ac:dyDescent="0.3">
      <c r="D279" t="s">
        <v>2409</v>
      </c>
    </row>
    <row r="280" spans="4:4" x14ac:dyDescent="0.3">
      <c r="D280" t="s">
        <v>2409</v>
      </c>
    </row>
    <row r="281" spans="4:4" x14ac:dyDescent="0.3">
      <c r="D281" t="s">
        <v>2409</v>
      </c>
    </row>
    <row r="282" spans="4:4" x14ac:dyDescent="0.3">
      <c r="D282" t="s">
        <v>2409</v>
      </c>
    </row>
    <row r="283" spans="4:4" x14ac:dyDescent="0.3">
      <c r="D283" t="s">
        <v>2409</v>
      </c>
    </row>
    <row r="284" spans="4:4" x14ac:dyDescent="0.3">
      <c r="D284" t="s">
        <v>2409</v>
      </c>
    </row>
    <row r="285" spans="4:4" x14ac:dyDescent="0.3">
      <c r="D285" t="s">
        <v>2409</v>
      </c>
    </row>
    <row r="286" spans="4:4" x14ac:dyDescent="0.3">
      <c r="D286" t="s">
        <v>2409</v>
      </c>
    </row>
    <row r="287" spans="4:4" x14ac:dyDescent="0.3">
      <c r="D287" t="s">
        <v>2409</v>
      </c>
    </row>
    <row r="288" spans="4:4" x14ac:dyDescent="0.3">
      <c r="D288" t="s">
        <v>2409</v>
      </c>
    </row>
    <row r="289" spans="4:4" x14ac:dyDescent="0.3">
      <c r="D289" t="s">
        <v>2409</v>
      </c>
    </row>
    <row r="290" spans="4:4" x14ac:dyDescent="0.3">
      <c r="D290" t="s">
        <v>2409</v>
      </c>
    </row>
    <row r="291" spans="4:4" x14ac:dyDescent="0.3">
      <c r="D291" t="s">
        <v>2409</v>
      </c>
    </row>
    <row r="292" spans="4:4" x14ac:dyDescent="0.3">
      <c r="D292" t="s">
        <v>2409</v>
      </c>
    </row>
    <row r="293" spans="4:4" x14ac:dyDescent="0.3">
      <c r="D293" t="s">
        <v>2409</v>
      </c>
    </row>
    <row r="294" spans="4:4" x14ac:dyDescent="0.3">
      <c r="D294" t="s">
        <v>2409</v>
      </c>
    </row>
    <row r="295" spans="4:4" x14ac:dyDescent="0.3">
      <c r="D295" t="s">
        <v>2409</v>
      </c>
    </row>
    <row r="296" spans="4:4" x14ac:dyDescent="0.3">
      <c r="D296" t="s">
        <v>2409</v>
      </c>
    </row>
    <row r="297" spans="4:4" x14ac:dyDescent="0.3">
      <c r="D297" t="s">
        <v>2409</v>
      </c>
    </row>
    <row r="298" spans="4:4" x14ac:dyDescent="0.3">
      <c r="D298" t="s">
        <v>2409</v>
      </c>
    </row>
    <row r="299" spans="4:4" x14ac:dyDescent="0.3">
      <c r="D299" t="s">
        <v>2409</v>
      </c>
    </row>
    <row r="300" spans="4:4" x14ac:dyDescent="0.3">
      <c r="D300" t="s">
        <v>2409</v>
      </c>
    </row>
    <row r="301" spans="4:4" x14ac:dyDescent="0.3">
      <c r="D301" t="s">
        <v>2409</v>
      </c>
    </row>
    <row r="302" spans="4:4" x14ac:dyDescent="0.3">
      <c r="D302" t="s">
        <v>2409</v>
      </c>
    </row>
    <row r="303" spans="4:4" x14ac:dyDescent="0.3">
      <c r="D303" t="s">
        <v>2409</v>
      </c>
    </row>
    <row r="304" spans="4:4" x14ac:dyDescent="0.3">
      <c r="D304" t="s">
        <v>2409</v>
      </c>
    </row>
    <row r="305" spans="4:4" x14ac:dyDescent="0.3">
      <c r="D305" t="s">
        <v>2409</v>
      </c>
    </row>
    <row r="306" spans="4:4" x14ac:dyDescent="0.3">
      <c r="D306" t="s">
        <v>2409</v>
      </c>
    </row>
    <row r="307" spans="4:4" x14ac:dyDescent="0.3">
      <c r="D307" t="s">
        <v>2409</v>
      </c>
    </row>
    <row r="308" spans="4:4" x14ac:dyDescent="0.3">
      <c r="D308" t="s">
        <v>2409</v>
      </c>
    </row>
    <row r="309" spans="4:4" x14ac:dyDescent="0.3">
      <c r="D309" t="s">
        <v>2409</v>
      </c>
    </row>
    <row r="310" spans="4:4" x14ac:dyDescent="0.3">
      <c r="D310" t="s">
        <v>2409</v>
      </c>
    </row>
    <row r="311" spans="4:4" x14ac:dyDescent="0.3">
      <c r="D311" t="s">
        <v>2409</v>
      </c>
    </row>
    <row r="312" spans="4:4" x14ac:dyDescent="0.3">
      <c r="D312" t="s">
        <v>2409</v>
      </c>
    </row>
    <row r="313" spans="4:4" x14ac:dyDescent="0.3">
      <c r="D313" t="s">
        <v>2409</v>
      </c>
    </row>
    <row r="314" spans="4:4" x14ac:dyDescent="0.3">
      <c r="D314" t="s">
        <v>2409</v>
      </c>
    </row>
    <row r="315" spans="4:4" x14ac:dyDescent="0.3">
      <c r="D315" t="s">
        <v>2409</v>
      </c>
    </row>
    <row r="316" spans="4:4" x14ac:dyDescent="0.3">
      <c r="D316" t="s">
        <v>2409</v>
      </c>
    </row>
    <row r="317" spans="4:4" x14ac:dyDescent="0.3">
      <c r="D317" t="s">
        <v>2409</v>
      </c>
    </row>
    <row r="318" spans="4:4" x14ac:dyDescent="0.3">
      <c r="D318" t="s">
        <v>2409</v>
      </c>
    </row>
    <row r="319" spans="4:4" x14ac:dyDescent="0.3">
      <c r="D319" t="s">
        <v>2409</v>
      </c>
    </row>
    <row r="320" spans="4:4" x14ac:dyDescent="0.3">
      <c r="D320" t="s">
        <v>2409</v>
      </c>
    </row>
    <row r="321" spans="4:4" x14ac:dyDescent="0.3">
      <c r="D321" t="s">
        <v>2409</v>
      </c>
    </row>
  </sheetData>
  <autoFilter ref="A1:F321" xr:uid="{8AA91AB9-9D59-4D6E-BCE2-9D95AEB8FE23}">
    <filterColumn colId="4">
      <filters blank="1"/>
    </filterColumn>
  </autoFilter>
  <conditionalFormatting sqref="A1:C1048576 E2 F151 D1:P1">
    <cfRule type="uniqueValues" dxfId="2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7994-BE47-4DA5-9BDA-0EF2A588E69E}">
  <dimension ref="A1:K133"/>
  <sheetViews>
    <sheetView workbookViewId="0">
      <selection activeCell="H27" sqref="H27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65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hidden="1" x14ac:dyDescent="0.3">
      <c r="A2">
        <v>2100</v>
      </c>
      <c r="B2" s="154" t="s">
        <v>2577</v>
      </c>
      <c r="C2" s="154" t="s">
        <v>186</v>
      </c>
      <c r="D2" s="154" t="s">
        <v>383</v>
      </c>
      <c r="E2">
        <v>25</v>
      </c>
      <c r="F2">
        <v>61</v>
      </c>
      <c r="G2">
        <v>60</v>
      </c>
      <c r="H2" s="154" t="s">
        <v>840</v>
      </c>
      <c r="I2" s="154" t="s">
        <v>840</v>
      </c>
      <c r="J2" s="154" t="s">
        <v>840</v>
      </c>
      <c r="K2" s="154" t="s">
        <v>840</v>
      </c>
    </row>
    <row r="3" spans="1:11" hidden="1" x14ac:dyDescent="0.3">
      <c r="A3">
        <v>2023</v>
      </c>
      <c r="B3" s="154" t="s">
        <v>2488</v>
      </c>
      <c r="C3" s="154" t="s">
        <v>139</v>
      </c>
      <c r="D3" s="154" t="s">
        <v>238</v>
      </c>
      <c r="E3">
        <v>7</v>
      </c>
      <c r="F3">
        <v>60</v>
      </c>
      <c r="G3">
        <v>30</v>
      </c>
      <c r="H3" s="154" t="s">
        <v>840</v>
      </c>
      <c r="I3" s="154" t="s">
        <v>840</v>
      </c>
      <c r="J3" s="154" t="s">
        <v>840</v>
      </c>
      <c r="K3" s="154" t="s">
        <v>840</v>
      </c>
    </row>
    <row r="4" spans="1:11" hidden="1" x14ac:dyDescent="0.3">
      <c r="A4">
        <v>2034</v>
      </c>
      <c r="B4" s="154" t="s">
        <v>2490</v>
      </c>
      <c r="C4" s="154" t="s">
        <v>152</v>
      </c>
      <c r="D4" s="154" t="s">
        <v>248</v>
      </c>
      <c r="E4">
        <v>7</v>
      </c>
      <c r="F4">
        <v>60</v>
      </c>
      <c r="G4">
        <v>30</v>
      </c>
      <c r="H4" s="154" t="s">
        <v>840</v>
      </c>
      <c r="I4" s="154" t="s">
        <v>840</v>
      </c>
      <c r="J4" s="154" t="s">
        <v>840</v>
      </c>
      <c r="K4" s="154" t="s">
        <v>840</v>
      </c>
    </row>
    <row r="5" spans="1:11" hidden="1" x14ac:dyDescent="0.3">
      <c r="A5">
        <v>2018</v>
      </c>
      <c r="B5" s="154" t="s">
        <v>2491</v>
      </c>
      <c r="C5" s="154" t="s">
        <v>133</v>
      </c>
      <c r="D5" s="154" t="s">
        <v>1244</v>
      </c>
      <c r="E5">
        <v>7</v>
      </c>
      <c r="F5">
        <v>60</v>
      </c>
      <c r="G5">
        <v>30</v>
      </c>
      <c r="H5" s="154" t="s">
        <v>840</v>
      </c>
      <c r="I5" s="154" t="s">
        <v>840</v>
      </c>
      <c r="J5" s="154" t="s">
        <v>840</v>
      </c>
      <c r="K5" s="154" t="s">
        <v>840</v>
      </c>
    </row>
    <row r="6" spans="1:11" hidden="1" x14ac:dyDescent="0.3">
      <c r="A6">
        <v>2021</v>
      </c>
      <c r="B6" s="154" t="s">
        <v>2492</v>
      </c>
      <c r="C6" s="154" t="s">
        <v>136</v>
      </c>
      <c r="D6" s="154" t="s">
        <v>236</v>
      </c>
      <c r="E6">
        <v>7</v>
      </c>
      <c r="F6">
        <v>60</v>
      </c>
      <c r="G6">
        <v>15</v>
      </c>
      <c r="H6" s="154" t="s">
        <v>840</v>
      </c>
      <c r="I6" s="154" t="s">
        <v>840</v>
      </c>
      <c r="J6" s="154" t="s">
        <v>840</v>
      </c>
      <c r="K6" s="154" t="s">
        <v>840</v>
      </c>
    </row>
    <row r="7" spans="1:11" hidden="1" x14ac:dyDescent="0.3">
      <c r="A7">
        <v>2039</v>
      </c>
      <c r="B7" s="154" t="s">
        <v>2493</v>
      </c>
      <c r="C7" s="154" t="s">
        <v>157</v>
      </c>
      <c r="D7" s="154" t="s">
        <v>2430</v>
      </c>
      <c r="E7">
        <v>7</v>
      </c>
      <c r="F7">
        <v>60</v>
      </c>
      <c r="G7">
        <v>15</v>
      </c>
      <c r="H7" s="154" t="s">
        <v>840</v>
      </c>
      <c r="I7" s="154" t="s">
        <v>840</v>
      </c>
      <c r="J7" s="154" t="s">
        <v>840</v>
      </c>
      <c r="K7" s="154" t="s">
        <v>840</v>
      </c>
    </row>
    <row r="8" spans="1:11" hidden="1" x14ac:dyDescent="0.3">
      <c r="A8">
        <v>2014</v>
      </c>
      <c r="B8" s="154" t="s">
        <v>2494</v>
      </c>
      <c r="C8" s="154" t="s">
        <v>127</v>
      </c>
      <c r="D8" s="154" t="s">
        <v>843</v>
      </c>
      <c r="E8">
        <v>7</v>
      </c>
      <c r="F8">
        <v>60</v>
      </c>
      <c r="G8">
        <v>15</v>
      </c>
      <c r="H8" s="154" t="s">
        <v>840</v>
      </c>
      <c r="I8" s="154" t="s">
        <v>840</v>
      </c>
      <c r="J8" s="154" t="s">
        <v>840</v>
      </c>
      <c r="K8" s="154" t="s">
        <v>840</v>
      </c>
    </row>
    <row r="9" spans="1:11" hidden="1" x14ac:dyDescent="0.3">
      <c r="A9">
        <v>2056</v>
      </c>
      <c r="B9" s="154" t="s">
        <v>2495</v>
      </c>
      <c r="C9" s="154" t="s">
        <v>276</v>
      </c>
      <c r="D9" s="154" t="s">
        <v>284</v>
      </c>
      <c r="E9">
        <v>7</v>
      </c>
      <c r="F9">
        <v>60</v>
      </c>
      <c r="G9">
        <v>15</v>
      </c>
      <c r="H9" s="154" t="s">
        <v>840</v>
      </c>
      <c r="I9" s="154" t="s">
        <v>840</v>
      </c>
      <c r="J9" s="154" t="s">
        <v>840</v>
      </c>
      <c r="K9" s="154" t="s">
        <v>840</v>
      </c>
    </row>
    <row r="10" spans="1:11" hidden="1" x14ac:dyDescent="0.3">
      <c r="A10">
        <v>2030</v>
      </c>
      <c r="B10" s="154" t="s">
        <v>2496</v>
      </c>
      <c r="C10" s="154" t="s">
        <v>148</v>
      </c>
      <c r="D10" s="154" t="s">
        <v>244</v>
      </c>
      <c r="E10">
        <v>7</v>
      </c>
      <c r="F10">
        <v>60</v>
      </c>
      <c r="G10">
        <v>15</v>
      </c>
      <c r="H10" s="154" t="s">
        <v>840</v>
      </c>
      <c r="I10" s="154" t="s">
        <v>840</v>
      </c>
      <c r="J10" s="154" t="s">
        <v>840</v>
      </c>
      <c r="K10" s="154" t="s">
        <v>840</v>
      </c>
    </row>
    <row r="11" spans="1:11" hidden="1" x14ac:dyDescent="0.3">
      <c r="A11">
        <v>2005</v>
      </c>
      <c r="B11" s="154" t="s">
        <v>2497</v>
      </c>
      <c r="C11" s="154" t="s">
        <v>115</v>
      </c>
      <c r="D11" s="154" t="s">
        <v>1219</v>
      </c>
      <c r="E11">
        <v>7</v>
      </c>
      <c r="F11">
        <v>60</v>
      </c>
      <c r="G11">
        <v>30</v>
      </c>
      <c r="H11" s="154" t="s">
        <v>840</v>
      </c>
      <c r="I11" s="154" t="s">
        <v>840</v>
      </c>
      <c r="J11" s="154" t="s">
        <v>840</v>
      </c>
      <c r="K11" s="154" t="s">
        <v>840</v>
      </c>
    </row>
    <row r="12" spans="1:11" hidden="1" x14ac:dyDescent="0.3">
      <c r="A12">
        <v>2000</v>
      </c>
      <c r="B12" s="154" t="s">
        <v>2500</v>
      </c>
      <c r="C12" s="154" t="s">
        <v>110</v>
      </c>
      <c r="D12" s="154" t="s">
        <v>224</v>
      </c>
      <c r="E12">
        <v>7</v>
      </c>
      <c r="F12">
        <v>60</v>
      </c>
      <c r="G12">
        <v>15</v>
      </c>
      <c r="H12" s="154" t="s">
        <v>840</v>
      </c>
      <c r="I12" s="154" t="s">
        <v>840</v>
      </c>
      <c r="J12" s="154" t="s">
        <v>840</v>
      </c>
      <c r="K12" s="154" t="s">
        <v>840</v>
      </c>
    </row>
    <row r="13" spans="1:11" hidden="1" x14ac:dyDescent="0.3">
      <c r="A13">
        <v>2008</v>
      </c>
      <c r="B13" s="154" t="s">
        <v>2501</v>
      </c>
      <c r="C13" s="154" t="s">
        <v>120</v>
      </c>
      <c r="D13" s="154" t="s">
        <v>230</v>
      </c>
      <c r="E13">
        <v>7</v>
      </c>
      <c r="F13">
        <v>60</v>
      </c>
      <c r="G13">
        <v>15</v>
      </c>
      <c r="H13" s="154" t="s">
        <v>840</v>
      </c>
      <c r="I13" s="154" t="s">
        <v>840</v>
      </c>
      <c r="J13" s="154" t="s">
        <v>840</v>
      </c>
      <c r="K13" s="154" t="s">
        <v>840</v>
      </c>
    </row>
    <row r="14" spans="1:11" hidden="1" x14ac:dyDescent="0.3">
      <c r="A14">
        <v>2066</v>
      </c>
      <c r="B14" s="154" t="s">
        <v>2504</v>
      </c>
      <c r="C14" s="154" t="s">
        <v>856</v>
      </c>
      <c r="D14" s="154" t="s">
        <v>1284</v>
      </c>
      <c r="E14">
        <v>7</v>
      </c>
      <c r="F14">
        <v>60</v>
      </c>
      <c r="G14">
        <v>15</v>
      </c>
      <c r="H14" s="154" t="s">
        <v>840</v>
      </c>
      <c r="I14" s="154" t="s">
        <v>840</v>
      </c>
      <c r="J14" s="154" t="s">
        <v>840</v>
      </c>
      <c r="K14" s="154" t="s">
        <v>840</v>
      </c>
    </row>
    <row r="15" spans="1:11" hidden="1" x14ac:dyDescent="0.3">
      <c r="A15">
        <v>2051</v>
      </c>
      <c r="B15" s="154" t="s">
        <v>2506</v>
      </c>
      <c r="C15" s="154" t="s">
        <v>205</v>
      </c>
      <c r="D15" s="154" t="s">
        <v>1216</v>
      </c>
      <c r="E15">
        <v>7</v>
      </c>
      <c r="F15">
        <v>60</v>
      </c>
      <c r="G15">
        <v>15</v>
      </c>
      <c r="H15" s="154" t="s">
        <v>840</v>
      </c>
      <c r="I15" s="154" t="s">
        <v>840</v>
      </c>
      <c r="J15" s="154" t="s">
        <v>840</v>
      </c>
      <c r="K15" s="154" t="s">
        <v>840</v>
      </c>
    </row>
    <row r="16" spans="1:11" hidden="1" x14ac:dyDescent="0.3">
      <c r="A16">
        <v>2099</v>
      </c>
      <c r="B16" s="154" t="s">
        <v>2578</v>
      </c>
      <c r="C16" s="154" t="s">
        <v>185</v>
      </c>
      <c r="D16" s="154" t="s">
        <v>2579</v>
      </c>
      <c r="E16">
        <v>25</v>
      </c>
      <c r="F16">
        <v>61</v>
      </c>
      <c r="G16">
        <v>15</v>
      </c>
      <c r="H16" s="154" t="s">
        <v>840</v>
      </c>
      <c r="I16" s="154" t="s">
        <v>840</v>
      </c>
      <c r="J16" s="154" t="s">
        <v>840</v>
      </c>
      <c r="K16" s="154" t="s">
        <v>840</v>
      </c>
    </row>
    <row r="17" spans="1:11" hidden="1" x14ac:dyDescent="0.3">
      <c r="A17">
        <v>2024</v>
      </c>
      <c r="B17" s="154" t="s">
        <v>2507</v>
      </c>
      <c r="C17" s="154" t="s">
        <v>140</v>
      </c>
      <c r="D17" s="154" t="s">
        <v>239</v>
      </c>
      <c r="E17">
        <v>7</v>
      </c>
      <c r="F17">
        <v>60</v>
      </c>
      <c r="G17">
        <v>15</v>
      </c>
      <c r="H17" s="154" t="s">
        <v>840</v>
      </c>
      <c r="I17" s="154" t="s">
        <v>840</v>
      </c>
      <c r="J17" s="154" t="s">
        <v>840</v>
      </c>
      <c r="K17" s="154" t="s">
        <v>840</v>
      </c>
    </row>
    <row r="18" spans="1:11" hidden="1" x14ac:dyDescent="0.3">
      <c r="A18">
        <v>2080</v>
      </c>
      <c r="B18" s="154" t="s">
        <v>2580</v>
      </c>
      <c r="C18" s="154" t="s">
        <v>89</v>
      </c>
      <c r="D18" s="154" t="s">
        <v>746</v>
      </c>
      <c r="E18">
        <v>7</v>
      </c>
      <c r="F18">
        <v>61</v>
      </c>
      <c r="G18">
        <v>15</v>
      </c>
      <c r="H18" s="154" t="s">
        <v>840</v>
      </c>
      <c r="I18" s="154" t="s">
        <v>840</v>
      </c>
      <c r="J18" s="154" t="s">
        <v>840</v>
      </c>
      <c r="K18" s="154" t="s">
        <v>840</v>
      </c>
    </row>
    <row r="19" spans="1:11" hidden="1" x14ac:dyDescent="0.3">
      <c r="A19">
        <v>2015</v>
      </c>
      <c r="B19" s="154" t="s">
        <v>2512</v>
      </c>
      <c r="C19" s="154" t="s">
        <v>130</v>
      </c>
      <c r="D19" s="154" t="s">
        <v>1230</v>
      </c>
      <c r="E19">
        <v>7</v>
      </c>
      <c r="F19">
        <v>60</v>
      </c>
      <c r="G19">
        <v>15</v>
      </c>
      <c r="H19" s="154" t="s">
        <v>840</v>
      </c>
      <c r="I19" s="154" t="s">
        <v>840</v>
      </c>
      <c r="J19" s="154" t="s">
        <v>840</v>
      </c>
      <c r="K19" s="154" t="s">
        <v>840</v>
      </c>
    </row>
    <row r="20" spans="1:11" hidden="1" x14ac:dyDescent="0.3">
      <c r="A20">
        <v>1988</v>
      </c>
      <c r="B20" s="154" t="s">
        <v>2513</v>
      </c>
      <c r="C20" s="154" t="s">
        <v>96</v>
      </c>
      <c r="D20" s="154" t="s">
        <v>217</v>
      </c>
      <c r="E20">
        <v>7</v>
      </c>
      <c r="F20">
        <v>60</v>
      </c>
      <c r="G20">
        <v>30</v>
      </c>
      <c r="H20" s="154" t="s">
        <v>840</v>
      </c>
      <c r="I20" s="154" t="s">
        <v>840</v>
      </c>
      <c r="J20" s="154" t="s">
        <v>840</v>
      </c>
      <c r="K20" s="154" t="s">
        <v>840</v>
      </c>
    </row>
    <row r="21" spans="1:11" hidden="1" x14ac:dyDescent="0.3">
      <c r="A21">
        <v>2025</v>
      </c>
      <c r="B21" s="154" t="s">
        <v>2514</v>
      </c>
      <c r="C21" s="154" t="s">
        <v>141</v>
      </c>
      <c r="D21" s="154" t="s">
        <v>240</v>
      </c>
      <c r="E21">
        <v>7</v>
      </c>
      <c r="F21">
        <v>60</v>
      </c>
      <c r="G21">
        <v>30</v>
      </c>
      <c r="H21" s="154" t="s">
        <v>840</v>
      </c>
      <c r="I21" s="154" t="s">
        <v>840</v>
      </c>
      <c r="J21" s="154" t="s">
        <v>840</v>
      </c>
      <c r="K21" s="154" t="s">
        <v>840</v>
      </c>
    </row>
    <row r="22" spans="1:11" hidden="1" x14ac:dyDescent="0.3">
      <c r="A22">
        <v>2105</v>
      </c>
      <c r="B22" s="154" t="s">
        <v>2581</v>
      </c>
      <c r="C22" s="154" t="s">
        <v>1349</v>
      </c>
      <c r="D22" s="154" t="s">
        <v>394</v>
      </c>
      <c r="E22">
        <v>25</v>
      </c>
      <c r="F22">
        <v>61</v>
      </c>
      <c r="G22">
        <v>300</v>
      </c>
      <c r="H22" s="154" t="s">
        <v>840</v>
      </c>
      <c r="I22" s="154" t="s">
        <v>840</v>
      </c>
      <c r="J22" s="154" t="s">
        <v>840</v>
      </c>
      <c r="K22" s="154" t="s">
        <v>840</v>
      </c>
    </row>
    <row r="23" spans="1:11" hidden="1" x14ac:dyDescent="0.3">
      <c r="A23">
        <v>2053</v>
      </c>
      <c r="B23" s="154" t="s">
        <v>2517</v>
      </c>
      <c r="C23" s="154" t="s">
        <v>209</v>
      </c>
      <c r="D23" s="154" t="s">
        <v>267</v>
      </c>
      <c r="E23">
        <v>7</v>
      </c>
      <c r="F23">
        <v>60</v>
      </c>
      <c r="G23">
        <v>15</v>
      </c>
      <c r="H23" s="154" t="s">
        <v>840</v>
      </c>
      <c r="I23" s="154" t="s">
        <v>840</v>
      </c>
      <c r="J23" s="154" t="s">
        <v>840</v>
      </c>
      <c r="K23" s="154" t="s">
        <v>840</v>
      </c>
    </row>
    <row r="24" spans="1:11" hidden="1" x14ac:dyDescent="0.3">
      <c r="A24">
        <v>2060</v>
      </c>
      <c r="B24" s="154" t="s">
        <v>2518</v>
      </c>
      <c r="C24" s="154" t="s">
        <v>294</v>
      </c>
      <c r="D24" s="154" t="s">
        <v>557</v>
      </c>
      <c r="E24">
        <v>7</v>
      </c>
      <c r="F24">
        <v>60</v>
      </c>
      <c r="G24">
        <v>15</v>
      </c>
      <c r="H24" s="154" t="s">
        <v>840</v>
      </c>
      <c r="I24" s="154" t="s">
        <v>840</v>
      </c>
      <c r="J24" s="154" t="s">
        <v>840</v>
      </c>
      <c r="K24" s="154" t="s">
        <v>840</v>
      </c>
    </row>
    <row r="25" spans="1:11" hidden="1" x14ac:dyDescent="0.3">
      <c r="A25">
        <v>2003</v>
      </c>
      <c r="B25" s="154" t="s">
        <v>2519</v>
      </c>
      <c r="C25" s="154" t="s">
        <v>744</v>
      </c>
      <c r="D25" s="154" t="s">
        <v>334</v>
      </c>
      <c r="E25">
        <v>7</v>
      </c>
      <c r="F25">
        <v>60</v>
      </c>
      <c r="G25">
        <v>15</v>
      </c>
      <c r="H25" s="154" t="s">
        <v>840</v>
      </c>
      <c r="I25" s="154" t="s">
        <v>840</v>
      </c>
      <c r="J25" s="154" t="s">
        <v>840</v>
      </c>
      <c r="K25" s="154" t="s">
        <v>840</v>
      </c>
    </row>
    <row r="26" spans="1:11" hidden="1" x14ac:dyDescent="0.3">
      <c r="A26">
        <v>2082</v>
      </c>
      <c r="B26" s="154" t="s">
        <v>2582</v>
      </c>
      <c r="C26" s="154" t="s">
        <v>116</v>
      </c>
      <c r="D26" s="154" t="s">
        <v>1220</v>
      </c>
      <c r="E26">
        <v>7</v>
      </c>
      <c r="F26">
        <v>61</v>
      </c>
      <c r="G26">
        <v>30</v>
      </c>
      <c r="H26" s="154" t="s">
        <v>840</v>
      </c>
      <c r="I26" s="154" t="s">
        <v>840</v>
      </c>
      <c r="J26" s="154" t="s">
        <v>840</v>
      </c>
      <c r="K26" s="154" t="s">
        <v>840</v>
      </c>
    </row>
    <row r="27" spans="1:11" hidden="1" x14ac:dyDescent="0.3">
      <c r="A27">
        <v>2064</v>
      </c>
      <c r="B27" s="154" t="s">
        <v>2526</v>
      </c>
      <c r="C27" s="154" t="s">
        <v>949</v>
      </c>
      <c r="D27" s="154" t="s">
        <v>1769</v>
      </c>
      <c r="E27">
        <v>7</v>
      </c>
      <c r="F27">
        <v>60</v>
      </c>
      <c r="G27">
        <v>15</v>
      </c>
      <c r="H27" s="154" t="s">
        <v>840</v>
      </c>
      <c r="I27" s="154" t="s">
        <v>840</v>
      </c>
      <c r="J27" s="154" t="s">
        <v>840</v>
      </c>
      <c r="K27" s="154" t="s">
        <v>840</v>
      </c>
    </row>
    <row r="28" spans="1:11" hidden="1" x14ac:dyDescent="0.3">
      <c r="A28">
        <v>2086</v>
      </c>
      <c r="B28" s="154" t="s">
        <v>2583</v>
      </c>
      <c r="C28" s="154" t="s">
        <v>146</v>
      </c>
      <c r="D28" s="154" t="s">
        <v>846</v>
      </c>
      <c r="E28">
        <v>7</v>
      </c>
      <c r="F28">
        <v>61</v>
      </c>
      <c r="G28">
        <v>15</v>
      </c>
      <c r="H28" s="154" t="s">
        <v>840</v>
      </c>
      <c r="I28" s="154" t="s">
        <v>840</v>
      </c>
      <c r="J28" s="154" t="s">
        <v>840</v>
      </c>
      <c r="K28" s="154" t="s">
        <v>840</v>
      </c>
    </row>
    <row r="29" spans="1:11" hidden="1" x14ac:dyDescent="0.3">
      <c r="A29">
        <v>1990</v>
      </c>
      <c r="B29" s="154" t="s">
        <v>2533</v>
      </c>
      <c r="C29" s="154" t="s">
        <v>98</v>
      </c>
      <c r="D29" s="154" t="s">
        <v>218</v>
      </c>
      <c r="E29">
        <v>7</v>
      </c>
      <c r="F29">
        <v>60</v>
      </c>
      <c r="G29">
        <v>15</v>
      </c>
      <c r="H29" s="154" t="s">
        <v>840</v>
      </c>
      <c r="I29" s="154" t="s">
        <v>840</v>
      </c>
      <c r="J29" s="154" t="s">
        <v>840</v>
      </c>
      <c r="K29" s="154" t="s">
        <v>840</v>
      </c>
    </row>
    <row r="30" spans="1:11" hidden="1" x14ac:dyDescent="0.3">
      <c r="A30">
        <v>2058</v>
      </c>
      <c r="B30" s="154" t="s">
        <v>2534</v>
      </c>
      <c r="C30" s="154" t="s">
        <v>277</v>
      </c>
      <c r="D30" s="154" t="s">
        <v>286</v>
      </c>
      <c r="E30">
        <v>7</v>
      </c>
      <c r="F30">
        <v>60</v>
      </c>
      <c r="G30">
        <v>15</v>
      </c>
      <c r="H30" s="154" t="s">
        <v>840</v>
      </c>
      <c r="I30" s="154" t="s">
        <v>840</v>
      </c>
      <c r="J30" s="154" t="s">
        <v>840</v>
      </c>
      <c r="K30" s="154" t="s">
        <v>840</v>
      </c>
    </row>
    <row r="31" spans="1:11" hidden="1" x14ac:dyDescent="0.3">
      <c r="A31">
        <v>2112</v>
      </c>
      <c r="B31" s="154" t="s">
        <v>2584</v>
      </c>
      <c r="C31" s="154" t="s">
        <v>2576</v>
      </c>
      <c r="D31" s="154" t="s">
        <v>2585</v>
      </c>
      <c r="E31">
        <v>7</v>
      </c>
      <c r="F31">
        <v>61</v>
      </c>
      <c r="G31">
        <v>30</v>
      </c>
      <c r="H31" s="154" t="s">
        <v>840</v>
      </c>
      <c r="I31" s="154" t="s">
        <v>840</v>
      </c>
      <c r="J31" s="154" t="s">
        <v>840</v>
      </c>
      <c r="K31" s="154" t="s">
        <v>840</v>
      </c>
    </row>
    <row r="32" spans="1:11" hidden="1" x14ac:dyDescent="0.3">
      <c r="A32">
        <v>2057</v>
      </c>
      <c r="B32" s="154" t="s">
        <v>2535</v>
      </c>
      <c r="C32" s="154" t="s">
        <v>292</v>
      </c>
      <c r="D32" s="154" t="s">
        <v>285</v>
      </c>
      <c r="E32">
        <v>7</v>
      </c>
      <c r="F32">
        <v>60</v>
      </c>
      <c r="G32">
        <v>15</v>
      </c>
      <c r="H32" s="154" t="s">
        <v>840</v>
      </c>
      <c r="I32" s="154" t="s">
        <v>840</v>
      </c>
      <c r="J32" s="154" t="s">
        <v>840</v>
      </c>
      <c r="K32" s="154" t="s">
        <v>840</v>
      </c>
    </row>
    <row r="33" spans="1:11" hidden="1" x14ac:dyDescent="0.3">
      <c r="A33">
        <v>1982</v>
      </c>
      <c r="B33" s="154" t="s">
        <v>2538</v>
      </c>
      <c r="C33" s="154" t="s">
        <v>88</v>
      </c>
      <c r="D33" s="154" t="s">
        <v>2539</v>
      </c>
      <c r="E33">
        <v>7</v>
      </c>
      <c r="F33">
        <v>60</v>
      </c>
      <c r="G33">
        <v>15</v>
      </c>
      <c r="H33" s="154" t="s">
        <v>840</v>
      </c>
      <c r="I33" s="154" t="s">
        <v>840</v>
      </c>
      <c r="J33" s="154" t="s">
        <v>840</v>
      </c>
      <c r="K33" s="154" t="s">
        <v>840</v>
      </c>
    </row>
    <row r="34" spans="1:11" hidden="1" x14ac:dyDescent="0.3">
      <c r="A34">
        <v>2102</v>
      </c>
      <c r="B34" s="154" t="s">
        <v>2586</v>
      </c>
      <c r="C34" s="154" t="s">
        <v>188</v>
      </c>
      <c r="D34" s="154" t="s">
        <v>1853</v>
      </c>
      <c r="E34">
        <v>25</v>
      </c>
      <c r="F34">
        <v>61</v>
      </c>
      <c r="G34">
        <v>45</v>
      </c>
      <c r="H34" s="154" t="s">
        <v>840</v>
      </c>
      <c r="I34" s="154" t="s">
        <v>840</v>
      </c>
      <c r="J34" s="154" t="s">
        <v>840</v>
      </c>
      <c r="K34" s="154" t="s">
        <v>840</v>
      </c>
    </row>
    <row r="35" spans="1:11" hidden="1" x14ac:dyDescent="0.3">
      <c r="A35">
        <v>1978</v>
      </c>
      <c r="B35" s="154" t="s">
        <v>2543</v>
      </c>
      <c r="C35" s="154" t="s">
        <v>84</v>
      </c>
      <c r="D35" s="154" t="s">
        <v>1251</v>
      </c>
      <c r="E35">
        <v>7</v>
      </c>
      <c r="F35">
        <v>60</v>
      </c>
      <c r="G35">
        <v>15</v>
      </c>
      <c r="H35" s="154" t="s">
        <v>840</v>
      </c>
      <c r="I35" s="154" t="s">
        <v>840</v>
      </c>
      <c r="J35" s="154" t="s">
        <v>840</v>
      </c>
      <c r="K35" s="154" t="s">
        <v>840</v>
      </c>
    </row>
    <row r="36" spans="1:11" hidden="1" x14ac:dyDescent="0.3">
      <c r="A36">
        <v>1986</v>
      </c>
      <c r="B36" s="154" t="s">
        <v>2544</v>
      </c>
      <c r="C36" s="154" t="s">
        <v>94</v>
      </c>
      <c r="D36" s="154" t="s">
        <v>216</v>
      </c>
      <c r="E36">
        <v>7</v>
      </c>
      <c r="F36">
        <v>60</v>
      </c>
      <c r="G36">
        <v>15</v>
      </c>
      <c r="H36" s="154" t="s">
        <v>840</v>
      </c>
      <c r="I36" s="154" t="s">
        <v>840</v>
      </c>
      <c r="J36" s="154" t="s">
        <v>840</v>
      </c>
      <c r="K36" s="154" t="s">
        <v>840</v>
      </c>
    </row>
    <row r="37" spans="1:11" hidden="1" x14ac:dyDescent="0.3">
      <c r="A37">
        <v>2091</v>
      </c>
      <c r="B37" s="154" t="s">
        <v>2587</v>
      </c>
      <c r="C37" s="154" t="s">
        <v>175</v>
      </c>
      <c r="D37" s="154" t="s">
        <v>369</v>
      </c>
      <c r="E37">
        <v>25</v>
      </c>
      <c r="F37">
        <v>61</v>
      </c>
      <c r="G37">
        <v>30</v>
      </c>
      <c r="H37" s="154" t="s">
        <v>840</v>
      </c>
      <c r="I37" s="154" t="s">
        <v>840</v>
      </c>
      <c r="J37" s="154" t="s">
        <v>840</v>
      </c>
      <c r="K37" s="154" t="s">
        <v>840</v>
      </c>
    </row>
    <row r="38" spans="1:11" hidden="1" x14ac:dyDescent="0.3">
      <c r="A38">
        <v>2111</v>
      </c>
      <c r="B38" s="154" t="s">
        <v>2588</v>
      </c>
      <c r="C38" s="154" t="s">
        <v>2574</v>
      </c>
      <c r="D38" s="154" t="s">
        <v>2589</v>
      </c>
      <c r="E38">
        <v>7</v>
      </c>
      <c r="F38">
        <v>61</v>
      </c>
      <c r="G38">
        <v>15</v>
      </c>
      <c r="H38" s="154" t="s">
        <v>840</v>
      </c>
      <c r="I38" s="154" t="s">
        <v>840</v>
      </c>
      <c r="J38" s="154" t="s">
        <v>840</v>
      </c>
      <c r="K38" s="154" t="s">
        <v>840</v>
      </c>
    </row>
    <row r="39" spans="1:11" hidden="1" x14ac:dyDescent="0.3">
      <c r="A39">
        <v>2104</v>
      </c>
      <c r="B39" s="154" t="s">
        <v>2590</v>
      </c>
      <c r="C39" s="154" t="s">
        <v>190</v>
      </c>
      <c r="D39" s="154" t="s">
        <v>390</v>
      </c>
      <c r="E39">
        <v>25</v>
      </c>
      <c r="F39">
        <v>61</v>
      </c>
      <c r="G39">
        <v>15</v>
      </c>
      <c r="H39" s="154" t="s">
        <v>840</v>
      </c>
      <c r="I39" s="154" t="s">
        <v>840</v>
      </c>
      <c r="J39" s="154" t="s">
        <v>840</v>
      </c>
      <c r="K39" s="154" t="s">
        <v>840</v>
      </c>
    </row>
    <row r="40" spans="1:11" hidden="1" x14ac:dyDescent="0.3">
      <c r="A40">
        <v>2085</v>
      </c>
      <c r="B40" s="154" t="s">
        <v>2591</v>
      </c>
      <c r="C40" s="154" t="s">
        <v>142</v>
      </c>
      <c r="D40" s="154" t="s">
        <v>844</v>
      </c>
      <c r="E40">
        <v>7</v>
      </c>
      <c r="F40">
        <v>61</v>
      </c>
      <c r="G40">
        <v>30</v>
      </c>
      <c r="H40" s="154" t="s">
        <v>840</v>
      </c>
      <c r="I40" s="154" t="s">
        <v>840</v>
      </c>
      <c r="J40" s="154" t="s">
        <v>840</v>
      </c>
      <c r="K40" s="154" t="s">
        <v>840</v>
      </c>
    </row>
    <row r="41" spans="1:11" hidden="1" x14ac:dyDescent="0.3">
      <c r="A41">
        <v>2047</v>
      </c>
      <c r="B41" s="154" t="s">
        <v>2547</v>
      </c>
      <c r="C41" s="154" t="s">
        <v>196</v>
      </c>
      <c r="D41" s="154" t="s">
        <v>2548</v>
      </c>
      <c r="E41">
        <v>7</v>
      </c>
      <c r="F41">
        <v>60</v>
      </c>
      <c r="G41">
        <v>30</v>
      </c>
      <c r="H41" s="154" t="s">
        <v>840</v>
      </c>
      <c r="I41" s="154" t="s">
        <v>840</v>
      </c>
      <c r="J41" s="154" t="s">
        <v>840</v>
      </c>
      <c r="K41" s="154" t="s">
        <v>840</v>
      </c>
    </row>
    <row r="42" spans="1:11" hidden="1" x14ac:dyDescent="0.3">
      <c r="A42">
        <v>1989</v>
      </c>
      <c r="B42" s="154" t="s">
        <v>2550</v>
      </c>
      <c r="C42" s="154" t="s">
        <v>97</v>
      </c>
      <c r="D42" s="154" t="s">
        <v>322</v>
      </c>
      <c r="E42">
        <v>7</v>
      </c>
      <c r="F42">
        <v>60</v>
      </c>
      <c r="G42">
        <v>30</v>
      </c>
      <c r="H42" s="154" t="s">
        <v>840</v>
      </c>
      <c r="I42" s="154" t="s">
        <v>840</v>
      </c>
      <c r="J42" s="154" t="s">
        <v>840</v>
      </c>
      <c r="K42" s="154" t="s">
        <v>840</v>
      </c>
    </row>
    <row r="43" spans="1:11" hidden="1" x14ac:dyDescent="0.3">
      <c r="A43">
        <v>2061</v>
      </c>
      <c r="B43" s="154" t="s">
        <v>2553</v>
      </c>
      <c r="C43" s="154" t="s">
        <v>783</v>
      </c>
      <c r="D43" s="154" t="s">
        <v>2227</v>
      </c>
      <c r="E43">
        <v>7</v>
      </c>
      <c r="F43">
        <v>60</v>
      </c>
      <c r="G43">
        <v>15</v>
      </c>
      <c r="H43" s="154" t="s">
        <v>840</v>
      </c>
      <c r="I43" s="154" t="s">
        <v>840</v>
      </c>
      <c r="J43" s="154" t="s">
        <v>840</v>
      </c>
      <c r="K43" s="154" t="s">
        <v>840</v>
      </c>
    </row>
    <row r="44" spans="1:11" hidden="1" x14ac:dyDescent="0.3">
      <c r="A44">
        <v>2038</v>
      </c>
      <c r="B44" s="154" t="s">
        <v>2555</v>
      </c>
      <c r="C44" s="154" t="s">
        <v>156</v>
      </c>
      <c r="D44" s="154" t="s">
        <v>656</v>
      </c>
      <c r="E44">
        <v>7</v>
      </c>
      <c r="F44">
        <v>60</v>
      </c>
      <c r="G44">
        <v>15</v>
      </c>
      <c r="H44" s="154" t="s">
        <v>840</v>
      </c>
      <c r="I44" s="154" t="s">
        <v>840</v>
      </c>
      <c r="J44" s="154" t="s">
        <v>840</v>
      </c>
      <c r="K44" s="154" t="s">
        <v>840</v>
      </c>
    </row>
    <row r="45" spans="1:11" hidden="1" x14ac:dyDescent="0.3">
      <c r="A45">
        <v>2081</v>
      </c>
      <c r="B45" s="154" t="s">
        <v>2592</v>
      </c>
      <c r="C45" s="154" t="s">
        <v>745</v>
      </c>
      <c r="D45" s="154" t="s">
        <v>1217</v>
      </c>
      <c r="E45">
        <v>7</v>
      </c>
      <c r="F45">
        <v>61</v>
      </c>
      <c r="G45">
        <v>15</v>
      </c>
      <c r="H45" s="154" t="s">
        <v>840</v>
      </c>
      <c r="I45" s="154" t="s">
        <v>840</v>
      </c>
      <c r="J45" s="154" t="s">
        <v>840</v>
      </c>
      <c r="K45" s="154" t="s">
        <v>840</v>
      </c>
    </row>
    <row r="46" spans="1:11" hidden="1" x14ac:dyDescent="0.3">
      <c r="A46">
        <v>2103</v>
      </c>
      <c r="B46" s="154" t="s">
        <v>2593</v>
      </c>
      <c r="C46" s="154" t="s">
        <v>189</v>
      </c>
      <c r="D46" s="154" t="s">
        <v>388</v>
      </c>
      <c r="E46">
        <v>25</v>
      </c>
      <c r="F46">
        <v>61</v>
      </c>
      <c r="G46">
        <v>30</v>
      </c>
      <c r="H46" s="154" t="s">
        <v>840</v>
      </c>
      <c r="I46" s="154" t="s">
        <v>840</v>
      </c>
      <c r="J46" s="154" t="s">
        <v>840</v>
      </c>
      <c r="K46" s="154" t="s">
        <v>840</v>
      </c>
    </row>
    <row r="47" spans="1:11" hidden="1" x14ac:dyDescent="0.3">
      <c r="A47">
        <v>2052</v>
      </c>
      <c r="B47" s="154" t="s">
        <v>2557</v>
      </c>
      <c r="C47" s="154" t="s">
        <v>288</v>
      </c>
      <c r="D47" s="154" t="s">
        <v>598</v>
      </c>
      <c r="E47">
        <v>7</v>
      </c>
      <c r="F47">
        <v>60</v>
      </c>
      <c r="G47">
        <v>30</v>
      </c>
      <c r="H47" s="154" t="s">
        <v>840</v>
      </c>
      <c r="I47" s="154" t="s">
        <v>840</v>
      </c>
      <c r="J47" s="154" t="s">
        <v>840</v>
      </c>
      <c r="K47" s="154" t="s">
        <v>840</v>
      </c>
    </row>
    <row r="48" spans="1:11" hidden="1" x14ac:dyDescent="0.3">
      <c r="A48">
        <v>2088</v>
      </c>
      <c r="B48" s="154" t="s">
        <v>2594</v>
      </c>
      <c r="C48" s="154" t="s">
        <v>1332</v>
      </c>
      <c r="D48" s="154" t="s">
        <v>365</v>
      </c>
      <c r="E48">
        <v>25</v>
      </c>
      <c r="F48">
        <v>61</v>
      </c>
      <c r="G48">
        <v>285</v>
      </c>
      <c r="H48" s="154" t="s">
        <v>840</v>
      </c>
      <c r="I48" s="154" t="s">
        <v>840</v>
      </c>
      <c r="J48" s="154" t="s">
        <v>840</v>
      </c>
      <c r="K48" s="154" t="s">
        <v>840</v>
      </c>
    </row>
    <row r="49" spans="1:11" hidden="1" x14ac:dyDescent="0.3">
      <c r="A49">
        <v>2096</v>
      </c>
      <c r="B49" s="154" t="s">
        <v>2595</v>
      </c>
      <c r="C49" s="154" t="s">
        <v>181</v>
      </c>
      <c r="D49" s="154" t="s">
        <v>1826</v>
      </c>
      <c r="E49">
        <v>25</v>
      </c>
      <c r="F49">
        <v>61</v>
      </c>
      <c r="G49">
        <v>15</v>
      </c>
      <c r="H49" s="154" t="s">
        <v>840</v>
      </c>
      <c r="I49" s="154" t="s">
        <v>840</v>
      </c>
      <c r="J49" s="154" t="s">
        <v>840</v>
      </c>
      <c r="K49" s="154" t="s">
        <v>840</v>
      </c>
    </row>
    <row r="50" spans="1:11" hidden="1" x14ac:dyDescent="0.3">
      <c r="A50">
        <v>1993</v>
      </c>
      <c r="B50" s="154" t="s">
        <v>2561</v>
      </c>
      <c r="C50" s="154" t="s">
        <v>102</v>
      </c>
      <c r="D50" s="154" t="s">
        <v>1234</v>
      </c>
      <c r="E50">
        <v>7</v>
      </c>
      <c r="F50">
        <v>60</v>
      </c>
      <c r="G50">
        <v>15</v>
      </c>
      <c r="H50" s="154" t="s">
        <v>840</v>
      </c>
      <c r="I50" s="154" t="s">
        <v>840</v>
      </c>
      <c r="J50" s="154" t="s">
        <v>840</v>
      </c>
      <c r="K50" s="154" t="s">
        <v>840</v>
      </c>
    </row>
    <row r="51" spans="1:11" hidden="1" x14ac:dyDescent="0.3">
      <c r="A51">
        <v>2078</v>
      </c>
      <c r="B51" s="154" t="s">
        <v>2596</v>
      </c>
      <c r="C51" s="154" t="s">
        <v>80</v>
      </c>
      <c r="D51" s="154" t="s">
        <v>514</v>
      </c>
      <c r="E51">
        <v>7</v>
      </c>
      <c r="F51">
        <v>61</v>
      </c>
      <c r="G51">
        <v>15</v>
      </c>
      <c r="H51" s="154" t="s">
        <v>840</v>
      </c>
      <c r="I51" s="154" t="s">
        <v>840</v>
      </c>
      <c r="J51" s="154" t="s">
        <v>840</v>
      </c>
      <c r="K51" s="154" t="s">
        <v>840</v>
      </c>
    </row>
    <row r="52" spans="1:11" hidden="1" x14ac:dyDescent="0.3">
      <c r="A52">
        <v>2001</v>
      </c>
      <c r="B52" s="154" t="s">
        <v>2566</v>
      </c>
      <c r="C52" s="154" t="s">
        <v>111</v>
      </c>
      <c r="D52" s="154" t="s">
        <v>225</v>
      </c>
      <c r="E52">
        <v>7</v>
      </c>
      <c r="F52">
        <v>60</v>
      </c>
      <c r="G52">
        <v>15</v>
      </c>
      <c r="H52" s="154" t="s">
        <v>840</v>
      </c>
      <c r="I52" s="154" t="s">
        <v>840</v>
      </c>
      <c r="J52" s="154" t="s">
        <v>840</v>
      </c>
      <c r="K52" s="154" t="s">
        <v>840</v>
      </c>
    </row>
    <row r="53" spans="1:11" hidden="1" x14ac:dyDescent="0.3">
      <c r="A53">
        <v>1974</v>
      </c>
      <c r="B53" s="154" t="s">
        <v>2567</v>
      </c>
      <c r="C53" s="154" t="s">
        <v>78</v>
      </c>
      <c r="D53" s="154" t="s">
        <v>1247</v>
      </c>
      <c r="E53">
        <v>7</v>
      </c>
      <c r="F53">
        <v>60</v>
      </c>
      <c r="G53">
        <v>30</v>
      </c>
      <c r="H53" s="154" t="s">
        <v>840</v>
      </c>
      <c r="I53" s="154" t="s">
        <v>840</v>
      </c>
      <c r="J53" s="154" t="s">
        <v>840</v>
      </c>
      <c r="K53" s="154" t="s">
        <v>840</v>
      </c>
    </row>
    <row r="54" spans="1:11" hidden="1" x14ac:dyDescent="0.3">
      <c r="A54">
        <v>2049</v>
      </c>
      <c r="B54" s="154" t="s">
        <v>2568</v>
      </c>
      <c r="C54" s="154" t="s">
        <v>197</v>
      </c>
      <c r="D54" s="154" t="s">
        <v>262</v>
      </c>
      <c r="E54">
        <v>7</v>
      </c>
      <c r="F54">
        <v>60</v>
      </c>
      <c r="G54">
        <v>15</v>
      </c>
      <c r="H54" s="154" t="s">
        <v>840</v>
      </c>
      <c r="I54" s="154" t="s">
        <v>840</v>
      </c>
      <c r="J54" s="154" t="s">
        <v>840</v>
      </c>
      <c r="K54" s="154" t="s">
        <v>840</v>
      </c>
    </row>
    <row r="55" spans="1:11" hidden="1" x14ac:dyDescent="0.3">
      <c r="A55">
        <v>2108</v>
      </c>
      <c r="B55" s="154" t="s">
        <v>2597</v>
      </c>
      <c r="C55" s="154" t="s">
        <v>202</v>
      </c>
      <c r="D55" s="154" t="s">
        <v>2598</v>
      </c>
      <c r="E55">
        <v>7</v>
      </c>
      <c r="F55">
        <v>61</v>
      </c>
      <c r="G55">
        <v>15</v>
      </c>
      <c r="H55" s="154" t="s">
        <v>840</v>
      </c>
      <c r="I55" s="154" t="s">
        <v>840</v>
      </c>
      <c r="J55" s="154" t="s">
        <v>840</v>
      </c>
      <c r="K55" s="154" t="s">
        <v>840</v>
      </c>
    </row>
    <row r="56" spans="1:11" hidden="1" x14ac:dyDescent="0.3">
      <c r="A56">
        <v>2097</v>
      </c>
      <c r="B56" s="154" t="s">
        <v>2599</v>
      </c>
      <c r="C56" s="154" t="s">
        <v>182</v>
      </c>
      <c r="D56" s="154" t="s">
        <v>378</v>
      </c>
      <c r="E56">
        <v>25</v>
      </c>
      <c r="F56">
        <v>61</v>
      </c>
      <c r="G56">
        <v>15</v>
      </c>
      <c r="H56" s="154" t="s">
        <v>840</v>
      </c>
      <c r="I56" s="154" t="s">
        <v>840</v>
      </c>
      <c r="J56" s="154" t="s">
        <v>840</v>
      </c>
      <c r="K56" s="154" t="s">
        <v>840</v>
      </c>
    </row>
    <row r="57" spans="1:11" hidden="1" x14ac:dyDescent="0.3">
      <c r="A57">
        <v>2055</v>
      </c>
      <c r="B57" s="154" t="s">
        <v>2463</v>
      </c>
      <c r="C57" s="154" t="s">
        <v>296</v>
      </c>
      <c r="D57" s="154" t="s">
        <v>291</v>
      </c>
      <c r="E57">
        <v>7</v>
      </c>
      <c r="F57">
        <v>60</v>
      </c>
      <c r="G57">
        <v>15</v>
      </c>
      <c r="H57" s="154" t="s">
        <v>840</v>
      </c>
      <c r="I57" s="154" t="s">
        <v>840</v>
      </c>
      <c r="J57" s="154" t="s">
        <v>840</v>
      </c>
      <c r="K57" s="154" t="s">
        <v>840</v>
      </c>
    </row>
    <row r="58" spans="1:11" hidden="1" x14ac:dyDescent="0.3">
      <c r="A58">
        <v>2002</v>
      </c>
      <c r="B58" s="154" t="s">
        <v>2464</v>
      </c>
      <c r="C58" s="154" t="s">
        <v>113</v>
      </c>
      <c r="D58" s="154" t="s">
        <v>1218</v>
      </c>
      <c r="E58">
        <v>7</v>
      </c>
      <c r="F58">
        <v>60</v>
      </c>
      <c r="G58">
        <v>30</v>
      </c>
      <c r="H58" s="154" t="s">
        <v>840</v>
      </c>
      <c r="I58" s="154" t="s">
        <v>840</v>
      </c>
      <c r="J58" s="154" t="s">
        <v>840</v>
      </c>
      <c r="K58" s="154" t="s">
        <v>840</v>
      </c>
    </row>
    <row r="59" spans="1:11" hidden="1" x14ac:dyDescent="0.3">
      <c r="A59">
        <v>2093</v>
      </c>
      <c r="B59" s="154" t="s">
        <v>2600</v>
      </c>
      <c r="C59" s="154" t="s">
        <v>177</v>
      </c>
      <c r="D59" s="154" t="s">
        <v>372</v>
      </c>
      <c r="E59">
        <v>25</v>
      </c>
      <c r="F59">
        <v>61</v>
      </c>
      <c r="G59">
        <v>150</v>
      </c>
      <c r="H59" s="154" t="s">
        <v>840</v>
      </c>
      <c r="I59" s="154" t="s">
        <v>840</v>
      </c>
      <c r="J59" s="154" t="s">
        <v>840</v>
      </c>
      <c r="K59" s="154" t="s">
        <v>840</v>
      </c>
    </row>
    <row r="60" spans="1:11" hidden="1" x14ac:dyDescent="0.3">
      <c r="A60">
        <v>1985</v>
      </c>
      <c r="B60" s="154" t="s">
        <v>2467</v>
      </c>
      <c r="C60" s="154" t="s">
        <v>93</v>
      </c>
      <c r="D60" s="154" t="s">
        <v>2050</v>
      </c>
      <c r="E60">
        <v>7</v>
      </c>
      <c r="F60">
        <v>60</v>
      </c>
      <c r="G60">
        <v>15</v>
      </c>
      <c r="H60" s="154" t="s">
        <v>840</v>
      </c>
      <c r="I60" s="154" t="s">
        <v>840</v>
      </c>
      <c r="J60" s="154" t="s">
        <v>840</v>
      </c>
      <c r="K60" s="154" t="s">
        <v>840</v>
      </c>
    </row>
    <row r="61" spans="1:11" hidden="1" x14ac:dyDescent="0.3">
      <c r="A61">
        <v>2035</v>
      </c>
      <c r="B61" s="154" t="s">
        <v>2468</v>
      </c>
      <c r="C61" s="154" t="s">
        <v>153</v>
      </c>
      <c r="D61" s="154" t="s">
        <v>249</v>
      </c>
      <c r="E61">
        <v>7</v>
      </c>
      <c r="F61">
        <v>60</v>
      </c>
      <c r="G61">
        <v>15</v>
      </c>
      <c r="H61" s="154" t="s">
        <v>840</v>
      </c>
      <c r="I61" s="154" t="s">
        <v>840</v>
      </c>
      <c r="J61" s="154" t="s">
        <v>840</v>
      </c>
      <c r="K61" s="154" t="s">
        <v>840</v>
      </c>
    </row>
    <row r="62" spans="1:11" hidden="1" x14ac:dyDescent="0.3">
      <c r="A62">
        <v>2083</v>
      </c>
      <c r="B62" s="154" t="s">
        <v>2601</v>
      </c>
      <c r="C62" s="154" t="s">
        <v>1347</v>
      </c>
      <c r="D62" s="154" t="s">
        <v>235</v>
      </c>
      <c r="E62">
        <v>7</v>
      </c>
      <c r="F62">
        <v>61</v>
      </c>
      <c r="G62">
        <v>30</v>
      </c>
      <c r="H62" s="154" t="s">
        <v>840</v>
      </c>
      <c r="I62" s="154" t="s">
        <v>840</v>
      </c>
      <c r="J62" s="154" t="s">
        <v>840</v>
      </c>
      <c r="K62" s="154" t="s">
        <v>840</v>
      </c>
    </row>
    <row r="63" spans="1:11" hidden="1" x14ac:dyDescent="0.3">
      <c r="A63">
        <v>2022</v>
      </c>
      <c r="B63" s="154" t="s">
        <v>2469</v>
      </c>
      <c r="C63" s="154" t="s">
        <v>138</v>
      </c>
      <c r="D63" s="154" t="s">
        <v>591</v>
      </c>
      <c r="E63">
        <v>7</v>
      </c>
      <c r="F63">
        <v>60</v>
      </c>
      <c r="G63">
        <v>45</v>
      </c>
      <c r="H63" s="154" t="s">
        <v>840</v>
      </c>
      <c r="I63" s="154" t="s">
        <v>840</v>
      </c>
      <c r="J63" s="154" t="s">
        <v>840</v>
      </c>
      <c r="K63" s="154" t="s">
        <v>840</v>
      </c>
    </row>
    <row r="64" spans="1:11" hidden="1" x14ac:dyDescent="0.3">
      <c r="A64">
        <v>2011</v>
      </c>
      <c r="B64" s="154" t="s">
        <v>2470</v>
      </c>
      <c r="C64" s="154" t="s">
        <v>123</v>
      </c>
      <c r="D64" s="154" t="s">
        <v>1265</v>
      </c>
      <c r="E64">
        <v>7</v>
      </c>
      <c r="F64">
        <v>60</v>
      </c>
      <c r="G64">
        <v>45</v>
      </c>
      <c r="H64" s="154" t="s">
        <v>840</v>
      </c>
      <c r="I64" s="154" t="s">
        <v>840</v>
      </c>
      <c r="J64" s="154" t="s">
        <v>840</v>
      </c>
      <c r="K64" s="154" t="s">
        <v>840</v>
      </c>
    </row>
    <row r="65" spans="1:11" hidden="1" x14ac:dyDescent="0.3">
      <c r="A65">
        <v>2010</v>
      </c>
      <c r="B65" s="154" t="s">
        <v>2472</v>
      </c>
      <c r="C65" s="154" t="s">
        <v>122</v>
      </c>
      <c r="D65" s="154" t="s">
        <v>1263</v>
      </c>
      <c r="E65">
        <v>7</v>
      </c>
      <c r="F65">
        <v>60</v>
      </c>
      <c r="G65">
        <v>45</v>
      </c>
      <c r="H65" s="154" t="s">
        <v>840</v>
      </c>
      <c r="I65" s="154" t="s">
        <v>840</v>
      </c>
      <c r="J65" s="154" t="s">
        <v>840</v>
      </c>
      <c r="K65" s="154" t="s">
        <v>840</v>
      </c>
    </row>
    <row r="66" spans="1:11" hidden="1" x14ac:dyDescent="0.3">
      <c r="A66">
        <v>2032</v>
      </c>
      <c r="B66" s="154" t="s">
        <v>2473</v>
      </c>
      <c r="C66" s="154" t="s">
        <v>150</v>
      </c>
      <c r="D66" s="154" t="s">
        <v>246</v>
      </c>
      <c r="E66">
        <v>7</v>
      </c>
      <c r="F66">
        <v>60</v>
      </c>
      <c r="G66">
        <v>15</v>
      </c>
      <c r="H66" s="154" t="s">
        <v>840</v>
      </c>
      <c r="I66" s="154" t="s">
        <v>840</v>
      </c>
      <c r="J66" s="154" t="s">
        <v>840</v>
      </c>
      <c r="K66" s="154" t="s">
        <v>840</v>
      </c>
    </row>
    <row r="67" spans="1:11" hidden="1" x14ac:dyDescent="0.3">
      <c r="A67">
        <v>1983</v>
      </c>
      <c r="B67" s="154" t="s">
        <v>2476</v>
      </c>
      <c r="C67" s="154" t="s">
        <v>90</v>
      </c>
      <c r="D67" s="154" t="s">
        <v>317</v>
      </c>
      <c r="E67">
        <v>7</v>
      </c>
      <c r="F67">
        <v>60</v>
      </c>
      <c r="G67">
        <v>15</v>
      </c>
      <c r="H67" s="154" t="s">
        <v>840</v>
      </c>
      <c r="I67" s="154" t="s">
        <v>840</v>
      </c>
      <c r="J67" s="154" t="s">
        <v>840</v>
      </c>
      <c r="K67" s="154" t="s">
        <v>840</v>
      </c>
    </row>
    <row r="68" spans="1:11" hidden="1" x14ac:dyDescent="0.3">
      <c r="A68">
        <v>2109</v>
      </c>
      <c r="B68" s="154" t="s">
        <v>2602</v>
      </c>
      <c r="C68" s="154" t="s">
        <v>297</v>
      </c>
      <c r="D68" s="154" t="s">
        <v>2603</v>
      </c>
      <c r="E68">
        <v>25</v>
      </c>
      <c r="F68">
        <v>61</v>
      </c>
      <c r="G68">
        <v>15</v>
      </c>
      <c r="H68" s="154" t="s">
        <v>840</v>
      </c>
      <c r="I68" s="154" t="s">
        <v>840</v>
      </c>
      <c r="J68" s="154" t="s">
        <v>840</v>
      </c>
      <c r="K68" s="154" t="s">
        <v>840</v>
      </c>
    </row>
    <row r="69" spans="1:11" hidden="1" x14ac:dyDescent="0.3">
      <c r="A69">
        <v>2044</v>
      </c>
      <c r="B69" s="154" t="s">
        <v>2478</v>
      </c>
      <c r="C69" s="154" t="s">
        <v>164</v>
      </c>
      <c r="D69" s="154" t="s">
        <v>2479</v>
      </c>
      <c r="E69">
        <v>7</v>
      </c>
      <c r="F69">
        <v>60</v>
      </c>
      <c r="G69">
        <v>15</v>
      </c>
      <c r="H69" s="154" t="s">
        <v>840</v>
      </c>
      <c r="I69" s="154" t="s">
        <v>840</v>
      </c>
      <c r="J69" s="154" t="s">
        <v>840</v>
      </c>
      <c r="K69" s="154" t="s">
        <v>840</v>
      </c>
    </row>
    <row r="70" spans="1:11" hidden="1" x14ac:dyDescent="0.3">
      <c r="A70">
        <v>2007</v>
      </c>
      <c r="B70" s="154" t="s">
        <v>2482</v>
      </c>
      <c r="C70" s="154" t="s">
        <v>119</v>
      </c>
      <c r="D70" s="154" t="s">
        <v>647</v>
      </c>
      <c r="E70">
        <v>7</v>
      </c>
      <c r="F70">
        <v>60</v>
      </c>
      <c r="G70">
        <v>15</v>
      </c>
      <c r="H70" s="154" t="s">
        <v>840</v>
      </c>
      <c r="I70" s="154" t="s">
        <v>840</v>
      </c>
      <c r="J70" s="154" t="s">
        <v>840</v>
      </c>
      <c r="K70" s="154" t="s">
        <v>840</v>
      </c>
    </row>
    <row r="71" spans="1:11" hidden="1" x14ac:dyDescent="0.3">
      <c r="A71">
        <v>2033</v>
      </c>
      <c r="B71" s="154" t="s">
        <v>2486</v>
      </c>
      <c r="C71" s="154" t="s">
        <v>151</v>
      </c>
      <c r="D71" s="154" t="s">
        <v>247</v>
      </c>
      <c r="E71">
        <v>7</v>
      </c>
      <c r="F71">
        <v>60</v>
      </c>
      <c r="G71">
        <v>30</v>
      </c>
      <c r="H71" s="154" t="s">
        <v>840</v>
      </c>
      <c r="I71" s="154" t="s">
        <v>840</v>
      </c>
      <c r="J71" s="154" t="s">
        <v>840</v>
      </c>
      <c r="K71" s="154" t="s">
        <v>840</v>
      </c>
    </row>
    <row r="72" spans="1:11" hidden="1" x14ac:dyDescent="0.3">
      <c r="A72">
        <v>2084</v>
      </c>
      <c r="B72" s="154" t="s">
        <v>2604</v>
      </c>
      <c r="C72" s="154" t="s">
        <v>137</v>
      </c>
      <c r="D72" s="154" t="s">
        <v>1232</v>
      </c>
      <c r="E72">
        <v>7</v>
      </c>
      <c r="F72">
        <v>61</v>
      </c>
      <c r="G72">
        <v>135</v>
      </c>
      <c r="H72" s="154" t="s">
        <v>840</v>
      </c>
      <c r="I72" s="154" t="s">
        <v>840</v>
      </c>
      <c r="J72" s="154" t="s">
        <v>840</v>
      </c>
      <c r="K72" s="154" t="s">
        <v>840</v>
      </c>
    </row>
    <row r="73" spans="1:11" hidden="1" x14ac:dyDescent="0.3">
      <c r="A73">
        <v>2046</v>
      </c>
      <c r="B73" s="154" t="s">
        <v>2487</v>
      </c>
      <c r="C73" s="154" t="s">
        <v>170</v>
      </c>
      <c r="D73" s="154" t="s">
        <v>260</v>
      </c>
      <c r="E73">
        <v>7</v>
      </c>
      <c r="F73">
        <v>60</v>
      </c>
      <c r="G73">
        <v>15</v>
      </c>
      <c r="H73" s="154" t="s">
        <v>840</v>
      </c>
      <c r="I73" s="154" t="s">
        <v>840</v>
      </c>
      <c r="J73" s="154" t="s">
        <v>840</v>
      </c>
      <c r="K73" s="154" t="s">
        <v>840</v>
      </c>
    </row>
    <row r="74" spans="1:11" hidden="1" x14ac:dyDescent="0.3">
      <c r="A74">
        <v>2013</v>
      </c>
      <c r="B74" s="154" t="s">
        <v>2489</v>
      </c>
      <c r="C74" s="154" t="s">
        <v>125</v>
      </c>
      <c r="D74" s="154" t="s">
        <v>813</v>
      </c>
      <c r="E74">
        <v>7</v>
      </c>
      <c r="F74">
        <v>60</v>
      </c>
      <c r="G74">
        <v>15</v>
      </c>
      <c r="H74" s="154" t="s">
        <v>840</v>
      </c>
      <c r="I74" s="154" t="s">
        <v>840</v>
      </c>
      <c r="J74" s="154" t="s">
        <v>840</v>
      </c>
      <c r="K74" s="154" t="s">
        <v>840</v>
      </c>
    </row>
    <row r="75" spans="1:11" hidden="1" x14ac:dyDescent="0.3">
      <c r="A75">
        <v>2089</v>
      </c>
      <c r="B75" s="154" t="s">
        <v>2605</v>
      </c>
      <c r="C75" s="154" t="s">
        <v>173</v>
      </c>
      <c r="D75" s="154" t="s">
        <v>1857</v>
      </c>
      <c r="E75">
        <v>25</v>
      </c>
      <c r="F75">
        <v>61</v>
      </c>
      <c r="G75">
        <v>30</v>
      </c>
      <c r="H75" s="154" t="s">
        <v>840</v>
      </c>
      <c r="I75" s="154" t="s">
        <v>840</v>
      </c>
      <c r="J75" s="154" t="s">
        <v>840</v>
      </c>
      <c r="K75" s="154" t="s">
        <v>840</v>
      </c>
    </row>
    <row r="76" spans="1:11" hidden="1" x14ac:dyDescent="0.3">
      <c r="A76">
        <v>2040</v>
      </c>
      <c r="B76" s="154" t="s">
        <v>2498</v>
      </c>
      <c r="C76" s="154" t="s">
        <v>158</v>
      </c>
      <c r="D76" s="154" t="s">
        <v>2499</v>
      </c>
      <c r="E76">
        <v>7</v>
      </c>
      <c r="F76">
        <v>60</v>
      </c>
      <c r="G76">
        <v>15</v>
      </c>
      <c r="H76" s="154" t="s">
        <v>840</v>
      </c>
      <c r="I76" s="154" t="s">
        <v>840</v>
      </c>
      <c r="J76" s="154" t="s">
        <v>840</v>
      </c>
      <c r="K76" s="154" t="s">
        <v>840</v>
      </c>
    </row>
    <row r="77" spans="1:11" hidden="1" x14ac:dyDescent="0.3">
      <c r="A77">
        <v>2062</v>
      </c>
      <c r="B77" s="154" t="s">
        <v>2502</v>
      </c>
      <c r="C77" s="154" t="s">
        <v>807</v>
      </c>
      <c r="D77" s="154" t="s">
        <v>2503</v>
      </c>
      <c r="E77">
        <v>7</v>
      </c>
      <c r="F77">
        <v>60</v>
      </c>
      <c r="G77">
        <v>15</v>
      </c>
      <c r="H77" s="154" t="s">
        <v>840</v>
      </c>
      <c r="I77" s="154" t="s">
        <v>840</v>
      </c>
      <c r="J77" s="154" t="s">
        <v>840</v>
      </c>
      <c r="K77" s="154" t="s">
        <v>840</v>
      </c>
    </row>
    <row r="78" spans="1:11" hidden="1" x14ac:dyDescent="0.3">
      <c r="A78">
        <v>1997</v>
      </c>
      <c r="B78" s="154" t="s">
        <v>2505</v>
      </c>
      <c r="C78" s="154" t="s">
        <v>107</v>
      </c>
      <c r="D78" s="154" t="s">
        <v>1257</v>
      </c>
      <c r="E78">
        <v>7</v>
      </c>
      <c r="F78">
        <v>60</v>
      </c>
      <c r="G78">
        <v>30</v>
      </c>
      <c r="H78" s="154" t="s">
        <v>840</v>
      </c>
      <c r="I78" s="154" t="s">
        <v>840</v>
      </c>
      <c r="J78" s="154" t="s">
        <v>840</v>
      </c>
      <c r="K78" s="154" t="s">
        <v>840</v>
      </c>
    </row>
    <row r="79" spans="1:11" hidden="1" x14ac:dyDescent="0.3">
      <c r="A79">
        <v>1980</v>
      </c>
      <c r="B79" s="154" t="s">
        <v>2508</v>
      </c>
      <c r="C79" s="154" t="s">
        <v>86</v>
      </c>
      <c r="D79" s="154" t="s">
        <v>1739</v>
      </c>
      <c r="E79">
        <v>7</v>
      </c>
      <c r="F79">
        <v>60</v>
      </c>
      <c r="G79">
        <v>15</v>
      </c>
      <c r="H79" s="154" t="s">
        <v>840</v>
      </c>
      <c r="I79" s="154" t="s">
        <v>840</v>
      </c>
      <c r="J79" s="154" t="s">
        <v>840</v>
      </c>
      <c r="K79" s="154" t="s">
        <v>840</v>
      </c>
    </row>
    <row r="80" spans="1:11" hidden="1" x14ac:dyDescent="0.3">
      <c r="A80">
        <v>2042</v>
      </c>
      <c r="B80" s="154" t="s">
        <v>2509</v>
      </c>
      <c r="C80" s="154" t="s">
        <v>162</v>
      </c>
      <c r="D80" s="154" t="s">
        <v>255</v>
      </c>
      <c r="E80">
        <v>7</v>
      </c>
      <c r="F80">
        <v>60</v>
      </c>
      <c r="G80">
        <v>15</v>
      </c>
      <c r="H80" s="154" t="s">
        <v>840</v>
      </c>
      <c r="I80" s="154" t="s">
        <v>840</v>
      </c>
      <c r="J80" s="154" t="s">
        <v>840</v>
      </c>
      <c r="K80" s="154" t="s">
        <v>840</v>
      </c>
    </row>
    <row r="81" spans="1:11" hidden="1" x14ac:dyDescent="0.3">
      <c r="A81">
        <v>2045</v>
      </c>
      <c r="B81" s="154" t="s">
        <v>2510</v>
      </c>
      <c r="C81" s="154" t="s">
        <v>169</v>
      </c>
      <c r="D81" s="154" t="s">
        <v>626</v>
      </c>
      <c r="E81">
        <v>7</v>
      </c>
      <c r="F81">
        <v>60</v>
      </c>
      <c r="G81">
        <v>15</v>
      </c>
      <c r="H81" s="154" t="s">
        <v>840</v>
      </c>
      <c r="I81" s="154" t="s">
        <v>840</v>
      </c>
      <c r="J81" s="154" t="s">
        <v>840</v>
      </c>
      <c r="K81" s="154" t="s">
        <v>840</v>
      </c>
    </row>
    <row r="82" spans="1:11" hidden="1" x14ac:dyDescent="0.3">
      <c r="A82">
        <v>1975</v>
      </c>
      <c r="B82" s="154" t="s">
        <v>2511</v>
      </c>
      <c r="C82" s="154" t="s">
        <v>79</v>
      </c>
      <c r="D82" s="154" t="s">
        <v>212</v>
      </c>
      <c r="E82">
        <v>7</v>
      </c>
      <c r="F82">
        <v>60</v>
      </c>
      <c r="G82">
        <v>15</v>
      </c>
      <c r="H82" s="154" t="s">
        <v>840</v>
      </c>
      <c r="I82" s="154" t="s">
        <v>840</v>
      </c>
      <c r="J82" s="154" t="s">
        <v>840</v>
      </c>
      <c r="K82" s="154" t="s">
        <v>840</v>
      </c>
    </row>
    <row r="83" spans="1:11" hidden="1" x14ac:dyDescent="0.3">
      <c r="A83">
        <v>2110</v>
      </c>
      <c r="B83" s="154" t="s">
        <v>2606</v>
      </c>
      <c r="C83" s="154" t="s">
        <v>1352</v>
      </c>
      <c r="D83" s="154" t="s">
        <v>2607</v>
      </c>
      <c r="E83">
        <v>7</v>
      </c>
      <c r="F83">
        <v>61</v>
      </c>
      <c r="G83">
        <v>15</v>
      </c>
      <c r="H83" s="154" t="s">
        <v>840</v>
      </c>
      <c r="I83" s="154" t="s">
        <v>840</v>
      </c>
      <c r="J83" s="154" t="s">
        <v>840</v>
      </c>
      <c r="K83" s="154" t="s">
        <v>840</v>
      </c>
    </row>
    <row r="84" spans="1:11" hidden="1" x14ac:dyDescent="0.3">
      <c r="A84">
        <v>1987</v>
      </c>
      <c r="B84" s="154" t="s">
        <v>2515</v>
      </c>
      <c r="C84" s="154" t="s">
        <v>95</v>
      </c>
      <c r="D84" s="154" t="s">
        <v>2062</v>
      </c>
      <c r="E84">
        <v>7</v>
      </c>
      <c r="F84">
        <v>60</v>
      </c>
      <c r="G84">
        <v>15</v>
      </c>
      <c r="H84" s="154" t="s">
        <v>840</v>
      </c>
      <c r="I84" s="154" t="s">
        <v>840</v>
      </c>
      <c r="J84" s="154" t="s">
        <v>840</v>
      </c>
      <c r="K84" s="154" t="s">
        <v>840</v>
      </c>
    </row>
    <row r="85" spans="1:11" x14ac:dyDescent="0.3">
      <c r="A85">
        <v>1976</v>
      </c>
      <c r="B85" s="154" t="s">
        <v>2516</v>
      </c>
      <c r="C85" s="154" t="s">
        <v>81</v>
      </c>
      <c r="D85" s="154" t="s">
        <v>1249</v>
      </c>
      <c r="E85">
        <v>7</v>
      </c>
      <c r="F85">
        <v>60</v>
      </c>
      <c r="G85">
        <v>30</v>
      </c>
      <c r="H85" s="154" t="s">
        <v>840</v>
      </c>
      <c r="I85" s="154" t="s">
        <v>840</v>
      </c>
      <c r="J85" s="154" t="s">
        <v>840</v>
      </c>
      <c r="K85" s="154" t="s">
        <v>840</v>
      </c>
    </row>
    <row r="86" spans="1:11" hidden="1" x14ac:dyDescent="0.3">
      <c r="A86">
        <v>2079</v>
      </c>
      <c r="B86" s="154" t="s">
        <v>2608</v>
      </c>
      <c r="C86" s="154" t="s">
        <v>82</v>
      </c>
      <c r="D86" s="154" t="s">
        <v>1212</v>
      </c>
      <c r="E86">
        <v>7</v>
      </c>
      <c r="F86">
        <v>61</v>
      </c>
      <c r="G86">
        <v>15</v>
      </c>
      <c r="H86" s="154" t="s">
        <v>840</v>
      </c>
      <c r="I86" s="154" t="s">
        <v>840</v>
      </c>
      <c r="J86" s="154" t="s">
        <v>840</v>
      </c>
      <c r="K86" s="154" t="s">
        <v>840</v>
      </c>
    </row>
    <row r="87" spans="1:11" hidden="1" x14ac:dyDescent="0.3">
      <c r="A87">
        <v>2016</v>
      </c>
      <c r="B87" s="154" t="s">
        <v>2520</v>
      </c>
      <c r="C87" s="154" t="s">
        <v>131</v>
      </c>
      <c r="D87" s="154" t="s">
        <v>1231</v>
      </c>
      <c r="E87">
        <v>7</v>
      </c>
      <c r="F87">
        <v>60</v>
      </c>
      <c r="G87">
        <v>15</v>
      </c>
      <c r="H87" s="154" t="s">
        <v>840</v>
      </c>
      <c r="I87" s="154" t="s">
        <v>840</v>
      </c>
      <c r="J87" s="154" t="s">
        <v>840</v>
      </c>
      <c r="K87" s="154" t="s">
        <v>840</v>
      </c>
    </row>
    <row r="88" spans="1:11" hidden="1" x14ac:dyDescent="0.3">
      <c r="A88">
        <v>2054</v>
      </c>
      <c r="B88" s="154" t="s">
        <v>2521</v>
      </c>
      <c r="C88" s="154" t="s">
        <v>275</v>
      </c>
      <c r="D88" s="154" t="s">
        <v>2522</v>
      </c>
      <c r="E88">
        <v>7</v>
      </c>
      <c r="F88">
        <v>60</v>
      </c>
      <c r="G88">
        <v>15</v>
      </c>
      <c r="H88" s="154" t="s">
        <v>840</v>
      </c>
      <c r="I88" s="154" t="s">
        <v>840</v>
      </c>
      <c r="J88" s="154" t="s">
        <v>840</v>
      </c>
      <c r="K88" s="154" t="s">
        <v>840</v>
      </c>
    </row>
    <row r="89" spans="1:11" hidden="1" x14ac:dyDescent="0.3">
      <c r="A89">
        <v>1973</v>
      </c>
      <c r="B89" s="154" t="s">
        <v>2523</v>
      </c>
      <c r="C89" s="154" t="s">
        <v>76</v>
      </c>
      <c r="D89" s="154" t="s">
        <v>2524</v>
      </c>
      <c r="E89">
        <v>7</v>
      </c>
      <c r="F89">
        <v>60</v>
      </c>
      <c r="G89">
        <v>15</v>
      </c>
      <c r="H89" s="154" t="s">
        <v>840</v>
      </c>
      <c r="I89" s="154" t="s">
        <v>840</v>
      </c>
      <c r="J89" s="154" t="s">
        <v>840</v>
      </c>
      <c r="K89" s="154" t="s">
        <v>840</v>
      </c>
    </row>
    <row r="90" spans="1:11" hidden="1" x14ac:dyDescent="0.3">
      <c r="A90">
        <v>2101</v>
      </c>
      <c r="B90" s="154" t="s">
        <v>2609</v>
      </c>
      <c r="C90" s="154" t="s">
        <v>187</v>
      </c>
      <c r="D90" s="154" t="s">
        <v>385</v>
      </c>
      <c r="E90">
        <v>25</v>
      </c>
      <c r="F90">
        <v>61</v>
      </c>
      <c r="G90">
        <v>45</v>
      </c>
      <c r="H90" s="154" t="s">
        <v>840</v>
      </c>
      <c r="I90" s="154" t="s">
        <v>840</v>
      </c>
      <c r="J90" s="154" t="s">
        <v>840</v>
      </c>
      <c r="K90" s="154" t="s">
        <v>840</v>
      </c>
    </row>
    <row r="91" spans="1:11" hidden="1" x14ac:dyDescent="0.3">
      <c r="A91">
        <v>2027</v>
      </c>
      <c r="B91" s="154" t="s">
        <v>2525</v>
      </c>
      <c r="C91" s="154" t="s">
        <v>144</v>
      </c>
      <c r="D91" s="154" t="s">
        <v>242</v>
      </c>
      <c r="E91">
        <v>7</v>
      </c>
      <c r="F91">
        <v>60</v>
      </c>
      <c r="G91">
        <v>15</v>
      </c>
      <c r="H91" s="154" t="s">
        <v>840</v>
      </c>
      <c r="I91" s="154" t="s">
        <v>840</v>
      </c>
      <c r="J91" s="154" t="s">
        <v>840</v>
      </c>
      <c r="K91" s="154" t="s">
        <v>840</v>
      </c>
    </row>
    <row r="92" spans="1:11" hidden="1" x14ac:dyDescent="0.3">
      <c r="A92">
        <v>1992</v>
      </c>
      <c r="B92" s="154" t="s">
        <v>2527</v>
      </c>
      <c r="C92" s="154" t="s">
        <v>101</v>
      </c>
      <c r="D92" s="154" t="s">
        <v>546</v>
      </c>
      <c r="E92">
        <v>7</v>
      </c>
      <c r="F92">
        <v>60</v>
      </c>
      <c r="G92">
        <v>15</v>
      </c>
      <c r="H92" s="154" t="s">
        <v>840</v>
      </c>
      <c r="I92" s="154" t="s">
        <v>840</v>
      </c>
      <c r="J92" s="154" t="s">
        <v>840</v>
      </c>
      <c r="K92" s="154" t="s">
        <v>840</v>
      </c>
    </row>
    <row r="93" spans="1:11" hidden="1" x14ac:dyDescent="0.3">
      <c r="A93">
        <v>2041</v>
      </c>
      <c r="B93" s="154" t="s">
        <v>2528</v>
      </c>
      <c r="C93" s="154" t="s">
        <v>161</v>
      </c>
      <c r="D93" s="154" t="s">
        <v>595</v>
      </c>
      <c r="E93">
        <v>7</v>
      </c>
      <c r="F93">
        <v>60</v>
      </c>
      <c r="G93">
        <v>15</v>
      </c>
      <c r="H93" s="154" t="s">
        <v>840</v>
      </c>
      <c r="I93" s="154" t="s">
        <v>840</v>
      </c>
      <c r="J93" s="154" t="s">
        <v>840</v>
      </c>
      <c r="K93" s="154" t="s">
        <v>840</v>
      </c>
    </row>
    <row r="94" spans="1:11" hidden="1" x14ac:dyDescent="0.3">
      <c r="A94">
        <v>2017</v>
      </c>
      <c r="B94" s="154" t="s">
        <v>2529</v>
      </c>
      <c r="C94" s="154" t="s">
        <v>132</v>
      </c>
      <c r="D94" s="154" t="s">
        <v>1716</v>
      </c>
      <c r="E94">
        <v>7</v>
      </c>
      <c r="F94">
        <v>60</v>
      </c>
      <c r="G94">
        <v>15</v>
      </c>
      <c r="H94" s="154" t="s">
        <v>840</v>
      </c>
      <c r="I94" s="154" t="s">
        <v>840</v>
      </c>
      <c r="J94" s="154" t="s">
        <v>840</v>
      </c>
      <c r="K94" s="154" t="s">
        <v>840</v>
      </c>
    </row>
    <row r="95" spans="1:11" hidden="1" x14ac:dyDescent="0.3">
      <c r="A95">
        <v>2087</v>
      </c>
      <c r="B95" s="154" t="s">
        <v>2610</v>
      </c>
      <c r="C95" s="154" t="s">
        <v>171</v>
      </c>
      <c r="D95" s="154" t="s">
        <v>363</v>
      </c>
      <c r="E95">
        <v>25</v>
      </c>
      <c r="F95">
        <v>61</v>
      </c>
      <c r="G95">
        <v>15</v>
      </c>
      <c r="H95" s="154" t="s">
        <v>840</v>
      </c>
      <c r="I95" s="154" t="s">
        <v>840</v>
      </c>
      <c r="J95" s="154" t="s">
        <v>840</v>
      </c>
      <c r="K95" s="154" t="s">
        <v>840</v>
      </c>
    </row>
    <row r="96" spans="1:11" hidden="1" x14ac:dyDescent="0.3">
      <c r="A96">
        <v>1977</v>
      </c>
      <c r="B96" s="154" t="s">
        <v>2530</v>
      </c>
      <c r="C96" s="154" t="s">
        <v>83</v>
      </c>
      <c r="D96" s="154" t="s">
        <v>214</v>
      </c>
      <c r="E96">
        <v>7</v>
      </c>
      <c r="F96">
        <v>60</v>
      </c>
      <c r="G96">
        <v>15</v>
      </c>
      <c r="H96" s="154" t="s">
        <v>840</v>
      </c>
      <c r="I96" s="154" t="s">
        <v>840</v>
      </c>
      <c r="J96" s="154" t="s">
        <v>840</v>
      </c>
      <c r="K96" s="154" t="s">
        <v>840</v>
      </c>
    </row>
    <row r="97" spans="1:11" hidden="1" x14ac:dyDescent="0.3">
      <c r="A97">
        <v>2063</v>
      </c>
      <c r="B97" s="154" t="s">
        <v>2531</v>
      </c>
      <c r="C97" s="154" t="s">
        <v>808</v>
      </c>
      <c r="D97" s="154" t="s">
        <v>2532</v>
      </c>
      <c r="E97">
        <v>7</v>
      </c>
      <c r="F97">
        <v>60</v>
      </c>
      <c r="G97">
        <v>15</v>
      </c>
      <c r="H97" s="154" t="s">
        <v>840</v>
      </c>
      <c r="I97" s="154" t="s">
        <v>840</v>
      </c>
      <c r="J97" s="154" t="s">
        <v>840</v>
      </c>
      <c r="K97" s="154" t="s">
        <v>840</v>
      </c>
    </row>
    <row r="98" spans="1:11" hidden="1" x14ac:dyDescent="0.3">
      <c r="A98">
        <v>2012</v>
      </c>
      <c r="B98" s="154" t="s">
        <v>2536</v>
      </c>
      <c r="C98" s="154" t="s">
        <v>124</v>
      </c>
      <c r="D98" s="154" t="s">
        <v>2007</v>
      </c>
      <c r="E98">
        <v>7</v>
      </c>
      <c r="F98">
        <v>60</v>
      </c>
      <c r="G98">
        <v>15</v>
      </c>
      <c r="H98" s="154" t="s">
        <v>840</v>
      </c>
      <c r="I98" s="154" t="s">
        <v>840</v>
      </c>
      <c r="J98" s="154" t="s">
        <v>840</v>
      </c>
      <c r="K98" s="154" t="s">
        <v>840</v>
      </c>
    </row>
    <row r="99" spans="1:11" hidden="1" x14ac:dyDescent="0.3">
      <c r="A99">
        <v>1984</v>
      </c>
      <c r="B99" s="154" t="s">
        <v>2537</v>
      </c>
      <c r="C99" s="154" t="s">
        <v>91</v>
      </c>
      <c r="D99" s="154" t="s">
        <v>1254</v>
      </c>
      <c r="E99">
        <v>7</v>
      </c>
      <c r="F99">
        <v>60</v>
      </c>
      <c r="G99">
        <v>15</v>
      </c>
      <c r="H99" s="154" t="s">
        <v>840</v>
      </c>
      <c r="I99" s="154" t="s">
        <v>840</v>
      </c>
      <c r="J99" s="154" t="s">
        <v>840</v>
      </c>
      <c r="K99" s="154" t="s">
        <v>840</v>
      </c>
    </row>
    <row r="100" spans="1:11" hidden="1" x14ac:dyDescent="0.3">
      <c r="A100">
        <v>1981</v>
      </c>
      <c r="B100" s="154" t="s">
        <v>2540</v>
      </c>
      <c r="C100" s="154" t="s">
        <v>87</v>
      </c>
      <c r="D100" s="154" t="s">
        <v>851</v>
      </c>
      <c r="E100">
        <v>7</v>
      </c>
      <c r="F100">
        <v>60</v>
      </c>
      <c r="G100">
        <v>15</v>
      </c>
      <c r="H100" s="154" t="s">
        <v>840</v>
      </c>
      <c r="I100" s="154" t="s">
        <v>840</v>
      </c>
      <c r="J100" s="154" t="s">
        <v>840</v>
      </c>
      <c r="K100" s="154" t="s">
        <v>840</v>
      </c>
    </row>
    <row r="101" spans="1:11" hidden="1" x14ac:dyDescent="0.3">
      <c r="A101">
        <v>2067</v>
      </c>
      <c r="B101" s="154" t="s">
        <v>2541</v>
      </c>
      <c r="C101" s="154" t="s">
        <v>934</v>
      </c>
      <c r="D101" s="154" t="s">
        <v>298</v>
      </c>
      <c r="E101">
        <v>7</v>
      </c>
      <c r="F101">
        <v>60</v>
      </c>
      <c r="G101">
        <v>45</v>
      </c>
      <c r="H101" s="154" t="s">
        <v>840</v>
      </c>
      <c r="I101" s="154" t="s">
        <v>840</v>
      </c>
      <c r="J101" s="154" t="s">
        <v>840</v>
      </c>
      <c r="K101" s="154" t="s">
        <v>840</v>
      </c>
    </row>
    <row r="102" spans="1:11" hidden="1" x14ac:dyDescent="0.3">
      <c r="A102">
        <v>1972</v>
      </c>
      <c r="B102" s="154" t="s">
        <v>2542</v>
      </c>
      <c r="C102" s="154" t="s">
        <v>75</v>
      </c>
      <c r="D102" s="154" t="s">
        <v>834</v>
      </c>
      <c r="E102">
        <v>7</v>
      </c>
      <c r="F102">
        <v>60</v>
      </c>
      <c r="G102">
        <v>15</v>
      </c>
      <c r="H102" s="154" t="s">
        <v>840</v>
      </c>
      <c r="I102" s="154" t="s">
        <v>840</v>
      </c>
      <c r="J102" s="154" t="s">
        <v>840</v>
      </c>
      <c r="K102" s="154" t="s">
        <v>840</v>
      </c>
    </row>
    <row r="103" spans="1:11" hidden="1" x14ac:dyDescent="0.3">
      <c r="A103">
        <v>2098</v>
      </c>
      <c r="B103" s="154" t="s">
        <v>2611</v>
      </c>
      <c r="C103" s="154" t="s">
        <v>183</v>
      </c>
      <c r="D103" s="154" t="s">
        <v>380</v>
      </c>
      <c r="E103">
        <v>25</v>
      </c>
      <c r="F103">
        <v>61</v>
      </c>
      <c r="G103">
        <v>30</v>
      </c>
      <c r="H103" s="154" t="s">
        <v>840</v>
      </c>
      <c r="I103" s="154" t="s">
        <v>840</v>
      </c>
      <c r="J103" s="154" t="s">
        <v>840</v>
      </c>
      <c r="K103" s="154" t="s">
        <v>840</v>
      </c>
    </row>
    <row r="104" spans="1:11" hidden="1" x14ac:dyDescent="0.3">
      <c r="A104">
        <v>2048</v>
      </c>
      <c r="B104" s="154" t="s">
        <v>2545</v>
      </c>
      <c r="C104" s="154" t="s">
        <v>200</v>
      </c>
      <c r="D104" s="154" t="s">
        <v>264</v>
      </c>
      <c r="E104">
        <v>7</v>
      </c>
      <c r="F104">
        <v>60</v>
      </c>
      <c r="G104">
        <v>15</v>
      </c>
      <c r="H104" s="154" t="s">
        <v>840</v>
      </c>
      <c r="I104" s="154" t="s">
        <v>840</v>
      </c>
      <c r="J104" s="154" t="s">
        <v>840</v>
      </c>
      <c r="K104" s="154" t="s">
        <v>840</v>
      </c>
    </row>
    <row r="105" spans="1:11" hidden="1" x14ac:dyDescent="0.3">
      <c r="A105">
        <v>2019</v>
      </c>
      <c r="B105" s="154" t="s">
        <v>2546</v>
      </c>
      <c r="C105" s="154" t="s">
        <v>134</v>
      </c>
      <c r="D105" s="154" t="s">
        <v>1269</v>
      </c>
      <c r="E105">
        <v>7</v>
      </c>
      <c r="F105">
        <v>60</v>
      </c>
      <c r="G105">
        <v>30</v>
      </c>
      <c r="H105" s="154" t="s">
        <v>840</v>
      </c>
      <c r="I105" s="154" t="s">
        <v>840</v>
      </c>
      <c r="J105" s="154" t="s">
        <v>840</v>
      </c>
      <c r="K105" s="154" t="s">
        <v>840</v>
      </c>
    </row>
    <row r="106" spans="1:11" hidden="1" x14ac:dyDescent="0.3">
      <c r="A106">
        <v>2092</v>
      </c>
      <c r="B106" s="154" t="s">
        <v>2612</v>
      </c>
      <c r="C106" s="154" t="s">
        <v>176</v>
      </c>
      <c r="D106" s="154" t="s">
        <v>2613</v>
      </c>
      <c r="E106">
        <v>25</v>
      </c>
      <c r="F106">
        <v>61</v>
      </c>
      <c r="G106">
        <v>15</v>
      </c>
      <c r="H106" s="154" t="s">
        <v>840</v>
      </c>
      <c r="I106" s="154" t="s">
        <v>840</v>
      </c>
      <c r="J106" s="154" t="s">
        <v>840</v>
      </c>
      <c r="K106" s="154" t="s">
        <v>840</v>
      </c>
    </row>
    <row r="107" spans="1:11" hidden="1" x14ac:dyDescent="0.3">
      <c r="A107">
        <v>2006</v>
      </c>
      <c r="B107" s="154" t="s">
        <v>2549</v>
      </c>
      <c r="C107" s="154" t="s">
        <v>117</v>
      </c>
      <c r="D107" s="154" t="s">
        <v>1259</v>
      </c>
      <c r="E107">
        <v>7</v>
      </c>
      <c r="F107">
        <v>60</v>
      </c>
      <c r="G107">
        <v>60</v>
      </c>
      <c r="H107" s="154" t="s">
        <v>840</v>
      </c>
      <c r="I107" s="154" t="s">
        <v>840</v>
      </c>
      <c r="J107" s="154" t="s">
        <v>840</v>
      </c>
      <c r="K107" s="154" t="s">
        <v>840</v>
      </c>
    </row>
    <row r="108" spans="1:11" hidden="1" x14ac:dyDescent="0.3">
      <c r="A108">
        <v>2050</v>
      </c>
      <c r="B108" s="154" t="s">
        <v>2551</v>
      </c>
      <c r="C108" s="154" t="s">
        <v>204</v>
      </c>
      <c r="D108" s="154" t="s">
        <v>2552</v>
      </c>
      <c r="E108">
        <v>7</v>
      </c>
      <c r="F108">
        <v>60</v>
      </c>
      <c r="G108">
        <v>15</v>
      </c>
      <c r="H108" s="154" t="s">
        <v>840</v>
      </c>
      <c r="I108" s="154" t="s">
        <v>840</v>
      </c>
      <c r="J108" s="154" t="s">
        <v>840</v>
      </c>
      <c r="K108" s="154" t="s">
        <v>840</v>
      </c>
    </row>
    <row r="109" spans="1:11" hidden="1" x14ac:dyDescent="0.3">
      <c r="A109">
        <v>2026</v>
      </c>
      <c r="B109" s="154" t="s">
        <v>2554</v>
      </c>
      <c r="C109" s="154" t="s">
        <v>143</v>
      </c>
      <c r="D109" s="154" t="s">
        <v>241</v>
      </c>
      <c r="E109">
        <v>7</v>
      </c>
      <c r="F109">
        <v>60</v>
      </c>
      <c r="G109">
        <v>30</v>
      </c>
      <c r="H109" s="154" t="s">
        <v>840</v>
      </c>
      <c r="I109" s="154" t="s">
        <v>840</v>
      </c>
      <c r="J109" s="154" t="s">
        <v>840</v>
      </c>
      <c r="K109" s="154" t="s">
        <v>840</v>
      </c>
    </row>
    <row r="110" spans="1:11" hidden="1" x14ac:dyDescent="0.3">
      <c r="A110">
        <v>2107</v>
      </c>
      <c r="B110" s="154" t="s">
        <v>2614</v>
      </c>
      <c r="C110" s="154" t="s">
        <v>195</v>
      </c>
      <c r="D110" s="154" t="s">
        <v>261</v>
      </c>
      <c r="E110">
        <v>7</v>
      </c>
      <c r="F110">
        <v>61</v>
      </c>
      <c r="G110">
        <v>30</v>
      </c>
      <c r="H110" s="154" t="s">
        <v>840</v>
      </c>
      <c r="I110" s="154" t="s">
        <v>840</v>
      </c>
      <c r="J110" s="154" t="s">
        <v>840</v>
      </c>
      <c r="K110" s="154" t="s">
        <v>840</v>
      </c>
    </row>
    <row r="111" spans="1:11" hidden="1" x14ac:dyDescent="0.3">
      <c r="A111">
        <v>1979</v>
      </c>
      <c r="B111" s="154" t="s">
        <v>2556</v>
      </c>
      <c r="C111" s="154" t="s">
        <v>85</v>
      </c>
      <c r="D111" s="154" t="s">
        <v>520</v>
      </c>
      <c r="E111">
        <v>7</v>
      </c>
      <c r="F111">
        <v>60</v>
      </c>
      <c r="G111">
        <v>30</v>
      </c>
      <c r="H111" s="154" t="s">
        <v>840</v>
      </c>
      <c r="I111" s="154" t="s">
        <v>840</v>
      </c>
      <c r="J111" s="154" t="s">
        <v>840</v>
      </c>
      <c r="K111" s="154" t="s">
        <v>840</v>
      </c>
    </row>
    <row r="112" spans="1:11" hidden="1" x14ac:dyDescent="0.3">
      <c r="A112">
        <v>1999</v>
      </c>
      <c r="B112" s="154" t="s">
        <v>2558</v>
      </c>
      <c r="C112" s="154" t="s">
        <v>109</v>
      </c>
      <c r="D112" s="154" t="s">
        <v>842</v>
      </c>
      <c r="E112">
        <v>7</v>
      </c>
      <c r="F112">
        <v>60</v>
      </c>
      <c r="G112">
        <v>15</v>
      </c>
      <c r="H112" s="154" t="s">
        <v>840</v>
      </c>
      <c r="I112" s="154" t="s">
        <v>840</v>
      </c>
      <c r="J112" s="154" t="s">
        <v>840</v>
      </c>
      <c r="K112" s="154" t="s">
        <v>840</v>
      </c>
    </row>
    <row r="113" spans="1:11" hidden="1" x14ac:dyDescent="0.3">
      <c r="A113">
        <v>2065</v>
      </c>
      <c r="B113" s="154" t="s">
        <v>2559</v>
      </c>
      <c r="C113" s="154" t="s">
        <v>855</v>
      </c>
      <c r="D113" s="154" t="s">
        <v>602</v>
      </c>
      <c r="E113">
        <v>7</v>
      </c>
      <c r="F113">
        <v>60</v>
      </c>
      <c r="G113">
        <v>15</v>
      </c>
      <c r="H113" s="154" t="s">
        <v>840</v>
      </c>
      <c r="I113" s="154" t="s">
        <v>840</v>
      </c>
      <c r="J113" s="154" t="s">
        <v>840</v>
      </c>
      <c r="K113" s="154" t="s">
        <v>840</v>
      </c>
    </row>
    <row r="114" spans="1:11" hidden="1" x14ac:dyDescent="0.3">
      <c r="A114">
        <v>1991</v>
      </c>
      <c r="B114" s="154" t="s">
        <v>2560</v>
      </c>
      <c r="C114" s="154" t="s">
        <v>100</v>
      </c>
      <c r="D114" s="154" t="s">
        <v>219</v>
      </c>
      <c r="E114">
        <v>7</v>
      </c>
      <c r="F114">
        <v>60</v>
      </c>
      <c r="G114">
        <v>15</v>
      </c>
      <c r="H114" s="154" t="s">
        <v>840</v>
      </c>
      <c r="I114" s="154" t="s">
        <v>840</v>
      </c>
      <c r="J114" s="154" t="s">
        <v>840</v>
      </c>
      <c r="K114" s="154" t="s">
        <v>840</v>
      </c>
    </row>
    <row r="115" spans="1:11" hidden="1" x14ac:dyDescent="0.3">
      <c r="A115">
        <v>2020</v>
      </c>
      <c r="B115" s="154" t="s">
        <v>2562</v>
      </c>
      <c r="C115" s="154" t="s">
        <v>289</v>
      </c>
      <c r="D115" s="154" t="s">
        <v>2563</v>
      </c>
      <c r="E115">
        <v>7</v>
      </c>
      <c r="F115">
        <v>60</v>
      </c>
      <c r="G115">
        <v>15</v>
      </c>
      <c r="H115" s="154" t="s">
        <v>840</v>
      </c>
      <c r="I115" s="154" t="s">
        <v>840</v>
      </c>
      <c r="J115" s="154" t="s">
        <v>840</v>
      </c>
      <c r="K115" s="154" t="s">
        <v>840</v>
      </c>
    </row>
    <row r="116" spans="1:11" hidden="1" x14ac:dyDescent="0.3">
      <c r="A116">
        <v>2028</v>
      </c>
      <c r="B116" s="154" t="s">
        <v>2564</v>
      </c>
      <c r="C116" s="154" t="s">
        <v>145</v>
      </c>
      <c r="D116" s="154" t="s">
        <v>845</v>
      </c>
      <c r="E116">
        <v>7</v>
      </c>
      <c r="F116">
        <v>60</v>
      </c>
      <c r="G116">
        <v>15</v>
      </c>
      <c r="H116" s="154" t="s">
        <v>840</v>
      </c>
      <c r="I116" s="154" t="s">
        <v>840</v>
      </c>
      <c r="J116" s="154" t="s">
        <v>840</v>
      </c>
      <c r="K116" s="154" t="s">
        <v>840</v>
      </c>
    </row>
    <row r="117" spans="1:11" hidden="1" x14ac:dyDescent="0.3">
      <c r="A117">
        <v>2037</v>
      </c>
      <c r="B117" s="154" t="s">
        <v>2565</v>
      </c>
      <c r="C117" s="154" t="s">
        <v>155</v>
      </c>
      <c r="D117" s="154" t="s">
        <v>251</v>
      </c>
      <c r="E117">
        <v>7</v>
      </c>
      <c r="F117">
        <v>60</v>
      </c>
      <c r="G117">
        <v>15</v>
      </c>
      <c r="H117" s="154" t="s">
        <v>840</v>
      </c>
      <c r="I117" s="154" t="s">
        <v>840</v>
      </c>
      <c r="J117" s="154" t="s">
        <v>840</v>
      </c>
      <c r="K117" s="154" t="s">
        <v>840</v>
      </c>
    </row>
    <row r="118" spans="1:11" hidden="1" x14ac:dyDescent="0.3">
      <c r="A118">
        <v>2090</v>
      </c>
      <c r="B118" s="154" t="s">
        <v>2615</v>
      </c>
      <c r="C118" s="154" t="s">
        <v>174</v>
      </c>
      <c r="D118" s="154" t="s">
        <v>2616</v>
      </c>
      <c r="E118">
        <v>25</v>
      </c>
      <c r="F118">
        <v>61</v>
      </c>
      <c r="G118">
        <v>15</v>
      </c>
      <c r="H118" s="154" t="s">
        <v>840</v>
      </c>
      <c r="I118" s="154" t="s">
        <v>840</v>
      </c>
      <c r="J118" s="154" t="s">
        <v>840</v>
      </c>
      <c r="K118" s="154" t="s">
        <v>840</v>
      </c>
    </row>
    <row r="119" spans="1:11" hidden="1" x14ac:dyDescent="0.3">
      <c r="A119">
        <v>2106</v>
      </c>
      <c r="B119" s="154" t="s">
        <v>2617</v>
      </c>
      <c r="C119" s="154" t="s">
        <v>1331</v>
      </c>
      <c r="D119" s="154" t="s">
        <v>396</v>
      </c>
      <c r="E119">
        <v>25</v>
      </c>
      <c r="F119">
        <v>61</v>
      </c>
      <c r="G119">
        <v>555</v>
      </c>
      <c r="H119" s="154" t="s">
        <v>840</v>
      </c>
      <c r="I119" s="154" t="s">
        <v>840</v>
      </c>
      <c r="J119" s="154" t="s">
        <v>840</v>
      </c>
      <c r="K119" s="154" t="s">
        <v>840</v>
      </c>
    </row>
    <row r="120" spans="1:11" hidden="1" x14ac:dyDescent="0.3">
      <c r="A120">
        <v>2036</v>
      </c>
      <c r="B120" s="154" t="s">
        <v>2569</v>
      </c>
      <c r="C120" s="154" t="s">
        <v>154</v>
      </c>
      <c r="D120" s="154" t="s">
        <v>250</v>
      </c>
      <c r="E120">
        <v>7</v>
      </c>
      <c r="F120">
        <v>60</v>
      </c>
      <c r="G120">
        <v>30</v>
      </c>
      <c r="H120" s="154" t="s">
        <v>840</v>
      </c>
      <c r="I120" s="154" t="s">
        <v>840</v>
      </c>
      <c r="J120" s="154" t="s">
        <v>840</v>
      </c>
      <c r="K120" s="154" t="s">
        <v>840</v>
      </c>
    </row>
    <row r="121" spans="1:11" hidden="1" x14ac:dyDescent="0.3">
      <c r="A121">
        <v>2094</v>
      </c>
      <c r="B121" s="154" t="s">
        <v>2618</v>
      </c>
      <c r="C121" s="154" t="s">
        <v>178</v>
      </c>
      <c r="D121" s="154" t="s">
        <v>2619</v>
      </c>
      <c r="E121">
        <v>25</v>
      </c>
      <c r="F121">
        <v>61</v>
      </c>
      <c r="G121">
        <v>15</v>
      </c>
      <c r="H121" s="154" t="s">
        <v>840</v>
      </c>
      <c r="I121" s="154" t="s">
        <v>840</v>
      </c>
      <c r="J121" s="154" t="s">
        <v>840</v>
      </c>
      <c r="K121" s="154" t="s">
        <v>840</v>
      </c>
    </row>
    <row r="122" spans="1:11" hidden="1" x14ac:dyDescent="0.3">
      <c r="A122">
        <v>2059</v>
      </c>
      <c r="B122" s="154" t="s">
        <v>2462</v>
      </c>
      <c r="C122" s="154" t="s">
        <v>126</v>
      </c>
      <c r="D122" s="154" t="s">
        <v>341</v>
      </c>
      <c r="E122">
        <v>7</v>
      </c>
      <c r="F122">
        <v>60</v>
      </c>
      <c r="G122">
        <v>15</v>
      </c>
      <c r="H122" s="154" t="s">
        <v>840</v>
      </c>
      <c r="I122" s="154" t="s">
        <v>840</v>
      </c>
      <c r="J122" s="154" t="s">
        <v>840</v>
      </c>
      <c r="K122" s="154" t="s">
        <v>840</v>
      </c>
    </row>
    <row r="123" spans="1:11" hidden="1" x14ac:dyDescent="0.3">
      <c r="A123">
        <v>2031</v>
      </c>
      <c r="B123" s="154" t="s">
        <v>2465</v>
      </c>
      <c r="C123" s="154" t="s">
        <v>149</v>
      </c>
      <c r="D123" s="154" t="s">
        <v>245</v>
      </c>
      <c r="E123">
        <v>7</v>
      </c>
      <c r="F123">
        <v>60</v>
      </c>
      <c r="G123">
        <v>15</v>
      </c>
      <c r="H123" s="154" t="s">
        <v>840</v>
      </c>
      <c r="I123" s="154" t="s">
        <v>840</v>
      </c>
      <c r="J123" s="154" t="s">
        <v>840</v>
      </c>
      <c r="K123" s="154" t="s">
        <v>840</v>
      </c>
    </row>
    <row r="124" spans="1:11" hidden="1" x14ac:dyDescent="0.3">
      <c r="A124">
        <v>2095</v>
      </c>
      <c r="B124" s="154" t="s">
        <v>2620</v>
      </c>
      <c r="C124" s="154" t="s">
        <v>180</v>
      </c>
      <c r="D124" s="154" t="s">
        <v>2621</v>
      </c>
      <c r="E124">
        <v>25</v>
      </c>
      <c r="F124">
        <v>61</v>
      </c>
      <c r="G124">
        <v>30</v>
      </c>
      <c r="H124" s="154" t="s">
        <v>840</v>
      </c>
      <c r="I124" s="154" t="s">
        <v>840</v>
      </c>
      <c r="J124" s="154" t="s">
        <v>840</v>
      </c>
      <c r="K124" s="154" t="s">
        <v>840</v>
      </c>
    </row>
    <row r="125" spans="1:11" hidden="1" x14ac:dyDescent="0.3">
      <c r="A125">
        <v>2009</v>
      </c>
      <c r="B125" s="154" t="s">
        <v>2466</v>
      </c>
      <c r="C125" s="154" t="s">
        <v>121</v>
      </c>
      <c r="D125" s="154" t="s">
        <v>1713</v>
      </c>
      <c r="E125">
        <v>7</v>
      </c>
      <c r="F125">
        <v>60</v>
      </c>
      <c r="G125">
        <v>15</v>
      </c>
      <c r="H125" s="154" t="s">
        <v>840</v>
      </c>
      <c r="I125" s="154" t="s">
        <v>840</v>
      </c>
      <c r="J125" s="154" t="s">
        <v>840</v>
      </c>
      <c r="K125" s="154" t="s">
        <v>840</v>
      </c>
    </row>
    <row r="126" spans="1:11" hidden="1" x14ac:dyDescent="0.3">
      <c r="A126">
        <v>2043</v>
      </c>
      <c r="B126" s="154" t="s">
        <v>2471</v>
      </c>
      <c r="C126" s="154" t="s">
        <v>163</v>
      </c>
      <c r="D126" s="154" t="s">
        <v>256</v>
      </c>
      <c r="E126">
        <v>7</v>
      </c>
      <c r="F126">
        <v>60</v>
      </c>
      <c r="G126">
        <v>15</v>
      </c>
      <c r="H126" s="154" t="s">
        <v>840</v>
      </c>
      <c r="I126" s="154" t="s">
        <v>840</v>
      </c>
      <c r="J126" s="154" t="s">
        <v>840</v>
      </c>
      <c r="K126" s="154" t="s">
        <v>840</v>
      </c>
    </row>
    <row r="127" spans="1:11" hidden="1" x14ac:dyDescent="0.3">
      <c r="A127">
        <v>1994</v>
      </c>
      <c r="B127" s="154" t="s">
        <v>2474</v>
      </c>
      <c r="C127" s="154" t="s">
        <v>103</v>
      </c>
      <c r="D127" s="154" t="s">
        <v>221</v>
      </c>
      <c r="E127">
        <v>7</v>
      </c>
      <c r="F127">
        <v>60</v>
      </c>
      <c r="G127">
        <v>15</v>
      </c>
      <c r="H127" s="154" t="s">
        <v>840</v>
      </c>
      <c r="I127" s="154" t="s">
        <v>840</v>
      </c>
      <c r="J127" s="154" t="s">
        <v>840</v>
      </c>
      <c r="K127" s="154" t="s">
        <v>840</v>
      </c>
    </row>
    <row r="128" spans="1:11" hidden="1" x14ac:dyDescent="0.3">
      <c r="A128">
        <v>1996</v>
      </c>
      <c r="B128" s="154" t="s">
        <v>2475</v>
      </c>
      <c r="C128" s="154" t="s">
        <v>106</v>
      </c>
      <c r="D128" s="154" t="s">
        <v>1735</v>
      </c>
      <c r="E128">
        <v>7</v>
      </c>
      <c r="F128">
        <v>60</v>
      </c>
      <c r="G128">
        <v>30</v>
      </c>
      <c r="H128" s="154" t="s">
        <v>840</v>
      </c>
      <c r="I128" s="154" t="s">
        <v>840</v>
      </c>
      <c r="J128" s="154" t="s">
        <v>840</v>
      </c>
      <c r="K128" s="154" t="s">
        <v>840</v>
      </c>
    </row>
    <row r="129" spans="1:11" hidden="1" x14ac:dyDescent="0.3">
      <c r="A129">
        <v>2029</v>
      </c>
      <c r="B129" s="154" t="s">
        <v>2477</v>
      </c>
      <c r="C129" s="154" t="s">
        <v>147</v>
      </c>
      <c r="D129" s="154" t="s">
        <v>243</v>
      </c>
      <c r="E129">
        <v>7</v>
      </c>
      <c r="F129">
        <v>60</v>
      </c>
      <c r="G129">
        <v>30</v>
      </c>
      <c r="H129" s="154" t="s">
        <v>840</v>
      </c>
      <c r="I129" s="154" t="s">
        <v>840</v>
      </c>
      <c r="J129" s="154" t="s">
        <v>840</v>
      </c>
      <c r="K129" s="154" t="s">
        <v>840</v>
      </c>
    </row>
    <row r="130" spans="1:11" hidden="1" x14ac:dyDescent="0.3">
      <c r="A130">
        <v>1995</v>
      </c>
      <c r="B130" s="154" t="s">
        <v>2480</v>
      </c>
      <c r="C130" s="154" t="s">
        <v>104</v>
      </c>
      <c r="D130" s="154" t="s">
        <v>222</v>
      </c>
      <c r="E130">
        <v>7</v>
      </c>
      <c r="F130">
        <v>60</v>
      </c>
      <c r="G130">
        <v>15</v>
      </c>
      <c r="H130" s="154" t="s">
        <v>840</v>
      </c>
      <c r="I130" s="154" t="s">
        <v>840</v>
      </c>
      <c r="J130" s="154" t="s">
        <v>840</v>
      </c>
      <c r="K130" s="154" t="s">
        <v>840</v>
      </c>
    </row>
    <row r="131" spans="1:11" hidden="1" x14ac:dyDescent="0.3">
      <c r="A131">
        <v>1998</v>
      </c>
      <c r="B131" s="154" t="s">
        <v>2481</v>
      </c>
      <c r="C131" s="154" t="s">
        <v>108</v>
      </c>
      <c r="D131" s="154" t="s">
        <v>1737</v>
      </c>
      <c r="E131">
        <v>7</v>
      </c>
      <c r="F131">
        <v>60</v>
      </c>
      <c r="G131">
        <v>15</v>
      </c>
      <c r="H131" s="154" t="s">
        <v>840</v>
      </c>
      <c r="I131" s="154" t="s">
        <v>840</v>
      </c>
      <c r="J131" s="154" t="s">
        <v>840</v>
      </c>
      <c r="K131" s="154" t="s">
        <v>840</v>
      </c>
    </row>
    <row r="132" spans="1:11" hidden="1" x14ac:dyDescent="0.3">
      <c r="A132">
        <v>1971</v>
      </c>
      <c r="B132" s="154" t="s">
        <v>2483</v>
      </c>
      <c r="C132" s="154" t="s">
        <v>74</v>
      </c>
      <c r="D132" s="154" t="s">
        <v>2484</v>
      </c>
      <c r="E132">
        <v>7</v>
      </c>
      <c r="F132">
        <v>60</v>
      </c>
      <c r="G132">
        <v>15</v>
      </c>
      <c r="H132" s="154" t="s">
        <v>840</v>
      </c>
      <c r="I132" s="154" t="s">
        <v>840</v>
      </c>
      <c r="J132" s="154" t="s">
        <v>840</v>
      </c>
      <c r="K132" s="154" t="s">
        <v>840</v>
      </c>
    </row>
    <row r="133" spans="1:11" hidden="1" x14ac:dyDescent="0.3">
      <c r="A133">
        <v>2004</v>
      </c>
      <c r="B133" s="154" t="s">
        <v>2485</v>
      </c>
      <c r="C133" s="154" t="s">
        <v>114</v>
      </c>
      <c r="D133" s="154" t="s">
        <v>227</v>
      </c>
      <c r="E133">
        <v>7</v>
      </c>
      <c r="F133">
        <v>60</v>
      </c>
      <c r="G133">
        <v>30</v>
      </c>
      <c r="H133" s="154" t="s">
        <v>840</v>
      </c>
      <c r="I133" s="154" t="s">
        <v>840</v>
      </c>
      <c r="J133" s="154" t="s">
        <v>840</v>
      </c>
      <c r="K133" s="154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6D67F-7D96-4EEB-9A98-A23006689441}">
  <dimension ref="A1:D7"/>
  <sheetViews>
    <sheetView workbookViewId="0">
      <selection activeCell="B10" sqref="B10"/>
    </sheetView>
  </sheetViews>
  <sheetFormatPr defaultRowHeight="14.4" x14ac:dyDescent="0.3"/>
  <cols>
    <col min="1" max="1" width="54.88671875" bestFit="1" customWidth="1"/>
    <col min="2" max="2" width="38.109375" bestFit="1" customWidth="1"/>
    <col min="3" max="3" width="38.5546875" bestFit="1" customWidth="1"/>
    <col min="4" max="4" width="26.5546875" bestFit="1" customWidth="1"/>
  </cols>
  <sheetData>
    <row r="1" spans="1:4" x14ac:dyDescent="0.3">
      <c r="A1" t="s">
        <v>753</v>
      </c>
      <c r="B1" t="s">
        <v>13</v>
      </c>
      <c r="C1" t="s">
        <v>14</v>
      </c>
      <c r="D1" t="s">
        <v>15</v>
      </c>
    </row>
    <row r="2" spans="1:4" x14ac:dyDescent="0.3">
      <c r="A2" t="s">
        <v>2237</v>
      </c>
    </row>
    <row r="3" spans="1:4" x14ac:dyDescent="0.3">
      <c r="A3" t="s">
        <v>2239</v>
      </c>
    </row>
    <row r="4" spans="1:4" x14ac:dyDescent="0.3">
      <c r="A4" t="s">
        <v>2301</v>
      </c>
    </row>
    <row r="5" spans="1:4" x14ac:dyDescent="0.3">
      <c r="A5" t="s">
        <v>2302</v>
      </c>
    </row>
    <row r="6" spans="1:4" x14ac:dyDescent="0.3">
      <c r="A6" t="s">
        <v>2310</v>
      </c>
    </row>
    <row r="7" spans="1:4" x14ac:dyDescent="0.3">
      <c r="A7" t="s">
        <v>2376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1113-C239-4533-B37D-86DD2C656270}">
  <dimension ref="A1:D8"/>
  <sheetViews>
    <sheetView workbookViewId="0">
      <selection activeCell="E12" sqref="E12"/>
    </sheetView>
  </sheetViews>
  <sheetFormatPr defaultRowHeight="14.4" x14ac:dyDescent="0.3"/>
  <cols>
    <col min="1" max="1" width="12.21875" bestFit="1" customWidth="1"/>
    <col min="2" max="2" width="31.5546875" bestFit="1" customWidth="1"/>
  </cols>
  <sheetData>
    <row r="1" spans="1:4" x14ac:dyDescent="0.3">
      <c r="A1" s="49" t="s">
        <v>2023</v>
      </c>
      <c r="B1" s="49" t="s">
        <v>421</v>
      </c>
      <c r="C1" s="49" t="s">
        <v>2022</v>
      </c>
    </row>
    <row r="2" spans="1:4" x14ac:dyDescent="0.3">
      <c r="A2" s="49" t="s">
        <v>1759</v>
      </c>
      <c r="B2" s="71" t="s">
        <v>520</v>
      </c>
      <c r="C2" s="49">
        <v>90</v>
      </c>
      <c r="D2" t="s">
        <v>2033</v>
      </c>
    </row>
    <row r="3" spans="1:4" x14ac:dyDescent="0.3">
      <c r="A3" s="49" t="s">
        <v>2018</v>
      </c>
      <c r="B3" s="71" t="s">
        <v>225</v>
      </c>
      <c r="C3" s="49">
        <v>45</v>
      </c>
    </row>
    <row r="4" spans="1:4" x14ac:dyDescent="0.3">
      <c r="A4" s="49" t="s">
        <v>2019</v>
      </c>
      <c r="B4" s="71" t="s">
        <v>224</v>
      </c>
      <c r="C4" s="49">
        <v>45</v>
      </c>
    </row>
    <row r="5" spans="1:4" x14ac:dyDescent="0.3">
      <c r="A5" s="49" t="s">
        <v>2020</v>
      </c>
      <c r="B5" s="71" t="s">
        <v>842</v>
      </c>
      <c r="C5" s="49">
        <v>45</v>
      </c>
    </row>
    <row r="6" spans="1:4" x14ac:dyDescent="0.3">
      <c r="A6" s="49" t="s">
        <v>2021</v>
      </c>
      <c r="B6" s="71" t="s">
        <v>218</v>
      </c>
      <c r="C6" s="49">
        <v>45</v>
      </c>
    </row>
    <row r="7" spans="1:4" x14ac:dyDescent="0.3">
      <c r="A7" s="60" t="s">
        <v>2040</v>
      </c>
      <c r="B7" s="76" t="s">
        <v>214</v>
      </c>
      <c r="C7" s="54">
        <v>45</v>
      </c>
    </row>
    <row r="8" spans="1:4" x14ac:dyDescent="0.3">
      <c r="A8" s="60" t="s">
        <v>2057</v>
      </c>
      <c r="B8" s="76" t="s">
        <v>217</v>
      </c>
      <c r="C8" s="54">
        <v>84</v>
      </c>
    </row>
  </sheetData>
  <conditionalFormatting sqref="A2:A6">
    <cfRule type="duplicateValues" dxfId="27" priority="5"/>
    <cfRule type="duplicateValues" dxfId="26" priority="6"/>
  </conditionalFormatting>
  <conditionalFormatting sqref="A7">
    <cfRule type="duplicateValues" dxfId="25" priority="3"/>
    <cfRule type="duplicateValues" dxfId="24" priority="4"/>
  </conditionalFormatting>
  <conditionalFormatting sqref="A8">
    <cfRule type="duplicateValues" dxfId="23" priority="1"/>
    <cfRule type="duplicateValues" dxfId="22" priority="2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R137"/>
  <sheetViews>
    <sheetView workbookViewId="0">
      <selection activeCell="E152" sqref="E152"/>
    </sheetView>
  </sheetViews>
  <sheetFormatPr defaultRowHeight="14.4" x14ac:dyDescent="0.3"/>
  <cols>
    <col min="1" max="1" width="47.33203125" bestFit="1" customWidth="1"/>
    <col min="2" max="2" width="38.33203125" bestFit="1" customWidth="1"/>
    <col min="3" max="3" width="10.5546875" bestFit="1" customWidth="1"/>
    <col min="4" max="4" width="8.88671875" customWidth="1"/>
    <col min="5" max="5" width="10" customWidth="1"/>
    <col min="6" max="6" width="8.88671875" customWidth="1"/>
    <col min="7" max="7" width="28.21875" customWidth="1"/>
    <col min="8" max="9" width="8.88671875" customWidth="1"/>
    <col min="10" max="10" width="18.33203125" customWidth="1"/>
    <col min="11" max="11" width="9.88671875" customWidth="1"/>
    <col min="12" max="12" width="18.109375" customWidth="1"/>
    <col min="13" max="13" width="12.21875" customWidth="1"/>
    <col min="14" max="14" width="8.88671875" customWidth="1"/>
  </cols>
  <sheetData>
    <row r="1" spans="1:18" x14ac:dyDescent="0.3">
      <c r="A1" t="s">
        <v>309</v>
      </c>
      <c r="B1" t="s">
        <v>2246</v>
      </c>
      <c r="C1" t="s">
        <v>2247</v>
      </c>
      <c r="E1" t="s">
        <v>273</v>
      </c>
      <c r="F1" t="s">
        <v>274</v>
      </c>
      <c r="G1" t="s">
        <v>1327</v>
      </c>
      <c r="H1" t="s">
        <v>23</v>
      </c>
      <c r="J1" t="s">
        <v>1286</v>
      </c>
      <c r="K1" t="s">
        <v>1305</v>
      </c>
    </row>
    <row r="2" spans="1:18" hidden="1" x14ac:dyDescent="0.3">
      <c r="A2">
        <v>7003756102</v>
      </c>
      <c r="B2">
        <v>91</v>
      </c>
      <c r="C2">
        <v>17</v>
      </c>
      <c r="D2" t="s">
        <v>984</v>
      </c>
      <c r="E2" t="s">
        <v>11</v>
      </c>
      <c r="H2">
        <v>1</v>
      </c>
      <c r="I2">
        <f>H2*28</f>
        <v>28</v>
      </c>
      <c r="J2" s="57">
        <v>19</v>
      </c>
    </row>
    <row r="3" spans="1:18" hidden="1" x14ac:dyDescent="0.3">
      <c r="A3">
        <v>7035964930</v>
      </c>
      <c r="C3">
        <v>31</v>
      </c>
      <c r="D3" t="s">
        <v>984</v>
      </c>
      <c r="E3" t="s">
        <v>11</v>
      </c>
      <c r="H3">
        <v>1</v>
      </c>
      <c r="I3">
        <f>H3*28</f>
        <v>28</v>
      </c>
      <c r="J3" s="57">
        <v>23</v>
      </c>
    </row>
    <row r="4" spans="1:18" hidden="1" x14ac:dyDescent="0.3">
      <c r="A4">
        <v>7035990430</v>
      </c>
      <c r="C4" t="s">
        <v>2257</v>
      </c>
      <c r="D4" t="s">
        <v>1236</v>
      </c>
      <c r="E4" t="s">
        <v>11</v>
      </c>
      <c r="H4">
        <v>2</v>
      </c>
      <c r="I4">
        <f>H4*28</f>
        <v>56</v>
      </c>
      <c r="J4" s="57">
        <v>19</v>
      </c>
    </row>
    <row r="5" spans="1:18" hidden="1" x14ac:dyDescent="0.3">
      <c r="A5">
        <v>7035990930</v>
      </c>
      <c r="D5" t="s">
        <v>1236</v>
      </c>
      <c r="E5" t="s">
        <v>11</v>
      </c>
      <c r="H5">
        <v>1</v>
      </c>
      <c r="I5">
        <f t="shared" ref="I5:I64" si="0">H5*28</f>
        <v>28</v>
      </c>
      <c r="J5" s="57">
        <v>19</v>
      </c>
      <c r="P5" t="s">
        <v>2290</v>
      </c>
      <c r="Q5">
        <f>FIND(",",P5)</f>
        <v>4</v>
      </c>
      <c r="R5" t="str">
        <f>LEFT(P5,Q5-1)</f>
        <v>232</v>
      </c>
    </row>
    <row r="6" spans="1:18" hidden="1" x14ac:dyDescent="0.3">
      <c r="A6" t="s">
        <v>1208</v>
      </c>
      <c r="D6" t="s">
        <v>1238</v>
      </c>
      <c r="E6" t="s">
        <v>1235</v>
      </c>
      <c r="H6">
        <v>2</v>
      </c>
      <c r="I6">
        <f t="shared" si="0"/>
        <v>56</v>
      </c>
      <c r="J6" s="57">
        <v>20</v>
      </c>
    </row>
    <row r="7" spans="1:18" hidden="1" x14ac:dyDescent="0.3">
      <c r="A7" t="s">
        <v>858</v>
      </c>
      <c r="D7" t="s">
        <v>1238</v>
      </c>
      <c r="E7" t="s">
        <v>1235</v>
      </c>
      <c r="H7">
        <v>1</v>
      </c>
      <c r="I7">
        <f t="shared" si="0"/>
        <v>28</v>
      </c>
      <c r="J7" s="57">
        <v>20</v>
      </c>
    </row>
    <row r="8" spans="1:18" hidden="1" x14ac:dyDescent="0.3">
      <c r="A8">
        <v>7047186030</v>
      </c>
      <c r="D8" t="s">
        <v>1235</v>
      </c>
      <c r="E8" t="s">
        <v>1235</v>
      </c>
      <c r="H8">
        <v>30</v>
      </c>
      <c r="I8">
        <f t="shared" si="0"/>
        <v>840</v>
      </c>
      <c r="J8" s="57">
        <v>19</v>
      </c>
      <c r="K8">
        <v>116</v>
      </c>
    </row>
    <row r="9" spans="1:18" hidden="1" x14ac:dyDescent="0.3">
      <c r="A9" t="s">
        <v>863</v>
      </c>
      <c r="D9" t="s">
        <v>1238</v>
      </c>
      <c r="E9" t="s">
        <v>1235</v>
      </c>
      <c r="H9">
        <v>1</v>
      </c>
      <c r="I9">
        <f t="shared" si="0"/>
        <v>28</v>
      </c>
      <c r="J9" s="57">
        <v>20</v>
      </c>
    </row>
    <row r="10" spans="1:18" hidden="1" x14ac:dyDescent="0.3">
      <c r="A10" t="s">
        <v>1209</v>
      </c>
      <c r="D10" t="s">
        <v>1238</v>
      </c>
      <c r="E10" t="s">
        <v>1235</v>
      </c>
      <c r="H10">
        <v>3</v>
      </c>
      <c r="I10">
        <f t="shared" si="0"/>
        <v>84</v>
      </c>
      <c r="J10" s="57">
        <v>20</v>
      </c>
    </row>
    <row r="11" spans="1:18" hidden="1" x14ac:dyDescent="0.3">
      <c r="A11" t="s">
        <v>1210</v>
      </c>
      <c r="D11" t="s">
        <v>1238</v>
      </c>
      <c r="E11" t="s">
        <v>1235</v>
      </c>
      <c r="H11">
        <v>1</v>
      </c>
      <c r="I11">
        <f t="shared" si="0"/>
        <v>28</v>
      </c>
      <c r="J11" s="57">
        <v>20</v>
      </c>
    </row>
    <row r="12" spans="1:18" hidden="1" x14ac:dyDescent="0.3">
      <c r="A12" t="s">
        <v>1211</v>
      </c>
      <c r="D12" t="s">
        <v>1238</v>
      </c>
      <c r="E12" t="s">
        <v>1235</v>
      </c>
      <c r="H12">
        <v>1</v>
      </c>
      <c r="I12">
        <f t="shared" si="0"/>
        <v>28</v>
      </c>
      <c r="J12" s="57">
        <v>20</v>
      </c>
    </row>
    <row r="13" spans="1:18" hidden="1" x14ac:dyDescent="0.3">
      <c r="A13">
        <v>7075181330</v>
      </c>
      <c r="C13">
        <v>29</v>
      </c>
      <c r="D13" t="s">
        <v>984</v>
      </c>
      <c r="E13" t="s">
        <v>11</v>
      </c>
      <c r="H13">
        <v>1</v>
      </c>
      <c r="I13">
        <f t="shared" si="0"/>
        <v>28</v>
      </c>
      <c r="J13" s="57">
        <v>22</v>
      </c>
    </row>
    <row r="14" spans="1:18" hidden="1" x14ac:dyDescent="0.3">
      <c r="A14">
        <v>7075231930</v>
      </c>
      <c r="C14">
        <v>8</v>
      </c>
      <c r="D14" t="s">
        <v>1236</v>
      </c>
      <c r="E14" t="s">
        <v>11</v>
      </c>
      <c r="H14">
        <v>1</v>
      </c>
      <c r="I14">
        <f t="shared" si="0"/>
        <v>28</v>
      </c>
      <c r="J14" s="57">
        <v>19</v>
      </c>
      <c r="K14">
        <v>2</v>
      </c>
    </row>
    <row r="15" spans="1:18" hidden="1" x14ac:dyDescent="0.3">
      <c r="A15">
        <v>7075244730</v>
      </c>
      <c r="C15">
        <v>31</v>
      </c>
      <c r="D15" t="s">
        <v>984</v>
      </c>
      <c r="E15" t="s">
        <v>11</v>
      </c>
      <c r="H15">
        <v>1</v>
      </c>
      <c r="I15">
        <f t="shared" si="0"/>
        <v>28</v>
      </c>
      <c r="J15" s="57">
        <v>24</v>
      </c>
    </row>
    <row r="16" spans="1:18" hidden="1" x14ac:dyDescent="0.3">
      <c r="A16" t="s">
        <v>797</v>
      </c>
      <c r="B16" t="s">
        <v>2250</v>
      </c>
      <c r="C16" t="s">
        <v>2258</v>
      </c>
      <c r="D16" t="s">
        <v>984</v>
      </c>
      <c r="E16" t="s">
        <v>11</v>
      </c>
      <c r="H16">
        <v>2</v>
      </c>
      <c r="I16">
        <f t="shared" si="0"/>
        <v>56</v>
      </c>
      <c r="J16" s="57">
        <v>23</v>
      </c>
    </row>
    <row r="17" spans="1:12" hidden="1" x14ac:dyDescent="0.3">
      <c r="A17">
        <v>71186354</v>
      </c>
      <c r="B17" t="s">
        <v>2260</v>
      </c>
      <c r="C17" t="s">
        <v>2261</v>
      </c>
      <c r="D17" t="s">
        <v>984</v>
      </c>
      <c r="E17" t="s">
        <v>11</v>
      </c>
      <c r="F17">
        <v>1</v>
      </c>
      <c r="G17" t="s">
        <v>1326</v>
      </c>
      <c r="H17">
        <v>2</v>
      </c>
      <c r="I17">
        <f t="shared" si="0"/>
        <v>56</v>
      </c>
      <c r="J17" s="57">
        <v>19</v>
      </c>
      <c r="K17">
        <v>3</v>
      </c>
    </row>
    <row r="18" spans="1:12" hidden="1" x14ac:dyDescent="0.3">
      <c r="A18" t="s">
        <v>212</v>
      </c>
      <c r="B18">
        <v>136</v>
      </c>
      <c r="C18">
        <v>23</v>
      </c>
      <c r="D18" t="s">
        <v>984</v>
      </c>
      <c r="E18" t="s">
        <v>11</v>
      </c>
      <c r="H18">
        <v>1</v>
      </c>
      <c r="I18">
        <f t="shared" si="0"/>
        <v>28</v>
      </c>
      <c r="J18" s="57">
        <v>43</v>
      </c>
    </row>
    <row r="19" spans="1:12" hidden="1" x14ac:dyDescent="0.3">
      <c r="A19" t="s">
        <v>514</v>
      </c>
      <c r="B19" t="s">
        <v>2285</v>
      </c>
      <c r="C19" t="s">
        <v>2286</v>
      </c>
      <c r="D19" t="s">
        <v>984</v>
      </c>
      <c r="E19" t="s">
        <v>11</v>
      </c>
      <c r="F19">
        <v>1</v>
      </c>
      <c r="H19">
        <v>2</v>
      </c>
      <c r="I19">
        <f t="shared" si="0"/>
        <v>56</v>
      </c>
      <c r="J19" s="57">
        <v>23</v>
      </c>
    </row>
    <row r="20" spans="1:12" hidden="1" x14ac:dyDescent="0.3">
      <c r="A20">
        <v>7118670020</v>
      </c>
      <c r="B20" t="s">
        <v>2265</v>
      </c>
      <c r="C20" t="s">
        <v>2266</v>
      </c>
      <c r="D20" t="s">
        <v>984</v>
      </c>
      <c r="E20" t="s">
        <v>11</v>
      </c>
      <c r="F20">
        <v>1</v>
      </c>
      <c r="G20" t="s">
        <v>1328</v>
      </c>
      <c r="H20">
        <v>2</v>
      </c>
      <c r="I20">
        <f t="shared" si="0"/>
        <v>56</v>
      </c>
      <c r="J20" s="57">
        <v>19</v>
      </c>
    </row>
    <row r="21" spans="1:12" hidden="1" x14ac:dyDescent="0.3">
      <c r="A21" t="s">
        <v>1212</v>
      </c>
      <c r="B21">
        <v>295</v>
      </c>
      <c r="C21">
        <v>2</v>
      </c>
      <c r="D21" t="s">
        <v>984</v>
      </c>
      <c r="E21" t="s">
        <v>11</v>
      </c>
      <c r="H21">
        <v>1</v>
      </c>
      <c r="I21">
        <f t="shared" si="0"/>
        <v>28</v>
      </c>
      <c r="J21" s="57">
        <v>23</v>
      </c>
    </row>
    <row r="22" spans="1:12" hidden="1" x14ac:dyDescent="0.3">
      <c r="A22" t="s">
        <v>214</v>
      </c>
      <c r="B22">
        <v>78</v>
      </c>
      <c r="C22">
        <v>26</v>
      </c>
      <c r="D22" t="s">
        <v>984</v>
      </c>
      <c r="E22" t="s">
        <v>11</v>
      </c>
      <c r="H22">
        <v>1</v>
      </c>
      <c r="I22">
        <f t="shared" si="0"/>
        <v>28</v>
      </c>
      <c r="J22" s="57">
        <v>27</v>
      </c>
      <c r="L22" t="s">
        <v>2039</v>
      </c>
    </row>
    <row r="23" spans="1:12" hidden="1" x14ac:dyDescent="0.3">
      <c r="A23">
        <v>7119131530</v>
      </c>
      <c r="B23" t="s">
        <v>2249</v>
      </c>
      <c r="C23" t="s">
        <v>2259</v>
      </c>
      <c r="D23" t="s">
        <v>984</v>
      </c>
      <c r="E23" t="s">
        <v>11</v>
      </c>
      <c r="F23">
        <v>1</v>
      </c>
      <c r="H23">
        <v>3</v>
      </c>
      <c r="I23">
        <f t="shared" si="0"/>
        <v>84</v>
      </c>
      <c r="J23" s="57">
        <v>19</v>
      </c>
    </row>
    <row r="24" spans="1:12" hidden="1" x14ac:dyDescent="0.3">
      <c r="A24" t="s">
        <v>520</v>
      </c>
      <c r="B24" t="s">
        <v>2295</v>
      </c>
      <c r="C24" t="s">
        <v>2296</v>
      </c>
      <c r="D24" t="s">
        <v>984</v>
      </c>
      <c r="E24" t="s">
        <v>11</v>
      </c>
      <c r="H24">
        <v>2</v>
      </c>
      <c r="I24">
        <f t="shared" si="0"/>
        <v>56</v>
      </c>
      <c r="J24" s="57">
        <v>23</v>
      </c>
    </row>
    <row r="25" spans="1:12" hidden="1" x14ac:dyDescent="0.3">
      <c r="A25">
        <v>7119146730</v>
      </c>
      <c r="B25">
        <v>116</v>
      </c>
      <c r="C25">
        <v>12</v>
      </c>
      <c r="D25" t="s">
        <v>984</v>
      </c>
      <c r="E25" t="s">
        <v>11</v>
      </c>
      <c r="F25">
        <v>1</v>
      </c>
      <c r="H25">
        <v>1</v>
      </c>
      <c r="I25">
        <f t="shared" si="0"/>
        <v>28</v>
      </c>
      <c r="J25" s="57">
        <v>22</v>
      </c>
    </row>
    <row r="26" spans="1:12" hidden="1" x14ac:dyDescent="0.3">
      <c r="A26">
        <v>7119163630</v>
      </c>
      <c r="B26" t="s">
        <v>2412</v>
      </c>
      <c r="C26" t="s">
        <v>2413</v>
      </c>
      <c r="D26" t="s">
        <v>984</v>
      </c>
      <c r="E26" t="s">
        <v>11</v>
      </c>
      <c r="F26">
        <v>1</v>
      </c>
      <c r="H26">
        <v>4</v>
      </c>
      <c r="I26">
        <f t="shared" si="0"/>
        <v>112</v>
      </c>
      <c r="J26" s="57">
        <v>28</v>
      </c>
      <c r="L26" t="s">
        <v>1704</v>
      </c>
    </row>
    <row r="27" spans="1:12" hidden="1" x14ac:dyDescent="0.3">
      <c r="A27">
        <v>7119172930</v>
      </c>
      <c r="B27">
        <v>220</v>
      </c>
      <c r="C27">
        <v>9</v>
      </c>
      <c r="D27" t="s">
        <v>984</v>
      </c>
      <c r="E27" t="s">
        <v>11</v>
      </c>
      <c r="F27">
        <v>1</v>
      </c>
      <c r="H27">
        <v>1</v>
      </c>
      <c r="I27">
        <f t="shared" si="0"/>
        <v>28</v>
      </c>
      <c r="J27" s="57">
        <v>27</v>
      </c>
      <c r="L27" t="s">
        <v>1703</v>
      </c>
    </row>
    <row r="28" spans="1:12" hidden="1" x14ac:dyDescent="0.3">
      <c r="A28">
        <v>71191993</v>
      </c>
      <c r="B28">
        <v>92</v>
      </c>
      <c r="C28">
        <v>25</v>
      </c>
      <c r="D28" t="s">
        <v>984</v>
      </c>
      <c r="E28" t="s">
        <v>11</v>
      </c>
      <c r="F28">
        <v>1</v>
      </c>
      <c r="H28">
        <v>1</v>
      </c>
      <c r="I28">
        <f t="shared" si="0"/>
        <v>28</v>
      </c>
      <c r="J28" s="57">
        <v>19</v>
      </c>
    </row>
    <row r="29" spans="1:12" hidden="1" x14ac:dyDescent="0.3">
      <c r="A29">
        <v>7119639830</v>
      </c>
      <c r="B29">
        <v>286</v>
      </c>
      <c r="C29">
        <v>3</v>
      </c>
      <c r="D29" t="s">
        <v>984</v>
      </c>
      <c r="E29" t="s">
        <v>11</v>
      </c>
      <c r="F29">
        <v>1</v>
      </c>
      <c r="H29">
        <v>1</v>
      </c>
      <c r="I29">
        <f t="shared" si="0"/>
        <v>28</v>
      </c>
      <c r="J29" s="57">
        <v>22</v>
      </c>
    </row>
    <row r="30" spans="1:12" hidden="1" x14ac:dyDescent="0.3">
      <c r="A30">
        <v>71196401</v>
      </c>
      <c r="B30">
        <v>285</v>
      </c>
      <c r="C30">
        <v>3</v>
      </c>
      <c r="D30" t="s">
        <v>984</v>
      </c>
      <c r="E30" t="s">
        <v>11</v>
      </c>
      <c r="F30">
        <v>1</v>
      </c>
      <c r="H30">
        <v>1</v>
      </c>
      <c r="I30">
        <f t="shared" si="0"/>
        <v>28</v>
      </c>
      <c r="J30" s="57">
        <v>19</v>
      </c>
    </row>
    <row r="31" spans="1:12" hidden="1" x14ac:dyDescent="0.3">
      <c r="A31">
        <v>7119641970</v>
      </c>
      <c r="B31">
        <v>529</v>
      </c>
      <c r="C31">
        <v>5</v>
      </c>
      <c r="D31" t="s">
        <v>984</v>
      </c>
      <c r="E31" t="s">
        <v>11</v>
      </c>
      <c r="F31">
        <v>1</v>
      </c>
      <c r="H31">
        <v>1</v>
      </c>
      <c r="I31">
        <f t="shared" si="0"/>
        <v>28</v>
      </c>
      <c r="J31" s="57">
        <v>23</v>
      </c>
    </row>
    <row r="32" spans="1:12" hidden="1" x14ac:dyDescent="0.3">
      <c r="A32" t="s">
        <v>218</v>
      </c>
      <c r="B32">
        <v>397</v>
      </c>
      <c r="C32">
        <v>8</v>
      </c>
      <c r="D32" t="s">
        <v>984</v>
      </c>
      <c r="E32" t="s">
        <v>11</v>
      </c>
      <c r="H32">
        <v>1</v>
      </c>
      <c r="I32">
        <f t="shared" si="0"/>
        <v>28</v>
      </c>
      <c r="J32" s="57">
        <v>26</v>
      </c>
    </row>
    <row r="33" spans="1:12" hidden="1" x14ac:dyDescent="0.3">
      <c r="A33">
        <v>71196506</v>
      </c>
      <c r="B33">
        <v>76</v>
      </c>
      <c r="C33">
        <v>27</v>
      </c>
      <c r="D33" t="s">
        <v>984</v>
      </c>
      <c r="E33" t="s">
        <v>11</v>
      </c>
      <c r="F33">
        <v>1</v>
      </c>
      <c r="H33">
        <v>1</v>
      </c>
      <c r="I33">
        <f t="shared" si="0"/>
        <v>28</v>
      </c>
      <c r="J33" s="57">
        <v>27</v>
      </c>
      <c r="L33" t="s">
        <v>1705</v>
      </c>
    </row>
    <row r="34" spans="1:12" hidden="1" x14ac:dyDescent="0.3">
      <c r="A34">
        <v>7119668820</v>
      </c>
      <c r="B34">
        <v>63</v>
      </c>
      <c r="C34">
        <v>28</v>
      </c>
      <c r="D34" t="s">
        <v>984</v>
      </c>
      <c r="E34" t="s">
        <v>11</v>
      </c>
      <c r="F34">
        <v>1</v>
      </c>
      <c r="H34">
        <v>1</v>
      </c>
      <c r="I34">
        <f t="shared" si="0"/>
        <v>28</v>
      </c>
      <c r="J34" s="57">
        <v>28</v>
      </c>
      <c r="L34" t="s">
        <v>2052</v>
      </c>
    </row>
    <row r="35" spans="1:12" hidden="1" x14ac:dyDescent="0.3">
      <c r="A35" t="s">
        <v>217</v>
      </c>
      <c r="B35" t="s">
        <v>2374</v>
      </c>
      <c r="C35" t="s">
        <v>2375</v>
      </c>
      <c r="D35" t="s">
        <v>984</v>
      </c>
      <c r="E35" t="s">
        <v>11</v>
      </c>
      <c r="H35">
        <v>3</v>
      </c>
      <c r="I35">
        <f t="shared" si="0"/>
        <v>84</v>
      </c>
      <c r="J35" s="57">
        <v>28</v>
      </c>
    </row>
    <row r="36" spans="1:12" hidden="1" x14ac:dyDescent="0.3">
      <c r="A36">
        <v>71196714</v>
      </c>
      <c r="B36">
        <v>388</v>
      </c>
      <c r="C36">
        <v>13</v>
      </c>
      <c r="D36" t="s">
        <v>984</v>
      </c>
      <c r="E36" t="s">
        <v>11</v>
      </c>
      <c r="F36">
        <v>1</v>
      </c>
      <c r="H36">
        <v>1</v>
      </c>
      <c r="I36">
        <f t="shared" si="0"/>
        <v>28</v>
      </c>
      <c r="J36" s="57">
        <v>22</v>
      </c>
    </row>
    <row r="37" spans="1:12" hidden="1" x14ac:dyDescent="0.3">
      <c r="A37" t="s">
        <v>1006</v>
      </c>
      <c r="D37" t="s">
        <v>1238</v>
      </c>
      <c r="E37" t="s">
        <v>1235</v>
      </c>
      <c r="H37">
        <v>1</v>
      </c>
      <c r="I37">
        <f t="shared" si="0"/>
        <v>28</v>
      </c>
      <c r="J37" s="57">
        <v>20</v>
      </c>
    </row>
    <row r="38" spans="1:12" hidden="1" x14ac:dyDescent="0.3">
      <c r="A38">
        <v>7147882430</v>
      </c>
      <c r="D38" t="s">
        <v>1235</v>
      </c>
      <c r="E38" t="s">
        <v>1235</v>
      </c>
      <c r="H38">
        <v>6</v>
      </c>
      <c r="I38">
        <f t="shared" si="0"/>
        <v>168</v>
      </c>
      <c r="J38" s="57">
        <v>19</v>
      </c>
      <c r="K38">
        <v>19</v>
      </c>
    </row>
    <row r="39" spans="1:12" hidden="1" x14ac:dyDescent="0.3">
      <c r="A39" t="s">
        <v>1213</v>
      </c>
      <c r="D39" t="s">
        <v>1237</v>
      </c>
      <c r="E39" t="s">
        <v>11</v>
      </c>
      <c r="H39">
        <v>1</v>
      </c>
      <c r="I39">
        <f t="shared" si="0"/>
        <v>28</v>
      </c>
      <c r="J39" s="57">
        <v>47</v>
      </c>
    </row>
    <row r="40" spans="1:12" hidden="1" x14ac:dyDescent="0.3">
      <c r="A40" t="s">
        <v>1214</v>
      </c>
      <c r="D40" t="s">
        <v>1237</v>
      </c>
      <c r="E40" t="s">
        <v>11</v>
      </c>
      <c r="H40">
        <v>1</v>
      </c>
      <c r="I40">
        <f t="shared" si="0"/>
        <v>28</v>
      </c>
      <c r="J40" s="57">
        <v>47</v>
      </c>
    </row>
    <row r="41" spans="1:12" hidden="1" x14ac:dyDescent="0.3">
      <c r="A41">
        <v>71781227</v>
      </c>
      <c r="B41">
        <v>516</v>
      </c>
      <c r="C41">
        <v>28</v>
      </c>
      <c r="D41" t="s">
        <v>984</v>
      </c>
      <c r="E41" t="s">
        <v>11</v>
      </c>
      <c r="F41">
        <v>1</v>
      </c>
      <c r="H41">
        <v>1</v>
      </c>
      <c r="I41">
        <f t="shared" si="0"/>
        <v>28</v>
      </c>
      <c r="J41" s="57">
        <v>22</v>
      </c>
    </row>
    <row r="42" spans="1:12" hidden="1" x14ac:dyDescent="0.3">
      <c r="A42">
        <v>71782472</v>
      </c>
      <c r="B42">
        <v>484</v>
      </c>
      <c r="C42">
        <v>10</v>
      </c>
      <c r="D42" t="s">
        <v>984</v>
      </c>
      <c r="E42" t="s">
        <v>11</v>
      </c>
      <c r="F42">
        <v>1</v>
      </c>
      <c r="H42">
        <v>1</v>
      </c>
      <c r="I42">
        <f t="shared" si="0"/>
        <v>28</v>
      </c>
      <c r="J42" s="57">
        <v>22</v>
      </c>
    </row>
    <row r="43" spans="1:12" hidden="1" x14ac:dyDescent="0.3">
      <c r="A43">
        <v>7178270480</v>
      </c>
      <c r="B43" t="s">
        <v>2185</v>
      </c>
      <c r="D43" t="s">
        <v>984</v>
      </c>
      <c r="E43" t="s">
        <v>11</v>
      </c>
      <c r="H43">
        <v>1</v>
      </c>
      <c r="I43">
        <f t="shared" si="0"/>
        <v>28</v>
      </c>
      <c r="J43" s="57">
        <v>47</v>
      </c>
      <c r="L43" t="s">
        <v>2055</v>
      </c>
    </row>
    <row r="44" spans="1:12" hidden="1" x14ac:dyDescent="0.3">
      <c r="A44" t="s">
        <v>219</v>
      </c>
      <c r="B44" t="s">
        <v>2460</v>
      </c>
      <c r="C44" t="s">
        <v>2461</v>
      </c>
      <c r="D44" t="s">
        <v>984</v>
      </c>
      <c r="E44" t="s">
        <v>11</v>
      </c>
      <c r="H44">
        <v>2</v>
      </c>
      <c r="I44">
        <f t="shared" si="0"/>
        <v>56</v>
      </c>
      <c r="J44" s="57">
        <v>24</v>
      </c>
      <c r="L44" t="s">
        <v>1961</v>
      </c>
    </row>
    <row r="45" spans="1:12" hidden="1" x14ac:dyDescent="0.3">
      <c r="A45">
        <v>7183753630</v>
      </c>
      <c r="B45">
        <v>520</v>
      </c>
      <c r="C45">
        <v>29</v>
      </c>
      <c r="D45" t="s">
        <v>984</v>
      </c>
      <c r="E45" t="s">
        <v>11</v>
      </c>
      <c r="F45">
        <v>1</v>
      </c>
      <c r="H45">
        <v>1</v>
      </c>
      <c r="I45">
        <f t="shared" si="0"/>
        <v>28</v>
      </c>
      <c r="J45" s="57">
        <v>22</v>
      </c>
    </row>
    <row r="46" spans="1:12" hidden="1" x14ac:dyDescent="0.3">
      <c r="A46" t="s">
        <v>546</v>
      </c>
      <c r="B46">
        <v>140</v>
      </c>
      <c r="C46">
        <v>24</v>
      </c>
      <c r="D46" t="s">
        <v>984</v>
      </c>
      <c r="E46" t="s">
        <v>11</v>
      </c>
      <c r="H46">
        <v>1</v>
      </c>
      <c r="I46">
        <f t="shared" si="0"/>
        <v>28</v>
      </c>
      <c r="J46" s="57">
        <v>25</v>
      </c>
      <c r="L46" t="s">
        <v>1993</v>
      </c>
    </row>
    <row r="47" spans="1:12" hidden="1" x14ac:dyDescent="0.3">
      <c r="A47" t="s">
        <v>1215</v>
      </c>
      <c r="D47" t="s">
        <v>1237</v>
      </c>
      <c r="E47" t="s">
        <v>11</v>
      </c>
      <c r="H47">
        <v>1</v>
      </c>
      <c r="I47">
        <f t="shared" si="0"/>
        <v>28</v>
      </c>
      <c r="J47" s="57">
        <v>46</v>
      </c>
    </row>
    <row r="48" spans="1:12" hidden="1" x14ac:dyDescent="0.3">
      <c r="A48" t="s">
        <v>221</v>
      </c>
      <c r="B48">
        <v>94</v>
      </c>
      <c r="C48">
        <v>16</v>
      </c>
      <c r="D48" t="s">
        <v>984</v>
      </c>
      <c r="E48" t="s">
        <v>11</v>
      </c>
      <c r="F48">
        <v>1</v>
      </c>
      <c r="H48">
        <v>1</v>
      </c>
      <c r="I48">
        <f t="shared" si="0"/>
        <v>28</v>
      </c>
      <c r="J48" s="57">
        <v>19</v>
      </c>
      <c r="K48">
        <v>1</v>
      </c>
    </row>
    <row r="49" spans="1:12" hidden="1" x14ac:dyDescent="0.3">
      <c r="A49" t="s">
        <v>1216</v>
      </c>
      <c r="D49" t="s">
        <v>984</v>
      </c>
      <c r="E49" t="s">
        <v>11</v>
      </c>
      <c r="H49">
        <v>1</v>
      </c>
      <c r="I49">
        <f t="shared" si="0"/>
        <v>28</v>
      </c>
      <c r="J49" s="57">
        <v>47</v>
      </c>
    </row>
    <row r="50" spans="1:12" hidden="1" x14ac:dyDescent="0.3">
      <c r="A50">
        <v>7189663170</v>
      </c>
      <c r="B50" t="s">
        <v>2269</v>
      </c>
      <c r="C50" t="s">
        <v>2270</v>
      </c>
      <c r="D50" t="s">
        <v>984</v>
      </c>
      <c r="E50" t="s">
        <v>11</v>
      </c>
      <c r="H50">
        <v>2</v>
      </c>
      <c r="I50">
        <f t="shared" si="0"/>
        <v>56</v>
      </c>
      <c r="J50" s="57">
        <v>22</v>
      </c>
    </row>
    <row r="51" spans="1:12" hidden="1" x14ac:dyDescent="0.3">
      <c r="A51" t="s">
        <v>842</v>
      </c>
      <c r="B51">
        <v>101</v>
      </c>
      <c r="C51">
        <v>12</v>
      </c>
      <c r="D51" t="s">
        <v>984</v>
      </c>
      <c r="E51" t="s">
        <v>11</v>
      </c>
      <c r="H51">
        <v>1</v>
      </c>
      <c r="I51">
        <f t="shared" si="0"/>
        <v>28</v>
      </c>
      <c r="J51" s="57">
        <v>26</v>
      </c>
    </row>
    <row r="52" spans="1:12" hidden="1" x14ac:dyDescent="0.3">
      <c r="A52" t="s">
        <v>224</v>
      </c>
      <c r="B52">
        <v>101</v>
      </c>
      <c r="C52">
        <v>13</v>
      </c>
      <c r="D52" t="s">
        <v>984</v>
      </c>
      <c r="E52" t="s">
        <v>11</v>
      </c>
      <c r="H52">
        <v>1</v>
      </c>
      <c r="I52">
        <f t="shared" si="0"/>
        <v>28</v>
      </c>
      <c r="J52" s="57">
        <v>26</v>
      </c>
    </row>
    <row r="53" spans="1:12" hidden="1" x14ac:dyDescent="0.3">
      <c r="A53">
        <v>71897277</v>
      </c>
      <c r="B53">
        <v>139</v>
      </c>
      <c r="C53">
        <v>5</v>
      </c>
      <c r="D53" t="s">
        <v>984</v>
      </c>
      <c r="E53" t="s">
        <v>11</v>
      </c>
      <c r="F53">
        <v>1</v>
      </c>
      <c r="H53">
        <v>1</v>
      </c>
      <c r="I53">
        <f t="shared" si="0"/>
        <v>28</v>
      </c>
      <c r="J53" s="57">
        <v>19</v>
      </c>
    </row>
    <row r="54" spans="1:12" hidden="1" x14ac:dyDescent="0.3">
      <c r="A54" t="s">
        <v>225</v>
      </c>
      <c r="B54">
        <v>97</v>
      </c>
      <c r="C54">
        <v>14</v>
      </c>
      <c r="D54" t="s">
        <v>984</v>
      </c>
      <c r="E54" t="s">
        <v>11</v>
      </c>
      <c r="H54">
        <v>1</v>
      </c>
      <c r="I54">
        <f t="shared" si="0"/>
        <v>28</v>
      </c>
      <c r="J54" s="57">
        <v>26</v>
      </c>
    </row>
    <row r="55" spans="1:12" hidden="1" x14ac:dyDescent="0.3">
      <c r="A55" t="s">
        <v>1217</v>
      </c>
      <c r="B55">
        <v>296</v>
      </c>
      <c r="C55">
        <v>2</v>
      </c>
      <c r="D55" t="s">
        <v>984</v>
      </c>
      <c r="E55" t="s">
        <v>11</v>
      </c>
      <c r="H55">
        <v>1</v>
      </c>
      <c r="I55">
        <f t="shared" si="0"/>
        <v>28</v>
      </c>
      <c r="J55" s="57">
        <v>27</v>
      </c>
      <c r="L55" t="s">
        <v>1993</v>
      </c>
    </row>
    <row r="56" spans="1:12" hidden="1" x14ac:dyDescent="0.3">
      <c r="A56">
        <v>71899503</v>
      </c>
      <c r="B56" t="s">
        <v>2280</v>
      </c>
      <c r="C56" t="s">
        <v>2281</v>
      </c>
      <c r="D56" t="s">
        <v>984</v>
      </c>
      <c r="E56" t="s">
        <v>11</v>
      </c>
      <c r="F56">
        <v>1</v>
      </c>
      <c r="H56">
        <v>2</v>
      </c>
      <c r="I56">
        <f t="shared" si="0"/>
        <v>56</v>
      </c>
      <c r="J56" s="57">
        <v>19</v>
      </c>
    </row>
    <row r="57" spans="1:12" hidden="1" x14ac:dyDescent="0.3">
      <c r="A57">
        <v>7189982830</v>
      </c>
      <c r="B57">
        <v>453</v>
      </c>
      <c r="C57">
        <v>7</v>
      </c>
      <c r="D57" t="s">
        <v>984</v>
      </c>
      <c r="E57" t="s">
        <v>11</v>
      </c>
      <c r="F57">
        <v>1</v>
      </c>
      <c r="H57">
        <v>1</v>
      </c>
      <c r="I57">
        <f t="shared" si="0"/>
        <v>28</v>
      </c>
      <c r="J57" s="57">
        <v>22</v>
      </c>
    </row>
    <row r="58" spans="1:12" hidden="1" x14ac:dyDescent="0.3">
      <c r="A58">
        <v>71979512</v>
      </c>
      <c r="B58">
        <v>327</v>
      </c>
      <c r="C58">
        <v>8</v>
      </c>
      <c r="D58" t="s">
        <v>984</v>
      </c>
      <c r="E58" t="s">
        <v>11</v>
      </c>
      <c r="H58">
        <v>1</v>
      </c>
      <c r="I58">
        <f t="shared" si="0"/>
        <v>28</v>
      </c>
      <c r="J58" s="57">
        <v>25</v>
      </c>
    </row>
    <row r="59" spans="1:12" hidden="1" x14ac:dyDescent="0.3">
      <c r="A59" t="s">
        <v>1218</v>
      </c>
      <c r="B59">
        <v>83</v>
      </c>
      <c r="C59">
        <v>17</v>
      </c>
      <c r="D59" t="s">
        <v>984</v>
      </c>
      <c r="E59" t="s">
        <v>11</v>
      </c>
      <c r="H59">
        <v>1</v>
      </c>
      <c r="I59">
        <f t="shared" si="0"/>
        <v>28</v>
      </c>
      <c r="J59" s="57">
        <v>44</v>
      </c>
      <c r="L59" t="s">
        <v>1892</v>
      </c>
    </row>
    <row r="60" spans="1:12" hidden="1" x14ac:dyDescent="0.3">
      <c r="A60">
        <v>7198599230</v>
      </c>
      <c r="B60">
        <v>126</v>
      </c>
      <c r="C60">
        <v>25</v>
      </c>
      <c r="D60" t="s">
        <v>984</v>
      </c>
      <c r="E60" t="s">
        <v>11</v>
      </c>
      <c r="H60">
        <v>1</v>
      </c>
      <c r="I60">
        <f t="shared" si="0"/>
        <v>28</v>
      </c>
      <c r="J60" s="57">
        <v>22</v>
      </c>
    </row>
    <row r="61" spans="1:12" hidden="1" x14ac:dyDescent="0.3">
      <c r="A61">
        <v>71986562</v>
      </c>
      <c r="B61">
        <v>244</v>
      </c>
      <c r="C61">
        <v>32</v>
      </c>
      <c r="D61" t="s">
        <v>984</v>
      </c>
      <c r="E61" t="s">
        <v>11</v>
      </c>
      <c r="H61">
        <v>1</v>
      </c>
      <c r="I61">
        <f t="shared" si="0"/>
        <v>28</v>
      </c>
      <c r="J61" s="57">
        <v>22</v>
      </c>
    </row>
    <row r="62" spans="1:12" hidden="1" x14ac:dyDescent="0.3">
      <c r="A62" t="s">
        <v>227</v>
      </c>
      <c r="B62" t="s">
        <v>2329</v>
      </c>
      <c r="C62">
        <v>31.31</v>
      </c>
      <c r="D62" t="s">
        <v>984</v>
      </c>
      <c r="E62" t="s">
        <v>11</v>
      </c>
      <c r="H62">
        <v>2</v>
      </c>
      <c r="I62">
        <f t="shared" si="0"/>
        <v>56</v>
      </c>
      <c r="J62" s="57">
        <v>46</v>
      </c>
      <c r="L62" t="s">
        <v>1892</v>
      </c>
    </row>
    <row r="63" spans="1:12" hidden="1" x14ac:dyDescent="0.3">
      <c r="A63" t="s">
        <v>557</v>
      </c>
      <c r="B63">
        <v>435</v>
      </c>
      <c r="C63">
        <v>31</v>
      </c>
      <c r="D63" t="s">
        <v>984</v>
      </c>
      <c r="E63" t="s">
        <v>11</v>
      </c>
      <c r="H63">
        <v>1</v>
      </c>
      <c r="I63">
        <f t="shared" si="0"/>
        <v>28</v>
      </c>
      <c r="J63" s="57">
        <v>43</v>
      </c>
      <c r="L63" t="s">
        <v>1993</v>
      </c>
    </row>
    <row r="64" spans="1:12" hidden="1" x14ac:dyDescent="0.3">
      <c r="A64" t="s">
        <v>1219</v>
      </c>
      <c r="B64" t="s">
        <v>2372</v>
      </c>
      <c r="C64" t="s">
        <v>2373</v>
      </c>
      <c r="D64" t="s">
        <v>984</v>
      </c>
      <c r="E64" t="s">
        <v>11</v>
      </c>
      <c r="H64">
        <v>2</v>
      </c>
      <c r="I64">
        <f t="shared" si="0"/>
        <v>56</v>
      </c>
      <c r="J64" s="57">
        <v>24</v>
      </c>
      <c r="L64" t="s">
        <v>1965</v>
      </c>
    </row>
    <row r="65" spans="1:12" hidden="1" x14ac:dyDescent="0.3">
      <c r="A65" t="s">
        <v>1220</v>
      </c>
      <c r="B65" t="s">
        <v>2339</v>
      </c>
      <c r="C65" t="s">
        <v>2340</v>
      </c>
      <c r="D65" t="s">
        <v>984</v>
      </c>
      <c r="E65" t="s">
        <v>11</v>
      </c>
      <c r="H65">
        <v>2</v>
      </c>
      <c r="I65">
        <f t="shared" ref="I65:I124" si="1">H65*28</f>
        <v>56</v>
      </c>
      <c r="J65" s="57">
        <v>24</v>
      </c>
    </row>
    <row r="66" spans="1:12" hidden="1" x14ac:dyDescent="0.3">
      <c r="A66">
        <v>7198796290</v>
      </c>
      <c r="B66" t="s">
        <v>2248</v>
      </c>
      <c r="C66" t="s">
        <v>2255</v>
      </c>
      <c r="D66" t="s">
        <v>984</v>
      </c>
      <c r="E66" t="s">
        <v>11</v>
      </c>
      <c r="F66">
        <v>1</v>
      </c>
      <c r="H66">
        <v>2</v>
      </c>
      <c r="I66">
        <f t="shared" si="1"/>
        <v>56</v>
      </c>
      <c r="J66" s="57">
        <v>19</v>
      </c>
    </row>
    <row r="67" spans="1:12" hidden="1" x14ac:dyDescent="0.3">
      <c r="A67">
        <v>71988082</v>
      </c>
      <c r="B67">
        <v>528</v>
      </c>
      <c r="C67">
        <v>3</v>
      </c>
      <c r="D67" t="s">
        <v>984</v>
      </c>
      <c r="E67" t="s">
        <v>11</v>
      </c>
      <c r="F67">
        <v>1</v>
      </c>
      <c r="H67">
        <v>1</v>
      </c>
      <c r="I67">
        <f t="shared" si="1"/>
        <v>28</v>
      </c>
      <c r="J67" s="57">
        <v>19</v>
      </c>
      <c r="K67">
        <v>1</v>
      </c>
    </row>
    <row r="68" spans="1:12" hidden="1" x14ac:dyDescent="0.3">
      <c r="A68" t="s">
        <v>647</v>
      </c>
      <c r="D68" t="s">
        <v>984</v>
      </c>
      <c r="E68" t="s">
        <v>11</v>
      </c>
      <c r="H68">
        <v>1</v>
      </c>
      <c r="I68">
        <f t="shared" si="1"/>
        <v>28</v>
      </c>
      <c r="J68" s="57">
        <v>47</v>
      </c>
    </row>
    <row r="69" spans="1:12" hidden="1" x14ac:dyDescent="0.3">
      <c r="A69">
        <v>7198916130</v>
      </c>
      <c r="B69">
        <v>403</v>
      </c>
      <c r="C69">
        <v>14</v>
      </c>
      <c r="D69" t="s">
        <v>984</v>
      </c>
      <c r="E69" t="s">
        <v>11</v>
      </c>
      <c r="F69">
        <v>1</v>
      </c>
      <c r="H69">
        <v>1</v>
      </c>
      <c r="I69">
        <f t="shared" si="1"/>
        <v>28</v>
      </c>
      <c r="J69" s="57">
        <v>22</v>
      </c>
    </row>
    <row r="70" spans="1:12" hidden="1" x14ac:dyDescent="0.3">
      <c r="A70">
        <v>71989162</v>
      </c>
      <c r="B70" t="s">
        <v>2278</v>
      </c>
      <c r="C70" t="s">
        <v>2279</v>
      </c>
      <c r="D70" t="s">
        <v>984</v>
      </c>
      <c r="E70" t="s">
        <v>11</v>
      </c>
      <c r="F70">
        <v>1</v>
      </c>
      <c r="H70">
        <v>3</v>
      </c>
      <c r="I70">
        <f t="shared" si="1"/>
        <v>84</v>
      </c>
      <c r="J70" s="57">
        <v>19</v>
      </c>
      <c r="K70">
        <v>65</v>
      </c>
    </row>
    <row r="71" spans="1:12" hidden="1" x14ac:dyDescent="0.3">
      <c r="A71">
        <v>7198948560</v>
      </c>
      <c r="B71">
        <v>138</v>
      </c>
      <c r="C71">
        <v>11</v>
      </c>
      <c r="D71" t="s">
        <v>984</v>
      </c>
      <c r="E71" t="s">
        <v>11</v>
      </c>
      <c r="F71">
        <v>1</v>
      </c>
      <c r="H71">
        <v>1</v>
      </c>
      <c r="I71">
        <f t="shared" si="1"/>
        <v>28</v>
      </c>
      <c r="J71" s="57">
        <v>19</v>
      </c>
    </row>
    <row r="72" spans="1:12" hidden="1" x14ac:dyDescent="0.3">
      <c r="A72">
        <v>7223686530</v>
      </c>
      <c r="B72">
        <v>148</v>
      </c>
      <c r="C72">
        <v>25</v>
      </c>
      <c r="D72" t="s">
        <v>984</v>
      </c>
      <c r="E72" t="s">
        <v>11</v>
      </c>
      <c r="F72">
        <v>1</v>
      </c>
      <c r="H72">
        <v>1</v>
      </c>
      <c r="I72">
        <f t="shared" si="1"/>
        <v>28</v>
      </c>
      <c r="J72" s="57">
        <v>25</v>
      </c>
      <c r="L72" t="s">
        <v>961</v>
      </c>
    </row>
    <row r="73" spans="1:12" hidden="1" x14ac:dyDescent="0.3">
      <c r="A73">
        <v>7235053630</v>
      </c>
      <c r="C73" t="s">
        <v>2253</v>
      </c>
      <c r="D73" t="s">
        <v>1236</v>
      </c>
      <c r="E73" t="s">
        <v>11</v>
      </c>
      <c r="H73">
        <v>1</v>
      </c>
      <c r="I73">
        <f t="shared" si="1"/>
        <v>28</v>
      </c>
      <c r="J73" s="57">
        <v>19</v>
      </c>
      <c r="L73" t="s">
        <v>859</v>
      </c>
    </row>
    <row r="74" spans="1:12" hidden="1" x14ac:dyDescent="0.3">
      <c r="A74" t="s">
        <v>1221</v>
      </c>
      <c r="D74" t="s">
        <v>1238</v>
      </c>
      <c r="E74" t="s">
        <v>1235</v>
      </c>
      <c r="H74">
        <v>1</v>
      </c>
      <c r="I74">
        <f t="shared" si="1"/>
        <v>28</v>
      </c>
      <c r="J74" s="57">
        <v>20</v>
      </c>
    </row>
    <row r="75" spans="1:12" hidden="1" x14ac:dyDescent="0.3">
      <c r="A75" t="s">
        <v>1222</v>
      </c>
      <c r="D75" t="s">
        <v>1238</v>
      </c>
      <c r="E75" t="s">
        <v>1235</v>
      </c>
      <c r="H75">
        <v>1</v>
      </c>
      <c r="I75">
        <f t="shared" si="1"/>
        <v>28</v>
      </c>
      <c r="J75" s="57">
        <v>20</v>
      </c>
    </row>
    <row r="76" spans="1:12" hidden="1" x14ac:dyDescent="0.3">
      <c r="A76" t="s">
        <v>1223</v>
      </c>
      <c r="D76" t="s">
        <v>1238</v>
      </c>
      <c r="E76" t="s">
        <v>1235</v>
      </c>
      <c r="H76">
        <v>1</v>
      </c>
      <c r="I76">
        <f t="shared" si="1"/>
        <v>28</v>
      </c>
      <c r="J76" s="57">
        <v>20</v>
      </c>
    </row>
    <row r="77" spans="1:12" hidden="1" x14ac:dyDescent="0.3">
      <c r="A77">
        <v>7247781730</v>
      </c>
      <c r="D77" t="s">
        <v>1235</v>
      </c>
      <c r="E77" t="s">
        <v>1235</v>
      </c>
      <c r="H77">
        <v>2</v>
      </c>
      <c r="I77">
        <f t="shared" si="1"/>
        <v>56</v>
      </c>
      <c r="J77" s="57">
        <v>19</v>
      </c>
      <c r="K77">
        <v>5</v>
      </c>
    </row>
    <row r="78" spans="1:12" hidden="1" x14ac:dyDescent="0.3">
      <c r="A78" t="s">
        <v>1224</v>
      </c>
      <c r="D78" t="s">
        <v>1238</v>
      </c>
      <c r="E78" t="s">
        <v>1235</v>
      </c>
      <c r="H78">
        <v>1</v>
      </c>
      <c r="I78">
        <f t="shared" si="1"/>
        <v>28</v>
      </c>
      <c r="J78" s="57">
        <v>20</v>
      </c>
    </row>
    <row r="79" spans="1:12" hidden="1" x14ac:dyDescent="0.3">
      <c r="A79">
        <v>7252726530</v>
      </c>
      <c r="D79" t="s">
        <v>1235</v>
      </c>
      <c r="E79" t="s">
        <v>1235</v>
      </c>
      <c r="H79">
        <v>2</v>
      </c>
      <c r="I79">
        <f t="shared" si="1"/>
        <v>56</v>
      </c>
      <c r="J79" s="57">
        <v>19</v>
      </c>
      <c r="K79">
        <v>3</v>
      </c>
    </row>
    <row r="80" spans="1:12" hidden="1" x14ac:dyDescent="0.3">
      <c r="A80">
        <v>7252779130</v>
      </c>
      <c r="D80" t="s">
        <v>1235</v>
      </c>
      <c r="E80" t="s">
        <v>1235</v>
      </c>
      <c r="H80">
        <v>2</v>
      </c>
      <c r="I80">
        <f t="shared" si="1"/>
        <v>56</v>
      </c>
      <c r="J80" s="57">
        <v>19</v>
      </c>
      <c r="K80">
        <v>12</v>
      </c>
    </row>
    <row r="81" spans="1:12" hidden="1" x14ac:dyDescent="0.3">
      <c r="A81" t="s">
        <v>1225</v>
      </c>
      <c r="D81" t="s">
        <v>1238</v>
      </c>
      <c r="E81" t="s">
        <v>1235</v>
      </c>
      <c r="H81">
        <v>1</v>
      </c>
      <c r="I81">
        <f t="shared" si="1"/>
        <v>28</v>
      </c>
      <c r="J81" s="57">
        <v>20</v>
      </c>
    </row>
    <row r="82" spans="1:12" hidden="1" x14ac:dyDescent="0.3">
      <c r="A82" t="s">
        <v>1226</v>
      </c>
      <c r="D82" t="s">
        <v>1238</v>
      </c>
      <c r="E82" t="s">
        <v>1235</v>
      </c>
      <c r="H82">
        <v>1</v>
      </c>
      <c r="I82">
        <f t="shared" si="1"/>
        <v>28</v>
      </c>
      <c r="J82" s="57">
        <v>20</v>
      </c>
    </row>
    <row r="83" spans="1:12" hidden="1" x14ac:dyDescent="0.3">
      <c r="A83">
        <v>7252785330</v>
      </c>
      <c r="D83" t="s">
        <v>1235</v>
      </c>
      <c r="E83" t="s">
        <v>1235</v>
      </c>
      <c r="G83" s="56" t="s">
        <v>1355</v>
      </c>
      <c r="H83">
        <v>15</v>
      </c>
      <c r="I83">
        <f t="shared" si="1"/>
        <v>420</v>
      </c>
      <c r="J83" s="57">
        <v>19</v>
      </c>
      <c r="K83">
        <v>40</v>
      </c>
    </row>
    <row r="84" spans="1:12" ht="13.8" hidden="1" customHeight="1" x14ac:dyDescent="0.3">
      <c r="A84" t="s">
        <v>1227</v>
      </c>
      <c r="D84" t="s">
        <v>1238</v>
      </c>
      <c r="E84" t="s">
        <v>1235</v>
      </c>
      <c r="H84">
        <v>3</v>
      </c>
      <c r="I84">
        <f t="shared" si="1"/>
        <v>84</v>
      </c>
      <c r="J84" s="57">
        <v>20</v>
      </c>
    </row>
    <row r="85" spans="1:12" hidden="1" x14ac:dyDescent="0.3">
      <c r="A85" t="s">
        <v>1228</v>
      </c>
      <c r="D85" t="s">
        <v>1238</v>
      </c>
      <c r="E85" t="s">
        <v>1235</v>
      </c>
      <c r="H85">
        <v>1</v>
      </c>
      <c r="I85">
        <f t="shared" si="1"/>
        <v>28</v>
      </c>
      <c r="J85" s="57">
        <v>20</v>
      </c>
    </row>
    <row r="86" spans="1:12" hidden="1" x14ac:dyDescent="0.3">
      <c r="A86" t="s">
        <v>1229</v>
      </c>
      <c r="D86" t="s">
        <v>1238</v>
      </c>
      <c r="E86" t="s">
        <v>1235</v>
      </c>
      <c r="H86">
        <v>1</v>
      </c>
      <c r="I86">
        <f t="shared" si="1"/>
        <v>28</v>
      </c>
      <c r="J86" s="57">
        <v>20</v>
      </c>
    </row>
    <row r="87" spans="1:12" hidden="1" x14ac:dyDescent="0.3">
      <c r="A87">
        <v>7252815130</v>
      </c>
      <c r="D87" t="s">
        <v>1235</v>
      </c>
      <c r="E87" t="s">
        <v>1235</v>
      </c>
      <c r="H87">
        <v>12</v>
      </c>
      <c r="I87">
        <f t="shared" si="1"/>
        <v>336</v>
      </c>
      <c r="J87" s="57">
        <v>19</v>
      </c>
    </row>
    <row r="88" spans="1:12" hidden="1" x14ac:dyDescent="0.3">
      <c r="A88">
        <v>7271007030</v>
      </c>
      <c r="D88" t="s">
        <v>984</v>
      </c>
      <c r="E88" t="s">
        <v>11</v>
      </c>
      <c r="H88">
        <v>1</v>
      </c>
      <c r="I88">
        <f t="shared" si="1"/>
        <v>28</v>
      </c>
      <c r="J88" s="57">
        <v>19</v>
      </c>
    </row>
    <row r="89" spans="1:12" hidden="1" x14ac:dyDescent="0.3">
      <c r="A89">
        <v>7271007230</v>
      </c>
      <c r="D89" t="s">
        <v>984</v>
      </c>
      <c r="E89" t="s">
        <v>11</v>
      </c>
      <c r="H89">
        <v>1</v>
      </c>
      <c r="I89">
        <f t="shared" si="1"/>
        <v>28</v>
      </c>
      <c r="J89" s="57">
        <v>22</v>
      </c>
    </row>
    <row r="90" spans="1:12" hidden="1" x14ac:dyDescent="0.3">
      <c r="A90">
        <v>7278246930</v>
      </c>
      <c r="B90" t="s">
        <v>2337</v>
      </c>
      <c r="C90" t="s">
        <v>2338</v>
      </c>
      <c r="D90" t="s">
        <v>984</v>
      </c>
      <c r="E90" t="s">
        <v>11</v>
      </c>
      <c r="F90">
        <v>1</v>
      </c>
      <c r="H90">
        <v>2</v>
      </c>
      <c r="I90">
        <f t="shared" si="1"/>
        <v>56</v>
      </c>
      <c r="J90" s="57">
        <v>45</v>
      </c>
      <c r="L90" t="s">
        <v>961</v>
      </c>
    </row>
    <row r="91" spans="1:12" hidden="1" x14ac:dyDescent="0.3">
      <c r="A91">
        <v>7287547130</v>
      </c>
      <c r="B91">
        <v>471</v>
      </c>
      <c r="C91">
        <v>15</v>
      </c>
      <c r="D91" t="s">
        <v>984</v>
      </c>
      <c r="E91" t="s">
        <v>11</v>
      </c>
      <c r="H91">
        <v>1</v>
      </c>
      <c r="I91">
        <f t="shared" si="1"/>
        <v>28</v>
      </c>
      <c r="J91" s="57">
        <v>22</v>
      </c>
    </row>
    <row r="92" spans="1:12" hidden="1" x14ac:dyDescent="0.3">
      <c r="A92">
        <v>7289405830</v>
      </c>
      <c r="B92">
        <v>195</v>
      </c>
      <c r="C92">
        <v>20</v>
      </c>
      <c r="D92" t="s">
        <v>984</v>
      </c>
      <c r="E92" t="s">
        <v>11</v>
      </c>
      <c r="H92">
        <v>1</v>
      </c>
      <c r="I92">
        <f t="shared" si="1"/>
        <v>28</v>
      </c>
      <c r="J92" s="57">
        <v>22</v>
      </c>
      <c r="K92">
        <v>18</v>
      </c>
    </row>
    <row r="93" spans="1:12" hidden="1" x14ac:dyDescent="0.3">
      <c r="A93">
        <v>72897304</v>
      </c>
      <c r="B93" t="s">
        <v>2251</v>
      </c>
      <c r="C93" t="s">
        <v>2252</v>
      </c>
      <c r="D93" t="s">
        <v>984</v>
      </c>
      <c r="E93" t="s">
        <v>11</v>
      </c>
      <c r="H93">
        <v>2</v>
      </c>
      <c r="I93">
        <f t="shared" si="1"/>
        <v>56</v>
      </c>
      <c r="J93" s="57">
        <v>19</v>
      </c>
    </row>
    <row r="94" spans="1:12" hidden="1" x14ac:dyDescent="0.3">
      <c r="A94" t="s">
        <v>1230</v>
      </c>
      <c r="B94">
        <v>289</v>
      </c>
      <c r="C94">
        <v>3</v>
      </c>
      <c r="D94" t="s">
        <v>984</v>
      </c>
      <c r="E94" t="s">
        <v>11</v>
      </c>
      <c r="H94">
        <v>1</v>
      </c>
      <c r="I94">
        <f t="shared" si="1"/>
        <v>28</v>
      </c>
      <c r="J94" s="57">
        <v>27</v>
      </c>
      <c r="L94" t="s">
        <v>1993</v>
      </c>
    </row>
    <row r="95" spans="1:12" hidden="1" x14ac:dyDescent="0.3">
      <c r="A95" t="s">
        <v>1231</v>
      </c>
      <c r="B95">
        <v>297</v>
      </c>
      <c r="C95">
        <v>3</v>
      </c>
      <c r="D95" t="s">
        <v>984</v>
      </c>
      <c r="E95" t="s">
        <v>11</v>
      </c>
      <c r="H95">
        <v>1</v>
      </c>
      <c r="I95">
        <f t="shared" si="1"/>
        <v>28</v>
      </c>
      <c r="J95" s="57">
        <v>43</v>
      </c>
      <c r="L95" t="s">
        <v>1993</v>
      </c>
    </row>
    <row r="96" spans="1:12" x14ac:dyDescent="0.3">
      <c r="A96" t="s">
        <v>843</v>
      </c>
      <c r="B96">
        <v>294</v>
      </c>
      <c r="C96">
        <v>4</v>
      </c>
      <c r="D96" t="s">
        <v>984</v>
      </c>
      <c r="E96" t="s">
        <v>11</v>
      </c>
      <c r="H96">
        <v>1</v>
      </c>
      <c r="I96">
        <f t="shared" si="1"/>
        <v>28</v>
      </c>
      <c r="J96" s="57">
        <v>27</v>
      </c>
    </row>
    <row r="97" spans="1:13" hidden="1" x14ac:dyDescent="0.3">
      <c r="A97">
        <v>7289896430</v>
      </c>
      <c r="B97">
        <v>283</v>
      </c>
      <c r="C97">
        <v>3</v>
      </c>
      <c r="D97" t="s">
        <v>984</v>
      </c>
      <c r="E97" t="s">
        <v>11</v>
      </c>
      <c r="F97">
        <v>1</v>
      </c>
      <c r="H97">
        <v>1</v>
      </c>
      <c r="I97">
        <f t="shared" si="1"/>
        <v>28</v>
      </c>
      <c r="J97" s="57">
        <v>22</v>
      </c>
    </row>
    <row r="98" spans="1:13" hidden="1" x14ac:dyDescent="0.3">
      <c r="A98">
        <v>7289982670</v>
      </c>
      <c r="B98">
        <v>196</v>
      </c>
      <c r="C98">
        <v>11</v>
      </c>
      <c r="D98" t="s">
        <v>984</v>
      </c>
      <c r="E98" t="s">
        <v>11</v>
      </c>
      <c r="H98">
        <v>1</v>
      </c>
      <c r="I98">
        <f t="shared" si="1"/>
        <v>28</v>
      </c>
      <c r="J98" s="57">
        <v>22</v>
      </c>
    </row>
    <row r="99" spans="1:13" hidden="1" x14ac:dyDescent="0.3">
      <c r="A99">
        <v>7297944190</v>
      </c>
      <c r="B99" t="s">
        <v>2264</v>
      </c>
      <c r="C99" t="s">
        <v>2261</v>
      </c>
      <c r="D99" t="s">
        <v>984</v>
      </c>
      <c r="E99" t="s">
        <v>11</v>
      </c>
      <c r="F99">
        <v>1</v>
      </c>
      <c r="H99">
        <v>2</v>
      </c>
      <c r="I99">
        <f t="shared" si="1"/>
        <v>56</v>
      </c>
      <c r="J99" s="57">
        <v>19</v>
      </c>
    </row>
    <row r="100" spans="1:13" hidden="1" x14ac:dyDescent="0.3">
      <c r="A100">
        <v>7298948930</v>
      </c>
      <c r="B100">
        <v>523</v>
      </c>
      <c r="C100">
        <v>29</v>
      </c>
      <c r="D100" t="s">
        <v>984</v>
      </c>
      <c r="E100" t="s">
        <v>11</v>
      </c>
      <c r="F100">
        <v>1</v>
      </c>
      <c r="H100">
        <v>1</v>
      </c>
      <c r="I100">
        <f t="shared" si="1"/>
        <v>28</v>
      </c>
      <c r="J100" s="57">
        <v>44</v>
      </c>
      <c r="L100" t="s">
        <v>1702</v>
      </c>
    </row>
    <row r="101" spans="1:13" hidden="1" x14ac:dyDescent="0.3">
      <c r="A101">
        <v>7298949030</v>
      </c>
      <c r="B101">
        <v>515</v>
      </c>
      <c r="C101">
        <v>24</v>
      </c>
      <c r="D101" t="s">
        <v>984</v>
      </c>
      <c r="E101" t="s">
        <v>11</v>
      </c>
      <c r="F101">
        <v>1</v>
      </c>
      <c r="H101">
        <v>1</v>
      </c>
      <c r="I101">
        <f t="shared" si="1"/>
        <v>28</v>
      </c>
      <c r="J101" s="57">
        <v>44</v>
      </c>
      <c r="L101" t="s">
        <v>1702</v>
      </c>
    </row>
    <row r="102" spans="1:13" hidden="1" x14ac:dyDescent="0.3">
      <c r="A102" t="s">
        <v>234</v>
      </c>
      <c r="B102" t="s">
        <v>2291</v>
      </c>
      <c r="C102" t="s">
        <v>2292</v>
      </c>
      <c r="D102" t="s">
        <v>984</v>
      </c>
      <c r="E102" t="s">
        <v>11</v>
      </c>
      <c r="H102">
        <v>4</v>
      </c>
      <c r="I102">
        <f t="shared" si="1"/>
        <v>112</v>
      </c>
      <c r="J102" s="57">
        <v>24</v>
      </c>
      <c r="K102">
        <v>30</v>
      </c>
    </row>
    <row r="103" spans="1:13" hidden="1" x14ac:dyDescent="0.3">
      <c r="A103" t="s">
        <v>824</v>
      </c>
      <c r="B103" t="s">
        <v>2283</v>
      </c>
      <c r="C103" t="s">
        <v>2284</v>
      </c>
      <c r="D103" t="s">
        <v>984</v>
      </c>
      <c r="E103" t="s">
        <v>11</v>
      </c>
      <c r="H103">
        <v>2</v>
      </c>
      <c r="I103">
        <f t="shared" si="1"/>
        <v>56</v>
      </c>
      <c r="J103" s="57">
        <v>24</v>
      </c>
    </row>
    <row r="104" spans="1:13" hidden="1" x14ac:dyDescent="0.3">
      <c r="A104" t="s">
        <v>1232</v>
      </c>
      <c r="B104" t="s">
        <v>2254</v>
      </c>
      <c r="C104" t="s">
        <v>2256</v>
      </c>
      <c r="D104" t="s">
        <v>984</v>
      </c>
      <c r="E104" t="s">
        <v>11</v>
      </c>
      <c r="H104">
        <v>10</v>
      </c>
      <c r="I104">
        <f t="shared" si="1"/>
        <v>280</v>
      </c>
      <c r="J104" s="57">
        <v>19</v>
      </c>
      <c r="K104">
        <v>25</v>
      </c>
    </row>
    <row r="105" spans="1:13" hidden="1" x14ac:dyDescent="0.3">
      <c r="A105" t="s">
        <v>1203</v>
      </c>
      <c r="B105" t="s">
        <v>2293</v>
      </c>
      <c r="C105" t="s">
        <v>2294</v>
      </c>
      <c r="D105" t="s">
        <v>984</v>
      </c>
      <c r="E105" t="s">
        <v>11</v>
      </c>
      <c r="H105">
        <v>1</v>
      </c>
      <c r="I105">
        <f t="shared" si="1"/>
        <v>28</v>
      </c>
      <c r="J105" s="57">
        <v>44</v>
      </c>
      <c r="L105" s="57" t="s">
        <v>1239</v>
      </c>
      <c r="M105" t="s">
        <v>2219</v>
      </c>
    </row>
    <row r="106" spans="1:13" hidden="1" x14ac:dyDescent="0.3">
      <c r="A106" t="s">
        <v>238</v>
      </c>
      <c r="B106">
        <v>149</v>
      </c>
      <c r="C106">
        <v>25</v>
      </c>
      <c r="D106" t="s">
        <v>984</v>
      </c>
      <c r="E106" t="s">
        <v>11</v>
      </c>
      <c r="H106">
        <v>1</v>
      </c>
      <c r="I106">
        <f t="shared" si="1"/>
        <v>28</v>
      </c>
      <c r="J106" s="57">
        <v>22</v>
      </c>
      <c r="K106">
        <v>2</v>
      </c>
    </row>
    <row r="107" spans="1:13" hidden="1" x14ac:dyDescent="0.3">
      <c r="A107" t="s">
        <v>591</v>
      </c>
      <c r="B107" t="s">
        <v>2288</v>
      </c>
      <c r="C107" t="s">
        <v>2289</v>
      </c>
      <c r="D107" t="s">
        <v>984</v>
      </c>
      <c r="E107" t="s">
        <v>11</v>
      </c>
      <c r="F107">
        <v>1</v>
      </c>
      <c r="H107">
        <v>2</v>
      </c>
      <c r="I107">
        <f t="shared" si="1"/>
        <v>56</v>
      </c>
      <c r="J107" s="57">
        <v>19</v>
      </c>
      <c r="K107">
        <v>16</v>
      </c>
    </row>
    <row r="108" spans="1:13" hidden="1" x14ac:dyDescent="0.3">
      <c r="A108" t="s">
        <v>291</v>
      </c>
      <c r="B108">
        <v>74</v>
      </c>
      <c r="C108">
        <v>28</v>
      </c>
      <c r="D108" t="s">
        <v>984</v>
      </c>
      <c r="E108" t="s">
        <v>11</v>
      </c>
      <c r="H108">
        <v>1</v>
      </c>
      <c r="I108">
        <f t="shared" si="1"/>
        <v>28</v>
      </c>
      <c r="J108" s="57">
        <v>22</v>
      </c>
      <c r="K108">
        <v>9</v>
      </c>
    </row>
    <row r="109" spans="1:13" hidden="1" x14ac:dyDescent="0.3">
      <c r="A109" t="s">
        <v>595</v>
      </c>
      <c r="B109">
        <v>71</v>
      </c>
      <c r="C109">
        <v>28</v>
      </c>
      <c r="D109" t="s">
        <v>984</v>
      </c>
      <c r="E109" t="s">
        <v>11</v>
      </c>
      <c r="F109">
        <v>1</v>
      </c>
      <c r="H109">
        <v>1</v>
      </c>
      <c r="I109">
        <f t="shared" si="1"/>
        <v>28</v>
      </c>
      <c r="J109" s="57">
        <v>22</v>
      </c>
    </row>
    <row r="110" spans="1:13" hidden="1" x14ac:dyDescent="0.3">
      <c r="A110" t="s">
        <v>598</v>
      </c>
      <c r="B110">
        <v>89</v>
      </c>
      <c r="C110">
        <v>25</v>
      </c>
      <c r="D110" t="s">
        <v>984</v>
      </c>
      <c r="E110" t="s">
        <v>11</v>
      </c>
      <c r="F110">
        <v>1</v>
      </c>
      <c r="H110">
        <v>1</v>
      </c>
      <c r="I110">
        <f t="shared" si="1"/>
        <v>28</v>
      </c>
      <c r="J110" s="57">
        <v>19</v>
      </c>
    </row>
    <row r="111" spans="1:13" hidden="1" x14ac:dyDescent="0.3">
      <c r="A111" t="s">
        <v>239</v>
      </c>
      <c r="B111">
        <v>156</v>
      </c>
      <c r="C111">
        <v>24</v>
      </c>
      <c r="D111" t="s">
        <v>984</v>
      </c>
      <c r="E111" t="s">
        <v>11</v>
      </c>
      <c r="H111">
        <v>1</v>
      </c>
      <c r="I111">
        <f t="shared" si="1"/>
        <v>28</v>
      </c>
      <c r="J111" s="57">
        <v>22</v>
      </c>
      <c r="K111">
        <v>14</v>
      </c>
    </row>
    <row r="112" spans="1:13" hidden="1" x14ac:dyDescent="0.3">
      <c r="A112" t="s">
        <v>240</v>
      </c>
      <c r="B112">
        <v>87</v>
      </c>
      <c r="C112">
        <v>25</v>
      </c>
      <c r="D112" t="s">
        <v>984</v>
      </c>
      <c r="E112" t="s">
        <v>11</v>
      </c>
      <c r="F112">
        <v>1</v>
      </c>
      <c r="H112">
        <v>1</v>
      </c>
      <c r="I112">
        <f t="shared" si="1"/>
        <v>28</v>
      </c>
      <c r="J112" s="57">
        <v>19</v>
      </c>
    </row>
    <row r="113" spans="1:12" hidden="1" x14ac:dyDescent="0.3">
      <c r="A113" t="s">
        <v>602</v>
      </c>
      <c r="B113">
        <v>223</v>
      </c>
      <c r="C113">
        <v>28</v>
      </c>
      <c r="D113" t="s">
        <v>984</v>
      </c>
      <c r="E113" t="s">
        <v>11</v>
      </c>
      <c r="H113">
        <v>1</v>
      </c>
      <c r="I113">
        <f t="shared" si="1"/>
        <v>28</v>
      </c>
      <c r="J113" s="57">
        <v>19</v>
      </c>
      <c r="K113">
        <v>6</v>
      </c>
    </row>
    <row r="114" spans="1:12" hidden="1" x14ac:dyDescent="0.3">
      <c r="A114" t="s">
        <v>846</v>
      </c>
      <c r="B114">
        <v>153</v>
      </c>
      <c r="C114">
        <v>24</v>
      </c>
      <c r="D114" t="s">
        <v>984</v>
      </c>
      <c r="E114" t="s">
        <v>11</v>
      </c>
      <c r="H114">
        <v>1</v>
      </c>
      <c r="I114">
        <f t="shared" si="1"/>
        <v>28</v>
      </c>
      <c r="J114" s="57">
        <v>46</v>
      </c>
    </row>
    <row r="115" spans="1:12" hidden="1" x14ac:dyDescent="0.3">
      <c r="A115" t="s">
        <v>844</v>
      </c>
      <c r="B115" t="s">
        <v>2234</v>
      </c>
      <c r="C115" t="s">
        <v>2277</v>
      </c>
      <c r="D115" t="s">
        <v>984</v>
      </c>
      <c r="E115" t="s">
        <v>11</v>
      </c>
      <c r="H115">
        <v>2</v>
      </c>
      <c r="I115">
        <f t="shared" si="1"/>
        <v>56</v>
      </c>
      <c r="J115" s="57">
        <v>19</v>
      </c>
    </row>
    <row r="116" spans="1:12" hidden="1" x14ac:dyDescent="0.3">
      <c r="A116" t="s">
        <v>845</v>
      </c>
      <c r="B116">
        <v>130</v>
      </c>
      <c r="C116">
        <v>24</v>
      </c>
      <c r="D116" t="s">
        <v>984</v>
      </c>
      <c r="E116" t="s">
        <v>11</v>
      </c>
      <c r="H116">
        <v>1</v>
      </c>
      <c r="I116">
        <f t="shared" si="1"/>
        <v>28</v>
      </c>
      <c r="J116" s="57">
        <v>19</v>
      </c>
    </row>
    <row r="117" spans="1:12" hidden="1" x14ac:dyDescent="0.3">
      <c r="A117" t="s">
        <v>241</v>
      </c>
      <c r="B117" t="s">
        <v>2233</v>
      </c>
      <c r="C117" t="s">
        <v>2277</v>
      </c>
      <c r="D117" t="s">
        <v>984</v>
      </c>
      <c r="E117" t="s">
        <v>11</v>
      </c>
      <c r="H117">
        <v>2</v>
      </c>
      <c r="I117">
        <f t="shared" si="1"/>
        <v>56</v>
      </c>
      <c r="J117" s="57">
        <v>19</v>
      </c>
      <c r="K117">
        <v>2</v>
      </c>
    </row>
    <row r="118" spans="1:12" hidden="1" x14ac:dyDescent="0.3">
      <c r="A118" t="s">
        <v>242</v>
      </c>
      <c r="B118">
        <v>493</v>
      </c>
      <c r="C118">
        <v>32</v>
      </c>
      <c r="D118" t="s">
        <v>984</v>
      </c>
      <c r="E118" t="s">
        <v>11</v>
      </c>
      <c r="H118">
        <v>1</v>
      </c>
      <c r="I118">
        <f t="shared" si="1"/>
        <v>28</v>
      </c>
      <c r="J118" s="57">
        <v>19</v>
      </c>
    </row>
    <row r="119" spans="1:12" hidden="1" x14ac:dyDescent="0.3">
      <c r="A119" t="s">
        <v>243</v>
      </c>
      <c r="B119" t="s">
        <v>2267</v>
      </c>
      <c r="C119" t="s">
        <v>2261</v>
      </c>
      <c r="D119" t="s">
        <v>984</v>
      </c>
      <c r="E119" t="s">
        <v>11</v>
      </c>
      <c r="H119">
        <v>2</v>
      </c>
      <c r="I119">
        <f t="shared" si="1"/>
        <v>56</v>
      </c>
      <c r="J119" s="57">
        <v>19</v>
      </c>
    </row>
    <row r="120" spans="1:12" hidden="1" x14ac:dyDescent="0.3">
      <c r="A120" t="s">
        <v>244</v>
      </c>
      <c r="B120">
        <v>163</v>
      </c>
      <c r="C120">
        <v>24</v>
      </c>
      <c r="D120" t="s">
        <v>984</v>
      </c>
      <c r="E120" t="s">
        <v>11</v>
      </c>
      <c r="H120">
        <v>1</v>
      </c>
      <c r="I120">
        <f t="shared" si="1"/>
        <v>28</v>
      </c>
      <c r="J120" s="57">
        <v>23</v>
      </c>
      <c r="L120" t="s">
        <v>1757</v>
      </c>
    </row>
    <row r="121" spans="1:12" hidden="1" x14ac:dyDescent="0.3">
      <c r="A121" t="s">
        <v>245</v>
      </c>
      <c r="B121">
        <v>165</v>
      </c>
      <c r="C121">
        <v>24</v>
      </c>
      <c r="D121" t="s">
        <v>984</v>
      </c>
      <c r="E121" t="s">
        <v>11</v>
      </c>
      <c r="H121">
        <v>1</v>
      </c>
      <c r="I121">
        <f t="shared" si="1"/>
        <v>28</v>
      </c>
      <c r="J121" s="57">
        <v>19</v>
      </c>
    </row>
    <row r="122" spans="1:12" hidden="1" x14ac:dyDescent="0.3">
      <c r="A122" t="s">
        <v>246</v>
      </c>
      <c r="B122">
        <v>175</v>
      </c>
      <c r="C122">
        <v>24</v>
      </c>
      <c r="D122" t="s">
        <v>984</v>
      </c>
      <c r="E122" t="s">
        <v>11</v>
      </c>
      <c r="H122">
        <v>1</v>
      </c>
      <c r="I122">
        <f t="shared" si="1"/>
        <v>28</v>
      </c>
      <c r="J122" s="57">
        <v>22</v>
      </c>
      <c r="K122">
        <v>1</v>
      </c>
    </row>
    <row r="123" spans="1:12" hidden="1" x14ac:dyDescent="0.3">
      <c r="A123" t="s">
        <v>247</v>
      </c>
      <c r="B123" t="s">
        <v>2268</v>
      </c>
      <c r="C123" t="s">
        <v>2261</v>
      </c>
      <c r="D123" t="s">
        <v>984</v>
      </c>
      <c r="E123" t="s">
        <v>11</v>
      </c>
      <c r="F123">
        <v>1</v>
      </c>
      <c r="H123">
        <v>2</v>
      </c>
      <c r="I123">
        <f t="shared" si="1"/>
        <v>56</v>
      </c>
      <c r="J123" s="57">
        <v>24</v>
      </c>
      <c r="K123">
        <v>8</v>
      </c>
    </row>
    <row r="124" spans="1:12" hidden="1" x14ac:dyDescent="0.3">
      <c r="A124" t="s">
        <v>248</v>
      </c>
      <c r="B124" t="s">
        <v>2262</v>
      </c>
      <c r="C124" t="s">
        <v>2263</v>
      </c>
      <c r="D124" t="s">
        <v>984</v>
      </c>
      <c r="E124" t="s">
        <v>11</v>
      </c>
      <c r="F124">
        <v>1</v>
      </c>
      <c r="H124">
        <v>2</v>
      </c>
      <c r="I124">
        <f t="shared" si="1"/>
        <v>56</v>
      </c>
      <c r="J124" s="57">
        <v>24</v>
      </c>
      <c r="K124">
        <v>12</v>
      </c>
    </row>
    <row r="125" spans="1:12" hidden="1" x14ac:dyDescent="0.3">
      <c r="A125" t="s">
        <v>250</v>
      </c>
      <c r="B125" t="s">
        <v>2273</v>
      </c>
      <c r="C125" t="s">
        <v>2274</v>
      </c>
      <c r="D125" t="s">
        <v>984</v>
      </c>
      <c r="E125" t="s">
        <v>11</v>
      </c>
      <c r="H125">
        <v>4</v>
      </c>
      <c r="I125">
        <f t="shared" ref="I125:I136" si="2">H125*28</f>
        <v>112</v>
      </c>
      <c r="J125" s="57">
        <v>29</v>
      </c>
      <c r="L125" t="s">
        <v>1702</v>
      </c>
    </row>
    <row r="126" spans="1:12" hidden="1" x14ac:dyDescent="0.3">
      <c r="A126" t="s">
        <v>656</v>
      </c>
      <c r="B126">
        <v>387</v>
      </c>
      <c r="C126">
        <v>13</v>
      </c>
      <c r="D126" t="s">
        <v>984</v>
      </c>
      <c r="E126" t="s">
        <v>11</v>
      </c>
      <c r="H126">
        <v>1</v>
      </c>
      <c r="I126">
        <f t="shared" si="2"/>
        <v>28</v>
      </c>
      <c r="J126" s="57">
        <v>19</v>
      </c>
    </row>
    <row r="127" spans="1:12" hidden="1" x14ac:dyDescent="0.3">
      <c r="A127" t="s">
        <v>251</v>
      </c>
      <c r="B127">
        <v>154</v>
      </c>
      <c r="C127">
        <v>25</v>
      </c>
      <c r="D127" t="s">
        <v>984</v>
      </c>
      <c r="E127" t="s">
        <v>11</v>
      </c>
      <c r="H127">
        <v>1</v>
      </c>
      <c r="I127">
        <f t="shared" si="2"/>
        <v>28</v>
      </c>
      <c r="J127" s="57">
        <v>22</v>
      </c>
    </row>
    <row r="128" spans="1:12" hidden="1" x14ac:dyDescent="0.3">
      <c r="A128" t="s">
        <v>626</v>
      </c>
      <c r="B128">
        <v>161</v>
      </c>
      <c r="C128">
        <v>25</v>
      </c>
      <c r="D128" t="s">
        <v>984</v>
      </c>
      <c r="E128" t="s">
        <v>11</v>
      </c>
      <c r="H128">
        <v>1</v>
      </c>
      <c r="I128">
        <f t="shared" si="2"/>
        <v>28</v>
      </c>
      <c r="J128" s="57">
        <v>19</v>
      </c>
    </row>
    <row r="129" spans="1:14" hidden="1" x14ac:dyDescent="0.3">
      <c r="A129" t="s">
        <v>260</v>
      </c>
      <c r="B129">
        <v>407</v>
      </c>
      <c r="C129">
        <v>22</v>
      </c>
      <c r="D129" t="s">
        <v>984</v>
      </c>
      <c r="E129" t="s">
        <v>11</v>
      </c>
      <c r="H129">
        <v>1</v>
      </c>
      <c r="I129">
        <f t="shared" si="2"/>
        <v>28</v>
      </c>
      <c r="J129" s="57">
        <v>22</v>
      </c>
    </row>
    <row r="130" spans="1:14" hidden="1" x14ac:dyDescent="0.3">
      <c r="A130" t="s">
        <v>266</v>
      </c>
      <c r="B130">
        <v>159</v>
      </c>
      <c r="C130">
        <v>25</v>
      </c>
      <c r="D130" t="s">
        <v>984</v>
      </c>
      <c r="E130" t="s">
        <v>11</v>
      </c>
      <c r="F130">
        <v>1</v>
      </c>
      <c r="H130">
        <v>1</v>
      </c>
      <c r="I130">
        <f t="shared" si="2"/>
        <v>28</v>
      </c>
      <c r="J130" s="57">
        <v>22</v>
      </c>
      <c r="K130">
        <v>2</v>
      </c>
    </row>
    <row r="131" spans="1:14" hidden="1" x14ac:dyDescent="0.3">
      <c r="A131" t="s">
        <v>658</v>
      </c>
      <c r="B131" t="s">
        <v>2271</v>
      </c>
      <c r="C131" t="s">
        <v>2272</v>
      </c>
      <c r="D131" t="s">
        <v>984</v>
      </c>
      <c r="E131" t="s">
        <v>11</v>
      </c>
      <c r="F131">
        <v>1</v>
      </c>
      <c r="H131">
        <v>4</v>
      </c>
      <c r="I131">
        <f t="shared" si="2"/>
        <v>112</v>
      </c>
      <c r="J131" s="57">
        <v>26</v>
      </c>
    </row>
    <row r="132" spans="1:14" hidden="1" x14ac:dyDescent="0.3">
      <c r="A132" t="s">
        <v>1233</v>
      </c>
      <c r="B132">
        <v>518</v>
      </c>
      <c r="C132">
        <v>22</v>
      </c>
      <c r="D132" t="s">
        <v>984</v>
      </c>
      <c r="E132" t="s">
        <v>11</v>
      </c>
      <c r="H132">
        <v>1</v>
      </c>
      <c r="I132">
        <f t="shared" si="2"/>
        <v>28</v>
      </c>
      <c r="J132" s="57">
        <v>25</v>
      </c>
    </row>
    <row r="133" spans="1:14" hidden="1" x14ac:dyDescent="0.3">
      <c r="A133" t="s">
        <v>935</v>
      </c>
      <c r="B133">
        <v>524</v>
      </c>
      <c r="C133">
        <v>28</v>
      </c>
      <c r="D133" t="s">
        <v>984</v>
      </c>
      <c r="E133" t="s">
        <v>11</v>
      </c>
      <c r="H133">
        <v>1</v>
      </c>
      <c r="I133">
        <f t="shared" si="2"/>
        <v>28</v>
      </c>
      <c r="J133" s="57">
        <v>26</v>
      </c>
    </row>
    <row r="134" spans="1:14" hidden="1" x14ac:dyDescent="0.3">
      <c r="A134">
        <v>7198808890</v>
      </c>
      <c r="B134" t="s">
        <v>2341</v>
      </c>
      <c r="D134" t="s">
        <v>984</v>
      </c>
      <c r="E134" t="s">
        <v>11</v>
      </c>
      <c r="H134">
        <v>0</v>
      </c>
      <c r="I134">
        <f t="shared" si="2"/>
        <v>0</v>
      </c>
      <c r="J134" s="56"/>
      <c r="M134" t="s">
        <v>2220</v>
      </c>
    </row>
    <row r="135" spans="1:14" hidden="1" x14ac:dyDescent="0.3">
      <c r="A135">
        <v>71989158</v>
      </c>
      <c r="B135" t="s">
        <v>2341</v>
      </c>
      <c r="D135" t="s">
        <v>984</v>
      </c>
      <c r="E135" t="s">
        <v>11</v>
      </c>
      <c r="H135">
        <v>0</v>
      </c>
      <c r="I135">
        <f t="shared" si="2"/>
        <v>0</v>
      </c>
      <c r="J135" s="56"/>
      <c r="M135" t="s">
        <v>2220</v>
      </c>
    </row>
    <row r="136" spans="1:14" hidden="1" x14ac:dyDescent="0.3">
      <c r="A136">
        <v>7235952330</v>
      </c>
      <c r="D136" t="s">
        <v>984</v>
      </c>
      <c r="E136" t="s">
        <v>11</v>
      </c>
      <c r="H136">
        <v>1</v>
      </c>
      <c r="I136">
        <f t="shared" si="2"/>
        <v>28</v>
      </c>
      <c r="J136" s="57">
        <v>23</v>
      </c>
      <c r="L136" t="s">
        <v>1758</v>
      </c>
      <c r="M136" t="s">
        <v>1775</v>
      </c>
      <c r="N136" t="s">
        <v>1776</v>
      </c>
    </row>
    <row r="137" spans="1:14" s="56" customFormat="1" x14ac:dyDescent="0.3"/>
  </sheetData>
  <autoFilter ref="A1:N136" xr:uid="{45BD9A51-7D02-4069-B9D5-5AC92DE0E874}">
    <filterColumn colId="0">
      <filters>
        <filter val="7289811630+7289811730+7274166590A"/>
      </filters>
    </filterColumn>
  </autoFilter>
  <phoneticPr fontId="1" type="noConversion"/>
  <conditionalFormatting sqref="A1:A1048576">
    <cfRule type="duplicateValues" dxfId="21" priority="2"/>
  </conditionalFormatting>
  <conditionalFormatting sqref="J2:J104 L105 J106:J121 K123:K124 J123:J136">
    <cfRule type="cellIs" priority="1" operator="greaterThan">
      <formula>18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4160-04BD-443C-A4A1-F7ACDE03DFA8}">
  <sheetPr>
    <pageSetUpPr fitToPage="1"/>
  </sheetPr>
  <dimension ref="A1:I9"/>
  <sheetViews>
    <sheetView topLeftCell="A7" workbookViewId="0">
      <selection activeCell="F8" sqref="F8"/>
    </sheetView>
  </sheetViews>
  <sheetFormatPr defaultRowHeight="14.4" x14ac:dyDescent="0.3"/>
  <cols>
    <col min="1" max="1" width="137.21875" bestFit="1" customWidth="1"/>
  </cols>
  <sheetData>
    <row r="1" spans="1:9" ht="84.6" x14ac:dyDescent="0.3">
      <c r="A1" s="93" t="s">
        <v>2312</v>
      </c>
    </row>
    <row r="2" spans="1:9" ht="84.6" x14ac:dyDescent="0.3">
      <c r="A2" s="93" t="s">
        <v>2313</v>
      </c>
    </row>
    <row r="3" spans="1:9" ht="84.6" x14ac:dyDescent="0.3">
      <c r="A3" s="91" t="s">
        <v>2314</v>
      </c>
    </row>
    <row r="4" spans="1:9" ht="84.6" x14ac:dyDescent="0.3">
      <c r="A4" s="91" t="s">
        <v>2315</v>
      </c>
    </row>
    <row r="5" spans="1:9" ht="84.6" x14ac:dyDescent="0.3">
      <c r="A5" s="91" t="s">
        <v>2297</v>
      </c>
      <c r="I5" t="s">
        <v>2287</v>
      </c>
    </row>
    <row r="6" spans="1:9" ht="84.6" x14ac:dyDescent="0.3">
      <c r="A6" s="91" t="s">
        <v>2298</v>
      </c>
    </row>
    <row r="7" spans="1:9" ht="84.6" x14ac:dyDescent="0.3">
      <c r="A7" s="91" t="s">
        <v>2316</v>
      </c>
    </row>
    <row r="8" spans="1:9" ht="84.6" x14ac:dyDescent="0.3">
      <c r="A8" s="91" t="s">
        <v>2317</v>
      </c>
    </row>
    <row r="9" spans="1:9" ht="84.6" x14ac:dyDescent="0.3">
      <c r="A9" s="91" t="s">
        <v>2318</v>
      </c>
    </row>
  </sheetData>
  <pageMargins left="0.7" right="0.7" top="0.75" bottom="0.75" header="0.3" footer="0.3"/>
  <pageSetup scale="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1123-C363-413A-9601-B0A25102E3C3}">
  <sheetPr>
    <pageSetUpPr fitToPage="1"/>
  </sheetPr>
  <dimension ref="A1:AQ134"/>
  <sheetViews>
    <sheetView topLeftCell="B103" workbookViewId="0">
      <selection activeCell="H10" sqref="H10"/>
    </sheetView>
  </sheetViews>
  <sheetFormatPr defaultRowHeight="14.4" x14ac:dyDescent="0.3"/>
  <cols>
    <col min="1" max="1" width="0" hidden="1" customWidth="1"/>
    <col min="3" max="3" width="14.6640625" bestFit="1" customWidth="1"/>
    <col min="4" max="4" width="47.109375" bestFit="1" customWidth="1"/>
    <col min="5" max="7" width="8.88671875" customWidth="1"/>
    <col min="8" max="9" width="9.77734375" customWidth="1"/>
    <col min="10" max="10" width="10.6640625" customWidth="1"/>
    <col min="11" max="11" width="9.77734375" customWidth="1"/>
    <col min="12" max="40" width="8.88671875" customWidth="1"/>
    <col min="41" max="41" width="38.33203125" customWidth="1"/>
    <col min="42" max="42" width="8.88671875" customWidth="1"/>
  </cols>
  <sheetData>
    <row r="1" spans="1:43" s="90" customFormat="1" x14ac:dyDescent="0.3">
      <c r="A1" s="90" t="s">
        <v>835</v>
      </c>
      <c r="B1" s="92" t="s">
        <v>306</v>
      </c>
      <c r="C1" s="92" t="s">
        <v>308</v>
      </c>
      <c r="D1" s="92" t="s">
        <v>309</v>
      </c>
      <c r="E1" s="92" t="s">
        <v>310</v>
      </c>
      <c r="F1" s="92" t="s">
        <v>22</v>
      </c>
      <c r="G1" s="92" t="s">
        <v>307</v>
      </c>
      <c r="H1" s="92" t="s">
        <v>836</v>
      </c>
      <c r="I1" s="92" t="s">
        <v>837</v>
      </c>
      <c r="J1" s="92" t="s">
        <v>838</v>
      </c>
      <c r="K1" s="92" t="s">
        <v>839</v>
      </c>
      <c r="L1" s="92" t="s">
        <v>2191</v>
      </c>
      <c r="M1" s="92" t="s">
        <v>2192</v>
      </c>
      <c r="N1" s="92" t="s">
        <v>2193</v>
      </c>
      <c r="O1" s="92" t="s">
        <v>2194</v>
      </c>
      <c r="P1" s="92" t="s">
        <v>2195</v>
      </c>
      <c r="Q1" s="92" t="s">
        <v>2196</v>
      </c>
      <c r="R1" s="92" t="s">
        <v>2197</v>
      </c>
      <c r="S1" s="92" t="s">
        <v>2198</v>
      </c>
      <c r="T1" s="92" t="s">
        <v>2199</v>
      </c>
      <c r="U1" s="92" t="s">
        <v>2200</v>
      </c>
      <c r="V1" s="92" t="s">
        <v>2201</v>
      </c>
      <c r="W1" s="92" t="s">
        <v>2190</v>
      </c>
      <c r="X1" s="92" t="s">
        <v>2202</v>
      </c>
      <c r="Y1" s="92" t="s">
        <v>2203</v>
      </c>
      <c r="Z1" s="92" t="s">
        <v>2204</v>
      </c>
      <c r="AA1" s="92" t="s">
        <v>2205</v>
      </c>
      <c r="AB1" s="92" t="s">
        <v>2206</v>
      </c>
      <c r="AC1" s="92" t="s">
        <v>2207</v>
      </c>
      <c r="AD1" s="92" t="s">
        <v>2208</v>
      </c>
      <c r="AE1" s="92" t="s">
        <v>2209</v>
      </c>
      <c r="AF1" s="92" t="s">
        <v>2210</v>
      </c>
      <c r="AG1" s="92" t="s">
        <v>2211</v>
      </c>
      <c r="AH1" s="92" t="s">
        <v>2212</v>
      </c>
      <c r="AI1" s="92" t="s">
        <v>2213</v>
      </c>
      <c r="AJ1" s="92" t="s">
        <v>2214</v>
      </c>
      <c r="AK1" s="92" t="s">
        <v>2215</v>
      </c>
      <c r="AL1" s="92" t="s">
        <v>2216</v>
      </c>
      <c r="AM1" s="92" t="s">
        <v>2217</v>
      </c>
      <c r="AN1" s="92" t="s">
        <v>2218</v>
      </c>
      <c r="AO1" s="92" t="s">
        <v>2275</v>
      </c>
      <c r="AP1" s="92" t="s">
        <v>2276</v>
      </c>
      <c r="AQ1" s="92" t="s">
        <v>2282</v>
      </c>
    </row>
    <row r="2" spans="1:43" x14ac:dyDescent="0.3">
      <c r="A2">
        <v>1746</v>
      </c>
      <c r="B2" s="49" t="s">
        <v>2001</v>
      </c>
      <c r="C2" s="49" t="s">
        <v>1960</v>
      </c>
      <c r="D2" s="49" t="s">
        <v>219</v>
      </c>
      <c r="E2" s="49">
        <v>7</v>
      </c>
      <c r="F2" s="49">
        <v>24</v>
      </c>
      <c r="G2" s="49">
        <v>56</v>
      </c>
      <c r="H2" s="49" t="s">
        <v>840</v>
      </c>
      <c r="I2" s="49" t="s">
        <v>840</v>
      </c>
      <c r="J2" s="49" t="s">
        <v>840</v>
      </c>
      <c r="K2" s="49" t="s">
        <v>840</v>
      </c>
      <c r="L2" s="49">
        <v>1</v>
      </c>
      <c r="M2" s="49">
        <v>1</v>
      </c>
      <c r="N2" s="49">
        <v>1</v>
      </c>
      <c r="O2" s="49">
        <v>1</v>
      </c>
      <c r="P2" s="49">
        <v>1</v>
      </c>
      <c r="Q2" s="49">
        <v>1</v>
      </c>
      <c r="R2" s="49">
        <v>1</v>
      </c>
      <c r="S2" s="49">
        <v>1</v>
      </c>
      <c r="T2" s="49">
        <v>1</v>
      </c>
      <c r="U2" s="49">
        <v>1</v>
      </c>
      <c r="V2" s="49">
        <v>1</v>
      </c>
      <c r="W2" s="49">
        <v>1</v>
      </c>
      <c r="X2" s="49">
        <v>1</v>
      </c>
      <c r="Y2" s="49">
        <v>1</v>
      </c>
      <c r="Z2" s="49">
        <v>1</v>
      </c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 t="str">
        <f>VLOOKUP(D2,batch_lhd!$A$1:$C$136,2,FALSE)</f>
        <v>298, 396</v>
      </c>
      <c r="AP2" s="49" t="str">
        <f>VLOOKUP(D2,batch_lhd!$A$1:$C$136,3,FALSE)</f>
        <v>3, 9</v>
      </c>
      <c r="AQ2" s="49">
        <f>G2/28*15</f>
        <v>30</v>
      </c>
    </row>
    <row r="3" spans="1:43" x14ac:dyDescent="0.3">
      <c r="A3">
        <v>1454</v>
      </c>
      <c r="B3" s="49" t="s">
        <v>1289</v>
      </c>
      <c r="C3" s="49" t="s">
        <v>192</v>
      </c>
      <c r="D3" s="49">
        <v>7252785330</v>
      </c>
      <c r="E3" s="49">
        <v>25</v>
      </c>
      <c r="F3" s="49">
        <v>19</v>
      </c>
      <c r="G3" s="49">
        <v>420</v>
      </c>
      <c r="H3" s="49" t="s">
        <v>840</v>
      </c>
      <c r="I3" s="49" t="s">
        <v>840</v>
      </c>
      <c r="J3" s="49" t="s">
        <v>840</v>
      </c>
      <c r="K3" s="49" t="s">
        <v>841</v>
      </c>
      <c r="L3" s="49">
        <v>1</v>
      </c>
      <c r="M3" s="49">
        <v>1</v>
      </c>
      <c r="N3" s="49">
        <v>1</v>
      </c>
      <c r="O3" s="49">
        <v>1</v>
      </c>
      <c r="P3" s="49">
        <v>1</v>
      </c>
      <c r="Q3" s="49">
        <v>1</v>
      </c>
      <c r="R3" s="49">
        <v>1</v>
      </c>
      <c r="S3" s="49">
        <v>1</v>
      </c>
      <c r="T3" s="49">
        <v>1</v>
      </c>
      <c r="U3" s="49">
        <v>1</v>
      </c>
      <c r="V3" s="49">
        <v>1</v>
      </c>
      <c r="W3" s="49">
        <v>1</v>
      </c>
      <c r="X3" s="49">
        <v>1</v>
      </c>
      <c r="Y3" s="49">
        <v>1</v>
      </c>
      <c r="Z3" s="49">
        <v>1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>
        <f>VLOOKUP(D3,batch_lhd!$A$1:$C$136,2,FALSE)</f>
        <v>0</v>
      </c>
      <c r="AP3" s="49">
        <f>VLOOKUP(D3,batch_lhd!$A$1:$C$136,3,FALSE)</f>
        <v>0</v>
      </c>
      <c r="AQ3" s="49">
        <f t="shared" ref="AQ3:AQ66" si="0">G3/28*15</f>
        <v>225</v>
      </c>
    </row>
    <row r="4" spans="1:43" x14ac:dyDescent="0.3">
      <c r="A4">
        <v>1792</v>
      </c>
      <c r="B4" s="49" t="s">
        <v>2059</v>
      </c>
      <c r="C4" s="49" t="s">
        <v>2053</v>
      </c>
      <c r="D4" s="49">
        <v>7119163630</v>
      </c>
      <c r="E4" s="49">
        <v>7</v>
      </c>
      <c r="F4" s="49">
        <v>28</v>
      </c>
      <c r="G4" s="49">
        <v>112</v>
      </c>
      <c r="H4" s="49" t="s">
        <v>840</v>
      </c>
      <c r="I4" s="49" t="s">
        <v>840</v>
      </c>
      <c r="J4" s="49" t="s">
        <v>840</v>
      </c>
      <c r="K4" s="49" t="s">
        <v>840</v>
      </c>
      <c r="L4" s="49">
        <v>1</v>
      </c>
      <c r="M4" s="49">
        <v>1</v>
      </c>
      <c r="N4" s="49">
        <v>1</v>
      </c>
      <c r="O4" s="49">
        <v>1</v>
      </c>
      <c r="P4" s="49">
        <v>1</v>
      </c>
      <c r="Q4" s="49">
        <v>1</v>
      </c>
      <c r="R4" s="49">
        <v>1</v>
      </c>
      <c r="S4" s="49">
        <v>1</v>
      </c>
      <c r="T4" s="49">
        <v>1</v>
      </c>
      <c r="U4" s="49">
        <v>1</v>
      </c>
      <c r="V4" s="49">
        <v>1</v>
      </c>
      <c r="W4" s="49">
        <v>1</v>
      </c>
      <c r="X4" s="49">
        <v>1</v>
      </c>
      <c r="Y4" s="49">
        <v>1</v>
      </c>
      <c r="Z4" s="49">
        <v>1</v>
      </c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 t="str">
        <f>VLOOKUP(D4,batch_lhd!$A$1:$C$136,2,FALSE)</f>
        <v>530, 143, 121, 522</v>
      </c>
      <c r="AP4" s="49" t="str">
        <f>VLOOKUP(D4,batch_lhd!$A$1:$C$136,3,FALSE)</f>
        <v>5,4,25,29</v>
      </c>
      <c r="AQ4" s="49">
        <f t="shared" si="0"/>
        <v>60</v>
      </c>
    </row>
    <row r="5" spans="1:43" x14ac:dyDescent="0.3">
      <c r="A5">
        <v>1444</v>
      </c>
      <c r="B5" s="49" t="s">
        <v>1276</v>
      </c>
      <c r="C5" s="49" t="s">
        <v>145</v>
      </c>
      <c r="D5" s="49" t="s">
        <v>845</v>
      </c>
      <c r="E5" s="49">
        <v>7</v>
      </c>
      <c r="F5" s="49">
        <v>19</v>
      </c>
      <c r="G5" s="49">
        <v>28</v>
      </c>
      <c r="H5" s="49" t="s">
        <v>840</v>
      </c>
      <c r="I5" s="49" t="s">
        <v>840</v>
      </c>
      <c r="J5" s="49" t="s">
        <v>840</v>
      </c>
      <c r="K5" s="49" t="s">
        <v>841</v>
      </c>
      <c r="L5" s="49">
        <v>1</v>
      </c>
      <c r="M5" s="49">
        <v>1</v>
      </c>
      <c r="N5" s="49">
        <v>1</v>
      </c>
      <c r="O5" s="49">
        <v>1</v>
      </c>
      <c r="P5" s="49">
        <v>1</v>
      </c>
      <c r="Q5" s="49">
        <v>1</v>
      </c>
      <c r="R5" s="49">
        <v>1</v>
      </c>
      <c r="S5" s="49">
        <v>1</v>
      </c>
      <c r="T5" s="49">
        <v>1</v>
      </c>
      <c r="U5" s="49">
        <v>1</v>
      </c>
      <c r="V5" s="49">
        <v>1</v>
      </c>
      <c r="W5" s="49">
        <v>1</v>
      </c>
      <c r="X5" s="49">
        <v>1</v>
      </c>
      <c r="Y5" s="49">
        <v>1</v>
      </c>
      <c r="Z5" s="49">
        <v>1</v>
      </c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>
        <v>130</v>
      </c>
      <c r="AO5" s="49">
        <f>VLOOKUP(D5,batch_lhd!$A$1:$C$136,2,FALSE)</f>
        <v>130</v>
      </c>
      <c r="AP5" s="49">
        <f>VLOOKUP(D5,batch_lhd!$A$1:$C$136,3,FALSE)</f>
        <v>24</v>
      </c>
      <c r="AQ5" s="49">
        <f t="shared" si="0"/>
        <v>15</v>
      </c>
    </row>
    <row r="6" spans="1:43" x14ac:dyDescent="0.3">
      <c r="A6">
        <v>1436</v>
      </c>
      <c r="B6" s="49" t="s">
        <v>1267</v>
      </c>
      <c r="C6" s="49" t="s">
        <v>133</v>
      </c>
      <c r="D6" s="49">
        <v>72897304</v>
      </c>
      <c r="E6" s="49">
        <v>7</v>
      </c>
      <c r="F6" s="49">
        <v>19</v>
      </c>
      <c r="G6" s="49">
        <v>56</v>
      </c>
      <c r="H6" s="49" t="s">
        <v>840</v>
      </c>
      <c r="I6" s="49" t="s">
        <v>840</v>
      </c>
      <c r="J6" s="49" t="s">
        <v>840</v>
      </c>
      <c r="K6" s="49" t="s">
        <v>841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49">
        <v>1</v>
      </c>
      <c r="U6" s="49">
        <v>1</v>
      </c>
      <c r="V6" s="49">
        <v>1</v>
      </c>
      <c r="W6" s="49">
        <v>1</v>
      </c>
      <c r="X6" s="49">
        <v>1</v>
      </c>
      <c r="Y6" s="49">
        <v>1</v>
      </c>
      <c r="Z6" s="49">
        <v>1</v>
      </c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 t="str">
        <f>VLOOKUP(D6,batch_lhd!$A$1:$C$136,2,FALSE)</f>
        <v>485, 486</v>
      </c>
      <c r="AP6" s="49" t="str">
        <f>VLOOKUP(D6,batch_lhd!$A$1:$C$136,3,FALSE)</f>
        <v>4, 26</v>
      </c>
      <c r="AQ6" s="49">
        <f t="shared" si="0"/>
        <v>30</v>
      </c>
    </row>
    <row r="7" spans="1:43" x14ac:dyDescent="0.3">
      <c r="A7">
        <v>1656</v>
      </c>
      <c r="B7" s="49" t="s">
        <v>1764</v>
      </c>
      <c r="C7" s="49" t="s">
        <v>1763</v>
      </c>
      <c r="D7" s="49">
        <v>7119641970</v>
      </c>
      <c r="E7" s="49">
        <v>7</v>
      </c>
      <c r="F7" s="49">
        <v>23</v>
      </c>
      <c r="G7" s="49">
        <v>28</v>
      </c>
      <c r="H7" s="49" t="s">
        <v>840</v>
      </c>
      <c r="I7" s="49" t="s">
        <v>840</v>
      </c>
      <c r="J7" s="49" t="s">
        <v>840</v>
      </c>
      <c r="K7" s="49" t="s">
        <v>841</v>
      </c>
      <c r="L7" s="49">
        <v>1</v>
      </c>
      <c r="M7" s="49">
        <v>1</v>
      </c>
      <c r="N7" s="49">
        <v>1</v>
      </c>
      <c r="O7" s="49">
        <v>1</v>
      </c>
      <c r="P7" s="49">
        <v>1</v>
      </c>
      <c r="Q7" s="49">
        <v>1</v>
      </c>
      <c r="R7" s="49">
        <v>1</v>
      </c>
      <c r="S7" s="49">
        <v>1</v>
      </c>
      <c r="T7" s="49">
        <v>1</v>
      </c>
      <c r="U7" s="49">
        <v>1</v>
      </c>
      <c r="V7" s="49">
        <v>1</v>
      </c>
      <c r="W7" s="49">
        <v>1</v>
      </c>
      <c r="X7" s="49">
        <v>1</v>
      </c>
      <c r="Y7" s="49">
        <v>1</v>
      </c>
      <c r="Z7" s="49">
        <v>1</v>
      </c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>
        <f>VLOOKUP(D7,batch_lhd!$A$1:$C$136,2,FALSE)</f>
        <v>529</v>
      </c>
      <c r="AP7" s="49">
        <f>VLOOKUP(D7,batch_lhd!$A$1:$C$136,3,FALSE)</f>
        <v>5</v>
      </c>
      <c r="AQ7" s="49">
        <f t="shared" si="0"/>
        <v>15</v>
      </c>
    </row>
    <row r="8" spans="1:43" x14ac:dyDescent="0.3">
      <c r="A8">
        <v>1786</v>
      </c>
      <c r="B8" s="49" t="s">
        <v>2044</v>
      </c>
      <c r="C8" s="49" t="s">
        <v>745</v>
      </c>
      <c r="D8" s="49" t="s">
        <v>1217</v>
      </c>
      <c r="E8" s="49">
        <v>7</v>
      </c>
      <c r="F8" s="49">
        <v>27</v>
      </c>
      <c r="G8" s="49">
        <v>28</v>
      </c>
      <c r="H8" s="49" t="s">
        <v>840</v>
      </c>
      <c r="I8" s="49" t="s">
        <v>840</v>
      </c>
      <c r="J8" s="49" t="s">
        <v>840</v>
      </c>
      <c r="K8" s="49" t="s">
        <v>840</v>
      </c>
      <c r="L8" s="49">
        <v>1</v>
      </c>
      <c r="M8" s="49">
        <v>1</v>
      </c>
      <c r="N8" s="49">
        <v>1</v>
      </c>
      <c r="O8" s="49">
        <v>1</v>
      </c>
      <c r="P8" s="49">
        <v>1</v>
      </c>
      <c r="Q8" s="49">
        <v>1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49">
        <v>1</v>
      </c>
      <c r="X8" s="49">
        <v>1</v>
      </c>
      <c r="Y8" s="49">
        <v>1</v>
      </c>
      <c r="Z8" s="49">
        <v>1</v>
      </c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>
        <f>VLOOKUP(D8,batch_lhd!$A$1:$C$136,2,FALSE)</f>
        <v>296</v>
      </c>
      <c r="AP8" s="49">
        <f>VLOOKUP(D8,batch_lhd!$A$1:$C$136,3,FALSE)</f>
        <v>2</v>
      </c>
      <c r="AQ8" s="49">
        <f t="shared" si="0"/>
        <v>15</v>
      </c>
    </row>
    <row r="9" spans="1:43" x14ac:dyDescent="0.3">
      <c r="A9">
        <v>1447</v>
      </c>
      <c r="B9" s="49" t="s">
        <v>1279</v>
      </c>
      <c r="C9" s="49" t="s">
        <v>156</v>
      </c>
      <c r="D9" s="49" t="s">
        <v>656</v>
      </c>
      <c r="E9" s="49">
        <v>7</v>
      </c>
      <c r="F9" s="49">
        <v>19</v>
      </c>
      <c r="G9" s="49">
        <v>28</v>
      </c>
      <c r="H9" s="49" t="s">
        <v>840</v>
      </c>
      <c r="I9" s="49" t="s">
        <v>840</v>
      </c>
      <c r="J9" s="49" t="s">
        <v>840</v>
      </c>
      <c r="K9" s="49" t="s">
        <v>840</v>
      </c>
      <c r="L9" s="49">
        <v>1</v>
      </c>
      <c r="M9" s="49">
        <v>1</v>
      </c>
      <c r="N9" s="49">
        <v>1</v>
      </c>
      <c r="O9" s="49">
        <v>1</v>
      </c>
      <c r="P9" s="49">
        <v>1</v>
      </c>
      <c r="Q9" s="49">
        <v>1</v>
      </c>
      <c r="R9" s="49">
        <v>1</v>
      </c>
      <c r="S9" s="49">
        <v>1</v>
      </c>
      <c r="T9" s="49">
        <v>1</v>
      </c>
      <c r="U9" s="49">
        <v>1</v>
      </c>
      <c r="V9" s="49">
        <v>1</v>
      </c>
      <c r="W9" s="49">
        <v>1</v>
      </c>
      <c r="X9" s="49">
        <v>1</v>
      </c>
      <c r="Y9" s="49">
        <v>1</v>
      </c>
      <c r="Z9" s="49">
        <v>1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>
        <f>VLOOKUP(D9,batch_lhd!$A$1:$C$136,2,FALSE)</f>
        <v>387</v>
      </c>
      <c r="AP9" s="49">
        <f>VLOOKUP(D9,batch_lhd!$A$1:$C$136,3,FALSE)</f>
        <v>13</v>
      </c>
      <c r="AQ9" s="49">
        <f t="shared" si="0"/>
        <v>15</v>
      </c>
    </row>
    <row r="10" spans="1:43" x14ac:dyDescent="0.3">
      <c r="A10">
        <v>1741</v>
      </c>
      <c r="B10" s="49" t="s">
        <v>2002</v>
      </c>
      <c r="C10" s="49" t="s">
        <v>1347</v>
      </c>
      <c r="D10" s="49" t="s">
        <v>235</v>
      </c>
      <c r="E10" s="49">
        <v>7</v>
      </c>
      <c r="F10" s="49">
        <v>24</v>
      </c>
      <c r="G10" s="49">
        <v>112</v>
      </c>
      <c r="H10" s="49" t="s">
        <v>840</v>
      </c>
      <c r="I10" s="49" t="s">
        <v>840</v>
      </c>
      <c r="J10" s="49" t="s">
        <v>840</v>
      </c>
      <c r="K10" s="49" t="s">
        <v>840</v>
      </c>
      <c r="L10" s="49">
        <v>1</v>
      </c>
      <c r="M10" s="49">
        <v>1</v>
      </c>
      <c r="N10" s="49">
        <v>1</v>
      </c>
      <c r="O10" s="49">
        <v>1</v>
      </c>
      <c r="P10" s="49">
        <v>1</v>
      </c>
      <c r="Q10" s="49">
        <v>1</v>
      </c>
      <c r="R10" s="49">
        <v>1</v>
      </c>
      <c r="S10" s="49">
        <v>1</v>
      </c>
      <c r="T10" s="49">
        <v>1</v>
      </c>
      <c r="U10" s="49">
        <v>1</v>
      </c>
      <c r="V10" s="49">
        <v>1</v>
      </c>
      <c r="W10" s="49">
        <v>1</v>
      </c>
      <c r="X10" s="49">
        <v>1</v>
      </c>
      <c r="Y10" s="49">
        <v>1</v>
      </c>
      <c r="Z10" s="49">
        <v>1</v>
      </c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 t="e">
        <f>VLOOKUP(D10,batch_lhd!$A$1:$C$136,2,FALSE)</f>
        <v>#N/A</v>
      </c>
      <c r="AP10" s="49" t="e">
        <f>VLOOKUP(D10,batch_lhd!$A$1:$C$136,3,FALSE)</f>
        <v>#N/A</v>
      </c>
      <c r="AQ10" s="49">
        <f t="shared" si="0"/>
        <v>60</v>
      </c>
    </row>
    <row r="11" spans="1:43" x14ac:dyDescent="0.3">
      <c r="A11">
        <v>1752</v>
      </c>
      <c r="B11" s="49" t="s">
        <v>2003</v>
      </c>
      <c r="C11" s="49" t="s">
        <v>1998</v>
      </c>
      <c r="D11" s="49">
        <v>71979512</v>
      </c>
      <c r="E11" s="49">
        <v>7</v>
      </c>
      <c r="F11" s="49">
        <v>25</v>
      </c>
      <c r="G11" s="49">
        <v>28</v>
      </c>
      <c r="H11" s="49" t="s">
        <v>840</v>
      </c>
      <c r="I11" s="49" t="s">
        <v>840</v>
      </c>
      <c r="J11" s="49" t="s">
        <v>840</v>
      </c>
      <c r="K11" s="49" t="s">
        <v>841</v>
      </c>
      <c r="L11" s="49">
        <v>1</v>
      </c>
      <c r="M11" s="49">
        <v>1</v>
      </c>
      <c r="N11" s="49">
        <v>1</v>
      </c>
      <c r="O11" s="49">
        <v>1</v>
      </c>
      <c r="P11" s="49">
        <v>1</v>
      </c>
      <c r="Q11" s="49">
        <v>1</v>
      </c>
      <c r="R11" s="49">
        <v>1</v>
      </c>
      <c r="S11" s="49">
        <v>1</v>
      </c>
      <c r="T11" s="49">
        <v>1</v>
      </c>
      <c r="U11" s="49">
        <v>1</v>
      </c>
      <c r="V11" s="49">
        <v>1</v>
      </c>
      <c r="W11" s="49">
        <v>1</v>
      </c>
      <c r="X11" s="49">
        <v>1</v>
      </c>
      <c r="Y11" s="49">
        <v>1</v>
      </c>
      <c r="Z11" s="49">
        <v>1</v>
      </c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>
        <f>VLOOKUP(D11,batch_lhd!$A$1:$C$136,2,FALSE)</f>
        <v>327</v>
      </c>
      <c r="AP11" s="49">
        <f>VLOOKUP(D11,batch_lhd!$A$1:$C$136,3,FALSE)</f>
        <v>8</v>
      </c>
      <c r="AQ11" s="49">
        <f t="shared" si="0"/>
        <v>15</v>
      </c>
    </row>
    <row r="12" spans="1:43" x14ac:dyDescent="0.3">
      <c r="A12">
        <v>1455</v>
      </c>
      <c r="B12" s="49" t="s">
        <v>1292</v>
      </c>
      <c r="C12" s="49" t="s">
        <v>191</v>
      </c>
      <c r="D12" s="49">
        <v>7252815130</v>
      </c>
      <c r="E12" s="49">
        <v>25</v>
      </c>
      <c r="F12" s="49">
        <v>19</v>
      </c>
      <c r="G12" s="49">
        <v>336</v>
      </c>
      <c r="H12" s="49" t="s">
        <v>840</v>
      </c>
      <c r="I12" s="49" t="s">
        <v>840</v>
      </c>
      <c r="J12" s="49" t="s">
        <v>840</v>
      </c>
      <c r="K12" s="49" t="s">
        <v>841</v>
      </c>
      <c r="L12" s="49">
        <v>1</v>
      </c>
      <c r="M12" s="49">
        <v>1</v>
      </c>
      <c r="N12" s="49">
        <v>1</v>
      </c>
      <c r="O12" s="49">
        <v>1</v>
      </c>
      <c r="P12" s="49">
        <v>1</v>
      </c>
      <c r="Q12" s="49">
        <v>1</v>
      </c>
      <c r="R12" s="49">
        <v>1</v>
      </c>
      <c r="S12" s="49">
        <v>1</v>
      </c>
      <c r="T12" s="49">
        <v>1</v>
      </c>
      <c r="U12" s="49">
        <v>1</v>
      </c>
      <c r="V12" s="49">
        <v>1</v>
      </c>
      <c r="W12" s="49">
        <v>1</v>
      </c>
      <c r="X12" s="49">
        <v>1</v>
      </c>
      <c r="Y12" s="49">
        <v>1</v>
      </c>
      <c r="Z12" s="49">
        <v>1</v>
      </c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>
        <f>VLOOKUP(D12,batch_lhd!$A$1:$C$136,2,FALSE)</f>
        <v>0</v>
      </c>
      <c r="AP12" s="49">
        <f>VLOOKUP(D12,batch_lhd!$A$1:$C$136,3,FALSE)</f>
        <v>0</v>
      </c>
      <c r="AQ12" s="49">
        <f t="shared" si="0"/>
        <v>180</v>
      </c>
    </row>
    <row r="13" spans="1:43" x14ac:dyDescent="0.3">
      <c r="A13">
        <v>1641</v>
      </c>
      <c r="B13" s="49" t="s">
        <v>1710</v>
      </c>
      <c r="C13" s="49" t="s">
        <v>126</v>
      </c>
      <c r="D13" s="49">
        <v>7271007230</v>
      </c>
      <c r="E13" s="49">
        <v>7</v>
      </c>
      <c r="F13" s="49">
        <v>22</v>
      </c>
      <c r="G13" s="49">
        <v>28</v>
      </c>
      <c r="H13" s="49" t="s">
        <v>840</v>
      </c>
      <c r="I13" s="49" t="s">
        <v>840</v>
      </c>
      <c r="J13" s="49" t="s">
        <v>840</v>
      </c>
      <c r="K13" s="49" t="s">
        <v>840</v>
      </c>
      <c r="L13" s="49">
        <v>1</v>
      </c>
      <c r="M13" s="49">
        <v>1</v>
      </c>
      <c r="N13" s="49">
        <v>1</v>
      </c>
      <c r="O13" s="49">
        <v>1</v>
      </c>
      <c r="P13" s="49">
        <v>1</v>
      </c>
      <c r="Q13" s="49">
        <v>1</v>
      </c>
      <c r="R13" s="49">
        <v>1</v>
      </c>
      <c r="S13" s="49">
        <v>1</v>
      </c>
      <c r="T13" s="49">
        <v>1</v>
      </c>
      <c r="U13" s="49">
        <v>1</v>
      </c>
      <c r="V13" s="49">
        <v>1</v>
      </c>
      <c r="W13" s="49">
        <v>1</v>
      </c>
      <c r="X13" s="49">
        <v>1</v>
      </c>
      <c r="Y13" s="49">
        <v>1</v>
      </c>
      <c r="Z13" s="49">
        <v>1</v>
      </c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>
        <f>VLOOKUP(D13,batch_lhd!$A$1:$C$136,2,FALSE)</f>
        <v>0</v>
      </c>
      <c r="AP13" s="49">
        <f>VLOOKUP(D13,batch_lhd!$A$1:$C$136,3,FALSE)</f>
        <v>0</v>
      </c>
      <c r="AQ13" s="49">
        <f t="shared" si="0"/>
        <v>15</v>
      </c>
    </row>
    <row r="14" spans="1:43" x14ac:dyDescent="0.3">
      <c r="A14">
        <v>1632</v>
      </c>
      <c r="B14" s="49" t="s">
        <v>1711</v>
      </c>
      <c r="C14" s="49" t="s">
        <v>140</v>
      </c>
      <c r="D14" s="49" t="s">
        <v>239</v>
      </c>
      <c r="E14" s="49">
        <v>7</v>
      </c>
      <c r="F14" s="49">
        <v>22</v>
      </c>
      <c r="G14" s="49">
        <v>28</v>
      </c>
      <c r="H14" s="49" t="s">
        <v>840</v>
      </c>
      <c r="I14" s="49" t="s">
        <v>840</v>
      </c>
      <c r="J14" s="49" t="s">
        <v>840</v>
      </c>
      <c r="K14" s="49" t="s">
        <v>841</v>
      </c>
      <c r="L14" s="49">
        <v>1</v>
      </c>
      <c r="M14" s="49">
        <v>1</v>
      </c>
      <c r="N14" s="49">
        <v>1</v>
      </c>
      <c r="O14" s="49">
        <v>1</v>
      </c>
      <c r="P14" s="49">
        <v>1</v>
      </c>
      <c r="Q14" s="49">
        <v>1</v>
      </c>
      <c r="R14" s="49">
        <v>1</v>
      </c>
      <c r="S14" s="49">
        <v>1</v>
      </c>
      <c r="T14" s="49">
        <v>1</v>
      </c>
      <c r="U14" s="49">
        <v>1</v>
      </c>
      <c r="V14" s="49">
        <v>1</v>
      </c>
      <c r="W14" s="49">
        <v>1</v>
      </c>
      <c r="X14" s="49">
        <v>1</v>
      </c>
      <c r="Y14" s="49">
        <v>1</v>
      </c>
      <c r="Z14" s="49">
        <v>1</v>
      </c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>
        <f>VLOOKUP(D14,batch_lhd!$A$1:$C$136,2,FALSE)</f>
        <v>156</v>
      </c>
      <c r="AP14" s="49">
        <f>VLOOKUP(D14,batch_lhd!$A$1:$C$136,3,FALSE)</f>
        <v>24</v>
      </c>
      <c r="AQ14" s="49">
        <f t="shared" si="0"/>
        <v>15</v>
      </c>
    </row>
    <row r="15" spans="1:43" x14ac:dyDescent="0.3">
      <c r="A15">
        <v>1473</v>
      </c>
      <c r="B15" s="49" t="s">
        <v>1343</v>
      </c>
      <c r="C15" s="49" t="s">
        <v>945</v>
      </c>
      <c r="D15" s="49">
        <v>7247781230</v>
      </c>
      <c r="E15" s="49">
        <v>25</v>
      </c>
      <c r="F15" s="49">
        <v>20</v>
      </c>
      <c r="G15" s="49">
        <v>28</v>
      </c>
      <c r="H15" s="49" t="s">
        <v>840</v>
      </c>
      <c r="I15" s="49" t="s">
        <v>840</v>
      </c>
      <c r="J15" s="49" t="s">
        <v>840</v>
      </c>
      <c r="K15" s="49" t="s">
        <v>841</v>
      </c>
      <c r="L15" s="49">
        <v>1</v>
      </c>
      <c r="M15" s="49">
        <v>1</v>
      </c>
      <c r="N15" s="49">
        <v>1</v>
      </c>
      <c r="O15" s="49">
        <v>1</v>
      </c>
      <c r="P15" s="49">
        <v>1</v>
      </c>
      <c r="Q15" s="49">
        <v>1</v>
      </c>
      <c r="R15" s="49">
        <v>1</v>
      </c>
      <c r="S15" s="49">
        <v>1</v>
      </c>
      <c r="T15" s="49">
        <v>1</v>
      </c>
      <c r="U15" s="49">
        <v>1</v>
      </c>
      <c r="V15" s="49">
        <v>1</v>
      </c>
      <c r="W15" s="49">
        <v>1</v>
      </c>
      <c r="X15" s="49">
        <v>1</v>
      </c>
      <c r="Y15" s="49">
        <v>1</v>
      </c>
      <c r="Z15" s="49">
        <v>1</v>
      </c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 t="e">
        <f>VLOOKUP(D15,batch_lhd!$A$1:$C$136,2,FALSE)</f>
        <v>#N/A</v>
      </c>
      <c r="AP15" s="49" t="e">
        <f>VLOOKUP(D15,batch_lhd!$A$1:$C$136,3,FALSE)</f>
        <v>#N/A</v>
      </c>
      <c r="AQ15" s="49">
        <f t="shared" si="0"/>
        <v>15</v>
      </c>
    </row>
    <row r="16" spans="1:43" x14ac:dyDescent="0.3">
      <c r="A16">
        <v>1629</v>
      </c>
      <c r="B16" s="49" t="s">
        <v>1712</v>
      </c>
      <c r="C16" s="49" t="s">
        <v>121</v>
      </c>
      <c r="D16" s="49">
        <v>7198916130</v>
      </c>
      <c r="E16" s="49">
        <v>7</v>
      </c>
      <c r="F16" s="49">
        <v>22</v>
      </c>
      <c r="G16" s="49">
        <v>28</v>
      </c>
      <c r="H16" s="49" t="s">
        <v>840</v>
      </c>
      <c r="I16" s="49" t="s">
        <v>840</v>
      </c>
      <c r="J16" s="49" t="s">
        <v>840</v>
      </c>
      <c r="K16" s="49" t="s">
        <v>841</v>
      </c>
      <c r="L16" s="49">
        <v>1</v>
      </c>
      <c r="M16" s="49">
        <v>1</v>
      </c>
      <c r="N16" s="49">
        <v>1</v>
      </c>
      <c r="O16" s="49">
        <v>1</v>
      </c>
      <c r="P16" s="49">
        <v>1</v>
      </c>
      <c r="Q16" s="49">
        <v>1</v>
      </c>
      <c r="R16" s="49">
        <v>1</v>
      </c>
      <c r="S16" s="49">
        <v>1</v>
      </c>
      <c r="T16" s="49">
        <v>1</v>
      </c>
      <c r="U16" s="49">
        <v>1</v>
      </c>
      <c r="V16" s="49">
        <v>1</v>
      </c>
      <c r="W16" s="49">
        <v>1</v>
      </c>
      <c r="X16" s="49">
        <v>1</v>
      </c>
      <c r="Y16" s="49">
        <v>1</v>
      </c>
      <c r="Z16" s="49">
        <v>1</v>
      </c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>
        <f>VLOOKUP(D16,batch_lhd!$A$1:$C$136,2,FALSE)</f>
        <v>403</v>
      </c>
      <c r="AP16" s="49">
        <f>VLOOKUP(D16,batch_lhd!$A$1:$C$136,3,FALSE)</f>
        <v>14</v>
      </c>
      <c r="AQ16" s="49">
        <f t="shared" si="0"/>
        <v>15</v>
      </c>
    </row>
    <row r="17" spans="1:43" x14ac:dyDescent="0.3">
      <c r="A17">
        <v>1460</v>
      </c>
      <c r="B17" s="49" t="s">
        <v>1300</v>
      </c>
      <c r="C17" s="49" t="s">
        <v>855</v>
      </c>
      <c r="D17" s="49" t="s">
        <v>602</v>
      </c>
      <c r="E17" s="49">
        <v>7</v>
      </c>
      <c r="F17" s="49">
        <v>19</v>
      </c>
      <c r="G17" s="49">
        <v>28</v>
      </c>
      <c r="H17" s="49" t="s">
        <v>840</v>
      </c>
      <c r="I17" s="49" t="s">
        <v>840</v>
      </c>
      <c r="J17" s="49" t="s">
        <v>840</v>
      </c>
      <c r="K17" s="49" t="s">
        <v>841</v>
      </c>
      <c r="L17" s="49">
        <v>1</v>
      </c>
      <c r="M17" s="49">
        <v>1</v>
      </c>
      <c r="N17" s="49">
        <v>1</v>
      </c>
      <c r="O17" s="49">
        <v>1</v>
      </c>
      <c r="P17" s="49">
        <v>1</v>
      </c>
      <c r="Q17" s="49">
        <v>1</v>
      </c>
      <c r="R17" s="49">
        <v>1</v>
      </c>
      <c r="S17" s="49">
        <v>1</v>
      </c>
      <c r="T17" s="49">
        <v>1</v>
      </c>
      <c r="U17" s="49">
        <v>1</v>
      </c>
      <c r="V17" s="49">
        <v>1</v>
      </c>
      <c r="W17" s="49">
        <v>1</v>
      </c>
      <c r="X17" s="49">
        <v>1</v>
      </c>
      <c r="Y17" s="49">
        <v>1</v>
      </c>
      <c r="Z17" s="49">
        <v>1</v>
      </c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>
        <f>VLOOKUP(D17,batch_lhd!$A$1:$C$136,2,FALSE)</f>
        <v>223</v>
      </c>
      <c r="AP17" s="49">
        <f>VLOOKUP(D17,batch_lhd!$A$1:$C$136,3,FALSE)</f>
        <v>28</v>
      </c>
      <c r="AQ17" s="49">
        <f t="shared" si="0"/>
        <v>15</v>
      </c>
    </row>
    <row r="18" spans="1:43" x14ac:dyDescent="0.3">
      <c r="A18">
        <v>1425</v>
      </c>
      <c r="B18" s="49" t="s">
        <v>1248</v>
      </c>
      <c r="C18" s="49" t="s">
        <v>81</v>
      </c>
      <c r="D18" s="49">
        <v>7118670020</v>
      </c>
      <c r="E18" s="49">
        <v>7</v>
      </c>
      <c r="F18" s="49">
        <v>19</v>
      </c>
      <c r="G18" s="49">
        <v>56</v>
      </c>
      <c r="H18" s="49" t="s">
        <v>840</v>
      </c>
      <c r="I18" s="49" t="s">
        <v>840</v>
      </c>
      <c r="J18" s="49" t="s">
        <v>840</v>
      </c>
      <c r="K18" s="49" t="s">
        <v>841</v>
      </c>
      <c r="L18" s="49">
        <v>1</v>
      </c>
      <c r="M18" s="49">
        <v>1</v>
      </c>
      <c r="N18" s="49">
        <v>1</v>
      </c>
      <c r="O18" s="49">
        <v>1</v>
      </c>
      <c r="P18" s="49">
        <v>1</v>
      </c>
      <c r="Q18" s="49">
        <v>1</v>
      </c>
      <c r="R18" s="49">
        <v>1</v>
      </c>
      <c r="S18" s="49">
        <v>1</v>
      </c>
      <c r="T18" s="49">
        <v>1</v>
      </c>
      <c r="U18" s="49">
        <v>1</v>
      </c>
      <c r="V18" s="49">
        <v>1</v>
      </c>
      <c r="W18" s="49">
        <v>1</v>
      </c>
      <c r="X18" s="49">
        <v>1</v>
      </c>
      <c r="Y18" s="49">
        <v>1</v>
      </c>
      <c r="Z18" s="49">
        <v>1</v>
      </c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 t="str">
        <f>VLOOKUP(D18,batch_lhd!$A$1:$C$136,2,FALSE)</f>
        <v>167, 176</v>
      </c>
      <c r="AP18" s="49" t="str">
        <f>VLOOKUP(D18,batch_lhd!$A$1:$C$136,3,FALSE)</f>
        <v>22, 9</v>
      </c>
      <c r="AQ18" s="49">
        <f t="shared" si="0"/>
        <v>30</v>
      </c>
    </row>
    <row r="19" spans="1:43" x14ac:dyDescent="0.3">
      <c r="A19">
        <v>1428</v>
      </c>
      <c r="B19" s="49" t="s">
        <v>1253</v>
      </c>
      <c r="C19" s="49" t="s">
        <v>91</v>
      </c>
      <c r="D19" s="49">
        <v>71196401</v>
      </c>
      <c r="E19" s="49">
        <v>7</v>
      </c>
      <c r="F19" s="49">
        <v>19</v>
      </c>
      <c r="G19" s="49">
        <v>28</v>
      </c>
      <c r="H19" s="49" t="s">
        <v>840</v>
      </c>
      <c r="I19" s="49" t="s">
        <v>840</v>
      </c>
      <c r="J19" s="49" t="s">
        <v>840</v>
      </c>
      <c r="K19" s="49" t="s">
        <v>841</v>
      </c>
      <c r="L19" s="49">
        <v>1</v>
      </c>
      <c r="M19" s="49">
        <v>1</v>
      </c>
      <c r="N19" s="49">
        <v>1</v>
      </c>
      <c r="O19" s="49">
        <v>1</v>
      </c>
      <c r="P19" s="49">
        <v>1</v>
      </c>
      <c r="Q19" s="49">
        <v>1</v>
      </c>
      <c r="R19" s="49">
        <v>1</v>
      </c>
      <c r="S19" s="49">
        <v>1</v>
      </c>
      <c r="T19" s="49">
        <v>1</v>
      </c>
      <c r="U19" s="49">
        <v>1</v>
      </c>
      <c r="V19" s="49">
        <v>1</v>
      </c>
      <c r="W19" s="49">
        <v>1</v>
      </c>
      <c r="X19" s="49">
        <v>1</v>
      </c>
      <c r="Y19" s="49">
        <v>1</v>
      </c>
      <c r="Z19" s="49">
        <v>1</v>
      </c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>
        <f>VLOOKUP(D19,batch_lhd!$A$1:$C$136,2,FALSE)</f>
        <v>285</v>
      </c>
      <c r="AP19" s="49">
        <f>VLOOKUP(D19,batch_lhd!$A$1:$C$136,3,FALSE)</f>
        <v>3</v>
      </c>
      <c r="AQ19" s="49">
        <f t="shared" si="0"/>
        <v>15</v>
      </c>
    </row>
    <row r="20" spans="1:43" x14ac:dyDescent="0.3">
      <c r="A20">
        <v>1651</v>
      </c>
      <c r="B20" s="49" t="s">
        <v>1768</v>
      </c>
      <c r="C20" s="49" t="s">
        <v>949</v>
      </c>
      <c r="D20" s="49">
        <v>7035964930</v>
      </c>
      <c r="E20" s="49">
        <v>7</v>
      </c>
      <c r="F20" s="49">
        <v>23</v>
      </c>
      <c r="G20" s="49">
        <v>28</v>
      </c>
      <c r="H20" s="49" t="s">
        <v>840</v>
      </c>
      <c r="I20" s="49" t="s">
        <v>840</v>
      </c>
      <c r="J20" s="49" t="s">
        <v>840</v>
      </c>
      <c r="K20" s="49" t="s">
        <v>841</v>
      </c>
      <c r="L20" s="49">
        <v>1</v>
      </c>
      <c r="M20" s="49">
        <v>1</v>
      </c>
      <c r="N20" s="49">
        <v>1</v>
      </c>
      <c r="O20" s="49">
        <v>1</v>
      </c>
      <c r="P20" s="49">
        <v>1</v>
      </c>
      <c r="Q20" s="49">
        <v>1</v>
      </c>
      <c r="R20" s="49">
        <v>1</v>
      </c>
      <c r="S20" s="49">
        <v>1</v>
      </c>
      <c r="T20" s="49">
        <v>1</v>
      </c>
      <c r="U20" s="49">
        <v>1</v>
      </c>
      <c r="V20" s="49">
        <v>1</v>
      </c>
      <c r="W20" s="49">
        <v>1</v>
      </c>
      <c r="X20" s="49">
        <v>1</v>
      </c>
      <c r="Y20" s="49">
        <v>1</v>
      </c>
      <c r="Z20" s="49">
        <v>1</v>
      </c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>
        <f>VLOOKUP(D20,batch_lhd!$A$1:$C$136,2,FALSE)</f>
        <v>0</v>
      </c>
      <c r="AP20" s="49">
        <f>VLOOKUP(D20,batch_lhd!$A$1:$C$136,3,FALSE)</f>
        <v>31</v>
      </c>
      <c r="AQ20" s="49">
        <f t="shared" si="0"/>
        <v>15</v>
      </c>
    </row>
    <row r="21" spans="1:43" x14ac:dyDescent="0.3">
      <c r="A21">
        <v>1424</v>
      </c>
      <c r="B21" s="49" t="s">
        <v>1246</v>
      </c>
      <c r="C21" s="49" t="s">
        <v>78</v>
      </c>
      <c r="D21" s="49">
        <v>71186354</v>
      </c>
      <c r="E21" s="49">
        <v>7</v>
      </c>
      <c r="F21" s="49">
        <v>19</v>
      </c>
      <c r="G21" s="49">
        <v>56</v>
      </c>
      <c r="H21" s="49" t="s">
        <v>840</v>
      </c>
      <c r="I21" s="49" t="s">
        <v>840</v>
      </c>
      <c r="J21" s="49" t="s">
        <v>840</v>
      </c>
      <c r="K21" s="49" t="s">
        <v>841</v>
      </c>
      <c r="L21" s="49">
        <v>1</v>
      </c>
      <c r="M21" s="49">
        <v>1</v>
      </c>
      <c r="N21" s="49">
        <v>1</v>
      </c>
      <c r="O21" s="49">
        <v>1</v>
      </c>
      <c r="P21" s="49">
        <v>1</v>
      </c>
      <c r="Q21" s="49">
        <v>1</v>
      </c>
      <c r="R21" s="49">
        <v>1</v>
      </c>
      <c r="S21" s="49">
        <v>1</v>
      </c>
      <c r="T21" s="49">
        <v>1</v>
      </c>
      <c r="U21" s="49">
        <v>1</v>
      </c>
      <c r="V21" s="49">
        <v>1</v>
      </c>
      <c r="W21" s="49">
        <v>1</v>
      </c>
      <c r="X21" s="49">
        <v>1</v>
      </c>
      <c r="Y21" s="49">
        <v>1</v>
      </c>
      <c r="Z21" s="49">
        <v>1</v>
      </c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 t="str">
        <f>VLOOKUP(D21,batch_lhd!$A$1:$C$136,2,FALSE)</f>
        <v>178, 164</v>
      </c>
      <c r="AP21" s="49" t="str">
        <f>VLOOKUP(D21,batch_lhd!$A$1:$C$136,3,FALSE)</f>
        <v>9, 22</v>
      </c>
      <c r="AQ21" s="49">
        <f t="shared" si="0"/>
        <v>30</v>
      </c>
    </row>
    <row r="22" spans="1:43" x14ac:dyDescent="0.3">
      <c r="A22">
        <v>1468</v>
      </c>
      <c r="B22" s="49" t="s">
        <v>1338</v>
      </c>
      <c r="C22" s="49" t="s">
        <v>981</v>
      </c>
      <c r="D22" s="49">
        <v>7047052330</v>
      </c>
      <c r="E22" s="49">
        <v>25</v>
      </c>
      <c r="F22" s="49">
        <v>20</v>
      </c>
      <c r="G22" s="49">
        <v>56</v>
      </c>
      <c r="H22" s="49" t="s">
        <v>840</v>
      </c>
      <c r="I22" s="49" t="s">
        <v>840</v>
      </c>
      <c r="J22" s="49" t="s">
        <v>840</v>
      </c>
      <c r="K22" s="49" t="s">
        <v>841</v>
      </c>
      <c r="L22" s="49">
        <v>1</v>
      </c>
      <c r="M22" s="49">
        <v>1</v>
      </c>
      <c r="N22" s="49">
        <v>1</v>
      </c>
      <c r="O22" s="49">
        <v>1</v>
      </c>
      <c r="P22" s="49">
        <v>1</v>
      </c>
      <c r="Q22" s="49">
        <v>1</v>
      </c>
      <c r="R22" s="49">
        <v>1</v>
      </c>
      <c r="S22" s="49">
        <v>1</v>
      </c>
      <c r="T22" s="49">
        <v>1</v>
      </c>
      <c r="U22" s="49">
        <v>1</v>
      </c>
      <c r="V22" s="49">
        <v>1</v>
      </c>
      <c r="W22" s="49">
        <v>1</v>
      </c>
      <c r="X22" s="49">
        <v>1</v>
      </c>
      <c r="Y22" s="49">
        <v>1</v>
      </c>
      <c r="Z22" s="49">
        <v>1</v>
      </c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 t="e">
        <f>VLOOKUP(D22,batch_lhd!$A$1:$C$136,2,FALSE)</f>
        <v>#N/A</v>
      </c>
      <c r="AP22" s="49" t="e">
        <f>VLOOKUP(D22,batch_lhd!$A$1:$C$136,3,FALSE)</f>
        <v>#N/A</v>
      </c>
      <c r="AQ22" s="49">
        <f t="shared" si="0"/>
        <v>30</v>
      </c>
    </row>
    <row r="23" spans="1:43" x14ac:dyDescent="0.3">
      <c r="A23">
        <v>1427</v>
      </c>
      <c r="B23" s="49" t="s">
        <v>1252</v>
      </c>
      <c r="C23" s="49" t="s">
        <v>87</v>
      </c>
      <c r="D23" s="49">
        <v>71191993</v>
      </c>
      <c r="E23" s="49">
        <v>7</v>
      </c>
      <c r="F23" s="49">
        <v>19</v>
      </c>
      <c r="G23" s="49">
        <v>28</v>
      </c>
      <c r="H23" s="49" t="s">
        <v>840</v>
      </c>
      <c r="I23" s="49" t="s">
        <v>840</v>
      </c>
      <c r="J23" s="49" t="s">
        <v>840</v>
      </c>
      <c r="K23" s="49" t="s">
        <v>841</v>
      </c>
      <c r="L23" s="49">
        <v>1</v>
      </c>
      <c r="M23" s="49">
        <v>1</v>
      </c>
      <c r="N23" s="49">
        <v>1</v>
      </c>
      <c r="O23" s="49">
        <v>1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1</v>
      </c>
      <c r="V23" s="49">
        <v>1</v>
      </c>
      <c r="W23" s="49">
        <v>1</v>
      </c>
      <c r="X23" s="49">
        <v>1</v>
      </c>
      <c r="Y23" s="49">
        <v>1</v>
      </c>
      <c r="Z23" s="49">
        <v>1</v>
      </c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>
        <f>VLOOKUP(D23,batch_lhd!$A$1:$C$136,2,FALSE)</f>
        <v>92</v>
      </c>
      <c r="AP23" s="49">
        <f>VLOOKUP(D23,batch_lhd!$A$1:$C$136,3,FALSE)</f>
        <v>25</v>
      </c>
      <c r="AQ23" s="49">
        <f t="shared" si="0"/>
        <v>15</v>
      </c>
    </row>
    <row r="24" spans="1:43" x14ac:dyDescent="0.3">
      <c r="A24">
        <v>1630</v>
      </c>
      <c r="B24" s="49" t="s">
        <v>1715</v>
      </c>
      <c r="C24" s="49" t="s">
        <v>132</v>
      </c>
      <c r="D24" s="49">
        <v>7289896430</v>
      </c>
      <c r="E24" s="49">
        <v>7</v>
      </c>
      <c r="F24" s="49">
        <v>22</v>
      </c>
      <c r="G24" s="49">
        <v>28</v>
      </c>
      <c r="H24" s="49" t="s">
        <v>840</v>
      </c>
      <c r="I24" s="49" t="s">
        <v>840</v>
      </c>
      <c r="J24" s="49" t="s">
        <v>840</v>
      </c>
      <c r="K24" s="49" t="s">
        <v>841</v>
      </c>
      <c r="L24" s="49">
        <v>1</v>
      </c>
      <c r="M24" s="49">
        <v>1</v>
      </c>
      <c r="N24" s="49">
        <v>1</v>
      </c>
      <c r="O24" s="49">
        <v>1</v>
      </c>
      <c r="P24" s="49">
        <v>1</v>
      </c>
      <c r="Q24" s="49">
        <v>1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49">
        <v>1</v>
      </c>
      <c r="X24" s="49">
        <v>1</v>
      </c>
      <c r="Y24" s="49">
        <v>1</v>
      </c>
      <c r="Z24" s="49">
        <v>1</v>
      </c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>
        <f>VLOOKUP(D24,batch_lhd!$A$1:$C$136,2,FALSE)</f>
        <v>283</v>
      </c>
      <c r="AP24" s="49">
        <f>VLOOKUP(D24,batch_lhd!$A$1:$C$136,3,FALSE)</f>
        <v>3</v>
      </c>
      <c r="AQ24" s="49">
        <f t="shared" si="0"/>
        <v>15</v>
      </c>
    </row>
    <row r="25" spans="1:43" x14ac:dyDescent="0.3">
      <c r="A25">
        <v>1836</v>
      </c>
      <c r="B25" s="49" t="s">
        <v>2118</v>
      </c>
      <c r="C25" s="49" t="s">
        <v>2117</v>
      </c>
      <c r="D25" s="49" t="s">
        <v>212</v>
      </c>
      <c r="E25" s="49">
        <v>7</v>
      </c>
      <c r="F25" s="49">
        <v>43</v>
      </c>
      <c r="G25" s="49">
        <v>28</v>
      </c>
      <c r="H25" s="49" t="s">
        <v>840</v>
      </c>
      <c r="I25" s="49" t="s">
        <v>840</v>
      </c>
      <c r="J25" s="49" t="s">
        <v>840</v>
      </c>
      <c r="K25" s="49" t="s">
        <v>840</v>
      </c>
      <c r="L25" s="49">
        <v>1</v>
      </c>
      <c r="M25" s="49">
        <v>1</v>
      </c>
      <c r="N25" s="49">
        <v>1</v>
      </c>
      <c r="O25" s="49">
        <v>1</v>
      </c>
      <c r="P25" s="49">
        <v>1</v>
      </c>
      <c r="Q25" s="49">
        <v>1</v>
      </c>
      <c r="R25" s="49">
        <v>1</v>
      </c>
      <c r="S25" s="49">
        <v>1</v>
      </c>
      <c r="T25" s="49">
        <v>1</v>
      </c>
      <c r="U25" s="49">
        <v>1</v>
      </c>
      <c r="V25" s="49">
        <v>1</v>
      </c>
      <c r="W25" s="49">
        <v>1</v>
      </c>
      <c r="X25" s="49">
        <v>1</v>
      </c>
      <c r="Y25" s="49">
        <v>1</v>
      </c>
      <c r="Z25" s="49">
        <v>1</v>
      </c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>
        <f>VLOOKUP(D25,batch_lhd!$A$1:$C$136,2,FALSE)</f>
        <v>136</v>
      </c>
      <c r="AP25" s="49">
        <f>VLOOKUP(D25,batch_lhd!$A$1:$C$136,3,FALSE)</f>
        <v>23</v>
      </c>
      <c r="AQ25" s="49">
        <f t="shared" si="0"/>
        <v>15</v>
      </c>
    </row>
    <row r="26" spans="1:43" x14ac:dyDescent="0.3">
      <c r="A26">
        <v>1631</v>
      </c>
      <c r="B26" s="49" t="s">
        <v>1719</v>
      </c>
      <c r="C26" s="49" t="s">
        <v>139</v>
      </c>
      <c r="D26" s="49" t="s">
        <v>238</v>
      </c>
      <c r="E26" s="49">
        <v>7</v>
      </c>
      <c r="F26" s="49">
        <v>22</v>
      </c>
      <c r="G26" s="49">
        <v>28</v>
      </c>
      <c r="H26" s="49" t="s">
        <v>840</v>
      </c>
      <c r="I26" s="49" t="s">
        <v>840</v>
      </c>
      <c r="J26" s="49" t="s">
        <v>840</v>
      </c>
      <c r="K26" s="49" t="s">
        <v>841</v>
      </c>
      <c r="L26" s="49">
        <v>1</v>
      </c>
      <c r="M26" s="49">
        <v>1</v>
      </c>
      <c r="N26" s="49">
        <v>1</v>
      </c>
      <c r="O26" s="49">
        <v>1</v>
      </c>
      <c r="P26" s="49">
        <v>1</v>
      </c>
      <c r="Q26" s="49">
        <v>1</v>
      </c>
      <c r="R26" s="49">
        <v>1</v>
      </c>
      <c r="S26" s="49">
        <v>1</v>
      </c>
      <c r="T26" s="49">
        <v>1</v>
      </c>
      <c r="U26" s="49">
        <v>1</v>
      </c>
      <c r="V26" s="49">
        <v>1</v>
      </c>
      <c r="W26" s="49">
        <v>1</v>
      </c>
      <c r="X26" s="49">
        <v>1</v>
      </c>
      <c r="Y26" s="49">
        <v>1</v>
      </c>
      <c r="Z26" s="49">
        <v>1</v>
      </c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>
        <v>149</v>
      </c>
      <c r="AO26" s="49">
        <f>VLOOKUP(D26,batch_lhd!$A$1:$C$136,2,FALSE)</f>
        <v>149</v>
      </c>
      <c r="AP26" s="49">
        <f>VLOOKUP(D26,batch_lhd!$A$1:$C$136,3,FALSE)</f>
        <v>25</v>
      </c>
      <c r="AQ26" s="49">
        <f t="shared" si="0"/>
        <v>15</v>
      </c>
    </row>
    <row r="27" spans="1:43" x14ac:dyDescent="0.3">
      <c r="A27">
        <v>1625</v>
      </c>
      <c r="B27" s="49" t="s">
        <v>1720</v>
      </c>
      <c r="C27" s="49" t="s">
        <v>97</v>
      </c>
      <c r="D27" s="49">
        <v>71196714</v>
      </c>
      <c r="E27" s="49">
        <v>7</v>
      </c>
      <c r="F27" s="49">
        <v>22</v>
      </c>
      <c r="G27" s="49">
        <v>28</v>
      </c>
      <c r="H27" s="49" t="s">
        <v>840</v>
      </c>
      <c r="I27" s="49" t="s">
        <v>840</v>
      </c>
      <c r="J27" s="49" t="s">
        <v>840</v>
      </c>
      <c r="K27" s="49" t="s">
        <v>841</v>
      </c>
      <c r="L27" s="49">
        <v>1</v>
      </c>
      <c r="M27" s="49">
        <v>1</v>
      </c>
      <c r="N27" s="49">
        <v>1</v>
      </c>
      <c r="O27" s="49">
        <v>1</v>
      </c>
      <c r="P27" s="49">
        <v>1</v>
      </c>
      <c r="Q27" s="49">
        <v>1</v>
      </c>
      <c r="R27" s="49">
        <v>1</v>
      </c>
      <c r="S27" s="49">
        <v>1</v>
      </c>
      <c r="T27" s="49">
        <v>1</v>
      </c>
      <c r="U27" s="49">
        <v>1</v>
      </c>
      <c r="V27" s="49">
        <v>1</v>
      </c>
      <c r="W27" s="49">
        <v>1</v>
      </c>
      <c r="X27" s="49">
        <v>1</v>
      </c>
      <c r="Y27" s="49">
        <v>1</v>
      </c>
      <c r="Z27" s="49">
        <v>1</v>
      </c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>
        <f>VLOOKUP(D27,batch_lhd!$A$1:$C$136,2,FALSE)</f>
        <v>388</v>
      </c>
      <c r="AP27" s="49">
        <f>VLOOKUP(D27,batch_lhd!$A$1:$C$136,3,FALSE)</f>
        <v>13</v>
      </c>
      <c r="AQ27" s="49">
        <f t="shared" si="0"/>
        <v>15</v>
      </c>
    </row>
    <row r="28" spans="1:43" x14ac:dyDescent="0.3">
      <c r="A28">
        <v>1453</v>
      </c>
      <c r="B28" s="49" t="s">
        <v>1296</v>
      </c>
      <c r="C28" s="49" t="s">
        <v>287</v>
      </c>
      <c r="D28" s="49">
        <v>7252779130</v>
      </c>
      <c r="E28" s="49">
        <v>25</v>
      </c>
      <c r="F28" s="49">
        <v>19</v>
      </c>
      <c r="G28" s="49">
        <v>56</v>
      </c>
      <c r="H28" s="49" t="s">
        <v>840</v>
      </c>
      <c r="I28" s="49" t="s">
        <v>840</v>
      </c>
      <c r="J28" s="49" t="s">
        <v>840</v>
      </c>
      <c r="K28" s="49" t="s">
        <v>841</v>
      </c>
      <c r="L28" s="49">
        <v>1</v>
      </c>
      <c r="M28" s="49">
        <v>1</v>
      </c>
      <c r="N28" s="49">
        <v>1</v>
      </c>
      <c r="O28" s="49">
        <v>1</v>
      </c>
      <c r="P28" s="49">
        <v>1</v>
      </c>
      <c r="Q28" s="49">
        <v>1</v>
      </c>
      <c r="R28" s="49">
        <v>1</v>
      </c>
      <c r="S28" s="49">
        <v>1</v>
      </c>
      <c r="T28" s="49">
        <v>1</v>
      </c>
      <c r="U28" s="49">
        <v>1</v>
      </c>
      <c r="V28" s="49">
        <v>1</v>
      </c>
      <c r="W28" s="49">
        <v>1</v>
      </c>
      <c r="X28" s="49">
        <v>1</v>
      </c>
      <c r="Y28" s="49">
        <v>1</v>
      </c>
      <c r="Z28" s="49">
        <v>1</v>
      </c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>
        <f>VLOOKUP(D28,batch_lhd!$A$1:$C$136,2,FALSE)</f>
        <v>0</v>
      </c>
      <c r="AP28" s="49">
        <f>VLOOKUP(D28,batch_lhd!$A$1:$C$136,3,FALSE)</f>
        <v>0</v>
      </c>
      <c r="AQ28" s="49">
        <f t="shared" si="0"/>
        <v>30</v>
      </c>
    </row>
    <row r="29" spans="1:43" x14ac:dyDescent="0.3">
      <c r="A29">
        <v>1437</v>
      </c>
      <c r="B29" s="49" t="s">
        <v>1268</v>
      </c>
      <c r="C29" s="49" t="s">
        <v>134</v>
      </c>
      <c r="D29" s="49">
        <v>7297944190</v>
      </c>
      <c r="E29" s="49">
        <v>7</v>
      </c>
      <c r="F29" s="49">
        <v>19</v>
      </c>
      <c r="G29" s="49">
        <v>56</v>
      </c>
      <c r="H29" s="49" t="s">
        <v>840</v>
      </c>
      <c r="I29" s="49" t="s">
        <v>840</v>
      </c>
      <c r="J29" s="49" t="s">
        <v>840</v>
      </c>
      <c r="K29" s="49" t="s">
        <v>841</v>
      </c>
      <c r="L29" s="49">
        <v>1</v>
      </c>
      <c r="M29" s="49">
        <v>1</v>
      </c>
      <c r="N29" s="49">
        <v>1</v>
      </c>
      <c r="O29" s="49">
        <v>1</v>
      </c>
      <c r="P29" s="49">
        <v>1</v>
      </c>
      <c r="Q29" s="49">
        <v>1</v>
      </c>
      <c r="R29" s="49">
        <v>1</v>
      </c>
      <c r="S29" s="49">
        <v>1</v>
      </c>
      <c r="T29" s="49">
        <v>1</v>
      </c>
      <c r="U29" s="49">
        <v>1</v>
      </c>
      <c r="V29" s="49">
        <v>1</v>
      </c>
      <c r="W29" s="49">
        <v>1</v>
      </c>
      <c r="X29" s="49">
        <v>1</v>
      </c>
      <c r="Y29" s="49">
        <v>1</v>
      </c>
      <c r="Z29" s="49">
        <v>1</v>
      </c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 t="str">
        <f>VLOOKUP(D29,batch_lhd!$A$1:$C$136,2,FALSE)</f>
        <v>172, 169</v>
      </c>
      <c r="AP29" s="49" t="str">
        <f>VLOOKUP(D29,batch_lhd!$A$1:$C$136,3,FALSE)</f>
        <v>9, 22</v>
      </c>
      <c r="AQ29" s="49">
        <f t="shared" si="0"/>
        <v>30</v>
      </c>
    </row>
    <row r="30" spans="1:43" x14ac:dyDescent="0.3">
      <c r="A30">
        <v>1755</v>
      </c>
      <c r="B30" s="49" t="s">
        <v>2025</v>
      </c>
      <c r="C30" s="49" t="s">
        <v>2018</v>
      </c>
      <c r="D30" s="49" t="s">
        <v>225</v>
      </c>
      <c r="E30" s="49">
        <v>7</v>
      </c>
      <c r="F30" s="49">
        <v>26</v>
      </c>
      <c r="G30" s="49">
        <v>28</v>
      </c>
      <c r="H30" s="49" t="s">
        <v>840</v>
      </c>
      <c r="I30" s="49" t="s">
        <v>840</v>
      </c>
      <c r="J30" s="49" t="s">
        <v>840</v>
      </c>
      <c r="K30" s="49" t="s">
        <v>841</v>
      </c>
      <c r="L30" s="49">
        <v>1</v>
      </c>
      <c r="M30" s="49">
        <v>1</v>
      </c>
      <c r="N30" s="49">
        <v>1</v>
      </c>
      <c r="O30" s="49">
        <v>1</v>
      </c>
      <c r="P30" s="49">
        <v>1</v>
      </c>
      <c r="Q30" s="49">
        <v>1</v>
      </c>
      <c r="R30" s="49">
        <v>1</v>
      </c>
      <c r="S30" s="49">
        <v>1</v>
      </c>
      <c r="T30" s="49">
        <v>1</v>
      </c>
      <c r="U30" s="49">
        <v>1</v>
      </c>
      <c r="V30" s="49">
        <v>1</v>
      </c>
      <c r="W30" s="49">
        <v>1</v>
      </c>
      <c r="X30" s="49">
        <v>1</v>
      </c>
      <c r="Y30" s="49">
        <v>1</v>
      </c>
      <c r="Z30" s="49">
        <v>1</v>
      </c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>
        <f>VLOOKUP(D30,batch_lhd!$A$1:$C$136,2,FALSE)</f>
        <v>97</v>
      </c>
      <c r="AP30" s="49">
        <f>VLOOKUP(D30,batch_lhd!$A$1:$C$136,3,FALSE)</f>
        <v>14</v>
      </c>
      <c r="AQ30" s="49">
        <f t="shared" si="0"/>
        <v>15</v>
      </c>
    </row>
    <row r="31" spans="1:43" x14ac:dyDescent="0.3">
      <c r="A31">
        <v>1633</v>
      </c>
      <c r="B31" s="49" t="s">
        <v>1722</v>
      </c>
      <c r="C31" s="49" t="s">
        <v>150</v>
      </c>
      <c r="D31" s="49" t="s">
        <v>246</v>
      </c>
      <c r="E31" s="49">
        <v>7</v>
      </c>
      <c r="F31" s="49">
        <v>22</v>
      </c>
      <c r="G31" s="49">
        <v>28</v>
      </c>
      <c r="H31" s="49" t="s">
        <v>840</v>
      </c>
      <c r="I31" s="49" t="s">
        <v>840</v>
      </c>
      <c r="J31" s="49" t="s">
        <v>840</v>
      </c>
      <c r="K31" s="49" t="s">
        <v>841</v>
      </c>
      <c r="L31" s="49">
        <v>1</v>
      </c>
      <c r="M31" s="49">
        <v>1</v>
      </c>
      <c r="N31" s="49">
        <v>1</v>
      </c>
      <c r="O31" s="49">
        <v>1</v>
      </c>
      <c r="P31" s="49">
        <v>1</v>
      </c>
      <c r="Q31" s="49">
        <v>1</v>
      </c>
      <c r="R31" s="49">
        <v>1</v>
      </c>
      <c r="S31" s="49">
        <v>1</v>
      </c>
      <c r="T31" s="49">
        <v>1</v>
      </c>
      <c r="U31" s="49">
        <v>1</v>
      </c>
      <c r="V31" s="49">
        <v>1</v>
      </c>
      <c r="W31" s="49">
        <v>1</v>
      </c>
      <c r="X31" s="49">
        <v>1</v>
      </c>
      <c r="Y31" s="49">
        <v>1</v>
      </c>
      <c r="Z31" s="49">
        <v>1</v>
      </c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>
        <v>175</v>
      </c>
      <c r="AO31" s="49">
        <f>VLOOKUP(D31,batch_lhd!$A$1:$C$136,2,FALSE)</f>
        <v>175</v>
      </c>
      <c r="AP31" s="49">
        <f>VLOOKUP(D31,batch_lhd!$A$1:$C$136,3,FALSE)</f>
        <v>24</v>
      </c>
      <c r="AQ31" s="49">
        <f t="shared" si="0"/>
        <v>15</v>
      </c>
    </row>
    <row r="32" spans="1:43" x14ac:dyDescent="0.3">
      <c r="A32">
        <v>1817</v>
      </c>
      <c r="B32" s="49" t="s">
        <v>2067</v>
      </c>
      <c r="C32" s="49" t="s">
        <v>2066</v>
      </c>
      <c r="D32" s="49" t="s">
        <v>250</v>
      </c>
      <c r="E32" s="49">
        <v>7</v>
      </c>
      <c r="F32" s="49">
        <v>29</v>
      </c>
      <c r="G32" s="49">
        <v>112</v>
      </c>
      <c r="H32" s="49" t="s">
        <v>840</v>
      </c>
      <c r="I32" s="49" t="s">
        <v>840</v>
      </c>
      <c r="J32" s="49" t="s">
        <v>840</v>
      </c>
      <c r="K32" s="49" t="s">
        <v>840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  <c r="Q32" s="49">
        <v>1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49">
        <v>1</v>
      </c>
      <c r="X32" s="49">
        <v>1</v>
      </c>
      <c r="Y32" s="49">
        <v>1</v>
      </c>
      <c r="Z32" s="49">
        <v>1</v>
      </c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 t="str">
        <f>VLOOKUP(D32,batch_lhd!$A$1:$C$136,2,FALSE)</f>
        <v>237, 215, 277, 229</v>
      </c>
      <c r="AP32" s="49" t="str">
        <f>VLOOKUP(D32,batch_lhd!$A$1:$C$136,3,FALSE)</f>
        <v>22, 7, 8, 27</v>
      </c>
      <c r="AQ32" s="49">
        <f t="shared" si="0"/>
        <v>60</v>
      </c>
    </row>
    <row r="33" spans="1:43" x14ac:dyDescent="0.3">
      <c r="A33">
        <v>1749</v>
      </c>
      <c r="B33" s="49" t="s">
        <v>2009</v>
      </c>
      <c r="C33" s="49" t="s">
        <v>1997</v>
      </c>
      <c r="D33" s="49" t="s">
        <v>935</v>
      </c>
      <c r="E33" s="49">
        <v>7</v>
      </c>
      <c r="F33" s="49">
        <v>25</v>
      </c>
      <c r="G33" s="49">
        <v>28</v>
      </c>
      <c r="H33" s="49" t="s">
        <v>840</v>
      </c>
      <c r="I33" s="49" t="s">
        <v>840</v>
      </c>
      <c r="J33" s="49" t="s">
        <v>840</v>
      </c>
      <c r="K33" s="49" t="s">
        <v>841</v>
      </c>
      <c r="L33" s="49">
        <v>1</v>
      </c>
      <c r="M33" s="49">
        <v>1</v>
      </c>
      <c r="N33" s="49">
        <v>1</v>
      </c>
      <c r="O33" s="49">
        <v>1</v>
      </c>
      <c r="P33" s="49">
        <v>1</v>
      </c>
      <c r="Q33" s="49">
        <v>1</v>
      </c>
      <c r="R33" s="49">
        <v>1</v>
      </c>
      <c r="S33" s="49">
        <v>1</v>
      </c>
      <c r="T33" s="49">
        <v>1</v>
      </c>
      <c r="U33" s="49">
        <v>1</v>
      </c>
      <c r="V33" s="49">
        <v>1</v>
      </c>
      <c r="W33" s="49">
        <v>1</v>
      </c>
      <c r="X33" s="49">
        <v>1</v>
      </c>
      <c r="Y33" s="49">
        <v>1</v>
      </c>
      <c r="Z33" s="49">
        <v>1</v>
      </c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>
        <f>VLOOKUP(D33,batch_lhd!$A$1:$C$136,2,FALSE)</f>
        <v>524</v>
      </c>
      <c r="AP33" s="49">
        <f>VLOOKUP(D33,batch_lhd!$A$1:$C$136,3,FALSE)</f>
        <v>28</v>
      </c>
      <c r="AQ33" s="49">
        <f t="shared" si="0"/>
        <v>15</v>
      </c>
    </row>
    <row r="34" spans="1:43" x14ac:dyDescent="0.3">
      <c r="A34">
        <v>1442</v>
      </c>
      <c r="B34" s="49" t="s">
        <v>1274</v>
      </c>
      <c r="C34" s="49" t="s">
        <v>143</v>
      </c>
      <c r="D34" s="49" t="s">
        <v>241</v>
      </c>
      <c r="E34" s="49">
        <v>7</v>
      </c>
      <c r="F34" s="49">
        <v>19</v>
      </c>
      <c r="G34" s="49">
        <v>56</v>
      </c>
      <c r="H34" s="49" t="s">
        <v>840</v>
      </c>
      <c r="I34" s="49" t="s">
        <v>840</v>
      </c>
      <c r="J34" s="49" t="s">
        <v>840</v>
      </c>
      <c r="K34" s="49" t="s">
        <v>841</v>
      </c>
      <c r="L34" s="49">
        <v>1</v>
      </c>
      <c r="M34" s="49">
        <v>1</v>
      </c>
      <c r="N34" s="49">
        <v>1</v>
      </c>
      <c r="O34" s="49">
        <v>1</v>
      </c>
      <c r="P34" s="49">
        <v>1</v>
      </c>
      <c r="Q34" s="49">
        <v>1</v>
      </c>
      <c r="R34" s="49">
        <v>1</v>
      </c>
      <c r="S34" s="49">
        <v>1</v>
      </c>
      <c r="T34" s="49">
        <v>1</v>
      </c>
      <c r="U34" s="49">
        <v>1</v>
      </c>
      <c r="V34" s="49">
        <v>1</v>
      </c>
      <c r="W34" s="49">
        <v>1</v>
      </c>
      <c r="X34" s="49">
        <v>1</v>
      </c>
      <c r="Y34" s="49">
        <v>1</v>
      </c>
      <c r="Z34" s="49">
        <v>1</v>
      </c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 t="s">
        <v>2233</v>
      </c>
      <c r="AO34" s="49" t="str">
        <f>VLOOKUP(D34,batch_lhd!$A$1:$C$136,2,FALSE)</f>
        <v>155, 491</v>
      </c>
      <c r="AP34" s="49" t="str">
        <f>VLOOKUP(D34,batch_lhd!$A$1:$C$136,3,FALSE)</f>
        <v>25, 32</v>
      </c>
      <c r="AQ34" s="49">
        <f t="shared" si="0"/>
        <v>30</v>
      </c>
    </row>
    <row r="35" spans="1:43" x14ac:dyDescent="0.3">
      <c r="A35">
        <v>1654</v>
      </c>
      <c r="B35" s="49" t="s">
        <v>1771</v>
      </c>
      <c r="C35" s="49" t="s">
        <v>1751</v>
      </c>
      <c r="D35" s="49" t="s">
        <v>1212</v>
      </c>
      <c r="E35" s="49">
        <v>7</v>
      </c>
      <c r="F35" s="49">
        <v>23</v>
      </c>
      <c r="G35" s="49">
        <v>28</v>
      </c>
      <c r="H35" s="49" t="s">
        <v>840</v>
      </c>
      <c r="I35" s="49" t="s">
        <v>840</v>
      </c>
      <c r="J35" s="49" t="s">
        <v>840</v>
      </c>
      <c r="K35" s="49" t="s">
        <v>840</v>
      </c>
      <c r="L35" s="49">
        <v>1</v>
      </c>
      <c r="M35" s="49">
        <v>1</v>
      </c>
      <c r="N35" s="49">
        <v>1</v>
      </c>
      <c r="O35" s="49">
        <v>1</v>
      </c>
      <c r="P35" s="49">
        <v>1</v>
      </c>
      <c r="Q35" s="49">
        <v>1</v>
      </c>
      <c r="R35" s="49">
        <v>1</v>
      </c>
      <c r="S35" s="49">
        <v>1</v>
      </c>
      <c r="T35" s="49">
        <v>1</v>
      </c>
      <c r="U35" s="49">
        <v>1</v>
      </c>
      <c r="V35" s="49">
        <v>1</v>
      </c>
      <c r="W35" s="49">
        <v>1</v>
      </c>
      <c r="X35" s="49">
        <v>1</v>
      </c>
      <c r="Y35" s="49">
        <v>1</v>
      </c>
      <c r="Z35" s="49">
        <v>1</v>
      </c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>
        <f>VLOOKUP(D35,batch_lhd!$A$1:$C$136,2,FALSE)</f>
        <v>295</v>
      </c>
      <c r="AP35" s="49">
        <f>VLOOKUP(D35,batch_lhd!$A$1:$C$136,3,FALSE)</f>
        <v>2</v>
      </c>
      <c r="AQ35" s="49">
        <f t="shared" si="0"/>
        <v>15</v>
      </c>
    </row>
    <row r="36" spans="1:43" x14ac:dyDescent="0.3">
      <c r="A36">
        <v>1648</v>
      </c>
      <c r="B36" s="49" t="s">
        <v>1726</v>
      </c>
      <c r="C36" s="49" t="s">
        <v>985</v>
      </c>
      <c r="D36" s="49">
        <v>7287547130</v>
      </c>
      <c r="E36" s="49">
        <v>7</v>
      </c>
      <c r="F36" s="49">
        <v>22</v>
      </c>
      <c r="G36" s="49">
        <v>28</v>
      </c>
      <c r="H36" s="49" t="s">
        <v>840</v>
      </c>
      <c r="I36" s="49" t="s">
        <v>840</v>
      </c>
      <c r="J36" s="49" t="s">
        <v>840</v>
      </c>
      <c r="K36" s="49" t="s">
        <v>841</v>
      </c>
      <c r="L36" s="49">
        <v>1</v>
      </c>
      <c r="M36" s="49">
        <v>1</v>
      </c>
      <c r="N36" s="49">
        <v>1</v>
      </c>
      <c r="O36" s="49">
        <v>1</v>
      </c>
      <c r="P36" s="49">
        <v>1</v>
      </c>
      <c r="Q36" s="49">
        <v>1</v>
      </c>
      <c r="R36" s="49">
        <v>1</v>
      </c>
      <c r="S36" s="49">
        <v>1</v>
      </c>
      <c r="T36" s="49">
        <v>1</v>
      </c>
      <c r="U36" s="49">
        <v>1</v>
      </c>
      <c r="V36" s="49">
        <v>1</v>
      </c>
      <c r="W36" s="49">
        <v>1</v>
      </c>
      <c r="X36" s="49">
        <v>1</v>
      </c>
      <c r="Y36" s="49">
        <v>1</v>
      </c>
      <c r="Z36" s="49">
        <v>1</v>
      </c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>
        <f>VLOOKUP(D36,batch_lhd!$A$1:$C$136,2,FALSE)</f>
        <v>471</v>
      </c>
      <c r="AP36" s="49">
        <f>VLOOKUP(D36,batch_lhd!$A$1:$C$136,3,FALSE)</f>
        <v>15</v>
      </c>
      <c r="AQ36" s="49">
        <f t="shared" si="0"/>
        <v>15</v>
      </c>
    </row>
    <row r="37" spans="1:43" x14ac:dyDescent="0.3">
      <c r="A37">
        <v>1647</v>
      </c>
      <c r="B37" s="49" t="s">
        <v>1729</v>
      </c>
      <c r="C37" s="49" t="s">
        <v>1197</v>
      </c>
      <c r="D37" s="49">
        <v>7198599230</v>
      </c>
      <c r="E37" s="49">
        <v>7</v>
      </c>
      <c r="F37" s="49">
        <v>22</v>
      </c>
      <c r="G37" s="49">
        <v>28</v>
      </c>
      <c r="H37" s="49" t="s">
        <v>840</v>
      </c>
      <c r="I37" s="49" t="s">
        <v>840</v>
      </c>
      <c r="J37" s="49" t="s">
        <v>840</v>
      </c>
      <c r="K37" s="49" t="s">
        <v>841</v>
      </c>
      <c r="L37" s="49">
        <v>1</v>
      </c>
      <c r="M37" s="49">
        <v>1</v>
      </c>
      <c r="N37" s="49">
        <v>1</v>
      </c>
      <c r="O37" s="49">
        <v>1</v>
      </c>
      <c r="P37" s="49">
        <v>1</v>
      </c>
      <c r="Q37" s="49">
        <v>1</v>
      </c>
      <c r="R37" s="49">
        <v>1</v>
      </c>
      <c r="S37" s="49">
        <v>1</v>
      </c>
      <c r="T37" s="49">
        <v>1</v>
      </c>
      <c r="U37" s="49">
        <v>1</v>
      </c>
      <c r="V37" s="49">
        <v>1</v>
      </c>
      <c r="W37" s="49">
        <v>1</v>
      </c>
      <c r="X37" s="49">
        <v>1</v>
      </c>
      <c r="Y37" s="49">
        <v>1</v>
      </c>
      <c r="Z37" s="49">
        <v>1</v>
      </c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>
        <f>VLOOKUP(D37,batch_lhd!$A$1:$C$136,2,FALSE)</f>
        <v>126</v>
      </c>
      <c r="AP37" s="49">
        <f>VLOOKUP(D37,batch_lhd!$A$1:$C$136,3,FALSE)</f>
        <v>25</v>
      </c>
      <c r="AQ37" s="49">
        <f t="shared" si="0"/>
        <v>15</v>
      </c>
    </row>
    <row r="38" spans="1:43" x14ac:dyDescent="0.3">
      <c r="A38">
        <v>1624</v>
      </c>
      <c r="B38" s="49" t="s">
        <v>1731</v>
      </c>
      <c r="C38" s="49" t="s">
        <v>90</v>
      </c>
      <c r="D38" s="49">
        <v>7119639830</v>
      </c>
      <c r="E38" s="49">
        <v>7</v>
      </c>
      <c r="F38" s="49">
        <v>22</v>
      </c>
      <c r="G38" s="49">
        <v>28</v>
      </c>
      <c r="H38" s="49" t="s">
        <v>840</v>
      </c>
      <c r="I38" s="49" t="s">
        <v>840</v>
      </c>
      <c r="J38" s="49" t="s">
        <v>840</v>
      </c>
      <c r="K38" s="49" t="s">
        <v>841</v>
      </c>
      <c r="L38" s="49">
        <v>1</v>
      </c>
      <c r="M38" s="49">
        <v>1</v>
      </c>
      <c r="N38" s="49">
        <v>1</v>
      </c>
      <c r="O38" s="49">
        <v>1</v>
      </c>
      <c r="P38" s="49">
        <v>1</v>
      </c>
      <c r="Q38" s="49">
        <v>1</v>
      </c>
      <c r="R38" s="49">
        <v>1</v>
      </c>
      <c r="S38" s="49">
        <v>1</v>
      </c>
      <c r="T38" s="49">
        <v>1</v>
      </c>
      <c r="U38" s="49">
        <v>1</v>
      </c>
      <c r="V38" s="49">
        <v>1</v>
      </c>
      <c r="W38" s="49">
        <v>1</v>
      </c>
      <c r="X38" s="49">
        <v>1</v>
      </c>
      <c r="Y38" s="49">
        <v>1</v>
      </c>
      <c r="Z38" s="49">
        <v>1</v>
      </c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>
        <f>VLOOKUP(D38,batch_lhd!$A$1:$C$136,2,FALSE)</f>
        <v>286</v>
      </c>
      <c r="AP38" s="49">
        <f>VLOOKUP(D38,batch_lhd!$A$1:$C$136,3,FALSE)</f>
        <v>3</v>
      </c>
      <c r="AQ38" s="49">
        <f t="shared" si="0"/>
        <v>15</v>
      </c>
    </row>
    <row r="39" spans="1:43" x14ac:dyDescent="0.3">
      <c r="A39">
        <v>1748</v>
      </c>
      <c r="B39" s="49" t="s">
        <v>2010</v>
      </c>
      <c r="C39" s="49" t="s">
        <v>1962</v>
      </c>
      <c r="D39" s="49" t="s">
        <v>1219</v>
      </c>
      <c r="E39" s="49">
        <v>7</v>
      </c>
      <c r="F39" s="49">
        <v>24</v>
      </c>
      <c r="G39" s="49">
        <v>56</v>
      </c>
      <c r="H39" s="49" t="s">
        <v>840</v>
      </c>
      <c r="I39" s="49" t="s">
        <v>840</v>
      </c>
      <c r="J39" s="49" t="s">
        <v>840</v>
      </c>
      <c r="K39" s="49" t="s">
        <v>840</v>
      </c>
      <c r="L39" s="49">
        <v>1</v>
      </c>
      <c r="M39" s="49">
        <v>1</v>
      </c>
      <c r="N39" s="49">
        <v>1</v>
      </c>
      <c r="O39" s="49">
        <v>1</v>
      </c>
      <c r="P39" s="49">
        <v>1</v>
      </c>
      <c r="Q39" s="49">
        <v>1</v>
      </c>
      <c r="R39" s="49">
        <v>1</v>
      </c>
      <c r="S39" s="49">
        <v>1</v>
      </c>
      <c r="T39" s="49">
        <v>1</v>
      </c>
      <c r="U39" s="49">
        <v>1</v>
      </c>
      <c r="V39" s="49">
        <v>1</v>
      </c>
      <c r="W39" s="49">
        <v>1</v>
      </c>
      <c r="X39" s="49">
        <v>1</v>
      </c>
      <c r="Y39" s="49">
        <v>1</v>
      </c>
      <c r="Z39" s="49">
        <v>1</v>
      </c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 t="str">
        <f>VLOOKUP(D39,batch_lhd!$A$1:$C$136,2,FALSE)</f>
        <v>189, 182</v>
      </c>
      <c r="AP39" s="49" t="str">
        <f>VLOOKUP(D39,batch_lhd!$A$1:$C$136,3,FALSE)</f>
        <v>11, 19</v>
      </c>
      <c r="AQ39" s="49">
        <f t="shared" si="0"/>
        <v>30</v>
      </c>
    </row>
    <row r="40" spans="1:43" x14ac:dyDescent="0.3">
      <c r="A40">
        <v>1474</v>
      </c>
      <c r="B40" s="49" t="s">
        <v>1341</v>
      </c>
      <c r="C40" s="49" t="s">
        <v>1003</v>
      </c>
      <c r="D40" s="49">
        <v>72478572</v>
      </c>
      <c r="E40" s="49">
        <v>25</v>
      </c>
      <c r="F40" s="49">
        <v>20</v>
      </c>
      <c r="G40" s="49">
        <v>28</v>
      </c>
      <c r="H40" s="49" t="s">
        <v>840</v>
      </c>
      <c r="I40" s="49" t="s">
        <v>840</v>
      </c>
      <c r="J40" s="49" t="s">
        <v>840</v>
      </c>
      <c r="K40" s="49" t="s">
        <v>841</v>
      </c>
      <c r="L40" s="49">
        <v>1</v>
      </c>
      <c r="M40" s="49">
        <v>1</v>
      </c>
      <c r="N40" s="49">
        <v>1</v>
      </c>
      <c r="O40" s="49">
        <v>1</v>
      </c>
      <c r="P40" s="49">
        <v>1</v>
      </c>
      <c r="Q40" s="49">
        <v>1</v>
      </c>
      <c r="R40" s="49">
        <v>1</v>
      </c>
      <c r="S40" s="49">
        <v>1</v>
      </c>
      <c r="T40" s="49">
        <v>1</v>
      </c>
      <c r="U40" s="49">
        <v>1</v>
      </c>
      <c r="V40" s="49">
        <v>1</v>
      </c>
      <c r="W40" s="49">
        <v>1</v>
      </c>
      <c r="X40" s="49">
        <v>1</v>
      </c>
      <c r="Y40" s="49">
        <v>1</v>
      </c>
      <c r="Z40" s="49">
        <v>1</v>
      </c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 t="e">
        <f>VLOOKUP(D40,batch_lhd!$A$1:$C$136,2,FALSE)</f>
        <v>#N/A</v>
      </c>
      <c r="AP40" s="49" t="e">
        <f>VLOOKUP(D40,batch_lhd!$A$1:$C$136,3,FALSE)</f>
        <v>#N/A</v>
      </c>
      <c r="AQ40" s="49">
        <f t="shared" si="0"/>
        <v>15</v>
      </c>
    </row>
    <row r="41" spans="1:43" x14ac:dyDescent="0.3">
      <c r="A41">
        <v>1757</v>
      </c>
      <c r="B41" s="49" t="s">
        <v>2028</v>
      </c>
      <c r="C41" s="49" t="s">
        <v>2020</v>
      </c>
      <c r="D41" s="49" t="s">
        <v>842</v>
      </c>
      <c r="E41" s="49">
        <v>7</v>
      </c>
      <c r="F41" s="49">
        <v>26</v>
      </c>
      <c r="G41" s="49">
        <v>28</v>
      </c>
      <c r="H41" s="49" t="s">
        <v>840</v>
      </c>
      <c r="I41" s="49" t="s">
        <v>840</v>
      </c>
      <c r="J41" s="49" t="s">
        <v>840</v>
      </c>
      <c r="K41" s="49" t="s">
        <v>841</v>
      </c>
      <c r="L41" s="49">
        <v>1</v>
      </c>
      <c r="M41" s="49">
        <v>1</v>
      </c>
      <c r="N41" s="49">
        <v>1</v>
      </c>
      <c r="O41" s="49">
        <v>1</v>
      </c>
      <c r="P41" s="49">
        <v>1</v>
      </c>
      <c r="Q41" s="49">
        <v>1</v>
      </c>
      <c r="R41" s="49">
        <v>1</v>
      </c>
      <c r="S41" s="49">
        <v>1</v>
      </c>
      <c r="T41" s="49">
        <v>1</v>
      </c>
      <c r="U41" s="49">
        <v>1</v>
      </c>
      <c r="V41" s="49">
        <v>1</v>
      </c>
      <c r="W41" s="49">
        <v>1</v>
      </c>
      <c r="X41" s="49">
        <v>1</v>
      </c>
      <c r="Y41" s="49">
        <v>1</v>
      </c>
      <c r="Z41" s="49">
        <v>1</v>
      </c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>
        <f>VLOOKUP(D41,batch_lhd!$A$1:$C$136,2,FALSE)</f>
        <v>101</v>
      </c>
      <c r="AP41" s="49">
        <f>VLOOKUP(D41,batch_lhd!$A$1:$C$136,3,FALSE)</f>
        <v>12</v>
      </c>
      <c r="AQ41" s="49">
        <f t="shared" si="0"/>
        <v>15</v>
      </c>
    </row>
    <row r="42" spans="1:43" x14ac:dyDescent="0.3">
      <c r="A42">
        <v>1875</v>
      </c>
      <c r="B42" s="49" t="s">
        <v>2224</v>
      </c>
      <c r="C42" s="49" t="s">
        <v>801</v>
      </c>
      <c r="D42" s="49">
        <v>7298949030</v>
      </c>
      <c r="E42" s="49">
        <v>7</v>
      </c>
      <c r="F42" s="49">
        <v>44</v>
      </c>
      <c r="G42" s="49">
        <v>28</v>
      </c>
      <c r="H42" s="49" t="s">
        <v>840</v>
      </c>
      <c r="I42" s="49" t="s">
        <v>840</v>
      </c>
      <c r="J42" s="49" t="s">
        <v>840</v>
      </c>
      <c r="K42" s="49" t="s">
        <v>840</v>
      </c>
      <c r="L42" s="49">
        <v>1</v>
      </c>
      <c r="M42" s="49">
        <v>1</v>
      </c>
      <c r="N42" s="49">
        <v>1</v>
      </c>
      <c r="O42" s="49">
        <v>1</v>
      </c>
      <c r="P42" s="49">
        <v>1</v>
      </c>
      <c r="Q42" s="49">
        <v>1</v>
      </c>
      <c r="R42" s="49">
        <v>1</v>
      </c>
      <c r="S42" s="49">
        <v>1</v>
      </c>
      <c r="T42" s="49">
        <v>1</v>
      </c>
      <c r="U42" s="49">
        <v>1</v>
      </c>
      <c r="V42" s="49">
        <v>1</v>
      </c>
      <c r="W42" s="49">
        <v>1</v>
      </c>
      <c r="X42" s="49">
        <v>1</v>
      </c>
      <c r="Y42" s="49">
        <v>1</v>
      </c>
      <c r="Z42" s="49">
        <v>1</v>
      </c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>
        <f>VLOOKUP(D42,batch_lhd!$A$1:$C$136,2,FALSE)</f>
        <v>515</v>
      </c>
      <c r="AP42" s="49">
        <f>VLOOKUP(D42,batch_lhd!$A$1:$C$136,3,FALSE)</f>
        <v>24</v>
      </c>
      <c r="AQ42" s="49">
        <f t="shared" si="0"/>
        <v>15</v>
      </c>
    </row>
    <row r="43" spans="1:43" x14ac:dyDescent="0.3">
      <c r="A43">
        <v>1638</v>
      </c>
      <c r="B43" s="49" t="s">
        <v>1732</v>
      </c>
      <c r="C43" s="49" t="s">
        <v>203</v>
      </c>
      <c r="D43" s="49">
        <v>7183753630</v>
      </c>
      <c r="E43" s="49">
        <v>7</v>
      </c>
      <c r="F43" s="49">
        <v>22</v>
      </c>
      <c r="G43" s="49">
        <v>28</v>
      </c>
      <c r="H43" s="49" t="s">
        <v>840</v>
      </c>
      <c r="I43" s="49" t="s">
        <v>840</v>
      </c>
      <c r="J43" s="49" t="s">
        <v>840</v>
      </c>
      <c r="K43" s="49" t="s">
        <v>841</v>
      </c>
      <c r="L43" s="49">
        <v>1</v>
      </c>
      <c r="M43" s="49">
        <v>1</v>
      </c>
      <c r="N43" s="49">
        <v>1</v>
      </c>
      <c r="O43" s="49">
        <v>1</v>
      </c>
      <c r="P43" s="49">
        <v>1</v>
      </c>
      <c r="Q43" s="49">
        <v>1</v>
      </c>
      <c r="R43" s="49">
        <v>1</v>
      </c>
      <c r="S43" s="49">
        <v>1</v>
      </c>
      <c r="T43" s="49">
        <v>1</v>
      </c>
      <c r="U43" s="49">
        <v>1</v>
      </c>
      <c r="V43" s="49">
        <v>1</v>
      </c>
      <c r="W43" s="49">
        <v>1</v>
      </c>
      <c r="X43" s="49">
        <v>1</v>
      </c>
      <c r="Y43" s="49">
        <v>1</v>
      </c>
      <c r="Z43" s="49">
        <v>1</v>
      </c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>
        <f>VLOOKUP(D43,batch_lhd!$A$1:$C$136,2,FALSE)</f>
        <v>520</v>
      </c>
      <c r="AP43" s="49">
        <f>VLOOKUP(D43,batch_lhd!$A$1:$C$136,3,FALSE)</f>
        <v>29</v>
      </c>
      <c r="AQ43" s="49">
        <f t="shared" si="0"/>
        <v>15</v>
      </c>
    </row>
    <row r="44" spans="1:43" x14ac:dyDescent="0.3">
      <c r="A44">
        <v>1626</v>
      </c>
      <c r="B44" s="49" t="s">
        <v>1734</v>
      </c>
      <c r="C44" s="49" t="s">
        <v>106</v>
      </c>
      <c r="D44" s="49">
        <v>7189663170</v>
      </c>
      <c r="E44" s="49">
        <v>7</v>
      </c>
      <c r="F44" s="49">
        <v>22</v>
      </c>
      <c r="G44" s="49">
        <v>56</v>
      </c>
      <c r="H44" s="49" t="s">
        <v>840</v>
      </c>
      <c r="I44" s="49" t="s">
        <v>840</v>
      </c>
      <c r="J44" s="49" t="s">
        <v>840</v>
      </c>
      <c r="K44" s="49" t="s">
        <v>841</v>
      </c>
      <c r="L44" s="49">
        <v>1</v>
      </c>
      <c r="M44" s="49">
        <v>1</v>
      </c>
      <c r="N44" s="49">
        <v>1</v>
      </c>
      <c r="O44" s="49">
        <v>1</v>
      </c>
      <c r="P44" s="49">
        <v>1</v>
      </c>
      <c r="Q44" s="49">
        <v>1</v>
      </c>
      <c r="R44" s="49">
        <v>1</v>
      </c>
      <c r="S44" s="49">
        <v>1</v>
      </c>
      <c r="T44" s="49">
        <v>1</v>
      </c>
      <c r="U44" s="49">
        <v>1</v>
      </c>
      <c r="V44" s="49">
        <v>1</v>
      </c>
      <c r="W44" s="49">
        <v>1</v>
      </c>
      <c r="X44" s="49">
        <v>1</v>
      </c>
      <c r="Y44" s="49">
        <v>1</v>
      </c>
      <c r="Z44" s="49">
        <v>1</v>
      </c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 t="str">
        <f>VLOOKUP(D44,batch_lhd!$A$1:$C$136,2,FALSE)</f>
        <v>238, 213</v>
      </c>
      <c r="AP44" s="49" t="str">
        <f>VLOOKUP(D44,batch_lhd!$A$1:$C$136,3,FALSE)</f>
        <v>22, 7</v>
      </c>
      <c r="AQ44" s="49">
        <f t="shared" si="0"/>
        <v>30</v>
      </c>
    </row>
    <row r="45" spans="1:43" x14ac:dyDescent="0.3">
      <c r="A45">
        <v>1450</v>
      </c>
      <c r="B45" s="49" t="s">
        <v>1282</v>
      </c>
      <c r="C45" s="49" t="s">
        <v>177</v>
      </c>
      <c r="D45" s="49">
        <v>7147882430</v>
      </c>
      <c r="E45" s="49">
        <v>25</v>
      </c>
      <c r="F45" s="49">
        <v>19</v>
      </c>
      <c r="G45" s="49">
        <v>168</v>
      </c>
      <c r="H45" s="49" t="s">
        <v>840</v>
      </c>
      <c r="I45" s="49" t="s">
        <v>840</v>
      </c>
      <c r="J45" s="49" t="s">
        <v>840</v>
      </c>
      <c r="K45" s="49" t="s">
        <v>841</v>
      </c>
      <c r="L45" s="49">
        <v>1</v>
      </c>
      <c r="M45" s="49">
        <v>1</v>
      </c>
      <c r="N45" s="49">
        <v>1</v>
      </c>
      <c r="O45" s="49">
        <v>1</v>
      </c>
      <c r="P45" s="49">
        <v>1</v>
      </c>
      <c r="Q45" s="49">
        <v>1</v>
      </c>
      <c r="R45" s="49">
        <v>1</v>
      </c>
      <c r="S45" s="49">
        <v>1</v>
      </c>
      <c r="T45" s="49">
        <v>1</v>
      </c>
      <c r="U45" s="49">
        <v>1</v>
      </c>
      <c r="V45" s="49">
        <v>1</v>
      </c>
      <c r="W45" s="49">
        <v>1</v>
      </c>
      <c r="X45" s="49">
        <v>1</v>
      </c>
      <c r="Y45" s="49">
        <v>1</v>
      </c>
      <c r="Z45" s="49">
        <v>1</v>
      </c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>
        <f>VLOOKUP(D45,batch_lhd!$A$1:$C$136,2,FALSE)</f>
        <v>0</v>
      </c>
      <c r="AP45" s="49">
        <f>VLOOKUP(D45,batch_lhd!$A$1:$C$136,3,FALSE)</f>
        <v>0</v>
      </c>
      <c r="AQ45" s="49">
        <f t="shared" si="0"/>
        <v>90</v>
      </c>
    </row>
    <row r="46" spans="1:43" x14ac:dyDescent="0.3">
      <c r="A46">
        <v>1472</v>
      </c>
      <c r="B46" s="49" t="s">
        <v>1340</v>
      </c>
      <c r="C46" s="49" t="s">
        <v>939</v>
      </c>
      <c r="D46" s="49">
        <v>7247761330</v>
      </c>
      <c r="E46" s="49">
        <v>25</v>
      </c>
      <c r="F46" s="49">
        <v>20</v>
      </c>
      <c r="G46" s="49">
        <v>28</v>
      </c>
      <c r="H46" s="49" t="s">
        <v>840</v>
      </c>
      <c r="I46" s="49" t="s">
        <v>840</v>
      </c>
      <c r="J46" s="49" t="s">
        <v>840</v>
      </c>
      <c r="K46" s="49" t="s">
        <v>841</v>
      </c>
      <c r="L46" s="49">
        <v>1</v>
      </c>
      <c r="M46" s="49">
        <v>1</v>
      </c>
      <c r="N46" s="49">
        <v>1</v>
      </c>
      <c r="O46" s="49">
        <v>1</v>
      </c>
      <c r="P46" s="49">
        <v>1</v>
      </c>
      <c r="Q46" s="49">
        <v>1</v>
      </c>
      <c r="R46" s="49">
        <v>1</v>
      </c>
      <c r="S46" s="49">
        <v>1</v>
      </c>
      <c r="T46" s="49">
        <v>1</v>
      </c>
      <c r="U46" s="49">
        <v>1</v>
      </c>
      <c r="V46" s="49">
        <v>1</v>
      </c>
      <c r="W46" s="49">
        <v>1</v>
      </c>
      <c r="X46" s="49">
        <v>1</v>
      </c>
      <c r="Y46" s="49">
        <v>1</v>
      </c>
      <c r="Z46" s="49">
        <v>1</v>
      </c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 t="e">
        <f>VLOOKUP(D46,batch_lhd!$A$1:$C$136,2,FALSE)</f>
        <v>#N/A</v>
      </c>
      <c r="AP46" s="49" t="e">
        <f>VLOOKUP(D46,batch_lhd!$A$1:$C$136,3,FALSE)</f>
        <v>#N/A</v>
      </c>
      <c r="AQ46" s="49">
        <f t="shared" si="0"/>
        <v>15</v>
      </c>
    </row>
    <row r="47" spans="1:43" x14ac:dyDescent="0.3">
      <c r="A47">
        <v>1434</v>
      </c>
      <c r="B47" s="49" t="s">
        <v>1264</v>
      </c>
      <c r="C47" s="49" t="s">
        <v>123</v>
      </c>
      <c r="D47" s="49">
        <v>7198948560</v>
      </c>
      <c r="E47" s="49">
        <v>7</v>
      </c>
      <c r="F47" s="49">
        <v>19</v>
      </c>
      <c r="G47" s="49">
        <v>28</v>
      </c>
      <c r="H47" s="49" t="s">
        <v>840</v>
      </c>
      <c r="I47" s="49" t="s">
        <v>840</v>
      </c>
      <c r="J47" s="49" t="s">
        <v>840</v>
      </c>
      <c r="K47" s="49" t="s">
        <v>841</v>
      </c>
      <c r="L47" s="49">
        <v>1</v>
      </c>
      <c r="M47" s="49">
        <v>1</v>
      </c>
      <c r="N47" s="49">
        <v>1</v>
      </c>
      <c r="O47" s="49">
        <v>1</v>
      </c>
      <c r="P47" s="49">
        <v>1</v>
      </c>
      <c r="Q47" s="49">
        <v>1</v>
      </c>
      <c r="R47" s="49">
        <v>1</v>
      </c>
      <c r="S47" s="49">
        <v>1</v>
      </c>
      <c r="T47" s="49">
        <v>1</v>
      </c>
      <c r="U47" s="49">
        <v>1</v>
      </c>
      <c r="V47" s="49">
        <v>1</v>
      </c>
      <c r="W47" s="49">
        <v>1</v>
      </c>
      <c r="X47" s="49">
        <v>1</v>
      </c>
      <c r="Y47" s="49">
        <v>1</v>
      </c>
      <c r="Z47" s="49">
        <v>1</v>
      </c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>
        <f>VLOOKUP(D47,batch_lhd!$A$1:$C$136,2,FALSE)</f>
        <v>138</v>
      </c>
      <c r="AP47" s="49">
        <f>VLOOKUP(D47,batch_lhd!$A$1:$C$136,3,FALSE)</f>
        <v>11</v>
      </c>
      <c r="AQ47" s="49">
        <f t="shared" si="0"/>
        <v>15</v>
      </c>
    </row>
    <row r="48" spans="1:43" x14ac:dyDescent="0.3">
      <c r="A48">
        <v>1445</v>
      </c>
      <c r="B48" s="49" t="s">
        <v>1277</v>
      </c>
      <c r="C48" s="49" t="s">
        <v>147</v>
      </c>
      <c r="D48" s="49" t="s">
        <v>243</v>
      </c>
      <c r="E48" s="49">
        <v>7</v>
      </c>
      <c r="F48" s="49">
        <v>19</v>
      </c>
      <c r="G48" s="49">
        <v>56</v>
      </c>
      <c r="H48" s="49" t="s">
        <v>840</v>
      </c>
      <c r="I48" s="49" t="s">
        <v>840</v>
      </c>
      <c r="J48" s="49" t="s">
        <v>840</v>
      </c>
      <c r="K48" s="49" t="s">
        <v>841</v>
      </c>
      <c r="L48" s="49">
        <v>1</v>
      </c>
      <c r="M48" s="49">
        <v>1</v>
      </c>
      <c r="N48" s="49">
        <v>1</v>
      </c>
      <c r="O48" s="49">
        <v>1</v>
      </c>
      <c r="P48" s="49">
        <v>1</v>
      </c>
      <c r="Q48" s="49">
        <v>1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49">
        <v>1</v>
      </c>
      <c r="X48" s="49">
        <v>1</v>
      </c>
      <c r="Y48" s="49">
        <v>1</v>
      </c>
      <c r="Z48" s="49">
        <v>1</v>
      </c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 t="str">
        <f>VLOOKUP(D48,batch_lhd!$A$1:$C$136,2,FALSE)</f>
        <v>174, 170</v>
      </c>
      <c r="AP48" s="49" t="str">
        <f>VLOOKUP(D48,batch_lhd!$A$1:$C$136,3,FALSE)</f>
        <v>9, 22</v>
      </c>
      <c r="AQ48" s="49">
        <f t="shared" si="0"/>
        <v>30</v>
      </c>
    </row>
    <row r="49" spans="1:43" x14ac:dyDescent="0.3">
      <c r="A49">
        <v>1634</v>
      </c>
      <c r="B49" s="49" t="s">
        <v>1738</v>
      </c>
      <c r="C49" s="49" t="s">
        <v>155</v>
      </c>
      <c r="D49" s="49" t="s">
        <v>251</v>
      </c>
      <c r="E49" s="49">
        <v>7</v>
      </c>
      <c r="F49" s="49">
        <v>22</v>
      </c>
      <c r="G49" s="49">
        <v>28</v>
      </c>
      <c r="H49" s="49" t="s">
        <v>840</v>
      </c>
      <c r="I49" s="49" t="s">
        <v>840</v>
      </c>
      <c r="J49" s="49" t="s">
        <v>840</v>
      </c>
      <c r="K49" s="49" t="s">
        <v>841</v>
      </c>
      <c r="L49" s="49">
        <v>1</v>
      </c>
      <c r="M49" s="49">
        <v>1</v>
      </c>
      <c r="N49" s="49">
        <v>1</v>
      </c>
      <c r="O49" s="49">
        <v>1</v>
      </c>
      <c r="P49" s="49">
        <v>1</v>
      </c>
      <c r="Q49" s="49">
        <v>1</v>
      </c>
      <c r="R49" s="49">
        <v>1</v>
      </c>
      <c r="S49" s="49">
        <v>1</v>
      </c>
      <c r="T49" s="49">
        <v>1</v>
      </c>
      <c r="U49" s="49">
        <v>1</v>
      </c>
      <c r="V49" s="49">
        <v>1</v>
      </c>
      <c r="W49" s="49">
        <v>1</v>
      </c>
      <c r="X49" s="49">
        <v>1</v>
      </c>
      <c r="Y49" s="49">
        <v>1</v>
      </c>
      <c r="Z49" s="49">
        <v>1</v>
      </c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>
        <v>154</v>
      </c>
      <c r="AO49" s="49">
        <f>VLOOKUP(D49,batch_lhd!$A$1:$C$136,2,FALSE)</f>
        <v>154</v>
      </c>
      <c r="AP49" s="49">
        <f>VLOOKUP(D49,batch_lhd!$A$1:$C$136,3,FALSE)</f>
        <v>25</v>
      </c>
      <c r="AQ49" s="49">
        <f t="shared" si="0"/>
        <v>15</v>
      </c>
    </row>
    <row r="50" spans="1:43" x14ac:dyDescent="0.3">
      <c r="A50">
        <v>1627</v>
      </c>
      <c r="B50" s="49" t="s">
        <v>1736</v>
      </c>
      <c r="C50" s="49" t="s">
        <v>108</v>
      </c>
      <c r="D50" s="49">
        <v>7189982830</v>
      </c>
      <c r="E50" s="49">
        <v>7</v>
      </c>
      <c r="F50" s="49">
        <v>22</v>
      </c>
      <c r="G50" s="49">
        <v>28</v>
      </c>
      <c r="H50" s="49" t="s">
        <v>840</v>
      </c>
      <c r="I50" s="49" t="s">
        <v>840</v>
      </c>
      <c r="J50" s="49" t="s">
        <v>840</v>
      </c>
      <c r="K50" s="49" t="s">
        <v>841</v>
      </c>
      <c r="L50" s="49">
        <v>1</v>
      </c>
      <c r="M50" s="49">
        <v>1</v>
      </c>
      <c r="N50" s="49">
        <v>1</v>
      </c>
      <c r="O50" s="49">
        <v>1</v>
      </c>
      <c r="P50" s="49">
        <v>1</v>
      </c>
      <c r="Q50" s="49">
        <v>1</v>
      </c>
      <c r="R50" s="49">
        <v>1</v>
      </c>
      <c r="S50" s="49">
        <v>1</v>
      </c>
      <c r="T50" s="49">
        <v>1</v>
      </c>
      <c r="U50" s="49">
        <v>1</v>
      </c>
      <c r="V50" s="49">
        <v>1</v>
      </c>
      <c r="W50" s="49">
        <v>1</v>
      </c>
      <c r="X50" s="49">
        <v>1</v>
      </c>
      <c r="Y50" s="49">
        <v>1</v>
      </c>
      <c r="Z50" s="49">
        <v>1</v>
      </c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>
        <f>VLOOKUP(D50,batch_lhd!$A$1:$C$136,2,FALSE)</f>
        <v>453</v>
      </c>
      <c r="AP50" s="49">
        <f>VLOOKUP(D50,batch_lhd!$A$1:$C$136,3,FALSE)</f>
        <v>7</v>
      </c>
      <c r="AQ50" s="49">
        <f t="shared" si="0"/>
        <v>15</v>
      </c>
    </row>
    <row r="51" spans="1:43" x14ac:dyDescent="0.3">
      <c r="A51">
        <v>1435</v>
      </c>
      <c r="B51" s="49" t="s">
        <v>1266</v>
      </c>
      <c r="C51" s="49" t="s">
        <v>125</v>
      </c>
      <c r="D51" s="49">
        <v>7271007030</v>
      </c>
      <c r="E51" s="49">
        <v>7</v>
      </c>
      <c r="F51" s="49">
        <v>19</v>
      </c>
      <c r="G51" s="49">
        <v>28</v>
      </c>
      <c r="H51" s="49" t="s">
        <v>840</v>
      </c>
      <c r="I51" s="49" t="s">
        <v>840</v>
      </c>
      <c r="J51" s="49" t="s">
        <v>840</v>
      </c>
      <c r="K51" s="49" t="s">
        <v>840</v>
      </c>
      <c r="L51" s="49">
        <v>1</v>
      </c>
      <c r="M51" s="49">
        <v>1</v>
      </c>
      <c r="N51" s="49">
        <v>1</v>
      </c>
      <c r="O51" s="49">
        <v>1</v>
      </c>
      <c r="P51" s="49">
        <v>1</v>
      </c>
      <c r="Q51" s="49">
        <v>1</v>
      </c>
      <c r="R51" s="49">
        <v>1</v>
      </c>
      <c r="S51" s="49">
        <v>1</v>
      </c>
      <c r="T51" s="49">
        <v>1</v>
      </c>
      <c r="U51" s="49">
        <v>1</v>
      </c>
      <c r="V51" s="49">
        <v>1</v>
      </c>
      <c r="W51" s="49">
        <v>1</v>
      </c>
      <c r="X51" s="49">
        <v>1</v>
      </c>
      <c r="Y51" s="49">
        <v>1</v>
      </c>
      <c r="Z51" s="49">
        <v>1</v>
      </c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>
        <f>VLOOKUP(D51,batch_lhd!$A$1:$C$136,2,FALSE)</f>
        <v>0</v>
      </c>
      <c r="AP51" s="49">
        <f>VLOOKUP(D51,batch_lhd!$A$1:$C$136,3,FALSE)</f>
        <v>0</v>
      </c>
      <c r="AQ51" s="49">
        <f t="shared" si="0"/>
        <v>15</v>
      </c>
    </row>
    <row r="52" spans="1:43" x14ac:dyDescent="0.3">
      <c r="A52">
        <v>1623</v>
      </c>
      <c r="B52" s="49" t="s">
        <v>1752</v>
      </c>
      <c r="C52" s="49" t="s">
        <v>86</v>
      </c>
      <c r="D52" s="49">
        <v>7119146730</v>
      </c>
      <c r="E52" s="49">
        <v>7</v>
      </c>
      <c r="F52" s="49">
        <v>22</v>
      </c>
      <c r="G52" s="49">
        <v>28</v>
      </c>
      <c r="H52" s="49" t="s">
        <v>840</v>
      </c>
      <c r="I52" s="49" t="s">
        <v>840</v>
      </c>
      <c r="J52" s="49" t="s">
        <v>840</v>
      </c>
      <c r="K52" s="49" t="s">
        <v>841</v>
      </c>
      <c r="L52" s="49">
        <v>1</v>
      </c>
      <c r="M52" s="49">
        <v>1</v>
      </c>
      <c r="N52" s="49">
        <v>1</v>
      </c>
      <c r="O52" s="49">
        <v>1</v>
      </c>
      <c r="P52" s="49">
        <v>1</v>
      </c>
      <c r="Q52" s="49">
        <v>1</v>
      </c>
      <c r="R52" s="49">
        <v>1</v>
      </c>
      <c r="S52" s="49">
        <v>1</v>
      </c>
      <c r="T52" s="49">
        <v>1</v>
      </c>
      <c r="U52" s="49">
        <v>1</v>
      </c>
      <c r="V52" s="49">
        <v>1</v>
      </c>
      <c r="W52" s="49">
        <v>1</v>
      </c>
      <c r="X52" s="49">
        <v>1</v>
      </c>
      <c r="Y52" s="49">
        <v>1</v>
      </c>
      <c r="Z52" s="49">
        <v>1</v>
      </c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>
        <f>VLOOKUP(D52,batch_lhd!$A$1:$C$136,2,FALSE)</f>
        <v>116</v>
      </c>
      <c r="AP52" s="49">
        <f>VLOOKUP(D52,batch_lhd!$A$1:$C$136,3,FALSE)</f>
        <v>12</v>
      </c>
      <c r="AQ52" s="49">
        <f t="shared" si="0"/>
        <v>15</v>
      </c>
    </row>
    <row r="53" spans="1:43" x14ac:dyDescent="0.3">
      <c r="A53">
        <v>1443</v>
      </c>
      <c r="B53" s="49" t="s">
        <v>1275</v>
      </c>
      <c r="C53" s="49" t="s">
        <v>144</v>
      </c>
      <c r="D53" s="49" t="s">
        <v>242</v>
      </c>
      <c r="E53" s="49">
        <v>7</v>
      </c>
      <c r="F53" s="49">
        <v>19</v>
      </c>
      <c r="G53" s="49">
        <v>28</v>
      </c>
      <c r="H53" s="49" t="s">
        <v>840</v>
      </c>
      <c r="I53" s="49" t="s">
        <v>840</v>
      </c>
      <c r="J53" s="49" t="s">
        <v>840</v>
      </c>
      <c r="K53" s="49" t="s">
        <v>841</v>
      </c>
      <c r="L53" s="49">
        <v>1</v>
      </c>
      <c r="M53" s="49">
        <v>1</v>
      </c>
      <c r="N53" s="49">
        <v>1</v>
      </c>
      <c r="O53" s="49">
        <v>1</v>
      </c>
      <c r="P53" s="49">
        <v>1</v>
      </c>
      <c r="Q53" s="49">
        <v>1</v>
      </c>
      <c r="R53" s="49">
        <v>1</v>
      </c>
      <c r="S53" s="49">
        <v>1</v>
      </c>
      <c r="T53" s="49">
        <v>1</v>
      </c>
      <c r="U53" s="49">
        <v>1</v>
      </c>
      <c r="V53" s="49">
        <v>1</v>
      </c>
      <c r="W53" s="49">
        <v>1</v>
      </c>
      <c r="X53" s="49">
        <v>1</v>
      </c>
      <c r="Y53" s="49">
        <v>1</v>
      </c>
      <c r="Z53" s="49">
        <v>1</v>
      </c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>
        <v>493</v>
      </c>
      <c r="AO53" s="49">
        <f>VLOOKUP(D53,batch_lhd!$A$1:$C$136,2,FALSE)</f>
        <v>493</v>
      </c>
      <c r="AP53" s="49">
        <f>VLOOKUP(D53,batch_lhd!$A$1:$C$136,3,FALSE)</f>
        <v>32</v>
      </c>
      <c r="AQ53" s="49">
        <f t="shared" si="0"/>
        <v>15</v>
      </c>
    </row>
    <row r="54" spans="1:43" x14ac:dyDescent="0.3">
      <c r="A54">
        <v>1743</v>
      </c>
      <c r="B54" s="49" t="s">
        <v>2013</v>
      </c>
      <c r="C54" s="49" t="s">
        <v>1748</v>
      </c>
      <c r="D54" s="49">
        <v>7075244730</v>
      </c>
      <c r="E54" s="49">
        <v>7</v>
      </c>
      <c r="F54" s="49">
        <v>24</v>
      </c>
      <c r="G54" s="49">
        <v>28</v>
      </c>
      <c r="H54" s="49" t="s">
        <v>840</v>
      </c>
      <c r="I54" s="49" t="s">
        <v>840</v>
      </c>
      <c r="J54" s="49" t="s">
        <v>840</v>
      </c>
      <c r="K54" s="49" t="s">
        <v>841</v>
      </c>
      <c r="L54" s="49">
        <v>1</v>
      </c>
      <c r="M54" s="49">
        <v>1</v>
      </c>
      <c r="N54" s="49">
        <v>1</v>
      </c>
      <c r="O54" s="49">
        <v>1</v>
      </c>
      <c r="P54" s="49">
        <v>1</v>
      </c>
      <c r="Q54" s="49">
        <v>1</v>
      </c>
      <c r="R54" s="49">
        <v>1</v>
      </c>
      <c r="S54" s="49">
        <v>1</v>
      </c>
      <c r="T54" s="49">
        <v>1</v>
      </c>
      <c r="U54" s="49">
        <v>1</v>
      </c>
      <c r="V54" s="49">
        <v>1</v>
      </c>
      <c r="W54" s="49">
        <v>1</v>
      </c>
      <c r="X54" s="49">
        <v>1</v>
      </c>
      <c r="Y54" s="49">
        <v>1</v>
      </c>
      <c r="Z54" s="49">
        <v>1</v>
      </c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>
        <f>VLOOKUP(D54,batch_lhd!$A$1:$C$136,2,FALSE)</f>
        <v>0</v>
      </c>
      <c r="AP54" s="49">
        <f>VLOOKUP(D54,batch_lhd!$A$1:$C$136,3,FALSE)</f>
        <v>31</v>
      </c>
      <c r="AQ54" s="49">
        <f t="shared" si="0"/>
        <v>15</v>
      </c>
    </row>
    <row r="55" spans="1:43" x14ac:dyDescent="0.3">
      <c r="A55">
        <v>1655</v>
      </c>
      <c r="B55" s="49" t="s">
        <v>1774</v>
      </c>
      <c r="C55" s="49" t="s">
        <v>1759</v>
      </c>
      <c r="D55" s="49" t="s">
        <v>520</v>
      </c>
      <c r="E55" s="49">
        <v>7</v>
      </c>
      <c r="F55" s="49">
        <v>23</v>
      </c>
      <c r="G55" s="49">
        <v>56</v>
      </c>
      <c r="H55" s="49" t="s">
        <v>840</v>
      </c>
      <c r="I55" s="49" t="s">
        <v>840</v>
      </c>
      <c r="J55" s="49" t="s">
        <v>840</v>
      </c>
      <c r="K55" s="49" t="s">
        <v>840</v>
      </c>
      <c r="L55" s="49">
        <v>1</v>
      </c>
      <c r="M55" s="49">
        <v>1</v>
      </c>
      <c r="N55" s="49">
        <v>1</v>
      </c>
      <c r="O55" s="49">
        <v>1</v>
      </c>
      <c r="P55" s="49">
        <v>1</v>
      </c>
      <c r="Q55" s="49">
        <v>1</v>
      </c>
      <c r="R55" s="49">
        <v>1</v>
      </c>
      <c r="S55" s="49">
        <v>1</v>
      </c>
      <c r="T55" s="49">
        <v>1</v>
      </c>
      <c r="U55" s="49">
        <v>1</v>
      </c>
      <c r="V55" s="49">
        <v>1</v>
      </c>
      <c r="W55" s="49">
        <v>1</v>
      </c>
      <c r="X55" s="49">
        <v>1</v>
      </c>
      <c r="Y55" s="49">
        <v>1</v>
      </c>
      <c r="Z55" s="49">
        <v>1</v>
      </c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>
        <v>483</v>
      </c>
      <c r="AO55" s="49" t="str">
        <f>VLOOKUP(D55,batch_lhd!$A$1:$C$136,2,FALSE)</f>
        <v>292, 483</v>
      </c>
      <c r="AP55" s="49" t="str">
        <f>VLOOKUP(D55,batch_lhd!$A$1:$C$136,3,FALSE)</f>
        <v>3, 32</v>
      </c>
      <c r="AQ55" s="49">
        <f t="shared" si="0"/>
        <v>30</v>
      </c>
    </row>
    <row r="56" spans="1:43" x14ac:dyDescent="0.3">
      <c r="A56">
        <v>1465</v>
      </c>
      <c r="B56" s="49" t="s">
        <v>1335</v>
      </c>
      <c r="C56" s="49" t="s">
        <v>860</v>
      </c>
      <c r="D56" s="49">
        <v>7047135830</v>
      </c>
      <c r="E56" s="49">
        <v>25</v>
      </c>
      <c r="F56" s="49">
        <v>20</v>
      </c>
      <c r="G56" s="49">
        <v>28</v>
      </c>
      <c r="H56" s="49" t="s">
        <v>840</v>
      </c>
      <c r="I56" s="49" t="s">
        <v>840</v>
      </c>
      <c r="J56" s="49" t="s">
        <v>840</v>
      </c>
      <c r="K56" s="49" t="s">
        <v>841</v>
      </c>
      <c r="L56" s="49">
        <v>1</v>
      </c>
      <c r="M56" s="49">
        <v>1</v>
      </c>
      <c r="N56" s="49">
        <v>1</v>
      </c>
      <c r="O56" s="49">
        <v>1</v>
      </c>
      <c r="P56" s="49">
        <v>1</v>
      </c>
      <c r="Q56" s="49">
        <v>1</v>
      </c>
      <c r="R56" s="49">
        <v>1</v>
      </c>
      <c r="S56" s="49">
        <v>1</v>
      </c>
      <c r="T56" s="49">
        <v>1</v>
      </c>
      <c r="U56" s="49">
        <v>1</v>
      </c>
      <c r="V56" s="49">
        <v>1</v>
      </c>
      <c r="W56" s="49">
        <v>1</v>
      </c>
      <c r="X56" s="49">
        <v>1</v>
      </c>
      <c r="Y56" s="49">
        <v>1</v>
      </c>
      <c r="Z56" s="49">
        <v>1</v>
      </c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 t="e">
        <f>VLOOKUP(D56,batch_lhd!$A$1:$C$136,2,FALSE)</f>
        <v>#N/A</v>
      </c>
      <c r="AP56" s="49" t="e">
        <f>VLOOKUP(D56,batch_lhd!$A$1:$C$136,3,FALSE)</f>
        <v>#N/A</v>
      </c>
      <c r="AQ56" s="49">
        <f t="shared" si="0"/>
        <v>15</v>
      </c>
    </row>
    <row r="57" spans="1:43" x14ac:dyDescent="0.3">
      <c r="A57">
        <v>1637</v>
      </c>
      <c r="B57" s="49" t="s">
        <v>1740</v>
      </c>
      <c r="C57" s="49" t="s">
        <v>201</v>
      </c>
      <c r="D57" s="49">
        <v>71781227</v>
      </c>
      <c r="E57" s="49">
        <v>7</v>
      </c>
      <c r="F57" s="49">
        <v>22</v>
      </c>
      <c r="G57" s="49">
        <v>28</v>
      </c>
      <c r="H57" s="49" t="s">
        <v>840</v>
      </c>
      <c r="I57" s="49" t="s">
        <v>840</v>
      </c>
      <c r="J57" s="49" t="s">
        <v>840</v>
      </c>
      <c r="K57" s="49" t="s">
        <v>841</v>
      </c>
      <c r="L57" s="49">
        <v>1</v>
      </c>
      <c r="M57" s="49">
        <v>1</v>
      </c>
      <c r="N57" s="49">
        <v>1</v>
      </c>
      <c r="O57" s="49">
        <v>1</v>
      </c>
      <c r="P57" s="49">
        <v>1</v>
      </c>
      <c r="Q57" s="49">
        <v>1</v>
      </c>
      <c r="R57" s="49">
        <v>1</v>
      </c>
      <c r="S57" s="49">
        <v>1</v>
      </c>
      <c r="T57" s="49">
        <v>1</v>
      </c>
      <c r="U57" s="49">
        <v>1</v>
      </c>
      <c r="V57" s="49">
        <v>1</v>
      </c>
      <c r="W57" s="49">
        <v>1</v>
      </c>
      <c r="X57" s="49">
        <v>1</v>
      </c>
      <c r="Y57" s="49">
        <v>1</v>
      </c>
      <c r="Z57" s="49">
        <v>1</v>
      </c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>
        <f>VLOOKUP(D57,batch_lhd!$A$1:$C$136,2,FALSE)</f>
        <v>516</v>
      </c>
      <c r="AP57" s="49">
        <f>VLOOKUP(D57,batch_lhd!$A$1:$C$136,3,FALSE)</f>
        <v>28</v>
      </c>
      <c r="AQ57" s="49">
        <f t="shared" si="0"/>
        <v>15</v>
      </c>
    </row>
    <row r="58" spans="1:43" x14ac:dyDescent="0.3">
      <c r="A58">
        <v>1640</v>
      </c>
      <c r="B58" s="49" t="s">
        <v>1742</v>
      </c>
      <c r="C58" s="49" t="s">
        <v>296</v>
      </c>
      <c r="D58" s="49" t="s">
        <v>291</v>
      </c>
      <c r="E58" s="49">
        <v>7</v>
      </c>
      <c r="F58" s="49">
        <v>22</v>
      </c>
      <c r="G58" s="49">
        <v>28</v>
      </c>
      <c r="H58" s="49" t="s">
        <v>840</v>
      </c>
      <c r="I58" s="49" t="s">
        <v>840</v>
      </c>
      <c r="J58" s="49" t="s">
        <v>840</v>
      </c>
      <c r="K58" s="49" t="s">
        <v>841</v>
      </c>
      <c r="L58" s="49">
        <v>1</v>
      </c>
      <c r="M58" s="49">
        <v>1</v>
      </c>
      <c r="N58" s="49">
        <v>1</v>
      </c>
      <c r="O58" s="49">
        <v>1</v>
      </c>
      <c r="P58" s="49">
        <v>1</v>
      </c>
      <c r="Q58" s="49">
        <v>1</v>
      </c>
      <c r="R58" s="49">
        <v>1</v>
      </c>
      <c r="S58" s="49">
        <v>1</v>
      </c>
      <c r="T58" s="49">
        <v>1</v>
      </c>
      <c r="U58" s="49">
        <v>1</v>
      </c>
      <c r="V58" s="49">
        <v>1</v>
      </c>
      <c r="W58" s="49">
        <v>1</v>
      </c>
      <c r="X58" s="49">
        <v>1</v>
      </c>
      <c r="Y58" s="49">
        <v>1</v>
      </c>
      <c r="Z58" s="49">
        <v>1</v>
      </c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>
        <f>VLOOKUP(D58,batch_lhd!$A$1:$C$136,2,FALSE)</f>
        <v>74</v>
      </c>
      <c r="AP58" s="49">
        <f>VLOOKUP(D58,batch_lhd!$A$1:$C$136,3,FALSE)</f>
        <v>28</v>
      </c>
      <c r="AQ58" s="49">
        <f t="shared" si="0"/>
        <v>15</v>
      </c>
    </row>
    <row r="59" spans="1:43" x14ac:dyDescent="0.3">
      <c r="A59">
        <v>1874</v>
      </c>
      <c r="B59" s="49" t="s">
        <v>2226</v>
      </c>
      <c r="C59" s="49" t="s">
        <v>783</v>
      </c>
      <c r="D59" s="49">
        <v>7298948930</v>
      </c>
      <c r="E59" s="49">
        <v>7</v>
      </c>
      <c r="F59" s="49">
        <v>44</v>
      </c>
      <c r="G59" s="49">
        <v>28</v>
      </c>
      <c r="H59" s="49" t="s">
        <v>840</v>
      </c>
      <c r="I59" s="49" t="s">
        <v>840</v>
      </c>
      <c r="J59" s="49" t="s">
        <v>840</v>
      </c>
      <c r="K59" s="49" t="s">
        <v>840</v>
      </c>
      <c r="L59" s="49">
        <v>1</v>
      </c>
      <c r="M59" s="49">
        <v>1</v>
      </c>
      <c r="N59" s="49">
        <v>1</v>
      </c>
      <c r="O59" s="49">
        <v>1</v>
      </c>
      <c r="P59" s="49">
        <v>1</v>
      </c>
      <c r="Q59" s="49">
        <v>1</v>
      </c>
      <c r="R59" s="49">
        <v>1</v>
      </c>
      <c r="S59" s="49">
        <v>1</v>
      </c>
      <c r="T59" s="49">
        <v>1</v>
      </c>
      <c r="U59" s="49">
        <v>1</v>
      </c>
      <c r="V59" s="49">
        <v>1</v>
      </c>
      <c r="W59" s="49">
        <v>1</v>
      </c>
      <c r="X59" s="49">
        <v>1</v>
      </c>
      <c r="Y59" s="49">
        <v>1</v>
      </c>
      <c r="Z59" s="49">
        <v>1</v>
      </c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>
        <f>VLOOKUP(D59,batch_lhd!$A$1:$C$136,2,FALSE)</f>
        <v>523</v>
      </c>
      <c r="AP59" s="49">
        <f>VLOOKUP(D59,batch_lhd!$A$1:$C$136,3,FALSE)</f>
        <v>29</v>
      </c>
      <c r="AQ59" s="49">
        <f t="shared" si="0"/>
        <v>15</v>
      </c>
    </row>
    <row r="60" spans="1:43" x14ac:dyDescent="0.3">
      <c r="A60">
        <v>1745</v>
      </c>
      <c r="B60" s="49" t="s">
        <v>2000</v>
      </c>
      <c r="C60" s="49" t="s">
        <v>1895</v>
      </c>
      <c r="D60" s="49" t="s">
        <v>247</v>
      </c>
      <c r="E60" s="49">
        <v>7</v>
      </c>
      <c r="F60" s="49">
        <v>24</v>
      </c>
      <c r="G60" s="49">
        <v>56</v>
      </c>
      <c r="H60" s="49" t="s">
        <v>840</v>
      </c>
      <c r="I60" s="49" t="s">
        <v>840</v>
      </c>
      <c r="J60" s="49" t="s">
        <v>840</v>
      </c>
      <c r="K60" s="49" t="s">
        <v>841</v>
      </c>
      <c r="L60" s="49">
        <v>1</v>
      </c>
      <c r="M60" s="49">
        <v>1</v>
      </c>
      <c r="N60" s="49">
        <v>1</v>
      </c>
      <c r="O60" s="49">
        <v>1</v>
      </c>
      <c r="P60" s="49">
        <v>1</v>
      </c>
      <c r="Q60" s="49">
        <v>1</v>
      </c>
      <c r="R60" s="49">
        <v>1</v>
      </c>
      <c r="S60" s="49">
        <v>1</v>
      </c>
      <c r="T60" s="49">
        <v>1</v>
      </c>
      <c r="U60" s="49">
        <v>1</v>
      </c>
      <c r="V60" s="49">
        <v>1</v>
      </c>
      <c r="W60" s="49">
        <v>1</v>
      </c>
      <c r="X60" s="49">
        <v>1</v>
      </c>
      <c r="Y60" s="49">
        <v>1</v>
      </c>
      <c r="Z60" s="49">
        <v>1</v>
      </c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 t="str">
        <f>VLOOKUP(D60,batch_lhd!$A$1:$C$136,2,FALSE)</f>
        <v>208, 233</v>
      </c>
      <c r="AP60" s="49" t="str">
        <f>VLOOKUP(D60,batch_lhd!$A$1:$C$136,3,FALSE)</f>
        <v>9, 22</v>
      </c>
      <c r="AQ60" s="49">
        <f t="shared" si="0"/>
        <v>30</v>
      </c>
    </row>
    <row r="61" spans="1:43" x14ac:dyDescent="0.3">
      <c r="A61">
        <v>1642</v>
      </c>
      <c r="B61" s="49" t="s">
        <v>1706</v>
      </c>
      <c r="C61" s="49" t="s">
        <v>773</v>
      </c>
      <c r="D61" s="49">
        <v>7289405830</v>
      </c>
      <c r="E61" s="49">
        <v>7</v>
      </c>
      <c r="F61" s="49">
        <v>22</v>
      </c>
      <c r="G61" s="49">
        <v>28</v>
      </c>
      <c r="H61" s="49" t="s">
        <v>840</v>
      </c>
      <c r="I61" s="49" t="s">
        <v>840</v>
      </c>
      <c r="J61" s="49" t="s">
        <v>840</v>
      </c>
      <c r="K61" s="49" t="s">
        <v>841</v>
      </c>
      <c r="L61" s="49">
        <v>1</v>
      </c>
      <c r="M61" s="49">
        <v>1</v>
      </c>
      <c r="N61" s="49">
        <v>1</v>
      </c>
      <c r="O61" s="49">
        <v>1</v>
      </c>
      <c r="P61" s="49">
        <v>1</v>
      </c>
      <c r="Q61" s="49">
        <v>1</v>
      </c>
      <c r="R61" s="49">
        <v>1</v>
      </c>
      <c r="S61" s="49">
        <v>1</v>
      </c>
      <c r="T61" s="49">
        <v>1</v>
      </c>
      <c r="U61" s="49">
        <v>1</v>
      </c>
      <c r="V61" s="49">
        <v>1</v>
      </c>
      <c r="W61" s="49">
        <v>1</v>
      </c>
      <c r="X61" s="49">
        <v>1</v>
      </c>
      <c r="Y61" s="49">
        <v>1</v>
      </c>
      <c r="Z61" s="49">
        <v>1</v>
      </c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>
        <f>VLOOKUP(D61,batch_lhd!$A$1:$C$136,2,FALSE)</f>
        <v>195</v>
      </c>
      <c r="AP61" s="49">
        <f>VLOOKUP(D61,batch_lhd!$A$1:$C$136,3,FALSE)</f>
        <v>20</v>
      </c>
      <c r="AQ61" s="49">
        <f t="shared" si="0"/>
        <v>15</v>
      </c>
    </row>
    <row r="62" spans="1:43" x14ac:dyDescent="0.3">
      <c r="A62">
        <v>1876</v>
      </c>
      <c r="B62" s="49" t="s">
        <v>2228</v>
      </c>
      <c r="C62" s="49" t="s">
        <v>1861</v>
      </c>
      <c r="D62" s="49" t="s">
        <v>1203</v>
      </c>
      <c r="E62" s="49">
        <v>7</v>
      </c>
      <c r="F62" s="49">
        <v>44</v>
      </c>
      <c r="G62" s="49">
        <v>112</v>
      </c>
      <c r="H62" s="49" t="s">
        <v>840</v>
      </c>
      <c r="I62" s="49" t="s">
        <v>840</v>
      </c>
      <c r="J62" s="49" t="s">
        <v>840</v>
      </c>
      <c r="K62" s="49" t="s">
        <v>840</v>
      </c>
      <c r="L62" s="49">
        <v>1</v>
      </c>
      <c r="M62" s="49">
        <v>1</v>
      </c>
      <c r="N62" s="49">
        <v>1</v>
      </c>
      <c r="O62" s="49">
        <v>1</v>
      </c>
      <c r="P62" s="49">
        <v>1</v>
      </c>
      <c r="Q62" s="49">
        <v>1</v>
      </c>
      <c r="R62" s="49">
        <v>1</v>
      </c>
      <c r="S62" s="49">
        <v>1</v>
      </c>
      <c r="T62" s="49">
        <v>1</v>
      </c>
      <c r="U62" s="49">
        <v>1</v>
      </c>
      <c r="V62" s="49">
        <v>1</v>
      </c>
      <c r="W62" s="49">
        <v>1</v>
      </c>
      <c r="X62" s="49">
        <v>1</v>
      </c>
      <c r="Y62" s="49">
        <v>1</v>
      </c>
      <c r="Z62" s="49">
        <v>1</v>
      </c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 t="s">
        <v>2232</v>
      </c>
      <c r="AO62" s="49" t="str">
        <f>VLOOKUP(D62,batch_lhd!$A$1:$C$136,2,FALSE)</f>
        <v>312, 313, 317, 318</v>
      </c>
      <c r="AP62" s="49" t="str">
        <f>VLOOKUP(D62,batch_lhd!$A$1:$C$136,3,FALSE)</f>
        <v>27,27,25,25</v>
      </c>
      <c r="AQ62" s="49">
        <f t="shared" si="0"/>
        <v>60</v>
      </c>
    </row>
    <row r="63" spans="1:43" x14ac:dyDescent="0.3">
      <c r="A63">
        <v>1458</v>
      </c>
      <c r="B63" s="49" t="s">
        <v>1295</v>
      </c>
      <c r="C63" s="49" t="s">
        <v>847</v>
      </c>
      <c r="D63" s="49">
        <v>7235053630</v>
      </c>
      <c r="E63" s="49">
        <v>7</v>
      </c>
      <c r="F63" s="49">
        <v>19</v>
      </c>
      <c r="G63" s="49">
        <v>28</v>
      </c>
      <c r="H63" s="49" t="s">
        <v>840</v>
      </c>
      <c r="I63" s="49" t="s">
        <v>840</v>
      </c>
      <c r="J63" s="49" t="s">
        <v>840</v>
      </c>
      <c r="K63" s="49" t="s">
        <v>841</v>
      </c>
      <c r="L63" s="49">
        <v>1</v>
      </c>
      <c r="M63" s="49">
        <v>1</v>
      </c>
      <c r="N63" s="49">
        <v>1</v>
      </c>
      <c r="O63" s="49">
        <v>1</v>
      </c>
      <c r="P63" s="49">
        <v>1</v>
      </c>
      <c r="Q63" s="49">
        <v>1</v>
      </c>
      <c r="R63" s="49">
        <v>1</v>
      </c>
      <c r="S63" s="49">
        <v>1</v>
      </c>
      <c r="T63" s="49">
        <v>1</v>
      </c>
      <c r="U63" s="49">
        <v>1</v>
      </c>
      <c r="V63" s="49">
        <v>1</v>
      </c>
      <c r="W63" s="49">
        <v>1</v>
      </c>
      <c r="X63" s="49">
        <v>1</v>
      </c>
      <c r="Y63" s="49">
        <v>1</v>
      </c>
      <c r="Z63" s="49">
        <v>1</v>
      </c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>
        <f>VLOOKUP(D63,batch_lhd!$A$1:$C$136,2,FALSE)</f>
        <v>0</v>
      </c>
      <c r="AP63" s="49" t="str">
        <f>VLOOKUP(D63,batch_lhd!$A$1:$C$136,3,FALSE)</f>
        <v>29, 30</v>
      </c>
      <c r="AQ63" s="49">
        <f t="shared" si="0"/>
        <v>15</v>
      </c>
    </row>
    <row r="64" spans="1:43" x14ac:dyDescent="0.3">
      <c r="A64">
        <v>1471</v>
      </c>
      <c r="B64" s="49" t="s">
        <v>1342</v>
      </c>
      <c r="C64" s="49" t="s">
        <v>936</v>
      </c>
      <c r="D64" s="49">
        <v>7247760930</v>
      </c>
      <c r="E64" s="49">
        <v>25</v>
      </c>
      <c r="F64" s="49">
        <v>20</v>
      </c>
      <c r="G64" s="49">
        <v>28</v>
      </c>
      <c r="H64" s="49" t="s">
        <v>840</v>
      </c>
      <c r="I64" s="49" t="s">
        <v>840</v>
      </c>
      <c r="J64" s="49" t="s">
        <v>840</v>
      </c>
      <c r="K64" s="49" t="s">
        <v>840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49">
        <v>1</v>
      </c>
      <c r="X64" s="49">
        <v>1</v>
      </c>
      <c r="Y64" s="49">
        <v>1</v>
      </c>
      <c r="Z64" s="49">
        <v>1</v>
      </c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 t="e">
        <f>VLOOKUP(D64,batch_lhd!$A$1:$C$136,2,FALSE)</f>
        <v>#N/A</v>
      </c>
      <c r="AP64" s="49" t="e">
        <f>VLOOKUP(D64,batch_lhd!$A$1:$C$136,3,FALSE)</f>
        <v>#N/A</v>
      </c>
      <c r="AQ64" s="49">
        <f t="shared" si="0"/>
        <v>15</v>
      </c>
    </row>
    <row r="65" spans="1:43" x14ac:dyDescent="0.3">
      <c r="A65">
        <v>1644</v>
      </c>
      <c r="B65" s="49" t="s">
        <v>1708</v>
      </c>
      <c r="C65" s="49" t="s">
        <v>986</v>
      </c>
      <c r="D65" s="49">
        <v>71782472</v>
      </c>
      <c r="E65" s="49">
        <v>7</v>
      </c>
      <c r="F65" s="49">
        <v>22</v>
      </c>
      <c r="G65" s="49">
        <v>28</v>
      </c>
      <c r="H65" s="49" t="s">
        <v>840</v>
      </c>
      <c r="I65" s="49" t="s">
        <v>840</v>
      </c>
      <c r="J65" s="49" t="s">
        <v>840</v>
      </c>
      <c r="K65" s="49" t="s">
        <v>841</v>
      </c>
      <c r="L65" s="49">
        <v>1</v>
      </c>
      <c r="M65" s="49">
        <v>1</v>
      </c>
      <c r="N65" s="49">
        <v>1</v>
      </c>
      <c r="O65" s="49">
        <v>1</v>
      </c>
      <c r="P65" s="49">
        <v>1</v>
      </c>
      <c r="Q65" s="49">
        <v>1</v>
      </c>
      <c r="R65" s="49">
        <v>1</v>
      </c>
      <c r="S65" s="49">
        <v>1</v>
      </c>
      <c r="T65" s="49">
        <v>1</v>
      </c>
      <c r="U65" s="49">
        <v>1</v>
      </c>
      <c r="V65" s="49">
        <v>1</v>
      </c>
      <c r="W65" s="49">
        <v>1</v>
      </c>
      <c r="X65" s="49">
        <v>1</v>
      </c>
      <c r="Y65" s="49">
        <v>1</v>
      </c>
      <c r="Z65" s="49">
        <v>1</v>
      </c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>
        <f>VLOOKUP(D65,batch_lhd!$A$1:$C$136,2,FALSE)</f>
        <v>484</v>
      </c>
      <c r="AP65" s="49">
        <f>VLOOKUP(D65,batch_lhd!$A$1:$C$136,3,FALSE)</f>
        <v>10</v>
      </c>
      <c r="AQ65" s="49">
        <f t="shared" si="0"/>
        <v>15</v>
      </c>
    </row>
    <row r="66" spans="1:43" x14ac:dyDescent="0.3">
      <c r="A66">
        <v>1793</v>
      </c>
      <c r="B66" s="49" t="s">
        <v>2061</v>
      </c>
      <c r="C66" s="49" t="s">
        <v>2054</v>
      </c>
      <c r="D66" s="49">
        <v>7119668820</v>
      </c>
      <c r="E66" s="49">
        <v>7</v>
      </c>
      <c r="F66" s="49">
        <v>28</v>
      </c>
      <c r="G66" s="49">
        <v>28</v>
      </c>
      <c r="H66" s="49" t="s">
        <v>840</v>
      </c>
      <c r="I66" s="49" t="s">
        <v>840</v>
      </c>
      <c r="J66" s="49" t="s">
        <v>840</v>
      </c>
      <c r="K66" s="49" t="s">
        <v>841</v>
      </c>
      <c r="L66" s="49">
        <v>1</v>
      </c>
      <c r="M66" s="49">
        <v>1</v>
      </c>
      <c r="N66" s="49">
        <v>1</v>
      </c>
      <c r="O66" s="49">
        <v>1</v>
      </c>
      <c r="P66" s="49">
        <v>1</v>
      </c>
      <c r="Q66" s="49">
        <v>1</v>
      </c>
      <c r="R66" s="49">
        <v>1</v>
      </c>
      <c r="S66" s="49">
        <v>1</v>
      </c>
      <c r="T66" s="49">
        <v>1</v>
      </c>
      <c r="U66" s="49">
        <v>1</v>
      </c>
      <c r="V66" s="49">
        <v>1</v>
      </c>
      <c r="W66" s="49">
        <v>1</v>
      </c>
      <c r="X66" s="49">
        <v>1</v>
      </c>
      <c r="Y66" s="49">
        <v>1</v>
      </c>
      <c r="Z66" s="49">
        <v>1</v>
      </c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>
        <f>VLOOKUP(D66,batch_lhd!$A$1:$C$136,2,FALSE)</f>
        <v>63</v>
      </c>
      <c r="AP66" s="49">
        <f>VLOOKUP(D66,batch_lhd!$A$1:$C$136,3,FALSE)</f>
        <v>28</v>
      </c>
      <c r="AQ66" s="49">
        <f t="shared" si="0"/>
        <v>15</v>
      </c>
    </row>
    <row r="67" spans="1:43" x14ac:dyDescent="0.3">
      <c r="A67">
        <v>1744</v>
      </c>
      <c r="B67" s="49" t="s">
        <v>2005</v>
      </c>
      <c r="C67" s="49" t="s">
        <v>1894</v>
      </c>
      <c r="D67" s="49" t="s">
        <v>248</v>
      </c>
      <c r="E67" s="49">
        <v>7</v>
      </c>
      <c r="F67" s="49">
        <v>24</v>
      </c>
      <c r="G67" s="49">
        <v>56</v>
      </c>
      <c r="H67" s="49" t="s">
        <v>840</v>
      </c>
      <c r="I67" s="49" t="s">
        <v>840</v>
      </c>
      <c r="J67" s="49" t="s">
        <v>840</v>
      </c>
      <c r="K67" s="49" t="s">
        <v>841</v>
      </c>
      <c r="L67" s="49">
        <v>1</v>
      </c>
      <c r="M67" s="49">
        <v>1</v>
      </c>
      <c r="N67" s="49">
        <v>1</v>
      </c>
      <c r="O67" s="49">
        <v>1</v>
      </c>
      <c r="P67" s="49">
        <v>1</v>
      </c>
      <c r="Q67" s="49">
        <v>1</v>
      </c>
      <c r="R67" s="49">
        <v>1</v>
      </c>
      <c r="S67" s="49">
        <v>1</v>
      </c>
      <c r="T67" s="49">
        <v>1</v>
      </c>
      <c r="U67" s="49">
        <v>1</v>
      </c>
      <c r="V67" s="49">
        <v>1</v>
      </c>
      <c r="W67" s="49">
        <v>1</v>
      </c>
      <c r="X67" s="49">
        <v>1</v>
      </c>
      <c r="Y67" s="49">
        <v>1</v>
      </c>
      <c r="Z67" s="49">
        <v>1</v>
      </c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 t="str">
        <f>VLOOKUP(D67,batch_lhd!$A$1:$C$136,2,FALSE)</f>
        <v>132, 239</v>
      </c>
      <c r="AP67" s="49" t="str">
        <f>VLOOKUP(D67,batch_lhd!$A$1:$C$136,3,FALSE)</f>
        <v>22, 21</v>
      </c>
      <c r="AQ67" s="49">
        <f t="shared" ref="AQ67:AQ124" si="1">G67/28*15</f>
        <v>30</v>
      </c>
    </row>
    <row r="68" spans="1:43" x14ac:dyDescent="0.3">
      <c r="A68">
        <v>1750</v>
      </c>
      <c r="B68" s="49" t="s">
        <v>2006</v>
      </c>
      <c r="C68" s="49" t="s">
        <v>1992</v>
      </c>
      <c r="D68" s="49">
        <v>7223686530</v>
      </c>
      <c r="E68" s="49">
        <v>7</v>
      </c>
      <c r="F68" s="49">
        <v>25</v>
      </c>
      <c r="G68" s="49">
        <v>28</v>
      </c>
      <c r="H68" s="49" t="s">
        <v>840</v>
      </c>
      <c r="I68" s="49" t="s">
        <v>840</v>
      </c>
      <c r="J68" s="49" t="s">
        <v>840</v>
      </c>
      <c r="K68" s="49" t="s">
        <v>841</v>
      </c>
      <c r="L68" s="49">
        <v>1</v>
      </c>
      <c r="M68" s="49">
        <v>1</v>
      </c>
      <c r="N68" s="49">
        <v>1</v>
      </c>
      <c r="O68" s="49">
        <v>1</v>
      </c>
      <c r="P68" s="49">
        <v>1</v>
      </c>
      <c r="Q68" s="49">
        <v>1</v>
      </c>
      <c r="R68" s="49">
        <v>1</v>
      </c>
      <c r="S68" s="49">
        <v>1</v>
      </c>
      <c r="T68" s="49">
        <v>1</v>
      </c>
      <c r="U68" s="49">
        <v>1</v>
      </c>
      <c r="V68" s="49">
        <v>1</v>
      </c>
      <c r="W68" s="49">
        <v>1</v>
      </c>
      <c r="X68" s="49">
        <v>1</v>
      </c>
      <c r="Y68" s="49">
        <v>1</v>
      </c>
      <c r="Z68" s="49">
        <v>1</v>
      </c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>
        <f>VLOOKUP(D68,batch_lhd!$A$1:$C$136,2,FALSE)</f>
        <v>148</v>
      </c>
      <c r="AP68" s="49">
        <f>VLOOKUP(D68,batch_lhd!$A$1:$C$136,3,FALSE)</f>
        <v>25</v>
      </c>
      <c r="AQ68" s="49">
        <f t="shared" si="1"/>
        <v>15</v>
      </c>
    </row>
    <row r="69" spans="1:43" x14ac:dyDescent="0.3">
      <c r="A69">
        <v>1440</v>
      </c>
      <c r="B69" s="49" t="s">
        <v>1272</v>
      </c>
      <c r="C69" s="49" t="s">
        <v>141</v>
      </c>
      <c r="D69" s="49" t="s">
        <v>240</v>
      </c>
      <c r="E69" s="49">
        <v>7</v>
      </c>
      <c r="F69" s="49">
        <v>19</v>
      </c>
      <c r="G69" s="49">
        <v>28</v>
      </c>
      <c r="H69" s="49" t="s">
        <v>840</v>
      </c>
      <c r="I69" s="49" t="s">
        <v>840</v>
      </c>
      <c r="J69" s="49" t="s">
        <v>840</v>
      </c>
      <c r="K69" s="49" t="s">
        <v>841</v>
      </c>
      <c r="L69" s="49">
        <v>1</v>
      </c>
      <c r="M69" s="49">
        <v>1</v>
      </c>
      <c r="N69" s="49">
        <v>1</v>
      </c>
      <c r="O69" s="49">
        <v>1</v>
      </c>
      <c r="P69" s="49">
        <v>1</v>
      </c>
      <c r="Q69" s="49">
        <v>1</v>
      </c>
      <c r="R69" s="49">
        <v>1</v>
      </c>
      <c r="S69" s="49">
        <v>1</v>
      </c>
      <c r="T69" s="49">
        <v>1</v>
      </c>
      <c r="U69" s="49">
        <v>1</v>
      </c>
      <c r="V69" s="49">
        <v>1</v>
      </c>
      <c r="W69" s="49">
        <v>1</v>
      </c>
      <c r="X69" s="49">
        <v>1</v>
      </c>
      <c r="Y69" s="49">
        <v>1</v>
      </c>
      <c r="Z69" s="49">
        <v>1</v>
      </c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>
        <f>VLOOKUP(D69,batch_lhd!$A$1:$C$136,2,FALSE)</f>
        <v>87</v>
      </c>
      <c r="AP69" s="49">
        <f>VLOOKUP(D69,batch_lhd!$A$1:$C$136,3,FALSE)</f>
        <v>25</v>
      </c>
      <c r="AQ69" s="49">
        <f t="shared" si="1"/>
        <v>15</v>
      </c>
    </row>
    <row r="70" spans="1:43" x14ac:dyDescent="0.3">
      <c r="A70">
        <v>1747</v>
      </c>
      <c r="B70" s="49" t="s">
        <v>2008</v>
      </c>
      <c r="C70" s="49" t="s">
        <v>1959</v>
      </c>
      <c r="D70" s="49" t="s">
        <v>1220</v>
      </c>
      <c r="E70" s="49">
        <v>7</v>
      </c>
      <c r="F70" s="49">
        <v>24</v>
      </c>
      <c r="G70" s="49">
        <v>56</v>
      </c>
      <c r="H70" s="49" t="s">
        <v>840</v>
      </c>
      <c r="I70" s="49" t="s">
        <v>840</v>
      </c>
      <c r="J70" s="49" t="s">
        <v>840</v>
      </c>
      <c r="K70" s="49" t="s">
        <v>840</v>
      </c>
      <c r="L70" s="49">
        <v>1</v>
      </c>
      <c r="M70" s="49">
        <v>1</v>
      </c>
      <c r="N70" s="49">
        <v>1</v>
      </c>
      <c r="O70" s="49">
        <v>1</v>
      </c>
      <c r="P70" s="49">
        <v>1</v>
      </c>
      <c r="Q70" s="49">
        <v>1</v>
      </c>
      <c r="R70" s="49">
        <v>1</v>
      </c>
      <c r="S70" s="49">
        <v>1</v>
      </c>
      <c r="T70" s="49">
        <v>1</v>
      </c>
      <c r="U70" s="49">
        <v>1</v>
      </c>
      <c r="V70" s="49">
        <v>1</v>
      </c>
      <c r="W70" s="49">
        <v>1</v>
      </c>
      <c r="X70" s="49">
        <v>1</v>
      </c>
      <c r="Y70" s="49">
        <v>1</v>
      </c>
      <c r="Z70" s="49">
        <v>1</v>
      </c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 t="str">
        <f>VLOOKUP(D70,batch_lhd!$A$1:$C$136,2,FALSE)</f>
        <v>426, 320</v>
      </c>
      <c r="AP70" s="49" t="str">
        <f>VLOOKUP(D70,batch_lhd!$A$1:$C$136,3,FALSE)</f>
        <v>8, 9</v>
      </c>
      <c r="AQ70" s="49">
        <f t="shared" si="1"/>
        <v>30</v>
      </c>
    </row>
    <row r="71" spans="1:43" x14ac:dyDescent="0.3">
      <c r="A71">
        <v>1452</v>
      </c>
      <c r="B71" s="49" t="s">
        <v>1285</v>
      </c>
      <c r="C71" s="49" t="s">
        <v>190</v>
      </c>
      <c r="D71" s="49">
        <v>7252726530</v>
      </c>
      <c r="E71" s="49">
        <v>25</v>
      </c>
      <c r="F71" s="49">
        <v>19</v>
      </c>
      <c r="G71" s="49">
        <v>56</v>
      </c>
      <c r="H71" s="49" t="s">
        <v>840</v>
      </c>
      <c r="I71" s="49" t="s">
        <v>840</v>
      </c>
      <c r="J71" s="49" t="s">
        <v>840</v>
      </c>
      <c r="K71" s="49" t="s">
        <v>841</v>
      </c>
      <c r="L71" s="49">
        <v>1</v>
      </c>
      <c r="M71" s="49">
        <v>1</v>
      </c>
      <c r="N71" s="49">
        <v>1</v>
      </c>
      <c r="O71" s="49">
        <v>1</v>
      </c>
      <c r="P71" s="49">
        <v>1</v>
      </c>
      <c r="Q71" s="49">
        <v>1</v>
      </c>
      <c r="R71" s="49">
        <v>1</v>
      </c>
      <c r="S71" s="49">
        <v>1</v>
      </c>
      <c r="T71" s="49">
        <v>1</v>
      </c>
      <c r="U71" s="49">
        <v>1</v>
      </c>
      <c r="V71" s="49">
        <v>1</v>
      </c>
      <c r="W71" s="49">
        <v>1</v>
      </c>
      <c r="X71" s="49">
        <v>1</v>
      </c>
      <c r="Y71" s="49">
        <v>1</v>
      </c>
      <c r="Z71" s="49">
        <v>1</v>
      </c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>
        <f>VLOOKUP(D71,batch_lhd!$A$1:$C$136,2,FALSE)</f>
        <v>0</v>
      </c>
      <c r="AP71" s="49">
        <f>VLOOKUP(D71,batch_lhd!$A$1:$C$136,3,FALSE)</f>
        <v>0</v>
      </c>
      <c r="AQ71" s="49">
        <f t="shared" si="1"/>
        <v>30</v>
      </c>
    </row>
    <row r="72" spans="1:43" x14ac:dyDescent="0.3">
      <c r="A72">
        <v>1794</v>
      </c>
      <c r="B72" s="49" t="s">
        <v>2063</v>
      </c>
      <c r="C72" s="49" t="s">
        <v>2057</v>
      </c>
      <c r="D72" s="49" t="s">
        <v>217</v>
      </c>
      <c r="E72" s="49">
        <v>7</v>
      </c>
      <c r="F72" s="49">
        <v>28</v>
      </c>
      <c r="G72" s="49">
        <v>84</v>
      </c>
      <c r="H72" s="49" t="s">
        <v>840</v>
      </c>
      <c r="I72" s="49" t="s">
        <v>840</v>
      </c>
      <c r="J72" s="49" t="s">
        <v>840</v>
      </c>
      <c r="K72" s="49" t="s">
        <v>840</v>
      </c>
      <c r="L72" s="49">
        <v>1</v>
      </c>
      <c r="M72" s="49">
        <v>1</v>
      </c>
      <c r="N72" s="49">
        <v>1</v>
      </c>
      <c r="O72" s="49">
        <v>1</v>
      </c>
      <c r="P72" s="49">
        <v>1</v>
      </c>
      <c r="Q72" s="49">
        <v>1</v>
      </c>
      <c r="R72" s="49">
        <v>1</v>
      </c>
      <c r="S72" s="49">
        <v>1</v>
      </c>
      <c r="T72" s="49">
        <v>1</v>
      </c>
      <c r="U72" s="49">
        <v>1</v>
      </c>
      <c r="V72" s="49">
        <v>1</v>
      </c>
      <c r="W72" s="49">
        <v>1</v>
      </c>
      <c r="X72" s="49">
        <v>1</v>
      </c>
      <c r="Y72" s="49">
        <v>1</v>
      </c>
      <c r="Z72" s="49">
        <v>1</v>
      </c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 t="str">
        <f>VLOOKUP(D72,batch_lhd!$A$1:$C$136,2,FALSE)</f>
        <v>217, 401, 400</v>
      </c>
      <c r="AP72" s="49" t="str">
        <f>VLOOKUP(D72,batch_lhd!$A$1:$C$136,3,FALSE)</f>
        <v>8, 12, 19</v>
      </c>
      <c r="AQ72" s="49">
        <f t="shared" si="1"/>
        <v>45</v>
      </c>
    </row>
    <row r="73" spans="1:43" x14ac:dyDescent="0.3">
      <c r="A73">
        <v>1467</v>
      </c>
      <c r="B73" s="49" t="s">
        <v>1345</v>
      </c>
      <c r="C73" s="49" t="s">
        <v>978</v>
      </c>
      <c r="D73" s="49">
        <v>7252809330</v>
      </c>
      <c r="E73" s="49">
        <v>25</v>
      </c>
      <c r="F73" s="49">
        <v>20</v>
      </c>
      <c r="G73" s="49">
        <v>28</v>
      </c>
      <c r="H73" s="49" t="s">
        <v>840</v>
      </c>
      <c r="I73" s="49" t="s">
        <v>840</v>
      </c>
      <c r="J73" s="49" t="s">
        <v>840</v>
      </c>
      <c r="K73" s="49" t="s">
        <v>841</v>
      </c>
      <c r="L73" s="49">
        <v>1</v>
      </c>
      <c r="M73" s="49">
        <v>1</v>
      </c>
      <c r="N73" s="49">
        <v>1</v>
      </c>
      <c r="O73" s="49">
        <v>1</v>
      </c>
      <c r="P73" s="49">
        <v>1</v>
      </c>
      <c r="Q73" s="49">
        <v>1</v>
      </c>
      <c r="R73" s="49">
        <v>1</v>
      </c>
      <c r="S73" s="49">
        <v>1</v>
      </c>
      <c r="T73" s="49">
        <v>1</v>
      </c>
      <c r="U73" s="49">
        <v>1</v>
      </c>
      <c r="V73" s="49">
        <v>1</v>
      </c>
      <c r="W73" s="49">
        <v>1</v>
      </c>
      <c r="X73" s="49">
        <v>1</v>
      </c>
      <c r="Y73" s="49">
        <v>1</v>
      </c>
      <c r="Z73" s="49">
        <v>1</v>
      </c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 t="e">
        <f>VLOOKUP(D73,batch_lhd!$A$1:$C$136,2,FALSE)</f>
        <v>#N/A</v>
      </c>
      <c r="AP73" s="49" t="e">
        <f>VLOOKUP(D73,batch_lhd!$A$1:$C$136,3,FALSE)</f>
        <v>#N/A</v>
      </c>
      <c r="AQ73" s="49">
        <f t="shared" si="1"/>
        <v>15</v>
      </c>
    </row>
    <row r="74" spans="1:43" x14ac:dyDescent="0.3">
      <c r="A74">
        <v>1426</v>
      </c>
      <c r="B74" s="49" t="s">
        <v>1250</v>
      </c>
      <c r="C74" s="49" t="s">
        <v>84</v>
      </c>
      <c r="D74" s="49">
        <v>7119131530</v>
      </c>
      <c r="E74" s="49">
        <v>7</v>
      </c>
      <c r="F74" s="49">
        <v>19</v>
      </c>
      <c r="G74" s="49">
        <v>84</v>
      </c>
      <c r="H74" s="49" t="s">
        <v>840</v>
      </c>
      <c r="I74" s="49" t="s">
        <v>840</v>
      </c>
      <c r="J74" s="49" t="s">
        <v>840</v>
      </c>
      <c r="K74" s="49" t="s">
        <v>841</v>
      </c>
      <c r="L74" s="49">
        <v>1</v>
      </c>
      <c r="M74" s="49">
        <v>1</v>
      </c>
      <c r="N74" s="49">
        <v>1</v>
      </c>
      <c r="O74" s="49">
        <v>1</v>
      </c>
      <c r="P74" s="49">
        <v>1</v>
      </c>
      <c r="Q74" s="49">
        <v>1</v>
      </c>
      <c r="R74" s="49">
        <v>1</v>
      </c>
      <c r="S74" s="49">
        <v>1</v>
      </c>
      <c r="T74" s="49">
        <v>1</v>
      </c>
      <c r="U74" s="49">
        <v>1</v>
      </c>
      <c r="V74" s="49">
        <v>1</v>
      </c>
      <c r="W74" s="49">
        <v>1</v>
      </c>
      <c r="X74" s="49">
        <v>1</v>
      </c>
      <c r="Y74" s="49">
        <v>1</v>
      </c>
      <c r="Z74" s="49">
        <v>1</v>
      </c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>
        <v>258</v>
      </c>
      <c r="AO74" s="49" t="str">
        <f>VLOOKUP(D74,batch_lhd!$A$1:$C$136,2,FALSE)</f>
        <v>222,93,258</v>
      </c>
      <c r="AP74" s="49" t="str">
        <f>VLOOKUP(D74,batch_lhd!$A$1:$C$136,3,FALSE)</f>
        <v>10, 25, 33</v>
      </c>
      <c r="AQ74" s="49">
        <f t="shared" si="1"/>
        <v>45</v>
      </c>
    </row>
    <row r="75" spans="1:43" x14ac:dyDescent="0.3">
      <c r="A75">
        <v>1433</v>
      </c>
      <c r="B75" s="49" t="s">
        <v>1262</v>
      </c>
      <c r="C75" s="49" t="s">
        <v>122</v>
      </c>
      <c r="D75" s="49">
        <v>71989162</v>
      </c>
      <c r="E75" s="49">
        <v>7</v>
      </c>
      <c r="F75" s="49">
        <v>19</v>
      </c>
      <c r="G75" s="49">
        <v>84</v>
      </c>
      <c r="H75" s="49" t="s">
        <v>840</v>
      </c>
      <c r="I75" s="49" t="s">
        <v>840</v>
      </c>
      <c r="J75" s="49" t="s">
        <v>840</v>
      </c>
      <c r="K75" s="49" t="s">
        <v>840</v>
      </c>
      <c r="L75" s="49">
        <v>1</v>
      </c>
      <c r="M75" s="49">
        <v>1</v>
      </c>
      <c r="N75" s="49">
        <v>1</v>
      </c>
      <c r="O75" s="49">
        <v>1</v>
      </c>
      <c r="P75" s="49">
        <v>1</v>
      </c>
      <c r="Q75" s="49">
        <v>1</v>
      </c>
      <c r="R75" s="49">
        <v>1</v>
      </c>
      <c r="S75" s="49">
        <v>1</v>
      </c>
      <c r="T75" s="49">
        <v>1</v>
      </c>
      <c r="U75" s="49">
        <v>1</v>
      </c>
      <c r="V75" s="49">
        <v>1</v>
      </c>
      <c r="W75" s="49">
        <v>1</v>
      </c>
      <c r="X75" s="49">
        <v>1</v>
      </c>
      <c r="Y75" s="49">
        <v>1</v>
      </c>
      <c r="Z75" s="49">
        <v>1</v>
      </c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>
        <v>496</v>
      </c>
      <c r="AO75" s="49" t="str">
        <f>VLOOKUP(D75,batch_lhd!$A$1:$C$136,2,FALSE)</f>
        <v>192, 184, 496</v>
      </c>
      <c r="AP75" s="49" t="str">
        <f>VLOOKUP(D75,batch_lhd!$A$1:$C$136,3,FALSE)</f>
        <v>11, 18, 32</v>
      </c>
      <c r="AQ75" s="49">
        <f t="shared" si="1"/>
        <v>45</v>
      </c>
    </row>
    <row r="76" spans="1:43" x14ac:dyDescent="0.3">
      <c r="A76">
        <v>1789</v>
      </c>
      <c r="B76" s="49" t="s">
        <v>2045</v>
      </c>
      <c r="C76" s="49" t="s">
        <v>2038</v>
      </c>
      <c r="D76" s="49">
        <v>7119172930</v>
      </c>
      <c r="E76" s="49">
        <v>7</v>
      </c>
      <c r="F76" s="49">
        <v>27</v>
      </c>
      <c r="G76" s="49">
        <v>28</v>
      </c>
      <c r="H76" s="49" t="s">
        <v>840</v>
      </c>
      <c r="I76" s="49" t="s">
        <v>840</v>
      </c>
      <c r="J76" s="49" t="s">
        <v>840</v>
      </c>
      <c r="K76" s="49" t="s">
        <v>841</v>
      </c>
      <c r="L76" s="49">
        <v>1</v>
      </c>
      <c r="M76" s="49">
        <v>1</v>
      </c>
      <c r="N76" s="49">
        <v>1</v>
      </c>
      <c r="O76" s="49">
        <v>1</v>
      </c>
      <c r="P76" s="49">
        <v>1</v>
      </c>
      <c r="Q76" s="49">
        <v>1</v>
      </c>
      <c r="R76" s="49">
        <v>1</v>
      </c>
      <c r="S76" s="49">
        <v>1</v>
      </c>
      <c r="T76" s="49">
        <v>1</v>
      </c>
      <c r="U76" s="49">
        <v>1</v>
      </c>
      <c r="V76" s="49">
        <v>1</v>
      </c>
      <c r="W76" s="49">
        <v>1</v>
      </c>
      <c r="X76" s="49">
        <v>1</v>
      </c>
      <c r="Y76" s="49">
        <v>1</v>
      </c>
      <c r="Z76" s="49">
        <v>1</v>
      </c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>
        <f>VLOOKUP(D76,batch_lhd!$A$1:$C$136,2,FALSE)</f>
        <v>220</v>
      </c>
      <c r="AP76" s="49">
        <f>VLOOKUP(D76,batch_lhd!$A$1:$C$136,3,FALSE)</f>
        <v>9</v>
      </c>
      <c r="AQ76" s="49">
        <f t="shared" si="1"/>
        <v>15</v>
      </c>
    </row>
    <row r="77" spans="1:43" x14ac:dyDescent="0.3">
      <c r="A77">
        <v>1475</v>
      </c>
      <c r="B77" s="49" t="s">
        <v>1334</v>
      </c>
      <c r="C77" s="49" t="s">
        <v>942</v>
      </c>
      <c r="D77" s="49">
        <v>7252779130</v>
      </c>
      <c r="E77" s="49">
        <v>25</v>
      </c>
      <c r="F77" s="49">
        <v>20</v>
      </c>
      <c r="G77" s="49">
        <v>56</v>
      </c>
      <c r="H77" s="49" t="s">
        <v>840</v>
      </c>
      <c r="I77" s="49" t="s">
        <v>840</v>
      </c>
      <c r="J77" s="49" t="s">
        <v>840</v>
      </c>
      <c r="K77" s="49" t="s">
        <v>841</v>
      </c>
      <c r="L77" s="49">
        <v>1</v>
      </c>
      <c r="M77" s="49">
        <v>1</v>
      </c>
      <c r="N77" s="49">
        <v>1</v>
      </c>
      <c r="O77" s="49">
        <v>1</v>
      </c>
      <c r="P77" s="49">
        <v>1</v>
      </c>
      <c r="Q77" s="49">
        <v>1</v>
      </c>
      <c r="R77" s="49">
        <v>1</v>
      </c>
      <c r="S77" s="49">
        <v>1</v>
      </c>
      <c r="T77" s="49">
        <v>1</v>
      </c>
      <c r="U77" s="49">
        <v>1</v>
      </c>
      <c r="V77" s="49">
        <v>1</v>
      </c>
      <c r="W77" s="49">
        <v>1</v>
      </c>
      <c r="X77" s="49">
        <v>1</v>
      </c>
      <c r="Y77" s="49">
        <v>1</v>
      </c>
      <c r="Z77" s="49">
        <v>1</v>
      </c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>
        <f>VLOOKUP(D77,batch_lhd!$A$1:$C$136,2,FALSE)</f>
        <v>0</v>
      </c>
      <c r="AP77" s="49">
        <f>VLOOKUP(D77,batch_lhd!$A$1:$C$136,3,FALSE)</f>
        <v>0</v>
      </c>
      <c r="AQ77" s="49">
        <f t="shared" si="1"/>
        <v>30</v>
      </c>
    </row>
    <row r="78" spans="1:43" x14ac:dyDescent="0.3">
      <c r="A78">
        <v>1448</v>
      </c>
      <c r="B78" s="49" t="s">
        <v>1280</v>
      </c>
      <c r="C78" s="49" t="s">
        <v>169</v>
      </c>
      <c r="D78" s="49" t="s">
        <v>626</v>
      </c>
      <c r="E78" s="49">
        <v>7</v>
      </c>
      <c r="F78" s="49">
        <v>19</v>
      </c>
      <c r="G78" s="49">
        <v>28</v>
      </c>
      <c r="H78" s="49" t="s">
        <v>840</v>
      </c>
      <c r="I78" s="49" t="s">
        <v>840</v>
      </c>
      <c r="J78" s="49" t="s">
        <v>840</v>
      </c>
      <c r="K78" s="49" t="s">
        <v>841</v>
      </c>
      <c r="L78" s="49">
        <v>1</v>
      </c>
      <c r="M78" s="49">
        <v>1</v>
      </c>
      <c r="N78" s="49">
        <v>1</v>
      </c>
      <c r="O78" s="49">
        <v>1</v>
      </c>
      <c r="P78" s="49">
        <v>1</v>
      </c>
      <c r="Q78" s="49">
        <v>1</v>
      </c>
      <c r="R78" s="49">
        <v>1</v>
      </c>
      <c r="S78" s="49">
        <v>1</v>
      </c>
      <c r="T78" s="49">
        <v>1</v>
      </c>
      <c r="U78" s="49">
        <v>1</v>
      </c>
      <c r="V78" s="49">
        <v>1</v>
      </c>
      <c r="W78" s="49">
        <v>1</v>
      </c>
      <c r="X78" s="49">
        <v>1</v>
      </c>
      <c r="Y78" s="49">
        <v>1</v>
      </c>
      <c r="Z78" s="49">
        <v>1</v>
      </c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>
        <v>161</v>
      </c>
      <c r="AO78" s="49">
        <f>VLOOKUP(D78,batch_lhd!$A$1:$C$136,2,FALSE)</f>
        <v>161</v>
      </c>
      <c r="AP78" s="49">
        <f>VLOOKUP(D78,batch_lhd!$A$1:$C$136,3,FALSE)</f>
        <v>25</v>
      </c>
      <c r="AQ78" s="49">
        <f t="shared" si="1"/>
        <v>15</v>
      </c>
    </row>
    <row r="79" spans="1:43" x14ac:dyDescent="0.3">
      <c r="A79">
        <v>1652</v>
      </c>
      <c r="B79" s="49" t="s">
        <v>1766</v>
      </c>
      <c r="C79" s="49" t="s">
        <v>1750</v>
      </c>
      <c r="D79" s="49">
        <v>7235952330</v>
      </c>
      <c r="E79" s="49">
        <v>7</v>
      </c>
      <c r="F79" s="49">
        <v>23</v>
      </c>
      <c r="G79" s="49">
        <v>28</v>
      </c>
      <c r="H79" s="49" t="s">
        <v>840</v>
      </c>
      <c r="I79" s="49" t="s">
        <v>840</v>
      </c>
      <c r="J79" s="49" t="s">
        <v>840</v>
      </c>
      <c r="K79" s="49" t="s">
        <v>840</v>
      </c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>
        <f>VLOOKUP(D79,batch_lhd!$A$1:$C$136,2,FALSE)</f>
        <v>0</v>
      </c>
      <c r="AP79" s="49">
        <f>VLOOKUP(D79,batch_lhd!$A$1:$C$136,3,FALSE)</f>
        <v>0</v>
      </c>
      <c r="AQ79" s="49">
        <f t="shared" si="1"/>
        <v>15</v>
      </c>
    </row>
    <row r="80" spans="1:43" x14ac:dyDescent="0.3">
      <c r="A80">
        <v>1791</v>
      </c>
      <c r="B80" s="49" t="s">
        <v>2047</v>
      </c>
      <c r="C80" s="49" t="s">
        <v>2041</v>
      </c>
      <c r="D80" s="49" t="s">
        <v>578</v>
      </c>
      <c r="E80" s="49">
        <v>7</v>
      </c>
      <c r="F80" s="49">
        <v>27</v>
      </c>
      <c r="G80" s="49">
        <v>28</v>
      </c>
      <c r="H80" s="49" t="s">
        <v>840</v>
      </c>
      <c r="I80" s="49" t="s">
        <v>840</v>
      </c>
      <c r="J80" s="49" t="s">
        <v>840</v>
      </c>
      <c r="K80" s="49" t="s">
        <v>840</v>
      </c>
      <c r="L80" s="49">
        <v>1</v>
      </c>
      <c r="M80" s="49">
        <v>1</v>
      </c>
      <c r="N80" s="49">
        <v>1</v>
      </c>
      <c r="O80" s="49">
        <v>1</v>
      </c>
      <c r="P80" s="49">
        <v>1</v>
      </c>
      <c r="Q80" s="49">
        <v>1</v>
      </c>
      <c r="R80" s="49">
        <v>1</v>
      </c>
      <c r="S80" s="49">
        <v>1</v>
      </c>
      <c r="T80" s="49">
        <v>1</v>
      </c>
      <c r="U80" s="49">
        <v>1</v>
      </c>
      <c r="V80" s="49">
        <v>1</v>
      </c>
      <c r="W80" s="49">
        <v>1</v>
      </c>
      <c r="X80" s="49">
        <v>1</v>
      </c>
      <c r="Y80" s="49">
        <v>1</v>
      </c>
      <c r="Z80" s="49">
        <v>1</v>
      </c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 t="e">
        <f>VLOOKUP(D80,batch_lhd!$A$1:$C$136,2,FALSE)</f>
        <v>#N/A</v>
      </c>
      <c r="AP80" s="49" t="e">
        <f>VLOOKUP(D80,batch_lhd!$A$1:$C$136,3,FALSE)</f>
        <v>#N/A</v>
      </c>
      <c r="AQ80" s="49">
        <f t="shared" si="1"/>
        <v>15</v>
      </c>
    </row>
    <row r="81" spans="1:43" x14ac:dyDescent="0.3">
      <c r="A81">
        <v>1423</v>
      </c>
      <c r="B81" s="49" t="s">
        <v>1245</v>
      </c>
      <c r="C81" s="49" t="s">
        <v>75</v>
      </c>
      <c r="D81" s="49">
        <v>7075231930</v>
      </c>
      <c r="E81" s="49">
        <v>7</v>
      </c>
      <c r="F81" s="49">
        <v>19</v>
      </c>
      <c r="G81" s="49">
        <v>28</v>
      </c>
      <c r="H81" s="49" t="s">
        <v>840</v>
      </c>
      <c r="I81" s="49" t="s">
        <v>840</v>
      </c>
      <c r="J81" s="49" t="s">
        <v>840</v>
      </c>
      <c r="K81" s="49" t="s">
        <v>841</v>
      </c>
      <c r="L81" s="49">
        <v>1</v>
      </c>
      <c r="M81" s="49">
        <v>1</v>
      </c>
      <c r="N81" s="49">
        <v>1</v>
      </c>
      <c r="O81" s="49">
        <v>1</v>
      </c>
      <c r="P81" s="49">
        <v>1</v>
      </c>
      <c r="Q81" s="49">
        <v>1</v>
      </c>
      <c r="R81" s="49">
        <v>1</v>
      </c>
      <c r="S81" s="49">
        <v>1</v>
      </c>
      <c r="T81" s="49">
        <v>1</v>
      </c>
      <c r="U81" s="49">
        <v>1</v>
      </c>
      <c r="V81" s="49">
        <v>1</v>
      </c>
      <c r="W81" s="49">
        <v>1</v>
      </c>
      <c r="X81" s="49">
        <v>1</v>
      </c>
      <c r="Y81" s="49">
        <v>1</v>
      </c>
      <c r="Z81" s="49">
        <v>1</v>
      </c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>
        <f>VLOOKUP(D81,batch_lhd!$A$1:$C$136,2,FALSE)</f>
        <v>0</v>
      </c>
      <c r="AP81" s="49">
        <f>VLOOKUP(D81,batch_lhd!$A$1:$C$136,3,FALSE)</f>
        <v>8</v>
      </c>
      <c r="AQ81" s="49">
        <f t="shared" si="1"/>
        <v>15</v>
      </c>
    </row>
    <row r="82" spans="1:43" x14ac:dyDescent="0.3">
      <c r="A82">
        <v>1451</v>
      </c>
      <c r="B82" s="49" t="s">
        <v>1283</v>
      </c>
      <c r="C82" s="49" t="s">
        <v>187</v>
      </c>
      <c r="D82" s="49">
        <v>7247781730</v>
      </c>
      <c r="E82" s="49">
        <v>25</v>
      </c>
      <c r="F82" s="49">
        <v>19</v>
      </c>
      <c r="G82" s="49">
        <v>56</v>
      </c>
      <c r="H82" s="49" t="s">
        <v>840</v>
      </c>
      <c r="I82" s="49" t="s">
        <v>840</v>
      </c>
      <c r="J82" s="49" t="s">
        <v>840</v>
      </c>
      <c r="K82" s="49" t="s">
        <v>841</v>
      </c>
      <c r="L82" s="49">
        <v>1</v>
      </c>
      <c r="M82" s="49">
        <v>1</v>
      </c>
      <c r="N82" s="49">
        <v>1</v>
      </c>
      <c r="O82" s="49">
        <v>1</v>
      </c>
      <c r="P82" s="49">
        <v>1</v>
      </c>
      <c r="Q82" s="49">
        <v>1</v>
      </c>
      <c r="R82" s="49">
        <v>1</v>
      </c>
      <c r="S82" s="49">
        <v>1</v>
      </c>
      <c r="T82" s="49">
        <v>1</v>
      </c>
      <c r="U82" s="49">
        <v>1</v>
      </c>
      <c r="V82" s="49">
        <v>1</v>
      </c>
      <c r="W82" s="49">
        <v>1</v>
      </c>
      <c r="X82" s="49">
        <v>1</v>
      </c>
      <c r="Y82" s="49">
        <v>1</v>
      </c>
      <c r="Z82" s="49">
        <v>1</v>
      </c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>
        <f>VLOOKUP(D82,batch_lhd!$A$1:$C$136,2,FALSE)</f>
        <v>0</v>
      </c>
      <c r="AP82" s="49">
        <f>VLOOKUP(D82,batch_lhd!$A$1:$C$136,3,FALSE)</f>
        <v>0</v>
      </c>
      <c r="AQ82" s="49">
        <f t="shared" si="1"/>
        <v>30</v>
      </c>
    </row>
    <row r="83" spans="1:43" x14ac:dyDescent="0.3">
      <c r="A83">
        <v>1635</v>
      </c>
      <c r="B83" s="49" t="s">
        <v>1714</v>
      </c>
      <c r="C83" s="49" t="s">
        <v>161</v>
      </c>
      <c r="D83" s="49" t="s">
        <v>595</v>
      </c>
      <c r="E83" s="49">
        <v>7</v>
      </c>
      <c r="F83" s="49">
        <v>22</v>
      </c>
      <c r="G83" s="49">
        <v>28</v>
      </c>
      <c r="H83" s="49" t="s">
        <v>840</v>
      </c>
      <c r="I83" s="49" t="s">
        <v>840</v>
      </c>
      <c r="J83" s="49" t="s">
        <v>840</v>
      </c>
      <c r="K83" s="49" t="s">
        <v>841</v>
      </c>
      <c r="L83" s="49">
        <v>1</v>
      </c>
      <c r="M83" s="49">
        <v>1</v>
      </c>
      <c r="N83" s="49">
        <v>1</v>
      </c>
      <c r="O83" s="49">
        <v>1</v>
      </c>
      <c r="P83" s="49">
        <v>1</v>
      </c>
      <c r="Q83" s="49">
        <v>1</v>
      </c>
      <c r="R83" s="49">
        <v>1</v>
      </c>
      <c r="S83" s="49">
        <v>1</v>
      </c>
      <c r="T83" s="49">
        <v>1</v>
      </c>
      <c r="U83" s="49">
        <v>1</v>
      </c>
      <c r="V83" s="49">
        <v>1</v>
      </c>
      <c r="W83" s="49">
        <v>1</v>
      </c>
      <c r="X83" s="49">
        <v>1</v>
      </c>
      <c r="Y83" s="49">
        <v>1</v>
      </c>
      <c r="Z83" s="49">
        <v>1</v>
      </c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>
        <f>VLOOKUP(D83,batch_lhd!$A$1:$C$136,2,FALSE)</f>
        <v>71</v>
      </c>
      <c r="AP83" s="49">
        <f>VLOOKUP(D83,batch_lhd!$A$1:$C$136,3,FALSE)</f>
        <v>28</v>
      </c>
      <c r="AQ83" s="49">
        <f t="shared" si="1"/>
        <v>15</v>
      </c>
    </row>
    <row r="84" spans="1:43" x14ac:dyDescent="0.3">
      <c r="A84">
        <v>1645</v>
      </c>
      <c r="B84" s="49" t="s">
        <v>1717</v>
      </c>
      <c r="C84" s="49" t="s">
        <v>969</v>
      </c>
      <c r="D84" s="49">
        <v>7289982670</v>
      </c>
      <c r="E84" s="49">
        <v>7</v>
      </c>
      <c r="F84" s="49">
        <v>22</v>
      </c>
      <c r="G84" s="49">
        <v>28</v>
      </c>
      <c r="H84" s="49" t="s">
        <v>840</v>
      </c>
      <c r="I84" s="49" t="s">
        <v>840</v>
      </c>
      <c r="J84" s="49" t="s">
        <v>840</v>
      </c>
      <c r="K84" s="49" t="s">
        <v>841</v>
      </c>
      <c r="L84" s="49">
        <v>1</v>
      </c>
      <c r="M84" s="49">
        <v>1</v>
      </c>
      <c r="N84" s="49">
        <v>1</v>
      </c>
      <c r="O84" s="49">
        <v>1</v>
      </c>
      <c r="P84" s="49">
        <v>1</v>
      </c>
      <c r="Q84" s="49">
        <v>1</v>
      </c>
      <c r="R84" s="49">
        <v>1</v>
      </c>
      <c r="S84" s="49">
        <v>1</v>
      </c>
      <c r="T84" s="49">
        <v>1</v>
      </c>
      <c r="U84" s="49">
        <v>1</v>
      </c>
      <c r="V84" s="49">
        <v>1</v>
      </c>
      <c r="W84" s="49">
        <v>1</v>
      </c>
      <c r="X84" s="49">
        <v>1</v>
      </c>
      <c r="Y84" s="49">
        <v>1</v>
      </c>
      <c r="Z84" s="49">
        <v>1</v>
      </c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>
        <f>VLOOKUP(D84,batch_lhd!$A$1:$C$136,2,FALSE)</f>
        <v>196</v>
      </c>
      <c r="AP84" s="49">
        <f>VLOOKUP(D84,batch_lhd!$A$1:$C$136,3,FALSE)</f>
        <v>11</v>
      </c>
      <c r="AQ84" s="49">
        <f t="shared" si="1"/>
        <v>15</v>
      </c>
    </row>
    <row r="85" spans="1:43" x14ac:dyDescent="0.3">
      <c r="A85">
        <v>1650</v>
      </c>
      <c r="B85" s="49" t="s">
        <v>1770</v>
      </c>
      <c r="C85" s="49" t="s">
        <v>148</v>
      </c>
      <c r="D85" s="49" t="s">
        <v>244</v>
      </c>
      <c r="E85" s="49">
        <v>7</v>
      </c>
      <c r="F85" s="49">
        <v>23</v>
      </c>
      <c r="G85" s="49">
        <v>28</v>
      </c>
      <c r="H85" s="49" t="s">
        <v>840</v>
      </c>
      <c r="I85" s="49" t="s">
        <v>840</v>
      </c>
      <c r="J85" s="49" t="s">
        <v>840</v>
      </c>
      <c r="K85" s="49" t="s">
        <v>841</v>
      </c>
      <c r="L85" s="49">
        <v>1</v>
      </c>
      <c r="M85" s="49">
        <v>1</v>
      </c>
      <c r="N85" s="49">
        <v>1</v>
      </c>
      <c r="O85" s="49">
        <v>1</v>
      </c>
      <c r="P85" s="49">
        <v>1</v>
      </c>
      <c r="Q85" s="49">
        <v>1</v>
      </c>
      <c r="R85" s="49">
        <v>1</v>
      </c>
      <c r="S85" s="49">
        <v>1</v>
      </c>
      <c r="T85" s="49">
        <v>1</v>
      </c>
      <c r="U85" s="49">
        <v>1</v>
      </c>
      <c r="V85" s="49">
        <v>1</v>
      </c>
      <c r="W85" s="49">
        <v>1</v>
      </c>
      <c r="X85" s="49">
        <v>1</v>
      </c>
      <c r="Y85" s="49">
        <v>1</v>
      </c>
      <c r="Z85" s="49">
        <v>1</v>
      </c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>
        <v>163</v>
      </c>
      <c r="AO85" s="49">
        <f>VLOOKUP(D85,batch_lhd!$A$1:$C$136,2,FALSE)</f>
        <v>163</v>
      </c>
      <c r="AP85" s="49">
        <f>VLOOKUP(D85,batch_lhd!$A$1:$C$136,3,FALSE)</f>
        <v>24</v>
      </c>
      <c r="AQ85" s="49">
        <f t="shared" si="1"/>
        <v>15</v>
      </c>
    </row>
    <row r="86" spans="1:43" x14ac:dyDescent="0.3">
      <c r="A86">
        <v>1756</v>
      </c>
      <c r="B86" s="49" t="s">
        <v>2024</v>
      </c>
      <c r="C86" s="49" t="s">
        <v>2019</v>
      </c>
      <c r="D86" s="49" t="s">
        <v>224</v>
      </c>
      <c r="E86" s="49">
        <v>7</v>
      </c>
      <c r="F86" s="49">
        <v>26</v>
      </c>
      <c r="G86" s="49">
        <v>28</v>
      </c>
      <c r="H86" s="49" t="s">
        <v>840</v>
      </c>
      <c r="I86" s="49" t="s">
        <v>840</v>
      </c>
      <c r="J86" s="49" t="s">
        <v>840</v>
      </c>
      <c r="K86" s="49" t="s">
        <v>840</v>
      </c>
      <c r="L86" s="49">
        <v>1</v>
      </c>
      <c r="M86" s="49">
        <v>1</v>
      </c>
      <c r="N86" s="49">
        <v>1</v>
      </c>
      <c r="O86" s="49">
        <v>1</v>
      </c>
      <c r="P86" s="49">
        <v>1</v>
      </c>
      <c r="Q86" s="49">
        <v>1</v>
      </c>
      <c r="R86" s="49">
        <v>1</v>
      </c>
      <c r="S86" s="49">
        <v>1</v>
      </c>
      <c r="T86" s="49">
        <v>1</v>
      </c>
      <c r="U86" s="49">
        <v>1</v>
      </c>
      <c r="V86" s="49">
        <v>1</v>
      </c>
      <c r="W86" s="49">
        <v>1</v>
      </c>
      <c r="X86" s="49">
        <v>1</v>
      </c>
      <c r="Y86" s="49">
        <v>1</v>
      </c>
      <c r="Z86" s="49">
        <v>1</v>
      </c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>
        <f>VLOOKUP(D86,batch_lhd!$A$1:$C$136,2,FALSE)</f>
        <v>101</v>
      </c>
      <c r="AP86" s="49">
        <f>VLOOKUP(D86,batch_lhd!$A$1:$C$136,3,FALSE)</f>
        <v>13</v>
      </c>
      <c r="AQ86" s="49">
        <f t="shared" si="1"/>
        <v>15</v>
      </c>
    </row>
    <row r="87" spans="1:43" x14ac:dyDescent="0.3">
      <c r="A87">
        <v>1429</v>
      </c>
      <c r="B87" s="49" t="s">
        <v>1255</v>
      </c>
      <c r="C87" s="49" t="s">
        <v>103</v>
      </c>
      <c r="D87" s="49" t="s">
        <v>221</v>
      </c>
      <c r="E87" s="49">
        <v>7</v>
      </c>
      <c r="F87" s="49">
        <v>19</v>
      </c>
      <c r="G87" s="49">
        <v>28</v>
      </c>
      <c r="H87" s="49" t="s">
        <v>840</v>
      </c>
      <c r="I87" s="49" t="s">
        <v>840</v>
      </c>
      <c r="J87" s="49" t="s">
        <v>840</v>
      </c>
      <c r="K87" s="49" t="s">
        <v>841</v>
      </c>
      <c r="L87" s="49">
        <v>1</v>
      </c>
      <c r="M87" s="49">
        <v>1</v>
      </c>
      <c r="N87" s="49">
        <v>1</v>
      </c>
      <c r="O87" s="49">
        <v>1</v>
      </c>
      <c r="P87" s="49">
        <v>1</v>
      </c>
      <c r="Q87" s="49">
        <v>1</v>
      </c>
      <c r="R87" s="49">
        <v>1</v>
      </c>
      <c r="S87" s="49">
        <v>1</v>
      </c>
      <c r="T87" s="49">
        <v>1</v>
      </c>
      <c r="U87" s="49">
        <v>1</v>
      </c>
      <c r="V87" s="49">
        <v>1</v>
      </c>
      <c r="W87" s="49">
        <v>1</v>
      </c>
      <c r="X87" s="49">
        <v>1</v>
      </c>
      <c r="Y87" s="49">
        <v>1</v>
      </c>
      <c r="Z87" s="49">
        <v>1</v>
      </c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>
        <f>VLOOKUP(D87,batch_lhd!$A$1:$C$136,2,FALSE)</f>
        <v>94</v>
      </c>
      <c r="AP87" s="49">
        <f>VLOOKUP(D87,batch_lhd!$A$1:$C$136,3,FALSE)</f>
        <v>16</v>
      </c>
      <c r="AQ87" s="49">
        <f t="shared" si="1"/>
        <v>15</v>
      </c>
    </row>
    <row r="88" spans="1:43" x14ac:dyDescent="0.3">
      <c r="A88">
        <v>1432</v>
      </c>
      <c r="B88" s="49" t="s">
        <v>1260</v>
      </c>
      <c r="C88" s="49" t="s">
        <v>118</v>
      </c>
      <c r="D88" s="49">
        <v>71988082</v>
      </c>
      <c r="E88" s="49">
        <v>7</v>
      </c>
      <c r="F88" s="49">
        <v>19</v>
      </c>
      <c r="G88" s="49">
        <v>28</v>
      </c>
      <c r="H88" s="49" t="s">
        <v>840</v>
      </c>
      <c r="I88" s="49" t="s">
        <v>840</v>
      </c>
      <c r="J88" s="49" t="s">
        <v>840</v>
      </c>
      <c r="K88" s="49" t="s">
        <v>841</v>
      </c>
      <c r="L88" s="49">
        <v>1</v>
      </c>
      <c r="M88" s="49">
        <v>1</v>
      </c>
      <c r="N88" s="49">
        <v>1</v>
      </c>
      <c r="O88" s="49">
        <v>1</v>
      </c>
      <c r="P88" s="49">
        <v>1</v>
      </c>
      <c r="Q88" s="49">
        <v>1</v>
      </c>
      <c r="R88" s="49">
        <v>1</v>
      </c>
      <c r="S88" s="49">
        <v>1</v>
      </c>
      <c r="T88" s="49">
        <v>1</v>
      </c>
      <c r="U88" s="49">
        <v>1</v>
      </c>
      <c r="V88" s="49">
        <v>1</v>
      </c>
      <c r="W88" s="49">
        <v>1</v>
      </c>
      <c r="X88" s="49">
        <v>1</v>
      </c>
      <c r="Y88" s="49">
        <v>1</v>
      </c>
      <c r="Z88" s="49">
        <v>1</v>
      </c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>
        <f>VLOOKUP(D88,batch_lhd!$A$1:$C$136,2,FALSE)</f>
        <v>528</v>
      </c>
      <c r="AP88" s="49">
        <f>VLOOKUP(D88,batch_lhd!$A$1:$C$136,3,FALSE)</f>
        <v>3</v>
      </c>
      <c r="AQ88" s="49">
        <f t="shared" si="1"/>
        <v>15</v>
      </c>
    </row>
    <row r="89" spans="1:43" x14ac:dyDescent="0.3">
      <c r="A89">
        <v>1456</v>
      </c>
      <c r="B89" s="49" t="s">
        <v>1298</v>
      </c>
      <c r="C89" s="49" t="s">
        <v>288</v>
      </c>
      <c r="D89" s="49" t="s">
        <v>598</v>
      </c>
      <c r="E89" s="49">
        <v>7</v>
      </c>
      <c r="F89" s="49">
        <v>19</v>
      </c>
      <c r="G89" s="49">
        <v>28</v>
      </c>
      <c r="H89" s="49" t="s">
        <v>840</v>
      </c>
      <c r="I89" s="49" t="s">
        <v>840</v>
      </c>
      <c r="J89" s="49" t="s">
        <v>840</v>
      </c>
      <c r="K89" s="49" t="s">
        <v>841</v>
      </c>
      <c r="L89" s="49">
        <v>1</v>
      </c>
      <c r="M89" s="49">
        <v>1</v>
      </c>
      <c r="N89" s="49">
        <v>1</v>
      </c>
      <c r="O89" s="49">
        <v>1</v>
      </c>
      <c r="P89" s="49">
        <v>1</v>
      </c>
      <c r="Q89" s="49">
        <v>1</v>
      </c>
      <c r="R89" s="49">
        <v>1</v>
      </c>
      <c r="S89" s="49">
        <v>1</v>
      </c>
      <c r="T89" s="49">
        <v>1</v>
      </c>
      <c r="U89" s="49">
        <v>1</v>
      </c>
      <c r="V89" s="49">
        <v>1</v>
      </c>
      <c r="W89" s="49">
        <v>1</v>
      </c>
      <c r="X89" s="49">
        <v>1</v>
      </c>
      <c r="Y89" s="49">
        <v>1</v>
      </c>
      <c r="Z89" s="49">
        <v>1</v>
      </c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>
        <f>VLOOKUP(D89,batch_lhd!$A$1:$C$136,2,FALSE)</f>
        <v>89</v>
      </c>
      <c r="AP89" s="49">
        <f>VLOOKUP(D89,batch_lhd!$A$1:$C$136,3,FALSE)</f>
        <v>25</v>
      </c>
      <c r="AQ89" s="49">
        <f t="shared" si="1"/>
        <v>15</v>
      </c>
    </row>
    <row r="90" spans="1:43" x14ac:dyDescent="0.3">
      <c r="A90">
        <v>1463</v>
      </c>
      <c r="B90" s="49" t="s">
        <v>1290</v>
      </c>
      <c r="C90" s="49" t="s">
        <v>968</v>
      </c>
      <c r="D90" s="49">
        <v>7035990930</v>
      </c>
      <c r="E90" s="49">
        <v>7</v>
      </c>
      <c r="F90" s="49">
        <v>19</v>
      </c>
      <c r="G90" s="49">
        <v>28</v>
      </c>
      <c r="H90" s="49" t="s">
        <v>840</v>
      </c>
      <c r="I90" s="49" t="s">
        <v>840</v>
      </c>
      <c r="J90" s="49" t="s">
        <v>840</v>
      </c>
      <c r="K90" s="49" t="s">
        <v>841</v>
      </c>
      <c r="L90" s="49">
        <v>1</v>
      </c>
      <c r="M90" s="49">
        <v>1</v>
      </c>
      <c r="N90" s="49">
        <v>1</v>
      </c>
      <c r="O90" s="49">
        <v>1</v>
      </c>
      <c r="P90" s="49">
        <v>1</v>
      </c>
      <c r="Q90" s="49">
        <v>1</v>
      </c>
      <c r="R90" s="49">
        <v>1</v>
      </c>
      <c r="S90" s="49">
        <v>1</v>
      </c>
      <c r="T90" s="49">
        <v>1</v>
      </c>
      <c r="U90" s="49">
        <v>1</v>
      </c>
      <c r="V90" s="49">
        <v>1</v>
      </c>
      <c r="W90" s="49">
        <v>1</v>
      </c>
      <c r="X90" s="49">
        <v>1</v>
      </c>
      <c r="Y90" s="49">
        <v>1</v>
      </c>
      <c r="Z90" s="49">
        <v>1</v>
      </c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>
        <f>VLOOKUP(D90,batch_lhd!$A$1:$C$136,2,FALSE)</f>
        <v>0</v>
      </c>
      <c r="AP90" s="49">
        <f>VLOOKUP(D90,batch_lhd!$A$1:$C$136,3,FALSE)</f>
        <v>0</v>
      </c>
      <c r="AQ90" s="49">
        <f t="shared" si="1"/>
        <v>15</v>
      </c>
    </row>
    <row r="91" spans="1:43" x14ac:dyDescent="0.3">
      <c r="A91">
        <v>1628</v>
      </c>
      <c r="B91" s="49" t="s">
        <v>1721</v>
      </c>
      <c r="C91" s="49" t="s">
        <v>744</v>
      </c>
      <c r="D91" s="49">
        <v>71986562</v>
      </c>
      <c r="E91" s="49">
        <v>7</v>
      </c>
      <c r="F91" s="49">
        <v>22</v>
      </c>
      <c r="G91" s="49">
        <v>28</v>
      </c>
      <c r="H91" s="49" t="s">
        <v>840</v>
      </c>
      <c r="I91" s="49" t="s">
        <v>840</v>
      </c>
      <c r="J91" s="49" t="s">
        <v>840</v>
      </c>
      <c r="K91" s="49" t="s">
        <v>841</v>
      </c>
      <c r="L91" s="49">
        <v>1</v>
      </c>
      <c r="M91" s="49">
        <v>1</v>
      </c>
      <c r="N91" s="49">
        <v>1</v>
      </c>
      <c r="O91" s="49">
        <v>1</v>
      </c>
      <c r="P91" s="49">
        <v>1</v>
      </c>
      <c r="Q91" s="49">
        <v>1</v>
      </c>
      <c r="R91" s="49">
        <v>1</v>
      </c>
      <c r="S91" s="49">
        <v>1</v>
      </c>
      <c r="T91" s="49">
        <v>1</v>
      </c>
      <c r="U91" s="49">
        <v>1</v>
      </c>
      <c r="V91" s="49">
        <v>1</v>
      </c>
      <c r="W91" s="49">
        <v>1</v>
      </c>
      <c r="X91" s="49">
        <v>1</v>
      </c>
      <c r="Y91" s="49">
        <v>1</v>
      </c>
      <c r="Z91" s="49">
        <v>1</v>
      </c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>
        <f>VLOOKUP(D91,batch_lhd!$A$1:$C$136,2,FALSE)</f>
        <v>244</v>
      </c>
      <c r="AP91" s="49">
        <f>VLOOKUP(D91,batch_lhd!$A$1:$C$136,3,FALSE)</f>
        <v>32</v>
      </c>
      <c r="AQ91" s="49">
        <f t="shared" si="1"/>
        <v>15</v>
      </c>
    </row>
    <row r="92" spans="1:43" x14ac:dyDescent="0.3">
      <c r="A92">
        <v>1476</v>
      </c>
      <c r="B92" s="49" t="s">
        <v>1333</v>
      </c>
      <c r="C92" s="49" t="s">
        <v>953</v>
      </c>
      <c r="D92" s="49">
        <v>7252785330</v>
      </c>
      <c r="E92" s="49">
        <v>25</v>
      </c>
      <c r="F92" s="49">
        <v>20</v>
      </c>
      <c r="G92" s="49">
        <v>112</v>
      </c>
      <c r="H92" s="49" t="s">
        <v>840</v>
      </c>
      <c r="I92" s="49" t="s">
        <v>840</v>
      </c>
      <c r="J92" s="49" t="s">
        <v>840</v>
      </c>
      <c r="K92" s="49" t="s">
        <v>840</v>
      </c>
      <c r="L92" s="49">
        <v>1</v>
      </c>
      <c r="M92" s="49">
        <v>1</v>
      </c>
      <c r="N92" s="49">
        <v>1</v>
      </c>
      <c r="O92" s="49">
        <v>1</v>
      </c>
      <c r="P92" s="49">
        <v>1</v>
      </c>
      <c r="Q92" s="49">
        <v>1</v>
      </c>
      <c r="R92" s="49">
        <v>1</v>
      </c>
      <c r="S92" s="49">
        <v>1</v>
      </c>
      <c r="T92" s="49">
        <v>1</v>
      </c>
      <c r="U92" s="49">
        <v>1</v>
      </c>
      <c r="V92" s="49">
        <v>1</v>
      </c>
      <c r="W92" s="49">
        <v>1</v>
      </c>
      <c r="X92" s="49">
        <v>1</v>
      </c>
      <c r="Y92" s="49">
        <v>1</v>
      </c>
      <c r="Z92" s="49">
        <v>1</v>
      </c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>
        <f>VLOOKUP(D92,batch_lhd!$A$1:$C$136,2,FALSE)</f>
        <v>0</v>
      </c>
      <c r="AP92" s="49">
        <f>VLOOKUP(D92,batch_lhd!$A$1:$C$136,3,FALSE)</f>
        <v>0</v>
      </c>
      <c r="AQ92" s="49">
        <f t="shared" si="1"/>
        <v>60</v>
      </c>
    </row>
    <row r="93" spans="1:43" x14ac:dyDescent="0.3">
      <c r="A93">
        <v>1636</v>
      </c>
      <c r="B93" s="49" t="s">
        <v>1725</v>
      </c>
      <c r="C93" s="49" t="s">
        <v>170</v>
      </c>
      <c r="D93" s="49" t="s">
        <v>260</v>
      </c>
      <c r="E93" s="49">
        <v>7</v>
      </c>
      <c r="F93" s="49">
        <v>22</v>
      </c>
      <c r="G93" s="49">
        <v>28</v>
      </c>
      <c r="H93" s="49" t="s">
        <v>840</v>
      </c>
      <c r="I93" s="49" t="s">
        <v>840</v>
      </c>
      <c r="J93" s="49" t="s">
        <v>840</v>
      </c>
      <c r="K93" s="49" t="s">
        <v>841</v>
      </c>
      <c r="L93" s="49">
        <v>1</v>
      </c>
      <c r="M93" s="49">
        <v>1</v>
      </c>
      <c r="N93" s="49">
        <v>1</v>
      </c>
      <c r="O93" s="49">
        <v>1</v>
      </c>
      <c r="P93" s="49">
        <v>1</v>
      </c>
      <c r="Q93" s="49">
        <v>1</v>
      </c>
      <c r="R93" s="49">
        <v>1</v>
      </c>
      <c r="S93" s="49">
        <v>1</v>
      </c>
      <c r="T93" s="49">
        <v>1</v>
      </c>
      <c r="U93" s="49">
        <v>1</v>
      </c>
      <c r="V93" s="49">
        <v>1</v>
      </c>
      <c r="W93" s="49">
        <v>1</v>
      </c>
      <c r="X93" s="49">
        <v>1</v>
      </c>
      <c r="Y93" s="49">
        <v>1</v>
      </c>
      <c r="Z93" s="49">
        <v>1</v>
      </c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>
        <f>VLOOKUP(D93,batch_lhd!$A$1:$C$136,2,FALSE)</f>
        <v>407</v>
      </c>
      <c r="AP93" s="49">
        <f>VLOOKUP(D93,batch_lhd!$A$1:$C$136,3,FALSE)</f>
        <v>22</v>
      </c>
      <c r="AQ93" s="49">
        <f t="shared" si="1"/>
        <v>15</v>
      </c>
    </row>
    <row r="94" spans="1:43" x14ac:dyDescent="0.3">
      <c r="A94">
        <v>1646</v>
      </c>
      <c r="B94" s="49" t="s">
        <v>1723</v>
      </c>
      <c r="C94" s="49" t="s">
        <v>963</v>
      </c>
      <c r="D94" s="49">
        <v>7075181330</v>
      </c>
      <c r="E94" s="49">
        <v>7</v>
      </c>
      <c r="F94" s="49">
        <v>22</v>
      </c>
      <c r="G94" s="49">
        <v>28</v>
      </c>
      <c r="H94" s="49" t="s">
        <v>840</v>
      </c>
      <c r="I94" s="49" t="s">
        <v>840</v>
      </c>
      <c r="J94" s="49" t="s">
        <v>840</v>
      </c>
      <c r="K94" s="49" t="s">
        <v>841</v>
      </c>
      <c r="L94" s="49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  <c r="S94" s="49">
        <v>1</v>
      </c>
      <c r="T94" s="49">
        <v>1</v>
      </c>
      <c r="U94" s="49">
        <v>1</v>
      </c>
      <c r="V94" s="49">
        <v>1</v>
      </c>
      <c r="W94" s="49">
        <v>1</v>
      </c>
      <c r="X94" s="49">
        <v>1</v>
      </c>
      <c r="Y94" s="49">
        <v>1</v>
      </c>
      <c r="Z94" s="49">
        <v>1</v>
      </c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>
        <f>VLOOKUP(D94,batch_lhd!$A$1:$C$136,2,FALSE)</f>
        <v>0</v>
      </c>
      <c r="AP94" s="49">
        <f>VLOOKUP(D94,batch_lhd!$A$1:$C$136,3,FALSE)</f>
        <v>29</v>
      </c>
      <c r="AQ94" s="49">
        <f t="shared" si="1"/>
        <v>15</v>
      </c>
    </row>
    <row r="95" spans="1:43" x14ac:dyDescent="0.3">
      <c r="A95">
        <v>1449</v>
      </c>
      <c r="B95" s="49" t="s">
        <v>1281</v>
      </c>
      <c r="C95" s="49" t="s">
        <v>172</v>
      </c>
      <c r="D95" s="49">
        <v>7047186030</v>
      </c>
      <c r="E95" s="49">
        <v>25</v>
      </c>
      <c r="F95" s="49">
        <v>19</v>
      </c>
      <c r="G95" s="49">
        <v>840</v>
      </c>
      <c r="H95" s="49" t="s">
        <v>840</v>
      </c>
      <c r="I95" s="49" t="s">
        <v>840</v>
      </c>
      <c r="J95" s="49" t="s">
        <v>840</v>
      </c>
      <c r="K95" s="49" t="s">
        <v>841</v>
      </c>
      <c r="L95" s="49">
        <v>1</v>
      </c>
      <c r="M95" s="49">
        <v>1</v>
      </c>
      <c r="N95" s="49">
        <v>1</v>
      </c>
      <c r="O95" s="49">
        <v>1</v>
      </c>
      <c r="P95" s="49">
        <v>1</v>
      </c>
      <c r="Q95" s="49">
        <v>1</v>
      </c>
      <c r="R95" s="49">
        <v>1</v>
      </c>
      <c r="S95" s="49">
        <v>1</v>
      </c>
      <c r="T95" s="49">
        <v>1</v>
      </c>
      <c r="U95" s="49">
        <v>1</v>
      </c>
      <c r="V95" s="49">
        <v>1</v>
      </c>
      <c r="W95" s="49">
        <v>1</v>
      </c>
      <c r="X95" s="49">
        <v>1</v>
      </c>
      <c r="Y95" s="49">
        <v>1</v>
      </c>
      <c r="Z95" s="49">
        <v>1</v>
      </c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>
        <f>VLOOKUP(D95,batch_lhd!$A$1:$C$136,2,FALSE)</f>
        <v>0</v>
      </c>
      <c r="AP95" s="49">
        <f>VLOOKUP(D95,batch_lhd!$A$1:$C$136,3,FALSE)</f>
        <v>0</v>
      </c>
      <c r="AQ95" s="49">
        <f t="shared" si="1"/>
        <v>450</v>
      </c>
    </row>
    <row r="96" spans="1:43" x14ac:dyDescent="0.3">
      <c r="A96">
        <v>1457</v>
      </c>
      <c r="B96" s="49" t="s">
        <v>1299</v>
      </c>
      <c r="C96" s="49" t="s">
        <v>831</v>
      </c>
      <c r="D96" s="49">
        <v>7035990430</v>
      </c>
      <c r="E96" s="49">
        <v>7</v>
      </c>
      <c r="F96" s="49">
        <v>19</v>
      </c>
      <c r="G96" s="49">
        <v>56</v>
      </c>
      <c r="H96" s="49" t="s">
        <v>840</v>
      </c>
      <c r="I96" s="49" t="s">
        <v>840</v>
      </c>
      <c r="J96" s="49" t="s">
        <v>840</v>
      </c>
      <c r="K96" s="49" t="s">
        <v>841</v>
      </c>
      <c r="L96" s="49">
        <v>1</v>
      </c>
      <c r="M96" s="49">
        <v>1</v>
      </c>
      <c r="N96" s="49">
        <v>1</v>
      </c>
      <c r="O96" s="49">
        <v>1</v>
      </c>
      <c r="P96" s="49">
        <v>1</v>
      </c>
      <c r="Q96" s="49">
        <v>1</v>
      </c>
      <c r="R96" s="49">
        <v>1</v>
      </c>
      <c r="S96" s="49">
        <v>1</v>
      </c>
      <c r="T96" s="49">
        <v>1</v>
      </c>
      <c r="U96" s="49">
        <v>1</v>
      </c>
      <c r="V96" s="49">
        <v>1</v>
      </c>
      <c r="W96" s="49">
        <v>1</v>
      </c>
      <c r="X96" s="49">
        <v>1</v>
      </c>
      <c r="Y96" s="49">
        <v>1</v>
      </c>
      <c r="Z96" s="49">
        <v>1</v>
      </c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>
        <f>VLOOKUP(D96,batch_lhd!$A$1:$C$136,2,FALSE)</f>
        <v>0</v>
      </c>
      <c r="AP96" s="49" t="str">
        <f>VLOOKUP(D96,batch_lhd!$A$1:$C$136,3,FALSE)</f>
        <v>9, 21</v>
      </c>
      <c r="AQ96" s="49">
        <f t="shared" si="1"/>
        <v>30</v>
      </c>
    </row>
    <row r="97" spans="1:43" x14ac:dyDescent="0.3">
      <c r="A97">
        <v>1758</v>
      </c>
      <c r="B97" s="49" t="s">
        <v>2026</v>
      </c>
      <c r="C97" s="49" t="s">
        <v>2021</v>
      </c>
      <c r="D97" s="49" t="s">
        <v>218</v>
      </c>
      <c r="E97" s="49">
        <v>7</v>
      </c>
      <c r="F97" s="49">
        <v>26</v>
      </c>
      <c r="G97" s="49">
        <v>28</v>
      </c>
      <c r="H97" s="49" t="s">
        <v>840</v>
      </c>
      <c r="I97" s="49" t="s">
        <v>840</v>
      </c>
      <c r="J97" s="49" t="s">
        <v>840</v>
      </c>
      <c r="K97" s="49" t="s">
        <v>840</v>
      </c>
      <c r="L97" s="97">
        <v>1</v>
      </c>
      <c r="M97" s="97">
        <v>1</v>
      </c>
      <c r="N97" s="97">
        <v>1</v>
      </c>
      <c r="O97" s="97">
        <v>1</v>
      </c>
      <c r="P97" s="97">
        <v>1</v>
      </c>
      <c r="Q97" s="97">
        <v>1</v>
      </c>
      <c r="R97" s="97">
        <v>1</v>
      </c>
      <c r="S97" s="97">
        <v>1</v>
      </c>
      <c r="T97" s="97">
        <v>1</v>
      </c>
      <c r="U97" s="97">
        <v>1</v>
      </c>
      <c r="V97" s="97">
        <v>1</v>
      </c>
      <c r="W97" s="97">
        <v>1</v>
      </c>
      <c r="X97" s="97">
        <v>1</v>
      </c>
      <c r="Y97" s="97">
        <v>1</v>
      </c>
      <c r="Z97" s="97">
        <v>1</v>
      </c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>
        <f>VLOOKUP(D97,batch_lhd!$A$1:$C$136,2,FALSE)</f>
        <v>397</v>
      </c>
      <c r="AP97" s="49">
        <f>VLOOKUP(D97,batch_lhd!$A$1:$C$136,3,FALSE)</f>
        <v>8</v>
      </c>
      <c r="AQ97" s="49">
        <f t="shared" si="1"/>
        <v>15</v>
      </c>
    </row>
    <row r="98" spans="1:43" x14ac:dyDescent="0.3">
      <c r="A98">
        <v>1469</v>
      </c>
      <c r="B98" s="49" t="s">
        <v>1337</v>
      </c>
      <c r="C98" s="49" t="s">
        <v>972</v>
      </c>
      <c r="D98" s="49">
        <v>7052161430</v>
      </c>
      <c r="E98" s="49">
        <v>25</v>
      </c>
      <c r="F98" s="49">
        <v>20</v>
      </c>
      <c r="G98" s="49">
        <v>28</v>
      </c>
      <c r="H98" s="49" t="s">
        <v>840</v>
      </c>
      <c r="I98" s="49" t="s">
        <v>840</v>
      </c>
      <c r="J98" s="49" t="s">
        <v>840</v>
      </c>
      <c r="K98" s="49" t="s">
        <v>840</v>
      </c>
      <c r="L98" s="49">
        <v>1</v>
      </c>
      <c r="M98" s="49">
        <v>1</v>
      </c>
      <c r="N98" s="49">
        <v>1</v>
      </c>
      <c r="O98" s="49">
        <v>1</v>
      </c>
      <c r="P98" s="49">
        <v>1</v>
      </c>
      <c r="Q98" s="49">
        <v>1</v>
      </c>
      <c r="R98" s="49">
        <v>1</v>
      </c>
      <c r="S98" s="49">
        <v>1</v>
      </c>
      <c r="T98" s="49">
        <v>1</v>
      </c>
      <c r="U98" s="49">
        <v>1</v>
      </c>
      <c r="V98" s="49">
        <v>1</v>
      </c>
      <c r="W98" s="49">
        <v>1</v>
      </c>
      <c r="X98" s="49">
        <v>1</v>
      </c>
      <c r="Y98" s="49">
        <v>1</v>
      </c>
      <c r="Z98" s="49">
        <v>1</v>
      </c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 t="e">
        <f>VLOOKUP(D98,batch_lhd!$A$1:$C$136,2,FALSE)</f>
        <v>#N/A</v>
      </c>
      <c r="AP98" s="49" t="e">
        <f>VLOOKUP(D98,batch_lhd!$A$1:$C$136,3,FALSE)</f>
        <v>#N/A</v>
      </c>
      <c r="AQ98" s="49">
        <f t="shared" si="1"/>
        <v>15</v>
      </c>
    </row>
    <row r="99" spans="1:43" x14ac:dyDescent="0.3">
      <c r="A99">
        <v>1431</v>
      </c>
      <c r="B99" s="49" t="s">
        <v>1258</v>
      </c>
      <c r="C99" s="49" t="s">
        <v>117</v>
      </c>
      <c r="D99" s="49">
        <v>7198796290</v>
      </c>
      <c r="E99" s="49">
        <v>7</v>
      </c>
      <c r="F99" s="49">
        <v>19</v>
      </c>
      <c r="G99" s="49">
        <v>56</v>
      </c>
      <c r="H99" s="49" t="s">
        <v>840</v>
      </c>
      <c r="I99" s="49" t="s">
        <v>840</v>
      </c>
      <c r="J99" s="49" t="s">
        <v>840</v>
      </c>
      <c r="K99" s="49" t="s">
        <v>841</v>
      </c>
      <c r="L99" s="49">
        <v>1</v>
      </c>
      <c r="M99" s="49">
        <v>1</v>
      </c>
      <c r="N99" s="49">
        <v>1</v>
      </c>
      <c r="O99" s="49">
        <v>1</v>
      </c>
      <c r="P99" s="49">
        <v>1</v>
      </c>
      <c r="Q99" s="49">
        <v>1</v>
      </c>
      <c r="R99" s="49">
        <v>1</v>
      </c>
      <c r="S99" s="49">
        <v>1</v>
      </c>
      <c r="T99" s="49">
        <v>1</v>
      </c>
      <c r="U99" s="49">
        <v>1</v>
      </c>
      <c r="V99" s="49">
        <v>1</v>
      </c>
      <c r="W99" s="49">
        <v>1</v>
      </c>
      <c r="X99" s="49">
        <v>1</v>
      </c>
      <c r="Y99" s="49">
        <v>1</v>
      </c>
      <c r="Z99" s="49">
        <v>1</v>
      </c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 t="str">
        <f>VLOOKUP(D99,batch_lhd!$A$1:$C$136,2,FALSE)</f>
        <v>386, 108</v>
      </c>
      <c r="AP99" s="49" t="str">
        <f>VLOOKUP(D99,batch_lhd!$A$1:$C$136,3,FALSE)</f>
        <v>11, 11</v>
      </c>
      <c r="AQ99" s="49">
        <f t="shared" si="1"/>
        <v>30</v>
      </c>
    </row>
    <row r="100" spans="1:43" x14ac:dyDescent="0.3">
      <c r="A100">
        <v>1461</v>
      </c>
      <c r="B100" s="49" t="s">
        <v>1301</v>
      </c>
      <c r="C100" s="49" t="s">
        <v>856</v>
      </c>
      <c r="D100" s="49">
        <v>7003756102</v>
      </c>
      <c r="E100" s="49">
        <v>7</v>
      </c>
      <c r="F100" s="49">
        <v>19</v>
      </c>
      <c r="G100" s="49">
        <v>28</v>
      </c>
      <c r="H100" s="49" t="s">
        <v>840</v>
      </c>
      <c r="I100" s="49" t="s">
        <v>840</v>
      </c>
      <c r="J100" s="49" t="s">
        <v>840</v>
      </c>
      <c r="K100" s="49" t="s">
        <v>840</v>
      </c>
      <c r="L100" s="49">
        <v>1</v>
      </c>
      <c r="M100" s="49">
        <v>1</v>
      </c>
      <c r="N100" s="49">
        <v>1</v>
      </c>
      <c r="O100" s="49">
        <v>1</v>
      </c>
      <c r="P100" s="49">
        <v>1</v>
      </c>
      <c r="Q100" s="49">
        <v>1</v>
      </c>
      <c r="R100" s="49">
        <v>1</v>
      </c>
      <c r="S100" s="49">
        <v>1</v>
      </c>
      <c r="T100" s="49">
        <v>1</v>
      </c>
      <c r="U100" s="49">
        <v>1</v>
      </c>
      <c r="V100" s="49">
        <v>1</v>
      </c>
      <c r="W100" s="49">
        <v>1</v>
      </c>
      <c r="X100" s="49">
        <v>1</v>
      </c>
      <c r="Y100" s="49">
        <v>1</v>
      </c>
      <c r="Z100" s="49">
        <v>1</v>
      </c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>
        <f>VLOOKUP(D100,batch_lhd!$A$1:$C$136,2,FALSE)</f>
        <v>91</v>
      </c>
      <c r="AP100" s="49">
        <f>VLOOKUP(D100,batch_lhd!$A$1:$C$136,3,FALSE)</f>
        <v>17</v>
      </c>
      <c r="AQ100" s="49">
        <f t="shared" si="1"/>
        <v>15</v>
      </c>
    </row>
    <row r="101" spans="1:43" x14ac:dyDescent="0.3">
      <c r="A101">
        <v>1649</v>
      </c>
      <c r="B101" s="49" t="s">
        <v>1772</v>
      </c>
      <c r="C101" s="49" t="s">
        <v>80</v>
      </c>
      <c r="D101" s="49" t="s">
        <v>514</v>
      </c>
      <c r="E101" s="49">
        <v>7</v>
      </c>
      <c r="F101" s="49">
        <v>23</v>
      </c>
      <c r="G101" s="49">
        <v>56</v>
      </c>
      <c r="H101" s="49" t="s">
        <v>840</v>
      </c>
      <c r="I101" s="49" t="s">
        <v>840</v>
      </c>
      <c r="J101" s="49" t="s">
        <v>840</v>
      </c>
      <c r="K101" s="49" t="s">
        <v>840</v>
      </c>
      <c r="L101" s="49">
        <v>1</v>
      </c>
      <c r="M101" s="49">
        <v>1</v>
      </c>
      <c r="N101" s="49">
        <v>1</v>
      </c>
      <c r="O101" s="49">
        <v>1</v>
      </c>
      <c r="P101" s="49">
        <v>1</v>
      </c>
      <c r="Q101" s="49">
        <v>1</v>
      </c>
      <c r="R101" s="49">
        <v>1</v>
      </c>
      <c r="S101" s="49">
        <v>1</v>
      </c>
      <c r="T101" s="49">
        <v>1</v>
      </c>
      <c r="U101" s="49">
        <v>1</v>
      </c>
      <c r="V101" s="49">
        <v>1</v>
      </c>
      <c r="W101" s="49">
        <v>1</v>
      </c>
      <c r="X101" s="49">
        <v>1</v>
      </c>
      <c r="Y101" s="49">
        <v>1</v>
      </c>
      <c r="Z101" s="49">
        <v>1</v>
      </c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 t="str">
        <f>VLOOKUP(D101,batch_lhd!$A$1:$C$136,2,FALSE)</f>
        <v>95, 177</v>
      </c>
      <c r="AP101" s="49" t="str">
        <f>VLOOKUP(D101,batch_lhd!$A$1:$C$136,3,FALSE)</f>
        <v>16, 22</v>
      </c>
      <c r="AQ101" s="49">
        <f t="shared" si="1"/>
        <v>30</v>
      </c>
    </row>
    <row r="102" spans="1:43" x14ac:dyDescent="0.3">
      <c r="A102">
        <v>1643</v>
      </c>
      <c r="B102" s="49" t="s">
        <v>1728</v>
      </c>
      <c r="C102" s="49" t="s">
        <v>1354</v>
      </c>
      <c r="D102" s="49" t="s">
        <v>846</v>
      </c>
      <c r="E102" s="49">
        <v>7</v>
      </c>
      <c r="F102" s="49">
        <v>22</v>
      </c>
      <c r="G102" s="49">
        <v>28</v>
      </c>
      <c r="H102" s="49" t="s">
        <v>840</v>
      </c>
      <c r="I102" s="49" t="s">
        <v>840</v>
      </c>
      <c r="J102" s="49" t="s">
        <v>840</v>
      </c>
      <c r="K102" s="49" t="s">
        <v>841</v>
      </c>
      <c r="L102" s="49">
        <v>1</v>
      </c>
      <c r="M102" s="49">
        <v>1</v>
      </c>
      <c r="N102" s="49">
        <v>1</v>
      </c>
      <c r="O102" s="49">
        <v>1</v>
      </c>
      <c r="P102" s="49">
        <v>1</v>
      </c>
      <c r="Q102" s="49">
        <v>1</v>
      </c>
      <c r="R102" s="49">
        <v>1</v>
      </c>
      <c r="S102" s="49">
        <v>1</v>
      </c>
      <c r="T102" s="49">
        <v>1</v>
      </c>
      <c r="U102" s="49">
        <v>1</v>
      </c>
      <c r="V102" s="49">
        <v>1</v>
      </c>
      <c r="W102" s="49">
        <v>1</v>
      </c>
      <c r="X102" s="49">
        <v>1</v>
      </c>
      <c r="Y102" s="49">
        <v>1</v>
      </c>
      <c r="Z102" s="49">
        <v>1</v>
      </c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>
        <f>VLOOKUP(D102,batch_lhd!$A$1:$C$136,2,FALSE)</f>
        <v>153</v>
      </c>
      <c r="AP102" s="49">
        <f>VLOOKUP(D102,batch_lhd!$A$1:$C$136,3,FALSE)</f>
        <v>24</v>
      </c>
      <c r="AQ102" s="49">
        <f t="shared" si="1"/>
        <v>15</v>
      </c>
    </row>
    <row r="103" spans="1:43" x14ac:dyDescent="0.3">
      <c r="A103">
        <v>1438</v>
      </c>
      <c r="B103" s="49" t="s">
        <v>1270</v>
      </c>
      <c r="C103" s="49" t="s">
        <v>137</v>
      </c>
      <c r="D103" s="49" t="s">
        <v>1232</v>
      </c>
      <c r="E103" s="49">
        <v>7</v>
      </c>
      <c r="F103" s="49">
        <v>19</v>
      </c>
      <c r="G103" s="49">
        <v>280</v>
      </c>
      <c r="H103" s="49" t="s">
        <v>840</v>
      </c>
      <c r="I103" s="49" t="s">
        <v>840</v>
      </c>
      <c r="J103" s="49" t="s">
        <v>840</v>
      </c>
      <c r="K103" s="49" t="s">
        <v>841</v>
      </c>
      <c r="L103" s="49">
        <v>1</v>
      </c>
      <c r="M103" s="49">
        <v>1</v>
      </c>
      <c r="N103" s="49">
        <v>1</v>
      </c>
      <c r="O103" s="49">
        <v>1</v>
      </c>
      <c r="P103" s="49">
        <v>1</v>
      </c>
      <c r="Q103" s="49">
        <v>1</v>
      </c>
      <c r="R103" s="49">
        <v>1</v>
      </c>
      <c r="S103" s="49">
        <v>1</v>
      </c>
      <c r="T103" s="49">
        <v>1</v>
      </c>
      <c r="U103" s="49">
        <v>1</v>
      </c>
      <c r="V103" s="49">
        <v>1</v>
      </c>
      <c r="W103" s="49">
        <v>1</v>
      </c>
      <c r="X103" s="49">
        <v>1</v>
      </c>
      <c r="Y103" s="49">
        <v>1</v>
      </c>
      <c r="Z103" s="49">
        <v>1</v>
      </c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 t="str">
        <f>VLOOKUP(D103,batch_lhd!$A$1:$C$136,2,FALSE)</f>
        <v>281, 284, 166, 190, 135, 188, 179, 249, 69,241</v>
      </c>
      <c r="AP103" s="49" t="str">
        <f>VLOOKUP(D103,batch_lhd!$A$1:$C$136,3,FALSE)</f>
        <v>1, 3, 10, 11, 13, 20, 21, 31, 29, 31</v>
      </c>
      <c r="AQ103" s="49">
        <f t="shared" si="1"/>
        <v>150</v>
      </c>
    </row>
    <row r="104" spans="1:43" x14ac:dyDescent="0.3">
      <c r="A104">
        <v>1459</v>
      </c>
      <c r="B104" s="49" t="s">
        <v>1293</v>
      </c>
      <c r="C104" s="49" t="s">
        <v>849</v>
      </c>
      <c r="D104" s="49">
        <v>7235053630</v>
      </c>
      <c r="E104" s="49">
        <v>7</v>
      </c>
      <c r="F104" s="49">
        <v>19</v>
      </c>
      <c r="G104" s="49">
        <v>28</v>
      </c>
      <c r="H104" s="49" t="s">
        <v>840</v>
      </c>
      <c r="I104" s="49" t="s">
        <v>840</v>
      </c>
      <c r="J104" s="49" t="s">
        <v>840</v>
      </c>
      <c r="K104" s="49" t="s">
        <v>841</v>
      </c>
      <c r="L104" s="49">
        <v>1</v>
      </c>
      <c r="M104" s="49">
        <v>1</v>
      </c>
      <c r="N104" s="49">
        <v>1</v>
      </c>
      <c r="O104" s="49">
        <v>1</v>
      </c>
      <c r="P104" s="49">
        <v>1</v>
      </c>
      <c r="Q104" s="49">
        <v>1</v>
      </c>
      <c r="R104" s="49">
        <v>1</v>
      </c>
      <c r="S104" s="49">
        <v>1</v>
      </c>
      <c r="T104" s="49">
        <v>1</v>
      </c>
      <c r="U104" s="49">
        <v>1</v>
      </c>
      <c r="V104" s="49">
        <v>1</v>
      </c>
      <c r="W104" s="49">
        <v>1</v>
      </c>
      <c r="X104" s="49">
        <v>1</v>
      </c>
      <c r="Y104" s="49">
        <v>1</v>
      </c>
      <c r="Z104" s="49">
        <v>1</v>
      </c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>
        <f>VLOOKUP(D104,batch_lhd!$A$1:$C$136,2,FALSE)</f>
        <v>0</v>
      </c>
      <c r="AP104" s="49" t="str">
        <f>VLOOKUP(D104,batch_lhd!$A$1:$C$136,3,FALSE)</f>
        <v>29, 30</v>
      </c>
      <c r="AQ104" s="49">
        <f t="shared" si="1"/>
        <v>15</v>
      </c>
    </row>
    <row r="105" spans="1:43" x14ac:dyDescent="0.3">
      <c r="A105">
        <v>1790</v>
      </c>
      <c r="B105" s="49" t="s">
        <v>2048</v>
      </c>
      <c r="C105" s="49" t="s">
        <v>2040</v>
      </c>
      <c r="D105" s="49" t="s">
        <v>214</v>
      </c>
      <c r="E105" s="49">
        <v>7</v>
      </c>
      <c r="F105" s="49">
        <v>27</v>
      </c>
      <c r="G105" s="49">
        <v>28</v>
      </c>
      <c r="H105" s="49" t="s">
        <v>840</v>
      </c>
      <c r="I105" s="49" t="s">
        <v>840</v>
      </c>
      <c r="J105" s="49" t="s">
        <v>840</v>
      </c>
      <c r="K105" s="49" t="s">
        <v>840</v>
      </c>
      <c r="L105" s="49">
        <v>1</v>
      </c>
      <c r="M105" s="49">
        <v>1</v>
      </c>
      <c r="N105" s="49">
        <v>1</v>
      </c>
      <c r="O105" s="49">
        <v>1</v>
      </c>
      <c r="P105" s="49">
        <v>1</v>
      </c>
      <c r="Q105" s="49">
        <v>1</v>
      </c>
      <c r="R105" s="49">
        <v>1</v>
      </c>
      <c r="S105" s="49">
        <v>1</v>
      </c>
      <c r="T105" s="49">
        <v>1</v>
      </c>
      <c r="U105" s="49">
        <v>1</v>
      </c>
      <c r="V105" s="49">
        <v>1</v>
      </c>
      <c r="W105" s="49">
        <v>1</v>
      </c>
      <c r="X105" s="49">
        <v>1</v>
      </c>
      <c r="Y105" s="49">
        <v>1</v>
      </c>
      <c r="Z105" s="49">
        <v>1</v>
      </c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>
        <f>VLOOKUP(D105,batch_lhd!$A$1:$C$136,2,FALSE)</f>
        <v>78</v>
      </c>
      <c r="AP105" s="49">
        <f>VLOOKUP(D105,batch_lhd!$A$1:$C$136,3,FALSE)</f>
        <v>26</v>
      </c>
      <c r="AQ105" s="49">
        <f t="shared" si="1"/>
        <v>15</v>
      </c>
    </row>
    <row r="106" spans="1:43" x14ac:dyDescent="0.3">
      <c r="A106">
        <v>1787</v>
      </c>
      <c r="B106" s="49" t="s">
        <v>2049</v>
      </c>
      <c r="C106" s="49" t="s">
        <v>2034</v>
      </c>
      <c r="D106" s="49">
        <v>71196506</v>
      </c>
      <c r="E106" s="49">
        <v>7</v>
      </c>
      <c r="F106" s="49">
        <v>27</v>
      </c>
      <c r="G106" s="49">
        <v>28</v>
      </c>
      <c r="H106" s="49" t="s">
        <v>840</v>
      </c>
      <c r="I106" s="49" t="s">
        <v>840</v>
      </c>
      <c r="J106" s="49" t="s">
        <v>840</v>
      </c>
      <c r="K106" s="49" t="s">
        <v>841</v>
      </c>
      <c r="L106" s="49">
        <v>1</v>
      </c>
      <c r="M106" s="49">
        <v>1</v>
      </c>
      <c r="N106" s="49">
        <v>1</v>
      </c>
      <c r="O106" s="49">
        <v>1</v>
      </c>
      <c r="P106" s="49">
        <v>1</v>
      </c>
      <c r="Q106" s="49">
        <v>1</v>
      </c>
      <c r="R106" s="49">
        <v>1</v>
      </c>
      <c r="S106" s="49">
        <v>1</v>
      </c>
      <c r="T106" s="49">
        <v>1</v>
      </c>
      <c r="U106" s="49">
        <v>1</v>
      </c>
      <c r="V106" s="49">
        <v>1</v>
      </c>
      <c r="W106" s="49">
        <v>1</v>
      </c>
      <c r="X106" s="49">
        <v>1</v>
      </c>
      <c r="Y106" s="49">
        <v>1</v>
      </c>
      <c r="Z106" s="49">
        <v>1</v>
      </c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>
        <f>VLOOKUP(D106,batch_lhd!$A$1:$C$136,2,FALSE)</f>
        <v>76</v>
      </c>
      <c r="AP106" s="49">
        <f>VLOOKUP(D106,batch_lhd!$A$1:$C$136,3,FALSE)</f>
        <v>27</v>
      </c>
      <c r="AQ106" s="49">
        <f t="shared" si="1"/>
        <v>15</v>
      </c>
    </row>
    <row r="107" spans="1:43" x14ac:dyDescent="0.3">
      <c r="A107">
        <v>1753</v>
      </c>
      <c r="B107" s="49" t="s">
        <v>2027</v>
      </c>
      <c r="C107" s="49" t="s">
        <v>2014</v>
      </c>
      <c r="D107" s="49" t="s">
        <v>935</v>
      </c>
      <c r="E107" s="49">
        <v>7</v>
      </c>
      <c r="F107" s="49">
        <v>26</v>
      </c>
      <c r="G107" s="49">
        <v>28</v>
      </c>
      <c r="H107" s="49" t="s">
        <v>840</v>
      </c>
      <c r="I107" s="49" t="s">
        <v>840</v>
      </c>
      <c r="J107" s="49" t="s">
        <v>840</v>
      </c>
      <c r="K107" s="49" t="s">
        <v>841</v>
      </c>
      <c r="L107" s="49">
        <v>1</v>
      </c>
      <c r="M107" s="49">
        <v>1</v>
      </c>
      <c r="N107" s="49">
        <v>1</v>
      </c>
      <c r="O107" s="49">
        <v>1</v>
      </c>
      <c r="P107" s="49">
        <v>1</v>
      </c>
      <c r="Q107" s="49">
        <v>1</v>
      </c>
      <c r="R107" s="49">
        <v>1</v>
      </c>
      <c r="S107" s="49">
        <v>1</v>
      </c>
      <c r="T107" s="49">
        <v>1</v>
      </c>
      <c r="U107" s="49">
        <v>1</v>
      </c>
      <c r="V107" s="49">
        <v>1</v>
      </c>
      <c r="W107" s="49">
        <v>1</v>
      </c>
      <c r="X107" s="49">
        <v>1</v>
      </c>
      <c r="Y107" s="49">
        <v>1</v>
      </c>
      <c r="Z107" s="49">
        <v>1</v>
      </c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>
        <f>VLOOKUP(D107,batch_lhd!$A$1:$C$136,2,FALSE)</f>
        <v>524</v>
      </c>
      <c r="AP107" s="49">
        <f>VLOOKUP(D107,batch_lhd!$A$1:$C$136,3,FALSE)</f>
        <v>28</v>
      </c>
      <c r="AQ107" s="49">
        <f t="shared" si="1"/>
        <v>15</v>
      </c>
    </row>
    <row r="108" spans="1:43" x14ac:dyDescent="0.3">
      <c r="A108">
        <v>1466</v>
      </c>
      <c r="B108" s="49" t="s">
        <v>1336</v>
      </c>
      <c r="C108" s="49" t="s">
        <v>864</v>
      </c>
      <c r="D108" s="49">
        <v>7047186030</v>
      </c>
      <c r="E108" s="49">
        <v>25</v>
      </c>
      <c r="F108" s="49">
        <v>20</v>
      </c>
      <c r="G108" s="49">
        <v>140</v>
      </c>
      <c r="H108" s="49" t="s">
        <v>840</v>
      </c>
      <c r="I108" s="49" t="s">
        <v>840</v>
      </c>
      <c r="J108" s="49" t="s">
        <v>840</v>
      </c>
      <c r="K108" s="49" t="s">
        <v>841</v>
      </c>
      <c r="L108" s="49">
        <v>1</v>
      </c>
      <c r="M108" s="49">
        <v>1</v>
      </c>
      <c r="N108" s="49">
        <v>1</v>
      </c>
      <c r="O108" s="49">
        <v>1</v>
      </c>
      <c r="P108" s="49">
        <v>1</v>
      </c>
      <c r="Q108" s="49">
        <v>1</v>
      </c>
      <c r="R108" s="49">
        <v>1</v>
      </c>
      <c r="S108" s="49">
        <v>1</v>
      </c>
      <c r="T108" s="49">
        <v>1</v>
      </c>
      <c r="U108" s="49">
        <v>1</v>
      </c>
      <c r="V108" s="49">
        <v>1</v>
      </c>
      <c r="W108" s="49">
        <v>1</v>
      </c>
      <c r="X108" s="49">
        <v>1</v>
      </c>
      <c r="Y108" s="49">
        <v>1</v>
      </c>
      <c r="Z108" s="49">
        <v>1</v>
      </c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>
        <f>VLOOKUP(D108,batch_lhd!$A$1:$C$136,2,FALSE)</f>
        <v>0</v>
      </c>
      <c r="AP108" s="49">
        <f>VLOOKUP(D108,batch_lhd!$A$1:$C$136,3,FALSE)</f>
        <v>0</v>
      </c>
      <c r="AQ108" s="49">
        <f t="shared" si="1"/>
        <v>75</v>
      </c>
    </row>
    <row r="109" spans="1:43" x14ac:dyDescent="0.3">
      <c r="A109">
        <v>1835</v>
      </c>
      <c r="B109" s="49" t="s">
        <v>2119</v>
      </c>
      <c r="C109" s="49" t="s">
        <v>2114</v>
      </c>
      <c r="D109" s="49" t="s">
        <v>557</v>
      </c>
      <c r="E109" s="49">
        <v>7</v>
      </c>
      <c r="F109" s="49">
        <v>43</v>
      </c>
      <c r="G109" s="49">
        <v>28</v>
      </c>
      <c r="H109" s="49" t="s">
        <v>840</v>
      </c>
      <c r="I109" s="49" t="s">
        <v>840</v>
      </c>
      <c r="J109" s="49" t="s">
        <v>840</v>
      </c>
      <c r="K109" s="49" t="s">
        <v>840</v>
      </c>
      <c r="L109" s="49">
        <v>1</v>
      </c>
      <c r="M109" s="49">
        <v>1</v>
      </c>
      <c r="N109" s="49">
        <v>1</v>
      </c>
      <c r="O109" s="49">
        <v>1</v>
      </c>
      <c r="P109" s="49">
        <v>1</v>
      </c>
      <c r="Q109" s="49">
        <v>1</v>
      </c>
      <c r="R109" s="49">
        <v>1</v>
      </c>
      <c r="S109" s="49">
        <v>1</v>
      </c>
      <c r="T109" s="49">
        <v>1</v>
      </c>
      <c r="U109" s="49">
        <v>1</v>
      </c>
      <c r="V109" s="49">
        <v>1</v>
      </c>
      <c r="W109" s="49">
        <v>1</v>
      </c>
      <c r="X109" s="49">
        <v>1</v>
      </c>
      <c r="Y109" s="49">
        <v>1</v>
      </c>
      <c r="Z109" s="49">
        <v>1</v>
      </c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>
        <f>VLOOKUP(D109,batch_lhd!$A$1:$C$136,2,FALSE)</f>
        <v>435</v>
      </c>
      <c r="AP109" s="49">
        <f>VLOOKUP(D109,batch_lhd!$A$1:$C$136,3,FALSE)</f>
        <v>31</v>
      </c>
      <c r="AQ109" s="49">
        <f>G109/28*15</f>
        <v>15</v>
      </c>
    </row>
    <row r="110" spans="1:43" x14ac:dyDescent="0.3">
      <c r="A110">
        <v>1742</v>
      </c>
      <c r="B110" s="49" t="s">
        <v>2011</v>
      </c>
      <c r="C110" s="49" t="s">
        <v>210</v>
      </c>
      <c r="D110" s="49" t="s">
        <v>824</v>
      </c>
      <c r="E110" s="49">
        <v>7</v>
      </c>
      <c r="F110" s="49">
        <v>24</v>
      </c>
      <c r="G110" s="49">
        <v>56</v>
      </c>
      <c r="H110" s="49" t="s">
        <v>840</v>
      </c>
      <c r="I110" s="49" t="s">
        <v>840</v>
      </c>
      <c r="J110" s="49" t="s">
        <v>840</v>
      </c>
      <c r="K110" s="49" t="s">
        <v>840</v>
      </c>
      <c r="L110" s="49">
        <v>1</v>
      </c>
      <c r="M110" s="49">
        <v>1</v>
      </c>
      <c r="N110" s="49">
        <v>1</v>
      </c>
      <c r="O110" s="49">
        <v>1</v>
      </c>
      <c r="P110" s="49">
        <v>1</v>
      </c>
      <c r="Q110" s="49">
        <v>1</v>
      </c>
      <c r="R110" s="49">
        <v>1</v>
      </c>
      <c r="S110" s="49">
        <v>1</v>
      </c>
      <c r="T110" s="49">
        <v>1</v>
      </c>
      <c r="U110" s="49">
        <v>1</v>
      </c>
      <c r="V110" s="49">
        <v>1</v>
      </c>
      <c r="W110" s="49">
        <v>1</v>
      </c>
      <c r="X110" s="49">
        <v>1</v>
      </c>
      <c r="Y110" s="49">
        <v>1</v>
      </c>
      <c r="Z110" s="49">
        <v>1</v>
      </c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 t="str">
        <f>VLOOKUP(D110,batch_lhd!$A$1:$C$136,2,FALSE)</f>
        <v>525, 472</v>
      </c>
      <c r="AP110" s="49" t="str">
        <f>VLOOKUP(D110,batch_lhd!$A$1:$C$136,3,FALSE)</f>
        <v>29, 13</v>
      </c>
      <c r="AQ110" s="49">
        <f t="shared" si="1"/>
        <v>30</v>
      </c>
    </row>
    <row r="111" spans="1:43" x14ac:dyDescent="0.3">
      <c r="A111">
        <v>1653</v>
      </c>
      <c r="B111" s="49" t="s">
        <v>1773</v>
      </c>
      <c r="C111" s="49" t="s">
        <v>1747</v>
      </c>
      <c r="D111" s="49" t="s">
        <v>797</v>
      </c>
      <c r="E111" s="49">
        <v>7</v>
      </c>
      <c r="F111" s="49">
        <v>23</v>
      </c>
      <c r="G111" s="49">
        <v>56</v>
      </c>
      <c r="H111" s="49" t="s">
        <v>840</v>
      </c>
      <c r="I111" s="49" t="s">
        <v>840</v>
      </c>
      <c r="J111" s="49" t="s">
        <v>840</v>
      </c>
      <c r="K111" s="49" t="s">
        <v>841</v>
      </c>
      <c r="L111" s="49">
        <v>1</v>
      </c>
      <c r="M111" s="49">
        <v>1</v>
      </c>
      <c r="N111" s="49">
        <v>1</v>
      </c>
      <c r="O111" s="49">
        <v>1</v>
      </c>
      <c r="P111" s="49">
        <v>1</v>
      </c>
      <c r="Q111" s="49">
        <v>1</v>
      </c>
      <c r="R111" s="49">
        <v>1</v>
      </c>
      <c r="S111" s="49">
        <v>1</v>
      </c>
      <c r="T111" s="49">
        <v>1</v>
      </c>
      <c r="U111" s="49">
        <v>1</v>
      </c>
      <c r="V111" s="49">
        <v>1</v>
      </c>
      <c r="W111" s="49">
        <v>1</v>
      </c>
      <c r="X111" s="49">
        <v>1</v>
      </c>
      <c r="Y111" s="49">
        <v>1</v>
      </c>
      <c r="Z111" s="49">
        <v>1</v>
      </c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 t="str">
        <f>VLOOKUP(D111,batch_lhd!$A$1:$C$136,2,FALSE)</f>
        <v>193, 194</v>
      </c>
      <c r="AP111" s="49" t="str">
        <f>VLOOKUP(D111,batch_lhd!$A$1:$C$136,3,FALSE)</f>
        <v>20, 10</v>
      </c>
      <c r="AQ111" s="49">
        <f t="shared" si="1"/>
        <v>30</v>
      </c>
    </row>
    <row r="112" spans="1:43" x14ac:dyDescent="0.3">
      <c r="A112">
        <v>1441</v>
      </c>
      <c r="B112" s="49" t="s">
        <v>1273</v>
      </c>
      <c r="C112" s="49" t="s">
        <v>142</v>
      </c>
      <c r="D112" s="49" t="s">
        <v>844</v>
      </c>
      <c r="E112" s="49">
        <v>7</v>
      </c>
      <c r="F112" s="49">
        <v>19</v>
      </c>
      <c r="G112" s="49">
        <v>56</v>
      </c>
      <c r="H112" s="49" t="s">
        <v>840</v>
      </c>
      <c r="I112" s="49" t="s">
        <v>840</v>
      </c>
      <c r="J112" s="49" t="s">
        <v>840</v>
      </c>
      <c r="K112" s="49" t="s">
        <v>841</v>
      </c>
      <c r="L112" s="49">
        <v>1</v>
      </c>
      <c r="M112" s="49">
        <v>1</v>
      </c>
      <c r="N112" s="49">
        <v>1</v>
      </c>
      <c r="O112" s="49">
        <v>1</v>
      </c>
      <c r="P112" s="49">
        <v>1</v>
      </c>
      <c r="Q112" s="49">
        <v>1</v>
      </c>
      <c r="R112" s="49">
        <v>1</v>
      </c>
      <c r="S112" s="49">
        <v>1</v>
      </c>
      <c r="T112" s="49">
        <v>1</v>
      </c>
      <c r="U112" s="49">
        <v>1</v>
      </c>
      <c r="V112" s="49">
        <v>1</v>
      </c>
      <c r="W112" s="49">
        <v>1</v>
      </c>
      <c r="X112" s="49">
        <v>1</v>
      </c>
      <c r="Y112" s="49">
        <v>1</v>
      </c>
      <c r="Z112" s="49">
        <v>1</v>
      </c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 t="s">
        <v>2234</v>
      </c>
      <c r="AO112" s="49" t="str">
        <f>VLOOKUP(D112,batch_lhd!$A$1:$C$136,2,FALSE)</f>
        <v>134, 490</v>
      </c>
      <c r="AP112" s="49" t="str">
        <f>VLOOKUP(D112,batch_lhd!$A$1:$C$136,3,FALSE)</f>
        <v>25, 32</v>
      </c>
      <c r="AQ112" s="49">
        <f t="shared" si="1"/>
        <v>30</v>
      </c>
    </row>
    <row r="113" spans="1:43" x14ac:dyDescent="0.3">
      <c r="A113">
        <v>1834</v>
      </c>
      <c r="B113" s="49" t="s">
        <v>2120</v>
      </c>
      <c r="C113" s="49" t="s">
        <v>2111</v>
      </c>
      <c r="D113" s="49" t="s">
        <v>1231</v>
      </c>
      <c r="E113" s="49">
        <v>7</v>
      </c>
      <c r="F113" s="49">
        <v>43</v>
      </c>
      <c r="G113" s="49">
        <v>28</v>
      </c>
      <c r="H113" s="49" t="s">
        <v>840</v>
      </c>
      <c r="I113" s="49" t="s">
        <v>840</v>
      </c>
      <c r="J113" s="49" t="s">
        <v>840</v>
      </c>
      <c r="K113" s="49" t="s">
        <v>840</v>
      </c>
      <c r="L113" s="49">
        <v>1</v>
      </c>
      <c r="M113" s="49">
        <v>1</v>
      </c>
      <c r="N113" s="49">
        <v>1</v>
      </c>
      <c r="O113" s="49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1</v>
      </c>
      <c r="U113" s="49">
        <v>1</v>
      </c>
      <c r="V113" s="49">
        <v>1</v>
      </c>
      <c r="W113" s="49">
        <v>1</v>
      </c>
      <c r="X113" s="49">
        <v>1</v>
      </c>
      <c r="Y113" s="49">
        <v>1</v>
      </c>
      <c r="Z113" s="49">
        <v>1</v>
      </c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>
        <v>129</v>
      </c>
      <c r="AO113" s="49">
        <f>VLOOKUP(D113,batch_lhd!$A$1:$C$136,2,FALSE)</f>
        <v>297</v>
      </c>
      <c r="AP113" s="49">
        <f>VLOOKUP(D113,batch_lhd!$A$1:$C$136,3,FALSE)</f>
        <v>3</v>
      </c>
      <c r="AQ113" s="49">
        <f t="shared" si="1"/>
        <v>15</v>
      </c>
    </row>
    <row r="114" spans="1:43" x14ac:dyDescent="0.3">
      <c r="A114">
        <v>1439</v>
      </c>
      <c r="B114" s="49" t="s">
        <v>1271</v>
      </c>
      <c r="C114" s="49" t="s">
        <v>138</v>
      </c>
      <c r="D114" s="49" t="s">
        <v>591</v>
      </c>
      <c r="E114" s="49">
        <v>7</v>
      </c>
      <c r="F114" s="49">
        <v>19</v>
      </c>
      <c r="G114" s="49">
        <v>56</v>
      </c>
      <c r="H114" s="49" t="s">
        <v>840</v>
      </c>
      <c r="I114" s="49" t="s">
        <v>840</v>
      </c>
      <c r="J114" s="49" t="s">
        <v>840</v>
      </c>
      <c r="K114" s="49" t="s">
        <v>841</v>
      </c>
      <c r="L114" s="49">
        <v>1</v>
      </c>
      <c r="M114" s="49">
        <v>1</v>
      </c>
      <c r="N114" s="49">
        <v>1</v>
      </c>
      <c r="O114" s="49">
        <v>1</v>
      </c>
      <c r="P114" s="49">
        <v>1</v>
      </c>
      <c r="Q114" s="49">
        <v>1</v>
      </c>
      <c r="R114" s="49">
        <v>1</v>
      </c>
      <c r="S114" s="49">
        <v>1</v>
      </c>
      <c r="T114" s="49">
        <v>1</v>
      </c>
      <c r="U114" s="49">
        <v>1</v>
      </c>
      <c r="V114" s="49">
        <v>1</v>
      </c>
      <c r="W114" s="49">
        <v>1</v>
      </c>
      <c r="X114" s="49">
        <v>1</v>
      </c>
      <c r="Y114" s="49">
        <v>1</v>
      </c>
      <c r="Z114" s="49">
        <v>1</v>
      </c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>
        <v>248</v>
      </c>
      <c r="AO114" s="49" t="str">
        <f>VLOOKUP(D114,batch_lhd!$A$1:$C$136,2,FALSE)</f>
        <v>246, 248</v>
      </c>
      <c r="AP114" s="49" t="str">
        <f>VLOOKUP(D114,batch_lhd!$A$1:$C$136,3,FALSE)</f>
        <v>32, 32</v>
      </c>
      <c r="AQ114" s="49">
        <f t="shared" si="1"/>
        <v>30</v>
      </c>
    </row>
    <row r="115" spans="1:43" x14ac:dyDescent="0.3">
      <c r="A115">
        <v>1462</v>
      </c>
      <c r="B115" s="49" t="s">
        <v>1297</v>
      </c>
      <c r="C115" s="49" t="s">
        <v>964</v>
      </c>
      <c r="D115" s="49">
        <v>71897277</v>
      </c>
      <c r="E115" s="49">
        <v>7</v>
      </c>
      <c r="F115" s="49">
        <v>19</v>
      </c>
      <c r="G115" s="49">
        <v>28</v>
      </c>
      <c r="H115" s="49" t="s">
        <v>840</v>
      </c>
      <c r="I115" s="49" t="s">
        <v>840</v>
      </c>
      <c r="J115" s="49" t="s">
        <v>840</v>
      </c>
      <c r="K115" s="49" t="s">
        <v>841</v>
      </c>
      <c r="L115" s="49">
        <v>1</v>
      </c>
      <c r="M115" s="49">
        <v>1</v>
      </c>
      <c r="N115" s="49">
        <v>1</v>
      </c>
      <c r="O115" s="49">
        <v>1</v>
      </c>
      <c r="P115" s="49">
        <v>1</v>
      </c>
      <c r="Q115" s="49">
        <v>1</v>
      </c>
      <c r="R115" s="49">
        <v>1</v>
      </c>
      <c r="S115" s="49">
        <v>1</v>
      </c>
      <c r="T115" s="49">
        <v>1</v>
      </c>
      <c r="U115" s="49">
        <v>1</v>
      </c>
      <c r="V115" s="49">
        <v>1</v>
      </c>
      <c r="W115" s="49">
        <v>1</v>
      </c>
      <c r="X115" s="49">
        <v>1</v>
      </c>
      <c r="Y115" s="49">
        <v>1</v>
      </c>
      <c r="Z115" s="49">
        <v>1</v>
      </c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>
        <f>VLOOKUP(D115,batch_lhd!$A$1:$C$136,2,FALSE)</f>
        <v>139</v>
      </c>
      <c r="AP115" s="49">
        <f>VLOOKUP(D115,batch_lhd!$A$1:$C$136,3,FALSE)</f>
        <v>5</v>
      </c>
      <c r="AQ115" s="49">
        <f t="shared" si="1"/>
        <v>15</v>
      </c>
    </row>
    <row r="116" spans="1:43" x14ac:dyDescent="0.3">
      <c r="A116">
        <v>1430</v>
      </c>
      <c r="B116" s="49" t="s">
        <v>1256</v>
      </c>
      <c r="C116" s="49" t="s">
        <v>107</v>
      </c>
      <c r="D116" s="49">
        <v>71899503</v>
      </c>
      <c r="E116" s="49">
        <v>7</v>
      </c>
      <c r="F116" s="49">
        <v>19</v>
      </c>
      <c r="G116" s="49">
        <v>56</v>
      </c>
      <c r="H116" s="49" t="s">
        <v>840</v>
      </c>
      <c r="I116" s="49" t="s">
        <v>840</v>
      </c>
      <c r="J116" s="49" t="s">
        <v>840</v>
      </c>
      <c r="K116" s="49" t="s">
        <v>841</v>
      </c>
      <c r="L116" s="49">
        <v>1</v>
      </c>
      <c r="M116" s="49">
        <v>1</v>
      </c>
      <c r="N116" s="49">
        <v>1</v>
      </c>
      <c r="O116" s="49">
        <v>1</v>
      </c>
      <c r="P116" s="49">
        <v>1</v>
      </c>
      <c r="Q116" s="49">
        <v>1</v>
      </c>
      <c r="R116" s="49">
        <v>1</v>
      </c>
      <c r="S116" s="49">
        <v>1</v>
      </c>
      <c r="T116" s="49">
        <v>1</v>
      </c>
      <c r="U116" s="49">
        <v>1</v>
      </c>
      <c r="V116" s="49">
        <v>1</v>
      </c>
      <c r="W116" s="49">
        <v>1</v>
      </c>
      <c r="X116" s="49">
        <v>1</v>
      </c>
      <c r="Y116" s="49">
        <v>1</v>
      </c>
      <c r="Z116" s="49">
        <v>1</v>
      </c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>
        <v>129</v>
      </c>
      <c r="AO116" s="49" t="str">
        <f>VLOOKUP(D116,batch_lhd!$A$1:$C$136,2,FALSE)</f>
        <v>117, 129</v>
      </c>
      <c r="AP116" s="49" t="str">
        <f>VLOOKUP(D116,batch_lhd!$A$1:$C$136,3,FALSE)</f>
        <v>12, 25</v>
      </c>
      <c r="AQ116" s="49">
        <f t="shared" si="1"/>
        <v>30</v>
      </c>
    </row>
    <row r="117" spans="1:43" x14ac:dyDescent="0.3">
      <c r="A117">
        <v>1877</v>
      </c>
      <c r="B117" s="49" t="s">
        <v>2229</v>
      </c>
      <c r="C117" s="49" t="s">
        <v>2187</v>
      </c>
      <c r="D117" s="49" t="s">
        <v>1218</v>
      </c>
      <c r="E117" s="49">
        <v>7</v>
      </c>
      <c r="F117" s="49">
        <v>44</v>
      </c>
      <c r="G117" s="49">
        <v>28</v>
      </c>
      <c r="H117" s="49" t="s">
        <v>840</v>
      </c>
      <c r="I117" s="49" t="s">
        <v>840</v>
      </c>
      <c r="J117" s="49" t="s">
        <v>840</v>
      </c>
      <c r="K117" s="49" t="s">
        <v>840</v>
      </c>
      <c r="L117" s="49">
        <v>1</v>
      </c>
      <c r="M117" s="49">
        <v>1</v>
      </c>
      <c r="N117" s="49">
        <v>1</v>
      </c>
      <c r="O117" s="49">
        <v>1</v>
      </c>
      <c r="P117" s="49">
        <v>1</v>
      </c>
      <c r="Q117" s="49">
        <v>1</v>
      </c>
      <c r="R117" s="49">
        <v>1</v>
      </c>
      <c r="S117" s="49">
        <v>1</v>
      </c>
      <c r="T117" s="49">
        <v>1</v>
      </c>
      <c r="U117" s="49">
        <v>1</v>
      </c>
      <c r="V117" s="49">
        <v>1</v>
      </c>
      <c r="W117" s="49">
        <v>1</v>
      </c>
      <c r="X117" s="49">
        <v>1</v>
      </c>
      <c r="Y117" s="49">
        <v>1</v>
      </c>
      <c r="Z117" s="49">
        <v>1</v>
      </c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>
        <f>VLOOKUP(D117,batch_lhd!$A$1:$C$136,2,FALSE)</f>
        <v>83</v>
      </c>
      <c r="AP117" s="49">
        <f>VLOOKUP(D117,batch_lhd!$A$1:$C$136,3,FALSE)</f>
        <v>17</v>
      </c>
      <c r="AQ117" s="49">
        <f t="shared" si="1"/>
        <v>15</v>
      </c>
    </row>
    <row r="118" spans="1:43" x14ac:dyDescent="0.3">
      <c r="A118">
        <v>1754</v>
      </c>
      <c r="B118" s="49" t="s">
        <v>2029</v>
      </c>
      <c r="C118" s="49" t="s">
        <v>2015</v>
      </c>
      <c r="D118" s="49" t="s">
        <v>2016</v>
      </c>
      <c r="E118" s="49">
        <v>7</v>
      </c>
      <c r="F118" s="49">
        <v>26</v>
      </c>
      <c r="G118" s="49">
        <v>112</v>
      </c>
      <c r="H118" s="49" t="s">
        <v>840</v>
      </c>
      <c r="I118" s="49" t="s">
        <v>840</v>
      </c>
      <c r="J118" s="49" t="s">
        <v>840</v>
      </c>
      <c r="K118" s="49" t="s">
        <v>841</v>
      </c>
      <c r="L118" s="49">
        <v>1</v>
      </c>
      <c r="M118" s="49">
        <v>1</v>
      </c>
      <c r="N118" s="49">
        <v>1</v>
      </c>
      <c r="O118" s="49">
        <v>1</v>
      </c>
      <c r="P118" s="49">
        <v>1</v>
      </c>
      <c r="Q118" s="49">
        <v>1</v>
      </c>
      <c r="R118" s="49">
        <v>1</v>
      </c>
      <c r="S118" s="49">
        <v>1</v>
      </c>
      <c r="T118" s="49">
        <v>1</v>
      </c>
      <c r="U118" s="49">
        <v>1</v>
      </c>
      <c r="V118" s="49">
        <v>1</v>
      </c>
      <c r="W118" s="49">
        <v>1</v>
      </c>
      <c r="X118" s="49">
        <v>1</v>
      </c>
      <c r="Y118" s="49">
        <v>1</v>
      </c>
      <c r="Z118" s="49">
        <v>1</v>
      </c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 t="e">
        <f>VLOOKUP(D118,batch_lhd!$A$1:$C$136,2,FALSE)</f>
        <v>#N/A</v>
      </c>
      <c r="AP118" s="49" t="e">
        <f>VLOOKUP(D118,batch_lhd!$A$1:$C$136,3,FALSE)</f>
        <v>#N/A</v>
      </c>
      <c r="AQ118" s="49">
        <f t="shared" si="1"/>
        <v>60</v>
      </c>
    </row>
    <row r="119" spans="1:43" x14ac:dyDescent="0.3">
      <c r="A119">
        <v>1788</v>
      </c>
      <c r="B119" s="49" t="s">
        <v>2051</v>
      </c>
      <c r="C119" s="49" t="s">
        <v>2035</v>
      </c>
      <c r="D119" s="49" t="s">
        <v>1230</v>
      </c>
      <c r="E119" s="49">
        <v>7</v>
      </c>
      <c r="F119" s="49">
        <v>27</v>
      </c>
      <c r="G119" s="49">
        <v>28</v>
      </c>
      <c r="H119" s="49" t="s">
        <v>840</v>
      </c>
      <c r="I119" s="49" t="s">
        <v>840</v>
      </c>
      <c r="J119" s="49" t="s">
        <v>840</v>
      </c>
      <c r="K119" s="49" t="s">
        <v>841</v>
      </c>
      <c r="L119" s="49">
        <v>1</v>
      </c>
      <c r="M119" s="49">
        <v>1</v>
      </c>
      <c r="N119" s="49">
        <v>1</v>
      </c>
      <c r="O119" s="49">
        <v>1</v>
      </c>
      <c r="P119" s="49">
        <v>1</v>
      </c>
      <c r="Q119" s="49">
        <v>1</v>
      </c>
      <c r="R119" s="49">
        <v>1</v>
      </c>
      <c r="S119" s="49">
        <v>1</v>
      </c>
      <c r="T119" s="49">
        <v>1</v>
      </c>
      <c r="U119" s="49">
        <v>1</v>
      </c>
      <c r="V119" s="49">
        <v>1</v>
      </c>
      <c r="W119" s="49">
        <v>1</v>
      </c>
      <c r="X119" s="49">
        <v>1</v>
      </c>
      <c r="Y119" s="49">
        <v>1</v>
      </c>
      <c r="Z119" s="49">
        <v>1</v>
      </c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>
        <f>VLOOKUP(D119,batch_lhd!$A$1:$C$136,2,FALSE)</f>
        <v>289</v>
      </c>
      <c r="AP119" s="49">
        <f>VLOOKUP(D119,batch_lhd!$A$1:$C$136,3,FALSE)</f>
        <v>3</v>
      </c>
      <c r="AQ119" s="49">
        <f t="shared" si="1"/>
        <v>15</v>
      </c>
    </row>
    <row r="120" spans="1:43" x14ac:dyDescent="0.3">
      <c r="A120">
        <v>1751</v>
      </c>
      <c r="B120" s="49" t="s">
        <v>2012</v>
      </c>
      <c r="C120" s="49" t="s">
        <v>1994</v>
      </c>
      <c r="D120" s="49" t="s">
        <v>546</v>
      </c>
      <c r="E120" s="49">
        <v>7</v>
      </c>
      <c r="F120" s="49">
        <v>25</v>
      </c>
      <c r="G120" s="49">
        <v>28</v>
      </c>
      <c r="H120" s="49" t="s">
        <v>840</v>
      </c>
      <c r="I120" s="49" t="s">
        <v>840</v>
      </c>
      <c r="J120" s="49" t="s">
        <v>840</v>
      </c>
      <c r="K120" s="49" t="s">
        <v>840</v>
      </c>
      <c r="L120" s="49">
        <v>1</v>
      </c>
      <c r="M120" s="49">
        <v>1</v>
      </c>
      <c r="N120" s="49">
        <v>1</v>
      </c>
      <c r="O120" s="49">
        <v>1</v>
      </c>
      <c r="P120" s="49">
        <v>1</v>
      </c>
      <c r="Q120" s="49">
        <v>1</v>
      </c>
      <c r="R120" s="49">
        <v>1</v>
      </c>
      <c r="S120" s="49">
        <v>1</v>
      </c>
      <c r="T120" s="49">
        <v>1</v>
      </c>
      <c r="U120" s="49">
        <v>1</v>
      </c>
      <c r="V120" s="49">
        <v>1</v>
      </c>
      <c r="W120" s="49">
        <v>1</v>
      </c>
      <c r="X120" s="49">
        <v>1</v>
      </c>
      <c r="Y120" s="49">
        <v>1</v>
      </c>
      <c r="Z120" s="49">
        <v>1</v>
      </c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>
        <f>VLOOKUP(D120,batch_lhd!$A$1:$C$136,2,FALSE)</f>
        <v>140</v>
      </c>
      <c r="AP120" s="49">
        <f>VLOOKUP(D120,batch_lhd!$A$1:$C$136,3,FALSE)</f>
        <v>24</v>
      </c>
      <c r="AQ120" s="49">
        <f t="shared" si="1"/>
        <v>15</v>
      </c>
    </row>
    <row r="121" spans="1:43" x14ac:dyDescent="0.3">
      <c r="A121">
        <v>1446</v>
      </c>
      <c r="B121" s="49" t="s">
        <v>1278</v>
      </c>
      <c r="C121" s="49" t="s">
        <v>149</v>
      </c>
      <c r="D121" s="49" t="s">
        <v>245</v>
      </c>
      <c r="E121" s="49">
        <v>7</v>
      </c>
      <c r="F121" s="49">
        <v>19</v>
      </c>
      <c r="G121" s="49">
        <v>28</v>
      </c>
      <c r="H121" s="49" t="s">
        <v>840</v>
      </c>
      <c r="I121" s="49" t="s">
        <v>840</v>
      </c>
      <c r="J121" s="49" t="s">
        <v>840</v>
      </c>
      <c r="K121" s="49" t="s">
        <v>841</v>
      </c>
      <c r="L121" s="49">
        <v>1</v>
      </c>
      <c r="M121" s="49">
        <v>1</v>
      </c>
      <c r="N121" s="49">
        <v>1</v>
      </c>
      <c r="O121" s="49">
        <v>1</v>
      </c>
      <c r="P121" s="49">
        <v>1</v>
      </c>
      <c r="Q121" s="49">
        <v>1</v>
      </c>
      <c r="R121" s="49">
        <v>1</v>
      </c>
      <c r="S121" s="49">
        <v>1</v>
      </c>
      <c r="T121" s="49">
        <v>1</v>
      </c>
      <c r="U121" s="49">
        <v>1</v>
      </c>
      <c r="V121" s="49">
        <v>1</v>
      </c>
      <c r="W121" s="49">
        <v>1</v>
      </c>
      <c r="X121" s="49">
        <v>1</v>
      </c>
      <c r="Y121" s="49">
        <v>1</v>
      </c>
      <c r="Z121" s="49">
        <v>1</v>
      </c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>
        <v>165</v>
      </c>
      <c r="AO121" s="49">
        <f>VLOOKUP(D121,batch_lhd!$A$1:$C$136,2,FALSE)</f>
        <v>165</v>
      </c>
      <c r="AP121" s="49">
        <f>VLOOKUP(D121,batch_lhd!$A$1:$C$136,3,FALSE)</f>
        <v>24</v>
      </c>
      <c r="AQ121" s="49">
        <f t="shared" si="1"/>
        <v>15</v>
      </c>
    </row>
    <row r="122" spans="1:43" x14ac:dyDescent="0.3">
      <c r="A122">
        <v>1639</v>
      </c>
      <c r="B122" s="49" t="s">
        <v>1743</v>
      </c>
      <c r="C122" s="49" t="s">
        <v>207</v>
      </c>
      <c r="D122" s="49" t="s">
        <v>266</v>
      </c>
      <c r="E122" s="49">
        <v>7</v>
      </c>
      <c r="F122" s="49">
        <v>22</v>
      </c>
      <c r="G122" s="49">
        <v>28</v>
      </c>
      <c r="H122" s="49" t="s">
        <v>840</v>
      </c>
      <c r="I122" s="49" t="s">
        <v>840</v>
      </c>
      <c r="J122" s="49" t="s">
        <v>840</v>
      </c>
      <c r="K122" s="49" t="s">
        <v>841</v>
      </c>
      <c r="L122" s="49">
        <v>1</v>
      </c>
      <c r="M122" s="49">
        <v>1</v>
      </c>
      <c r="N122" s="49">
        <v>1</v>
      </c>
      <c r="O122" s="49">
        <v>1</v>
      </c>
      <c r="P122" s="49">
        <v>1</v>
      </c>
      <c r="Q122" s="49">
        <v>1</v>
      </c>
      <c r="R122" s="49">
        <v>1</v>
      </c>
      <c r="S122" s="49">
        <v>1</v>
      </c>
      <c r="T122" s="49">
        <v>1</v>
      </c>
      <c r="U122" s="49">
        <v>1</v>
      </c>
      <c r="V122" s="49">
        <v>1</v>
      </c>
      <c r="W122" s="49">
        <v>1</v>
      </c>
      <c r="X122" s="49">
        <v>1</v>
      </c>
      <c r="Y122" s="49">
        <v>1</v>
      </c>
      <c r="Z122" s="49">
        <v>1</v>
      </c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>
        <v>159</v>
      </c>
      <c r="AO122" s="49">
        <f>VLOOKUP(D122,batch_lhd!$A$1:$C$136,2,FALSE)</f>
        <v>159</v>
      </c>
      <c r="AP122" s="49">
        <f>VLOOKUP(D122,batch_lhd!$A$1:$C$136,3,FALSE)</f>
        <v>25</v>
      </c>
      <c r="AQ122" s="49">
        <f t="shared" si="1"/>
        <v>15</v>
      </c>
    </row>
    <row r="123" spans="1:43" x14ac:dyDescent="0.3">
      <c r="A123">
        <v>1470</v>
      </c>
      <c r="B123" s="49" t="s">
        <v>1344</v>
      </c>
      <c r="C123" s="49" t="s">
        <v>874</v>
      </c>
      <c r="D123" s="49">
        <v>7147882430</v>
      </c>
      <c r="E123" s="49">
        <v>25</v>
      </c>
      <c r="F123" s="49">
        <v>20</v>
      </c>
      <c r="G123" s="49">
        <v>28</v>
      </c>
      <c r="H123" s="49" t="s">
        <v>840</v>
      </c>
      <c r="I123" s="49" t="s">
        <v>840</v>
      </c>
      <c r="J123" s="49" t="s">
        <v>840</v>
      </c>
      <c r="K123" s="49" t="s">
        <v>841</v>
      </c>
      <c r="L123" s="49">
        <v>1</v>
      </c>
      <c r="M123" s="49">
        <v>1</v>
      </c>
      <c r="N123" s="49">
        <v>1</v>
      </c>
      <c r="O123" s="49">
        <v>1</v>
      </c>
      <c r="P123" s="49">
        <v>1</v>
      </c>
      <c r="Q123" s="49">
        <v>1</v>
      </c>
      <c r="R123" s="49">
        <v>1</v>
      </c>
      <c r="S123" s="49">
        <v>1</v>
      </c>
      <c r="T123" s="49">
        <v>1</v>
      </c>
      <c r="U123" s="49">
        <v>1</v>
      </c>
      <c r="V123" s="49">
        <v>1</v>
      </c>
      <c r="W123" s="49">
        <v>1</v>
      </c>
      <c r="X123" s="49">
        <v>1</v>
      </c>
      <c r="Y123" s="49">
        <v>1</v>
      </c>
      <c r="Z123" s="49">
        <v>1</v>
      </c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>
        <f>VLOOKUP(D123,batch_lhd!$A$1:$C$136,2,FALSE)</f>
        <v>0</v>
      </c>
      <c r="AP123" s="49">
        <f>VLOOKUP(D123,batch_lhd!$A$1:$C$136,3,FALSE)</f>
        <v>0</v>
      </c>
      <c r="AQ123" s="49">
        <f t="shared" si="1"/>
        <v>15</v>
      </c>
    </row>
    <row r="124" spans="1:43" x14ac:dyDescent="0.3">
      <c r="B124" s="49" t="s">
        <v>2240</v>
      </c>
      <c r="C124" s="49" t="s">
        <v>2236</v>
      </c>
      <c r="D124" s="49" t="s">
        <v>2241</v>
      </c>
      <c r="E124" s="49">
        <v>7</v>
      </c>
      <c r="F124" s="49">
        <v>45</v>
      </c>
      <c r="G124" s="49">
        <v>56</v>
      </c>
      <c r="H124" s="49" t="s">
        <v>840</v>
      </c>
      <c r="I124" s="49" t="s">
        <v>840</v>
      </c>
      <c r="J124" s="49" t="s">
        <v>840</v>
      </c>
      <c r="K124" s="49" t="s">
        <v>841</v>
      </c>
      <c r="L124" s="49">
        <v>1</v>
      </c>
      <c r="M124" s="49">
        <v>1</v>
      </c>
      <c r="N124" s="49">
        <v>1</v>
      </c>
      <c r="O124" s="49">
        <v>1</v>
      </c>
      <c r="P124" s="49">
        <v>1</v>
      </c>
      <c r="Q124" s="49">
        <v>1</v>
      </c>
      <c r="R124" s="49">
        <v>1</v>
      </c>
      <c r="S124" s="49">
        <v>1</v>
      </c>
      <c r="T124" s="49">
        <v>1</v>
      </c>
      <c r="U124" s="49">
        <v>1</v>
      </c>
      <c r="V124" s="49">
        <v>1</v>
      </c>
      <c r="W124" s="49">
        <v>1</v>
      </c>
      <c r="X124" s="49">
        <v>1</v>
      </c>
      <c r="Y124" s="49">
        <v>1</v>
      </c>
      <c r="Z124" s="49">
        <v>1</v>
      </c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>
        <f t="shared" si="1"/>
        <v>30</v>
      </c>
    </row>
    <row r="125" spans="1:43" x14ac:dyDescent="0.3">
      <c r="R125" t="s">
        <v>2110</v>
      </c>
    </row>
    <row r="134" spans="10:10" x14ac:dyDescent="0.3">
      <c r="J134" t="s">
        <v>2110</v>
      </c>
    </row>
  </sheetData>
  <autoFilter ref="A1:AQ125" xr:uid="{CA001123-C363-413A-9601-B0A25102E3C3}"/>
  <conditionalFormatting sqref="L2:AM123 L124:Z124">
    <cfRule type="cellIs" dxfId="20" priority="1" operator="equal">
      <formula>1</formula>
    </cfRule>
  </conditionalFormatting>
  <pageMargins left="0.7" right="0.7" top="0.75" bottom="0.75" header="0.3" footer="0.3"/>
  <pageSetup paperSize="9" scale="2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0689-9B9F-49D3-83C6-B3689F0A3F76}">
  <sheetPr filterMode="1"/>
  <dimension ref="A1:E131"/>
  <sheetViews>
    <sheetView workbookViewId="0">
      <selection activeCell="F146" sqref="F146"/>
    </sheetView>
  </sheetViews>
  <sheetFormatPr defaultRowHeight="14.4" x14ac:dyDescent="0.3"/>
  <cols>
    <col min="1" max="1" width="49.44140625" bestFit="1" customWidth="1"/>
    <col min="4" max="4" width="16.77734375" bestFit="1" customWidth="1"/>
  </cols>
  <sheetData>
    <row r="1" spans="1:4" x14ac:dyDescent="0.3">
      <c r="A1" t="s">
        <v>2164</v>
      </c>
      <c r="B1" t="s">
        <v>2165</v>
      </c>
      <c r="C1" s="80" t="s">
        <v>22</v>
      </c>
      <c r="D1" t="s">
        <v>872</v>
      </c>
    </row>
    <row r="2" spans="1:4" hidden="1" x14ac:dyDescent="0.3">
      <c r="A2">
        <v>7003756102</v>
      </c>
      <c r="B2" s="70">
        <v>1</v>
      </c>
      <c r="C2" s="57">
        <v>30</v>
      </c>
    </row>
    <row r="3" spans="1:4" hidden="1" x14ac:dyDescent="0.3">
      <c r="A3">
        <v>7035964930</v>
      </c>
      <c r="B3" s="70">
        <v>1</v>
      </c>
      <c r="C3" s="57">
        <v>30</v>
      </c>
    </row>
    <row r="4" spans="1:4" hidden="1" x14ac:dyDescent="0.3">
      <c r="A4">
        <v>7035990430</v>
      </c>
      <c r="B4" s="70">
        <v>2</v>
      </c>
      <c r="C4" s="57">
        <v>30</v>
      </c>
      <c r="D4" t="s">
        <v>2166</v>
      </c>
    </row>
    <row r="5" spans="1:4" hidden="1" x14ac:dyDescent="0.3">
      <c r="A5">
        <v>7035990930</v>
      </c>
      <c r="B5" s="70">
        <v>1</v>
      </c>
      <c r="C5" s="57">
        <v>30</v>
      </c>
      <c r="D5" t="s">
        <v>2167</v>
      </c>
    </row>
    <row r="6" spans="1:4" hidden="1" x14ac:dyDescent="0.3">
      <c r="A6" s="81" t="s">
        <v>1208</v>
      </c>
      <c r="B6" s="70">
        <v>2</v>
      </c>
      <c r="C6" s="57">
        <v>31</v>
      </c>
    </row>
    <row r="7" spans="1:4" hidden="1" x14ac:dyDescent="0.3">
      <c r="A7" s="81" t="s">
        <v>858</v>
      </c>
      <c r="B7" s="70">
        <v>1</v>
      </c>
      <c r="C7" s="57">
        <v>31</v>
      </c>
    </row>
    <row r="8" spans="1:4" hidden="1" x14ac:dyDescent="0.3">
      <c r="A8" s="82">
        <v>7047186030</v>
      </c>
      <c r="B8" s="70">
        <v>30</v>
      </c>
      <c r="C8" s="57">
        <v>32</v>
      </c>
    </row>
    <row r="9" spans="1:4" hidden="1" x14ac:dyDescent="0.3">
      <c r="A9" s="81" t="s">
        <v>1209</v>
      </c>
      <c r="B9" s="70">
        <v>6</v>
      </c>
      <c r="C9" s="57">
        <v>31</v>
      </c>
    </row>
    <row r="10" spans="1:4" hidden="1" x14ac:dyDescent="0.3">
      <c r="A10">
        <v>7075181330</v>
      </c>
      <c r="B10" s="70">
        <v>1</v>
      </c>
      <c r="C10" s="57">
        <v>30</v>
      </c>
    </row>
    <row r="11" spans="1:4" hidden="1" x14ac:dyDescent="0.3">
      <c r="A11">
        <v>7075231930</v>
      </c>
      <c r="B11" s="70">
        <v>1</v>
      </c>
      <c r="C11" s="57">
        <v>30</v>
      </c>
      <c r="D11" t="s">
        <v>2168</v>
      </c>
    </row>
    <row r="12" spans="1:4" hidden="1" x14ac:dyDescent="0.3">
      <c r="A12">
        <v>7075244730</v>
      </c>
      <c r="B12" s="70">
        <v>1</v>
      </c>
      <c r="C12" s="57">
        <v>34</v>
      </c>
    </row>
    <row r="13" spans="1:4" hidden="1" x14ac:dyDescent="0.3">
      <c r="A13" t="s">
        <v>797</v>
      </c>
      <c r="B13" s="70">
        <v>2</v>
      </c>
      <c r="C13" s="57">
        <v>30</v>
      </c>
    </row>
    <row r="14" spans="1:4" hidden="1" x14ac:dyDescent="0.3">
      <c r="A14">
        <v>71186354</v>
      </c>
      <c r="B14" s="70">
        <v>2</v>
      </c>
      <c r="C14" s="57">
        <v>30</v>
      </c>
    </row>
    <row r="15" spans="1:4" hidden="1" x14ac:dyDescent="0.3">
      <c r="A15" t="s">
        <v>212</v>
      </c>
      <c r="B15" s="70">
        <v>1</v>
      </c>
      <c r="C15" s="57">
        <v>34</v>
      </c>
    </row>
    <row r="16" spans="1:4" hidden="1" x14ac:dyDescent="0.3">
      <c r="A16" t="s">
        <v>514</v>
      </c>
      <c r="B16" s="70">
        <v>2</v>
      </c>
      <c r="C16" s="57">
        <v>30</v>
      </c>
    </row>
    <row r="17" spans="1:3" hidden="1" x14ac:dyDescent="0.3">
      <c r="A17">
        <v>7118670020</v>
      </c>
      <c r="B17" s="70">
        <v>2</v>
      </c>
      <c r="C17" s="57">
        <v>30</v>
      </c>
    </row>
    <row r="18" spans="1:3" hidden="1" x14ac:dyDescent="0.3">
      <c r="A18" t="s">
        <v>1212</v>
      </c>
      <c r="B18" s="70">
        <v>1</v>
      </c>
      <c r="C18" s="57">
        <v>30</v>
      </c>
    </row>
    <row r="19" spans="1:3" hidden="1" x14ac:dyDescent="0.3">
      <c r="A19" t="s">
        <v>214</v>
      </c>
      <c r="B19" s="70">
        <v>1</v>
      </c>
      <c r="C19" s="57">
        <v>34</v>
      </c>
    </row>
    <row r="20" spans="1:3" hidden="1" x14ac:dyDescent="0.3">
      <c r="A20">
        <v>7119131530</v>
      </c>
      <c r="B20" s="70">
        <v>3</v>
      </c>
      <c r="C20" s="57">
        <v>30</v>
      </c>
    </row>
    <row r="21" spans="1:3" hidden="1" x14ac:dyDescent="0.3">
      <c r="A21" t="s">
        <v>520</v>
      </c>
      <c r="B21" s="70">
        <v>2</v>
      </c>
      <c r="C21" s="57">
        <v>30</v>
      </c>
    </row>
    <row r="22" spans="1:3" hidden="1" x14ac:dyDescent="0.3">
      <c r="A22">
        <v>7119146730</v>
      </c>
      <c r="B22" s="70">
        <v>1</v>
      </c>
      <c r="C22" s="57">
        <v>30</v>
      </c>
    </row>
    <row r="23" spans="1:3" hidden="1" x14ac:dyDescent="0.3">
      <c r="A23">
        <v>7119163630</v>
      </c>
      <c r="B23" s="70">
        <v>4</v>
      </c>
      <c r="C23" s="57">
        <v>34</v>
      </c>
    </row>
    <row r="24" spans="1:3" hidden="1" x14ac:dyDescent="0.3">
      <c r="A24">
        <v>7119172930</v>
      </c>
      <c r="B24" s="70">
        <v>1</v>
      </c>
      <c r="C24" s="57">
        <v>34</v>
      </c>
    </row>
    <row r="25" spans="1:3" hidden="1" x14ac:dyDescent="0.3">
      <c r="A25">
        <v>71191993</v>
      </c>
      <c r="B25" s="70">
        <v>1</v>
      </c>
      <c r="C25" s="57">
        <v>30</v>
      </c>
    </row>
    <row r="26" spans="1:3" hidden="1" x14ac:dyDescent="0.3">
      <c r="A26">
        <v>7119639830</v>
      </c>
      <c r="B26" s="70">
        <v>1</v>
      </c>
      <c r="C26" s="57">
        <v>30</v>
      </c>
    </row>
    <row r="27" spans="1:3" hidden="1" x14ac:dyDescent="0.3">
      <c r="A27">
        <v>71196401</v>
      </c>
      <c r="B27" s="70">
        <v>1</v>
      </c>
      <c r="C27" s="57">
        <v>30</v>
      </c>
    </row>
    <row r="28" spans="1:3" hidden="1" x14ac:dyDescent="0.3">
      <c r="A28">
        <v>7119641970</v>
      </c>
      <c r="B28" s="70">
        <v>1</v>
      </c>
      <c r="C28" s="57">
        <v>30</v>
      </c>
    </row>
    <row r="29" spans="1:3" hidden="1" x14ac:dyDescent="0.3">
      <c r="A29" t="s">
        <v>218</v>
      </c>
      <c r="B29" s="70">
        <v>1</v>
      </c>
      <c r="C29" s="57">
        <v>34</v>
      </c>
    </row>
    <row r="30" spans="1:3" hidden="1" x14ac:dyDescent="0.3">
      <c r="A30">
        <v>71196506</v>
      </c>
      <c r="B30" s="70">
        <v>1</v>
      </c>
      <c r="C30" s="57">
        <v>34</v>
      </c>
    </row>
    <row r="31" spans="1:3" hidden="1" x14ac:dyDescent="0.3">
      <c r="A31">
        <v>7119668820</v>
      </c>
      <c r="B31" s="70">
        <v>1</v>
      </c>
      <c r="C31" s="57">
        <v>34</v>
      </c>
    </row>
    <row r="32" spans="1:3" hidden="1" x14ac:dyDescent="0.3">
      <c r="A32" t="s">
        <v>217</v>
      </c>
      <c r="B32" s="70">
        <v>3</v>
      </c>
      <c r="C32" s="57">
        <v>34</v>
      </c>
    </row>
    <row r="33" spans="1:4" hidden="1" x14ac:dyDescent="0.3">
      <c r="A33">
        <v>71196714</v>
      </c>
      <c r="B33" s="70">
        <v>1</v>
      </c>
      <c r="C33" s="57">
        <v>30</v>
      </c>
    </row>
    <row r="34" spans="1:4" hidden="1" x14ac:dyDescent="0.3">
      <c r="A34" s="81" t="s">
        <v>1006</v>
      </c>
      <c r="B34" s="70">
        <v>1</v>
      </c>
      <c r="C34" s="57">
        <v>31</v>
      </c>
    </row>
    <row r="35" spans="1:4" hidden="1" x14ac:dyDescent="0.3">
      <c r="A35" s="82">
        <v>7147882430</v>
      </c>
      <c r="B35" s="70">
        <v>5</v>
      </c>
      <c r="C35" s="57">
        <v>32</v>
      </c>
    </row>
    <row r="36" spans="1:4" x14ac:dyDescent="0.3">
      <c r="A36">
        <v>7177097330</v>
      </c>
      <c r="B36" s="70">
        <v>1</v>
      </c>
      <c r="C36" s="57">
        <v>37</v>
      </c>
      <c r="D36" t="s">
        <v>2167</v>
      </c>
    </row>
    <row r="37" spans="1:4" x14ac:dyDescent="0.3">
      <c r="A37">
        <v>7177097330</v>
      </c>
      <c r="B37" s="70">
        <v>1</v>
      </c>
      <c r="C37" s="57">
        <v>37</v>
      </c>
      <c r="D37" t="s">
        <v>2168</v>
      </c>
    </row>
    <row r="38" spans="1:4" hidden="1" x14ac:dyDescent="0.3">
      <c r="A38">
        <v>71781227</v>
      </c>
      <c r="B38" s="70">
        <v>1</v>
      </c>
      <c r="C38" s="57">
        <v>30</v>
      </c>
    </row>
    <row r="39" spans="1:4" hidden="1" x14ac:dyDescent="0.3">
      <c r="A39">
        <v>71782472</v>
      </c>
      <c r="B39" s="70">
        <v>1</v>
      </c>
      <c r="C39" s="57">
        <v>30</v>
      </c>
    </row>
    <row r="40" spans="1:4" x14ac:dyDescent="0.3">
      <c r="A40">
        <v>7178270480</v>
      </c>
      <c r="B40" s="70">
        <v>1</v>
      </c>
      <c r="C40" s="57">
        <v>37</v>
      </c>
      <c r="D40" t="s">
        <v>1237</v>
      </c>
    </row>
    <row r="41" spans="1:4" hidden="1" x14ac:dyDescent="0.3">
      <c r="A41" t="s">
        <v>219</v>
      </c>
      <c r="B41" s="70">
        <v>2</v>
      </c>
      <c r="C41" s="57">
        <v>34</v>
      </c>
    </row>
    <row r="42" spans="1:4" hidden="1" x14ac:dyDescent="0.3">
      <c r="A42">
        <v>7183753630</v>
      </c>
      <c r="B42" s="70">
        <v>1</v>
      </c>
      <c r="C42" s="57">
        <v>30</v>
      </c>
    </row>
    <row r="43" spans="1:4" hidden="1" x14ac:dyDescent="0.3">
      <c r="A43" t="s">
        <v>1215</v>
      </c>
      <c r="B43" s="70">
        <v>1</v>
      </c>
      <c r="C43" s="57">
        <v>36</v>
      </c>
      <c r="D43" t="s">
        <v>2169</v>
      </c>
    </row>
    <row r="44" spans="1:4" hidden="1" x14ac:dyDescent="0.3">
      <c r="A44" t="s">
        <v>255</v>
      </c>
      <c r="B44" s="70">
        <v>1</v>
      </c>
      <c r="C44" s="57">
        <v>36</v>
      </c>
      <c r="D44" t="s">
        <v>2169</v>
      </c>
    </row>
    <row r="45" spans="1:4" hidden="1" x14ac:dyDescent="0.3">
      <c r="A45" t="s">
        <v>221</v>
      </c>
      <c r="B45" s="70">
        <v>1</v>
      </c>
      <c r="C45" s="57">
        <v>30</v>
      </c>
    </row>
    <row r="46" spans="1:4" x14ac:dyDescent="0.3">
      <c r="A46" t="s">
        <v>1216</v>
      </c>
      <c r="B46" s="70">
        <v>1</v>
      </c>
      <c r="C46" s="57">
        <v>37</v>
      </c>
    </row>
    <row r="47" spans="1:4" hidden="1" x14ac:dyDescent="0.3">
      <c r="A47">
        <v>7189663170</v>
      </c>
      <c r="B47" s="70">
        <v>2</v>
      </c>
      <c r="C47" s="57">
        <v>30</v>
      </c>
    </row>
    <row r="48" spans="1:4" hidden="1" x14ac:dyDescent="0.3">
      <c r="A48" t="s">
        <v>842</v>
      </c>
      <c r="B48" s="70">
        <v>1</v>
      </c>
      <c r="C48" s="57">
        <v>34</v>
      </c>
    </row>
    <row r="49" spans="1:5" hidden="1" x14ac:dyDescent="0.3">
      <c r="A49" t="s">
        <v>224</v>
      </c>
      <c r="B49" s="70">
        <v>1</v>
      </c>
      <c r="C49" s="57">
        <v>34</v>
      </c>
    </row>
    <row r="50" spans="1:5" hidden="1" x14ac:dyDescent="0.3">
      <c r="A50">
        <v>71897277</v>
      </c>
      <c r="B50" s="70">
        <v>1</v>
      </c>
      <c r="C50" s="57">
        <v>30</v>
      </c>
    </row>
    <row r="51" spans="1:5" hidden="1" x14ac:dyDescent="0.3">
      <c r="A51" t="s">
        <v>225</v>
      </c>
      <c r="B51" s="70">
        <v>1</v>
      </c>
      <c r="C51" s="57">
        <v>34</v>
      </c>
    </row>
    <row r="52" spans="1:5" hidden="1" x14ac:dyDescent="0.3">
      <c r="A52" t="s">
        <v>1217</v>
      </c>
      <c r="B52" s="70">
        <v>1</v>
      </c>
      <c r="C52" s="57">
        <v>34</v>
      </c>
    </row>
    <row r="53" spans="1:5" hidden="1" x14ac:dyDescent="0.3">
      <c r="A53">
        <v>71899503</v>
      </c>
      <c r="B53" s="70">
        <v>2</v>
      </c>
      <c r="C53" s="57">
        <v>30</v>
      </c>
    </row>
    <row r="54" spans="1:5" hidden="1" x14ac:dyDescent="0.3">
      <c r="A54">
        <v>7189982830</v>
      </c>
      <c r="B54" s="70">
        <v>1</v>
      </c>
      <c r="C54" s="57">
        <v>30</v>
      </c>
    </row>
    <row r="55" spans="1:5" hidden="1" x14ac:dyDescent="0.3">
      <c r="A55">
        <v>71979512</v>
      </c>
      <c r="B55" s="70">
        <v>1</v>
      </c>
      <c r="C55" s="57">
        <v>34</v>
      </c>
    </row>
    <row r="56" spans="1:5" hidden="1" x14ac:dyDescent="0.3">
      <c r="A56" t="s">
        <v>1218</v>
      </c>
      <c r="B56" s="70">
        <v>1</v>
      </c>
      <c r="C56" s="57">
        <v>35</v>
      </c>
      <c r="E56" t="s">
        <v>2185</v>
      </c>
    </row>
    <row r="57" spans="1:5" hidden="1" x14ac:dyDescent="0.3">
      <c r="A57">
        <v>71986562</v>
      </c>
      <c r="B57" s="70">
        <v>1</v>
      </c>
      <c r="C57" s="57">
        <v>30</v>
      </c>
    </row>
    <row r="58" spans="1:5" hidden="1" x14ac:dyDescent="0.3">
      <c r="A58" t="s">
        <v>227</v>
      </c>
      <c r="B58" s="70">
        <v>2</v>
      </c>
      <c r="C58" s="57">
        <v>36</v>
      </c>
    </row>
    <row r="59" spans="1:5" hidden="1" x14ac:dyDescent="0.3">
      <c r="A59" t="s">
        <v>557</v>
      </c>
      <c r="B59" s="70">
        <v>1</v>
      </c>
      <c r="C59" s="57">
        <v>34</v>
      </c>
    </row>
    <row r="60" spans="1:5" hidden="1" x14ac:dyDescent="0.3">
      <c r="A60" t="s">
        <v>1219</v>
      </c>
      <c r="B60" s="70">
        <v>2</v>
      </c>
      <c r="C60" s="57">
        <v>34</v>
      </c>
    </row>
    <row r="61" spans="1:5" hidden="1" x14ac:dyDescent="0.3">
      <c r="A61" t="s">
        <v>1220</v>
      </c>
      <c r="B61" s="70">
        <v>2</v>
      </c>
      <c r="C61" s="57">
        <v>34</v>
      </c>
    </row>
    <row r="62" spans="1:5" hidden="1" x14ac:dyDescent="0.3">
      <c r="A62">
        <v>7198796290</v>
      </c>
      <c r="B62" s="70">
        <v>2</v>
      </c>
      <c r="C62" s="57">
        <v>30</v>
      </c>
    </row>
    <row r="63" spans="1:5" hidden="1" x14ac:dyDescent="0.3">
      <c r="A63">
        <v>71988082</v>
      </c>
      <c r="B63" s="70">
        <v>1</v>
      </c>
      <c r="C63" s="57">
        <v>30</v>
      </c>
    </row>
    <row r="64" spans="1:5" hidden="1" x14ac:dyDescent="0.3">
      <c r="A64">
        <v>7198916130</v>
      </c>
      <c r="B64" s="70">
        <v>1</v>
      </c>
      <c r="C64" s="57">
        <v>30</v>
      </c>
    </row>
    <row r="65" spans="1:4" hidden="1" x14ac:dyDescent="0.3">
      <c r="A65">
        <v>71989162</v>
      </c>
      <c r="B65" s="70">
        <v>3</v>
      </c>
      <c r="C65" s="57">
        <v>30</v>
      </c>
    </row>
    <row r="66" spans="1:4" hidden="1" x14ac:dyDescent="0.3">
      <c r="A66" t="s">
        <v>812</v>
      </c>
      <c r="B66" s="70">
        <v>1</v>
      </c>
      <c r="C66" s="57">
        <v>34</v>
      </c>
    </row>
    <row r="67" spans="1:4" hidden="1" x14ac:dyDescent="0.3">
      <c r="A67">
        <v>7198948560</v>
      </c>
      <c r="B67" s="70">
        <v>1</v>
      </c>
      <c r="C67" s="57">
        <v>30</v>
      </c>
    </row>
    <row r="68" spans="1:4" hidden="1" x14ac:dyDescent="0.3">
      <c r="A68">
        <v>7223686530</v>
      </c>
      <c r="B68" s="70">
        <v>1</v>
      </c>
      <c r="C68" s="57">
        <v>34</v>
      </c>
    </row>
    <row r="69" spans="1:4" hidden="1" x14ac:dyDescent="0.3">
      <c r="A69">
        <v>7235053630</v>
      </c>
      <c r="B69" s="70">
        <v>1</v>
      </c>
      <c r="C69" s="57">
        <v>30</v>
      </c>
      <c r="D69" t="s">
        <v>2170</v>
      </c>
    </row>
    <row r="70" spans="1:4" hidden="1" x14ac:dyDescent="0.3">
      <c r="A70">
        <v>7235053630</v>
      </c>
      <c r="B70" s="70">
        <v>1</v>
      </c>
      <c r="C70" s="57">
        <v>33</v>
      </c>
      <c r="D70" t="s">
        <v>2171</v>
      </c>
    </row>
    <row r="71" spans="1:4" hidden="1" x14ac:dyDescent="0.3">
      <c r="A71">
        <v>7235952330</v>
      </c>
      <c r="B71" s="70">
        <v>1</v>
      </c>
      <c r="C71" s="57">
        <v>30</v>
      </c>
    </row>
    <row r="72" spans="1:4" hidden="1" x14ac:dyDescent="0.3">
      <c r="A72" s="81" t="s">
        <v>1221</v>
      </c>
      <c r="B72" s="70">
        <v>1</v>
      </c>
      <c r="C72" s="57">
        <v>31</v>
      </c>
    </row>
    <row r="73" spans="1:4" hidden="1" x14ac:dyDescent="0.3">
      <c r="A73" s="81" t="s">
        <v>1222</v>
      </c>
      <c r="B73" s="70">
        <v>1</v>
      </c>
      <c r="C73" s="57">
        <v>31</v>
      </c>
    </row>
    <row r="74" spans="1:4" hidden="1" x14ac:dyDescent="0.3">
      <c r="A74" s="81" t="s">
        <v>1223</v>
      </c>
      <c r="B74" s="70">
        <v>1</v>
      </c>
      <c r="C74" s="57">
        <v>31</v>
      </c>
    </row>
    <row r="75" spans="1:4" hidden="1" x14ac:dyDescent="0.3">
      <c r="A75" s="82">
        <v>7247781730</v>
      </c>
      <c r="B75" s="70">
        <v>2</v>
      </c>
      <c r="C75" s="57">
        <v>32</v>
      </c>
    </row>
    <row r="76" spans="1:4" hidden="1" x14ac:dyDescent="0.3">
      <c r="A76" s="81" t="s">
        <v>1224</v>
      </c>
      <c r="B76" s="70">
        <v>1</v>
      </c>
      <c r="C76" s="57">
        <v>31</v>
      </c>
    </row>
    <row r="77" spans="1:4" hidden="1" x14ac:dyDescent="0.3">
      <c r="A77" s="82">
        <v>7252726530</v>
      </c>
      <c r="B77" s="70">
        <v>2</v>
      </c>
      <c r="C77" s="57">
        <v>32</v>
      </c>
    </row>
    <row r="78" spans="1:4" hidden="1" x14ac:dyDescent="0.3">
      <c r="A78" s="82">
        <v>7252779130</v>
      </c>
      <c r="B78" s="70">
        <v>2</v>
      </c>
      <c r="C78" s="57">
        <v>32</v>
      </c>
    </row>
    <row r="79" spans="1:4" hidden="1" x14ac:dyDescent="0.3">
      <c r="A79" s="81" t="s">
        <v>1225</v>
      </c>
      <c r="B79" s="70">
        <v>2</v>
      </c>
      <c r="C79" s="57">
        <v>31</v>
      </c>
    </row>
    <row r="80" spans="1:4" hidden="1" x14ac:dyDescent="0.3">
      <c r="A80" s="82">
        <v>7252785330</v>
      </c>
      <c r="B80" s="70">
        <v>13</v>
      </c>
      <c r="C80" s="57">
        <v>32</v>
      </c>
    </row>
    <row r="81" spans="1:4" hidden="1" x14ac:dyDescent="0.3">
      <c r="A81" s="81" t="s">
        <v>1227</v>
      </c>
      <c r="B81" s="70">
        <v>3</v>
      </c>
      <c r="C81" s="57">
        <v>31</v>
      </c>
    </row>
    <row r="82" spans="1:4" hidden="1" x14ac:dyDescent="0.3">
      <c r="A82" s="81" t="s">
        <v>1229</v>
      </c>
      <c r="B82" s="70">
        <v>1</v>
      </c>
      <c r="C82" s="57">
        <v>31</v>
      </c>
    </row>
    <row r="83" spans="1:4" hidden="1" x14ac:dyDescent="0.3">
      <c r="A83" s="82">
        <v>7252815130</v>
      </c>
      <c r="B83" s="70">
        <v>12</v>
      </c>
      <c r="C83" s="57">
        <v>32</v>
      </c>
    </row>
    <row r="84" spans="1:4" hidden="1" x14ac:dyDescent="0.3">
      <c r="A84">
        <v>7271007030</v>
      </c>
      <c r="B84" s="70">
        <v>1</v>
      </c>
      <c r="C84" s="57">
        <v>30</v>
      </c>
    </row>
    <row r="85" spans="1:4" hidden="1" x14ac:dyDescent="0.3">
      <c r="A85">
        <v>7271007230</v>
      </c>
      <c r="B85" s="70">
        <v>1</v>
      </c>
      <c r="C85" s="57">
        <v>30</v>
      </c>
    </row>
    <row r="86" spans="1:4" hidden="1" x14ac:dyDescent="0.3">
      <c r="A86">
        <v>7278246930</v>
      </c>
      <c r="B86" s="70">
        <v>2</v>
      </c>
      <c r="C86" s="57">
        <v>35</v>
      </c>
    </row>
    <row r="87" spans="1:4" hidden="1" x14ac:dyDescent="0.3">
      <c r="A87">
        <v>7287547130</v>
      </c>
      <c r="B87" s="70">
        <v>1</v>
      </c>
      <c r="C87" s="57">
        <v>30</v>
      </c>
    </row>
    <row r="88" spans="1:4" hidden="1" x14ac:dyDescent="0.3">
      <c r="A88">
        <v>7289063430</v>
      </c>
      <c r="B88" s="70">
        <v>1</v>
      </c>
      <c r="C88" s="57">
        <v>34</v>
      </c>
    </row>
    <row r="89" spans="1:4" hidden="1" x14ac:dyDescent="0.3">
      <c r="A89">
        <v>7289405830</v>
      </c>
      <c r="B89" s="70">
        <v>1</v>
      </c>
      <c r="C89" s="57">
        <v>30</v>
      </c>
    </row>
    <row r="90" spans="1:4" hidden="1" x14ac:dyDescent="0.3">
      <c r="A90">
        <v>72897304</v>
      </c>
      <c r="B90" s="70">
        <v>2</v>
      </c>
      <c r="C90" s="57">
        <v>30</v>
      </c>
    </row>
    <row r="91" spans="1:4" x14ac:dyDescent="0.3">
      <c r="A91" t="s">
        <v>258</v>
      </c>
      <c r="B91" s="70">
        <v>1</v>
      </c>
      <c r="C91" s="57">
        <v>37</v>
      </c>
      <c r="D91" t="s">
        <v>1237</v>
      </c>
    </row>
    <row r="92" spans="1:4" hidden="1" x14ac:dyDescent="0.3">
      <c r="A92" t="s">
        <v>1230</v>
      </c>
      <c r="B92" s="70">
        <v>1</v>
      </c>
      <c r="C92" s="57">
        <v>34</v>
      </c>
    </row>
    <row r="93" spans="1:4" hidden="1" x14ac:dyDescent="0.3">
      <c r="A93" t="s">
        <v>1231</v>
      </c>
      <c r="B93" s="70">
        <v>1</v>
      </c>
      <c r="C93" s="57">
        <v>34</v>
      </c>
    </row>
    <row r="94" spans="1:4" hidden="1" x14ac:dyDescent="0.3">
      <c r="A94" t="s">
        <v>843</v>
      </c>
      <c r="B94" s="70">
        <v>1</v>
      </c>
      <c r="C94" s="57">
        <v>34</v>
      </c>
    </row>
    <row r="95" spans="1:4" hidden="1" x14ac:dyDescent="0.3">
      <c r="A95">
        <v>7289896430</v>
      </c>
      <c r="B95" s="70">
        <v>1</v>
      </c>
      <c r="C95" s="57">
        <v>30</v>
      </c>
    </row>
    <row r="96" spans="1:4" hidden="1" x14ac:dyDescent="0.3">
      <c r="A96">
        <v>7289982670</v>
      </c>
      <c r="B96" s="70">
        <v>1</v>
      </c>
      <c r="C96" s="57">
        <v>30</v>
      </c>
    </row>
    <row r="97" spans="1:4" hidden="1" x14ac:dyDescent="0.3">
      <c r="A97">
        <v>7297944190</v>
      </c>
      <c r="B97" s="70">
        <v>2</v>
      </c>
      <c r="C97" s="57">
        <v>30</v>
      </c>
    </row>
    <row r="98" spans="1:4" hidden="1" x14ac:dyDescent="0.3">
      <c r="A98">
        <v>7298948930</v>
      </c>
      <c r="B98" s="70">
        <v>1</v>
      </c>
      <c r="C98" s="57">
        <v>35</v>
      </c>
    </row>
    <row r="99" spans="1:4" hidden="1" x14ac:dyDescent="0.3">
      <c r="A99">
        <v>7298949030</v>
      </c>
      <c r="B99" s="70">
        <v>1</v>
      </c>
      <c r="C99" s="57">
        <v>35</v>
      </c>
    </row>
    <row r="100" spans="1:4" hidden="1" x14ac:dyDescent="0.3">
      <c r="A100" t="s">
        <v>2121</v>
      </c>
      <c r="B100" s="70">
        <v>4</v>
      </c>
      <c r="C100" s="57">
        <v>34</v>
      </c>
      <c r="D100" t="s">
        <v>2172</v>
      </c>
    </row>
    <row r="101" spans="1:4" hidden="1" x14ac:dyDescent="0.3">
      <c r="A101" t="s">
        <v>824</v>
      </c>
      <c r="B101" s="70">
        <v>2</v>
      </c>
      <c r="C101" s="57">
        <v>34</v>
      </c>
      <c r="D101" t="s">
        <v>2173</v>
      </c>
    </row>
    <row r="102" spans="1:4" hidden="1" x14ac:dyDescent="0.3">
      <c r="A102" t="s">
        <v>2122</v>
      </c>
      <c r="B102" s="70">
        <v>1</v>
      </c>
      <c r="C102" s="57">
        <v>34</v>
      </c>
      <c r="D102" t="s">
        <v>2174</v>
      </c>
    </row>
    <row r="103" spans="1:4" hidden="1" x14ac:dyDescent="0.3">
      <c r="A103" t="s">
        <v>1232</v>
      </c>
      <c r="B103" s="70">
        <v>9</v>
      </c>
      <c r="C103" s="57">
        <v>34</v>
      </c>
      <c r="D103" t="s">
        <v>2175</v>
      </c>
    </row>
    <row r="104" spans="1:4" hidden="1" x14ac:dyDescent="0.3">
      <c r="A104" t="s">
        <v>1203</v>
      </c>
      <c r="B104" s="70">
        <v>4</v>
      </c>
      <c r="C104" s="57">
        <v>34</v>
      </c>
    </row>
    <row r="105" spans="1:4" hidden="1" x14ac:dyDescent="0.3">
      <c r="A105" t="s">
        <v>238</v>
      </c>
      <c r="B105" s="70">
        <v>2</v>
      </c>
      <c r="C105" s="57">
        <v>30</v>
      </c>
    </row>
    <row r="106" spans="1:4" hidden="1" x14ac:dyDescent="0.3">
      <c r="A106" t="s">
        <v>591</v>
      </c>
      <c r="B106" s="70">
        <v>2</v>
      </c>
      <c r="C106" s="57">
        <v>30</v>
      </c>
    </row>
    <row r="107" spans="1:4" hidden="1" x14ac:dyDescent="0.3">
      <c r="A107" t="s">
        <v>2123</v>
      </c>
      <c r="B107" s="70">
        <v>1</v>
      </c>
      <c r="C107" s="57">
        <v>34</v>
      </c>
    </row>
    <row r="108" spans="1:4" hidden="1" x14ac:dyDescent="0.3">
      <c r="A108" t="s">
        <v>595</v>
      </c>
      <c r="B108" s="70">
        <v>1</v>
      </c>
      <c r="C108" s="57">
        <v>30</v>
      </c>
    </row>
    <row r="109" spans="1:4" hidden="1" x14ac:dyDescent="0.3">
      <c r="A109" t="s">
        <v>259</v>
      </c>
      <c r="B109" s="70">
        <v>1</v>
      </c>
      <c r="C109" s="57">
        <v>34</v>
      </c>
    </row>
    <row r="110" spans="1:4" hidden="1" x14ac:dyDescent="0.3">
      <c r="A110" t="s">
        <v>598</v>
      </c>
      <c r="B110" s="70">
        <v>1</v>
      </c>
      <c r="C110" s="57">
        <v>30</v>
      </c>
    </row>
    <row r="111" spans="1:4" hidden="1" x14ac:dyDescent="0.3">
      <c r="A111" t="s">
        <v>240</v>
      </c>
      <c r="B111" s="70">
        <v>2</v>
      </c>
      <c r="C111" s="57">
        <v>30</v>
      </c>
    </row>
    <row r="112" spans="1:4" hidden="1" x14ac:dyDescent="0.3">
      <c r="A112" t="s">
        <v>602</v>
      </c>
      <c r="B112" s="70">
        <v>1</v>
      </c>
      <c r="C112" s="57">
        <v>30</v>
      </c>
    </row>
    <row r="113" spans="1:4" hidden="1" x14ac:dyDescent="0.3">
      <c r="A113" t="s">
        <v>846</v>
      </c>
      <c r="B113" s="70">
        <v>1</v>
      </c>
      <c r="C113" s="57">
        <v>30</v>
      </c>
    </row>
    <row r="114" spans="1:4" hidden="1" x14ac:dyDescent="0.3">
      <c r="A114" t="s">
        <v>844</v>
      </c>
      <c r="B114" s="70">
        <v>2</v>
      </c>
      <c r="C114" s="57">
        <v>30</v>
      </c>
    </row>
    <row r="115" spans="1:4" hidden="1" x14ac:dyDescent="0.3">
      <c r="A115" t="s">
        <v>845</v>
      </c>
      <c r="B115" s="70">
        <v>1</v>
      </c>
      <c r="C115" s="57">
        <v>30</v>
      </c>
    </row>
    <row r="116" spans="1:4" hidden="1" x14ac:dyDescent="0.3">
      <c r="A116" t="s">
        <v>241</v>
      </c>
      <c r="B116" s="70">
        <v>2</v>
      </c>
      <c r="C116" s="57">
        <v>30</v>
      </c>
    </row>
    <row r="117" spans="1:4" hidden="1" x14ac:dyDescent="0.3">
      <c r="A117" t="s">
        <v>242</v>
      </c>
      <c r="B117" s="70">
        <v>1</v>
      </c>
      <c r="C117" s="57">
        <v>30</v>
      </c>
    </row>
    <row r="118" spans="1:4" hidden="1" x14ac:dyDescent="0.3">
      <c r="A118" t="s">
        <v>243</v>
      </c>
      <c r="B118" s="70">
        <v>2</v>
      </c>
      <c r="C118" s="57">
        <v>30</v>
      </c>
    </row>
    <row r="119" spans="1:4" hidden="1" x14ac:dyDescent="0.3">
      <c r="A119" t="s">
        <v>244</v>
      </c>
      <c r="B119" s="70">
        <v>1</v>
      </c>
      <c r="C119" s="57">
        <v>30</v>
      </c>
    </row>
    <row r="120" spans="1:4" hidden="1" x14ac:dyDescent="0.3">
      <c r="A120" t="s">
        <v>245</v>
      </c>
      <c r="B120" s="70">
        <v>1</v>
      </c>
      <c r="C120" s="57">
        <v>30</v>
      </c>
    </row>
    <row r="121" spans="1:4" hidden="1" x14ac:dyDescent="0.3">
      <c r="A121" t="s">
        <v>246</v>
      </c>
      <c r="B121" s="70">
        <v>1</v>
      </c>
      <c r="C121" s="57">
        <v>30</v>
      </c>
    </row>
    <row r="122" spans="1:4" hidden="1" x14ac:dyDescent="0.3">
      <c r="A122" t="s">
        <v>247</v>
      </c>
      <c r="B122" s="70">
        <v>2</v>
      </c>
      <c r="C122" s="57">
        <v>34</v>
      </c>
      <c r="D122">
        <v>233.208</v>
      </c>
    </row>
    <row r="123" spans="1:4" hidden="1" x14ac:dyDescent="0.3">
      <c r="A123" t="s">
        <v>248</v>
      </c>
      <c r="B123" s="70">
        <v>6</v>
      </c>
      <c r="C123" s="57">
        <v>34</v>
      </c>
      <c r="D123" t="s">
        <v>2176</v>
      </c>
    </row>
    <row r="124" spans="1:4" hidden="1" x14ac:dyDescent="0.3">
      <c r="A124" t="s">
        <v>250</v>
      </c>
      <c r="B124" s="70">
        <v>4</v>
      </c>
      <c r="C124" s="57">
        <v>34</v>
      </c>
      <c r="D124" t="s">
        <v>2177</v>
      </c>
    </row>
    <row r="125" spans="1:4" hidden="1" x14ac:dyDescent="0.3">
      <c r="A125" t="s">
        <v>656</v>
      </c>
      <c r="B125" s="70">
        <v>1</v>
      </c>
      <c r="C125" s="57">
        <v>30</v>
      </c>
    </row>
    <row r="126" spans="1:4" hidden="1" x14ac:dyDescent="0.3">
      <c r="A126" t="s">
        <v>251</v>
      </c>
      <c r="B126" s="70">
        <v>1</v>
      </c>
      <c r="C126" s="57">
        <v>30</v>
      </c>
    </row>
    <row r="127" spans="1:4" hidden="1" x14ac:dyDescent="0.3">
      <c r="A127" t="s">
        <v>626</v>
      </c>
      <c r="B127" s="70">
        <v>1</v>
      </c>
      <c r="C127" s="57">
        <v>30</v>
      </c>
    </row>
    <row r="128" spans="1:4" hidden="1" x14ac:dyDescent="0.3">
      <c r="A128" t="s">
        <v>260</v>
      </c>
      <c r="B128" s="70">
        <v>1</v>
      </c>
      <c r="C128" s="57">
        <v>30</v>
      </c>
    </row>
    <row r="129" spans="1:3" hidden="1" x14ac:dyDescent="0.3">
      <c r="A129" t="s">
        <v>266</v>
      </c>
      <c r="B129" s="70">
        <v>1</v>
      </c>
      <c r="C129" s="57">
        <v>30</v>
      </c>
    </row>
    <row r="130" spans="1:3" hidden="1" x14ac:dyDescent="0.3">
      <c r="A130" t="s">
        <v>1233</v>
      </c>
      <c r="B130" s="70">
        <v>1</v>
      </c>
      <c r="C130" s="57">
        <v>34</v>
      </c>
    </row>
    <row r="131" spans="1:3" hidden="1" x14ac:dyDescent="0.3">
      <c r="A131" t="s">
        <v>935</v>
      </c>
      <c r="B131" s="70">
        <v>1</v>
      </c>
      <c r="C131" s="57">
        <v>34</v>
      </c>
    </row>
  </sheetData>
  <autoFilter ref="A1:D131" xr:uid="{DD1C628E-3165-4D6A-B093-F3DFD68007E2}">
    <filterColumn colId="2">
      <filters>
        <filter val="37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490F-8FF8-4C12-8554-075F6C5B9BD9}">
  <sheetPr filterMode="1">
    <tabColor rgb="FFFF0000"/>
  </sheetPr>
  <dimension ref="A1:F21"/>
  <sheetViews>
    <sheetView tabSelected="1" zoomScale="85" zoomScaleNormal="85" workbookViewId="0">
      <selection activeCell="P15" sqref="P15"/>
    </sheetView>
  </sheetViews>
  <sheetFormatPr defaultRowHeight="14.4" x14ac:dyDescent="0.3"/>
  <cols>
    <col min="1" max="1" width="36.33203125" bestFit="1" customWidth="1"/>
    <col min="2" max="2" width="5.6640625" bestFit="1" customWidth="1"/>
    <col min="3" max="3" width="9.44140625" bestFit="1" customWidth="1"/>
    <col min="4" max="4" width="3.5546875" bestFit="1" customWidth="1"/>
    <col min="6" max="6" width="12.109375" bestFit="1" customWidth="1"/>
  </cols>
  <sheetData>
    <row r="1" spans="1:6" x14ac:dyDescent="0.3">
      <c r="A1" s="55" t="s">
        <v>309</v>
      </c>
      <c r="B1" s="55" t="s">
        <v>274</v>
      </c>
      <c r="C1" s="55" t="s">
        <v>1327</v>
      </c>
      <c r="D1" s="55" t="s">
        <v>23</v>
      </c>
      <c r="E1" s="55" t="s">
        <v>2030</v>
      </c>
    </row>
    <row r="2" spans="1:6" s="57" customFormat="1" hidden="1" x14ac:dyDescent="0.3">
      <c r="A2" s="77" t="s">
        <v>214</v>
      </c>
      <c r="B2" s="78"/>
      <c r="C2" s="78"/>
      <c r="D2" s="78">
        <v>1</v>
      </c>
      <c r="E2" s="78">
        <v>28</v>
      </c>
    </row>
    <row r="3" spans="1:6" s="57" customFormat="1" hidden="1" x14ac:dyDescent="0.3">
      <c r="A3" s="77">
        <v>7119163630</v>
      </c>
      <c r="B3" s="78">
        <v>1</v>
      </c>
      <c r="C3" s="78"/>
      <c r="D3" s="78">
        <v>4</v>
      </c>
      <c r="E3" s="78">
        <v>112</v>
      </c>
    </row>
    <row r="4" spans="1:6" s="57" customFormat="1" hidden="1" x14ac:dyDescent="0.3">
      <c r="A4" s="77">
        <v>7119172930</v>
      </c>
      <c r="B4" s="78">
        <v>1</v>
      </c>
      <c r="C4" s="78"/>
      <c r="D4" s="78">
        <v>1</v>
      </c>
      <c r="E4" s="78">
        <v>28</v>
      </c>
    </row>
    <row r="5" spans="1:6" s="57" customFormat="1" hidden="1" x14ac:dyDescent="0.3">
      <c r="A5" s="77">
        <v>71196506</v>
      </c>
      <c r="B5" s="78">
        <v>1</v>
      </c>
      <c r="C5" s="78"/>
      <c r="D5" s="78">
        <v>1</v>
      </c>
      <c r="E5" s="78">
        <v>28</v>
      </c>
    </row>
    <row r="6" spans="1:6" s="57" customFormat="1" hidden="1" x14ac:dyDescent="0.3">
      <c r="A6" s="77">
        <v>7119668820</v>
      </c>
      <c r="B6" s="78">
        <v>1</v>
      </c>
      <c r="C6" s="78"/>
      <c r="D6" s="78">
        <v>1</v>
      </c>
      <c r="E6" s="78">
        <v>28</v>
      </c>
    </row>
    <row r="7" spans="1:6" s="57" customFormat="1" hidden="1" x14ac:dyDescent="0.3">
      <c r="A7" s="77" t="s">
        <v>217</v>
      </c>
      <c r="B7" s="78"/>
      <c r="C7" s="78"/>
      <c r="D7" s="78">
        <v>3</v>
      </c>
      <c r="E7" s="78">
        <v>84</v>
      </c>
    </row>
    <row r="8" spans="1:6" x14ac:dyDescent="0.3">
      <c r="A8" s="50" t="s">
        <v>1213</v>
      </c>
      <c r="B8" s="49"/>
      <c r="C8" s="49"/>
      <c r="D8" s="49">
        <v>1</v>
      </c>
      <c r="E8" s="49">
        <v>28</v>
      </c>
      <c r="F8" t="s">
        <v>2627</v>
      </c>
    </row>
    <row r="9" spans="1:6" x14ac:dyDescent="0.3">
      <c r="A9" s="50" t="s">
        <v>1214</v>
      </c>
      <c r="B9" s="49"/>
      <c r="C9" s="49"/>
      <c r="D9" s="49">
        <v>1</v>
      </c>
      <c r="E9" s="49">
        <v>28</v>
      </c>
      <c r="F9" t="s">
        <v>2627</v>
      </c>
    </row>
    <row r="10" spans="1:6" s="57" customFormat="1" x14ac:dyDescent="0.3">
      <c r="A10" s="77">
        <v>7178270480</v>
      </c>
      <c r="B10" s="78"/>
      <c r="C10" s="78"/>
      <c r="D10" s="78">
        <v>1</v>
      </c>
      <c r="E10" s="78">
        <v>28</v>
      </c>
      <c r="F10" s="57" t="s">
        <v>2185</v>
      </c>
    </row>
    <row r="11" spans="1:6" s="96" customFormat="1" x14ac:dyDescent="0.3">
      <c r="A11" s="94" t="s">
        <v>1215</v>
      </c>
      <c r="B11" s="95"/>
      <c r="C11" s="95"/>
      <c r="D11" s="95">
        <v>1</v>
      </c>
      <c r="E11" s="95">
        <v>28</v>
      </c>
      <c r="F11" s="57" t="s">
        <v>2185</v>
      </c>
    </row>
    <row r="12" spans="1:6" x14ac:dyDescent="0.3">
      <c r="A12" s="50" t="s">
        <v>1216</v>
      </c>
      <c r="B12" s="49"/>
      <c r="C12" s="49"/>
      <c r="D12" s="49">
        <v>1</v>
      </c>
      <c r="E12" s="49">
        <v>28</v>
      </c>
      <c r="F12" s="57" t="s">
        <v>2185</v>
      </c>
    </row>
    <row r="13" spans="1:6" s="57" customFormat="1" hidden="1" x14ac:dyDescent="0.3">
      <c r="A13" s="77" t="s">
        <v>1217</v>
      </c>
      <c r="B13" s="78"/>
      <c r="C13" s="78"/>
      <c r="D13" s="78">
        <v>1</v>
      </c>
      <c r="E13" s="78">
        <v>28</v>
      </c>
    </row>
    <row r="14" spans="1:6" s="96" customFormat="1" x14ac:dyDescent="0.3">
      <c r="A14" s="94" t="s">
        <v>227</v>
      </c>
      <c r="B14" s="95"/>
      <c r="C14" s="95"/>
      <c r="D14" s="95">
        <v>2</v>
      </c>
      <c r="E14" s="95">
        <v>56</v>
      </c>
      <c r="F14" s="57" t="s">
        <v>2185</v>
      </c>
    </row>
    <row r="15" spans="1:6" x14ac:dyDescent="0.3">
      <c r="A15" s="50" t="s">
        <v>647</v>
      </c>
      <c r="B15" s="49"/>
      <c r="C15" s="49"/>
      <c r="D15" s="49">
        <v>1</v>
      </c>
      <c r="E15" s="49">
        <v>28</v>
      </c>
      <c r="F15" s="57" t="s">
        <v>2185</v>
      </c>
    </row>
    <row r="16" spans="1:6" s="57" customFormat="1" hidden="1" x14ac:dyDescent="0.3">
      <c r="A16" s="77" t="s">
        <v>1230</v>
      </c>
      <c r="B16" s="78"/>
      <c r="C16" s="78"/>
      <c r="D16" s="78">
        <v>1</v>
      </c>
      <c r="E16" s="78">
        <v>28</v>
      </c>
    </row>
    <row r="17" spans="1:5" s="57" customFormat="1" hidden="1" x14ac:dyDescent="0.3">
      <c r="A17" s="77" t="s">
        <v>843</v>
      </c>
      <c r="B17" s="78"/>
      <c r="C17" s="78"/>
      <c r="D17" s="78">
        <v>1</v>
      </c>
      <c r="E17" s="78">
        <v>28</v>
      </c>
    </row>
    <row r="20" spans="1:5" x14ac:dyDescent="0.3">
      <c r="A20" s="75" t="s">
        <v>2031</v>
      </c>
      <c r="B20" s="75">
        <v>7</v>
      </c>
      <c r="C20" s="74"/>
      <c r="D20" s="74"/>
      <c r="E20" s="74"/>
    </row>
    <row r="21" spans="1:5" x14ac:dyDescent="0.3">
      <c r="A21" s="75" t="s">
        <v>2032</v>
      </c>
      <c r="B21" s="75">
        <v>224</v>
      </c>
      <c r="C21" s="74"/>
      <c r="D21" s="74"/>
      <c r="E21" s="74"/>
    </row>
  </sheetData>
  <autoFilter ref="A1:E17" xr:uid="{5ACE490F-8FF8-4C12-8554-075F6C5B9BD9}">
    <filterColumn colId="0">
      <colorFilter dxfId="116"/>
    </filterColumn>
  </autoFilter>
  <conditionalFormatting sqref="A1:A17">
    <cfRule type="duplicateValues" dxfId="19" priority="109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F64"/>
  <sheetViews>
    <sheetView topLeftCell="A13" workbookViewId="0">
      <selection activeCell="L20" sqref="L20"/>
    </sheetView>
  </sheetViews>
  <sheetFormatPr defaultRowHeight="14.4" x14ac:dyDescent="0.3"/>
  <cols>
    <col min="1" max="1" width="10.21875" customWidth="1"/>
    <col min="2" max="2" width="15" bestFit="1" customWidth="1"/>
    <col min="3" max="3" width="54.88671875" bestFit="1" customWidth="1"/>
    <col min="4" max="4" width="10.109375" customWidth="1"/>
    <col min="5" max="5" width="13.33203125" bestFit="1" customWidth="1"/>
  </cols>
  <sheetData>
    <row r="1" spans="1:6" x14ac:dyDescent="0.3">
      <c r="A1" t="s">
        <v>22</v>
      </c>
      <c r="B1" t="s">
        <v>753</v>
      </c>
      <c r="C1" t="s">
        <v>852</v>
      </c>
      <c r="D1" t="s">
        <v>31</v>
      </c>
      <c r="E1" t="s">
        <v>872</v>
      </c>
      <c r="F1" t="s">
        <v>1754</v>
      </c>
    </row>
    <row r="2" spans="1:6" x14ac:dyDescent="0.3">
      <c r="A2">
        <v>1</v>
      </c>
      <c r="C2" t="s">
        <v>951</v>
      </c>
      <c r="D2" t="b">
        <v>1</v>
      </c>
    </row>
    <row r="3" spans="1:6" x14ac:dyDescent="0.3">
      <c r="A3">
        <v>2</v>
      </c>
      <c r="C3" t="s">
        <v>951</v>
      </c>
      <c r="D3" t="b">
        <v>1</v>
      </c>
    </row>
    <row r="4" spans="1:6" x14ac:dyDescent="0.3">
      <c r="A4">
        <v>3</v>
      </c>
      <c r="C4" t="s">
        <v>951</v>
      </c>
      <c r="D4" t="b">
        <v>1</v>
      </c>
    </row>
    <row r="5" spans="1:6" x14ac:dyDescent="0.3">
      <c r="A5">
        <v>4</v>
      </c>
      <c r="C5" t="s">
        <v>951</v>
      </c>
      <c r="D5" t="b">
        <v>1</v>
      </c>
    </row>
    <row r="6" spans="1:6" x14ac:dyDescent="0.3">
      <c r="A6">
        <v>5</v>
      </c>
      <c r="C6" t="s">
        <v>951</v>
      </c>
      <c r="D6" t="b">
        <v>1</v>
      </c>
    </row>
    <row r="7" spans="1:6" x14ac:dyDescent="0.3">
      <c r="A7">
        <v>6</v>
      </c>
      <c r="C7" t="s">
        <v>951</v>
      </c>
      <c r="D7" t="b">
        <v>1</v>
      </c>
    </row>
    <row r="8" spans="1:6" x14ac:dyDescent="0.3">
      <c r="A8">
        <v>7</v>
      </c>
      <c r="C8" t="s">
        <v>868</v>
      </c>
      <c r="D8" t="b">
        <v>1</v>
      </c>
    </row>
    <row r="9" spans="1:6" x14ac:dyDescent="0.3">
      <c r="A9">
        <v>8</v>
      </c>
      <c r="C9" t="s">
        <v>854</v>
      </c>
      <c r="D9" t="b">
        <v>1</v>
      </c>
      <c r="E9" t="s">
        <v>878</v>
      </c>
    </row>
    <row r="10" spans="1:6" x14ac:dyDescent="0.3">
      <c r="A10">
        <v>9</v>
      </c>
      <c r="C10" t="s">
        <v>854</v>
      </c>
      <c r="D10" t="b">
        <v>1</v>
      </c>
      <c r="E10" t="s">
        <v>878</v>
      </c>
    </row>
    <row r="11" spans="1:6" x14ac:dyDescent="0.3">
      <c r="A11">
        <v>10</v>
      </c>
      <c r="C11" t="s">
        <v>853</v>
      </c>
      <c r="D11" t="b">
        <v>1</v>
      </c>
      <c r="E11" t="s">
        <v>879</v>
      </c>
    </row>
    <row r="12" spans="1:6" x14ac:dyDescent="0.3">
      <c r="A12">
        <v>11</v>
      </c>
      <c r="C12" t="s">
        <v>853</v>
      </c>
      <c r="D12" t="b">
        <v>1</v>
      </c>
      <c r="E12" t="s">
        <v>879</v>
      </c>
    </row>
    <row r="13" spans="1:6" x14ac:dyDescent="0.3">
      <c r="A13">
        <v>12</v>
      </c>
      <c r="C13" t="s">
        <v>853</v>
      </c>
      <c r="D13" t="b">
        <v>1</v>
      </c>
      <c r="E13" t="s">
        <v>879</v>
      </c>
    </row>
    <row r="14" spans="1:6" x14ac:dyDescent="0.3">
      <c r="A14">
        <v>13</v>
      </c>
      <c r="C14" t="s">
        <v>854</v>
      </c>
      <c r="D14" t="b">
        <v>1</v>
      </c>
    </row>
    <row r="15" spans="1:6" x14ac:dyDescent="0.3">
      <c r="A15">
        <v>14</v>
      </c>
      <c r="C15" t="s">
        <v>853</v>
      </c>
      <c r="D15" t="b">
        <v>1</v>
      </c>
      <c r="E15" t="s">
        <v>879</v>
      </c>
    </row>
    <row r="16" spans="1:6" x14ac:dyDescent="0.3">
      <c r="A16">
        <v>66</v>
      </c>
      <c r="C16" t="s">
        <v>948</v>
      </c>
      <c r="D16" t="b">
        <v>0</v>
      </c>
    </row>
    <row r="17" spans="1:5" x14ac:dyDescent="0.3">
      <c r="A17">
        <v>15</v>
      </c>
      <c r="C17" t="s">
        <v>951</v>
      </c>
      <c r="D17" t="b">
        <v>1</v>
      </c>
      <c r="E17" t="s">
        <v>952</v>
      </c>
    </row>
    <row r="18" spans="1:5" x14ac:dyDescent="0.3">
      <c r="A18">
        <v>16</v>
      </c>
      <c r="C18" t="s">
        <v>951</v>
      </c>
      <c r="D18" t="b">
        <v>1</v>
      </c>
      <c r="E18" t="s">
        <v>952</v>
      </c>
    </row>
    <row r="19" spans="1:5" x14ac:dyDescent="0.3">
      <c r="A19">
        <v>17</v>
      </c>
      <c r="C19" t="s">
        <v>957</v>
      </c>
      <c r="D19" t="b">
        <v>1</v>
      </c>
      <c r="E19" t="s">
        <v>952</v>
      </c>
    </row>
    <row r="20" spans="1:5" x14ac:dyDescent="0.3">
      <c r="A20">
        <v>99</v>
      </c>
      <c r="C20" t="s">
        <v>948</v>
      </c>
      <c r="D20" t="b">
        <v>1</v>
      </c>
      <c r="E20" t="s">
        <v>1194</v>
      </c>
    </row>
    <row r="21" spans="1:5" x14ac:dyDescent="0.3">
      <c r="A21">
        <v>18</v>
      </c>
      <c r="C21" t="s">
        <v>1242</v>
      </c>
      <c r="D21" t="b">
        <v>1</v>
      </c>
      <c r="E21" t="s">
        <v>1287</v>
      </c>
    </row>
    <row r="22" spans="1:5" x14ac:dyDescent="0.3">
      <c r="A22">
        <v>19</v>
      </c>
      <c r="C22" t="s">
        <v>1243</v>
      </c>
      <c r="D22" t="b">
        <v>1</v>
      </c>
      <c r="E22" t="s">
        <v>1288</v>
      </c>
    </row>
    <row r="23" spans="1:5" x14ac:dyDescent="0.3">
      <c r="A23">
        <v>20</v>
      </c>
      <c r="C23" t="s">
        <v>1243</v>
      </c>
      <c r="D23" t="b">
        <v>1</v>
      </c>
      <c r="E23" t="s">
        <v>1288</v>
      </c>
    </row>
    <row r="24" spans="1:5" x14ac:dyDescent="0.3">
      <c r="A24">
        <v>21</v>
      </c>
      <c r="C24" t="s">
        <v>1684</v>
      </c>
      <c r="D24" t="b">
        <v>1</v>
      </c>
      <c r="E24" t="s">
        <v>1685</v>
      </c>
    </row>
    <row r="25" spans="1:5" x14ac:dyDescent="0.3">
      <c r="A25">
        <v>22</v>
      </c>
      <c r="C25" t="s">
        <v>1243</v>
      </c>
      <c r="D25" t="b">
        <v>1</v>
      </c>
      <c r="E25" t="s">
        <v>1288</v>
      </c>
    </row>
    <row r="26" spans="1:5" x14ac:dyDescent="0.3">
      <c r="A26">
        <v>23</v>
      </c>
      <c r="C26" t="s">
        <v>1243</v>
      </c>
      <c r="D26" t="b">
        <v>1</v>
      </c>
      <c r="E26" t="s">
        <v>1288</v>
      </c>
    </row>
    <row r="27" spans="1:5" x14ac:dyDescent="0.3">
      <c r="A27">
        <v>24</v>
      </c>
      <c r="C27" t="s">
        <v>1243</v>
      </c>
      <c r="D27" t="b">
        <v>1</v>
      </c>
      <c r="E27" t="s">
        <v>1288</v>
      </c>
    </row>
    <row r="28" spans="1:5" x14ac:dyDescent="0.3">
      <c r="A28">
        <v>25</v>
      </c>
      <c r="C28" t="s">
        <v>1243</v>
      </c>
      <c r="D28" t="b">
        <v>1</v>
      </c>
      <c r="E28" t="s">
        <v>1288</v>
      </c>
    </row>
    <row r="29" spans="1:5" x14ac:dyDescent="0.3">
      <c r="A29">
        <v>26</v>
      </c>
      <c r="C29" t="s">
        <v>1243</v>
      </c>
      <c r="D29" t="b">
        <v>1</v>
      </c>
      <c r="E29" t="s">
        <v>1288</v>
      </c>
    </row>
    <row r="30" spans="1:5" x14ac:dyDescent="0.3">
      <c r="A30">
        <v>27</v>
      </c>
      <c r="C30" t="s">
        <v>1243</v>
      </c>
      <c r="D30" t="b">
        <v>1</v>
      </c>
      <c r="E30" t="s">
        <v>1288</v>
      </c>
    </row>
    <row r="31" spans="1:5" x14ac:dyDescent="0.3">
      <c r="A31">
        <v>28</v>
      </c>
      <c r="C31" t="s">
        <v>1243</v>
      </c>
      <c r="D31" t="b">
        <v>1</v>
      </c>
      <c r="E31" t="s">
        <v>1288</v>
      </c>
    </row>
    <row r="32" spans="1:5" x14ac:dyDescent="0.3">
      <c r="A32">
        <v>29</v>
      </c>
      <c r="C32" t="s">
        <v>1243</v>
      </c>
      <c r="D32" t="b">
        <v>1</v>
      </c>
      <c r="E32" t="s">
        <v>1288</v>
      </c>
    </row>
    <row r="33" spans="1:5" x14ac:dyDescent="0.3">
      <c r="A33">
        <v>30</v>
      </c>
      <c r="C33" t="s">
        <v>2108</v>
      </c>
      <c r="D33" t="b">
        <v>1</v>
      </c>
      <c r="E33" t="s">
        <v>1753</v>
      </c>
    </row>
    <row r="34" spans="1:5" x14ac:dyDescent="0.3">
      <c r="A34">
        <v>31</v>
      </c>
      <c r="C34" t="s">
        <v>2108</v>
      </c>
      <c r="D34" t="b">
        <v>1</v>
      </c>
      <c r="E34" t="s">
        <v>1753</v>
      </c>
    </row>
    <row r="35" spans="1:5" x14ac:dyDescent="0.3">
      <c r="A35">
        <v>32</v>
      </c>
      <c r="C35" t="s">
        <v>2108</v>
      </c>
      <c r="D35" t="b">
        <v>1</v>
      </c>
      <c r="E35" t="s">
        <v>1753</v>
      </c>
    </row>
    <row r="36" spans="1:5" x14ac:dyDescent="0.3">
      <c r="A36">
        <v>33</v>
      </c>
      <c r="C36" t="s">
        <v>2108</v>
      </c>
      <c r="D36" t="b">
        <v>1</v>
      </c>
      <c r="E36" t="s">
        <v>1753</v>
      </c>
    </row>
    <row r="37" spans="1:5" x14ac:dyDescent="0.3">
      <c r="A37">
        <v>34</v>
      </c>
      <c r="C37" t="s">
        <v>2108</v>
      </c>
      <c r="D37" t="b">
        <v>1</v>
      </c>
      <c r="E37" t="s">
        <v>1753</v>
      </c>
    </row>
    <row r="38" spans="1:5" x14ac:dyDescent="0.3">
      <c r="A38">
        <v>35</v>
      </c>
      <c r="C38" t="s">
        <v>2108</v>
      </c>
      <c r="D38" t="b">
        <v>1</v>
      </c>
      <c r="E38" t="s">
        <v>1753</v>
      </c>
    </row>
    <row r="39" spans="1:5" x14ac:dyDescent="0.3">
      <c r="A39">
        <v>36</v>
      </c>
      <c r="C39" t="s">
        <v>2108</v>
      </c>
      <c r="D39" t="b">
        <v>1</v>
      </c>
      <c r="E39" t="s">
        <v>1753</v>
      </c>
    </row>
    <row r="40" spans="1:5" x14ac:dyDescent="0.3">
      <c r="A40">
        <v>37</v>
      </c>
      <c r="C40" t="s">
        <v>2108</v>
      </c>
      <c r="D40" t="b">
        <v>1</v>
      </c>
      <c r="E40" t="s">
        <v>1753</v>
      </c>
    </row>
    <row r="41" spans="1:5" x14ac:dyDescent="0.3">
      <c r="A41">
        <v>38</v>
      </c>
      <c r="C41" t="s">
        <v>2108</v>
      </c>
      <c r="D41" t="b">
        <v>0</v>
      </c>
      <c r="E41" t="s">
        <v>1753</v>
      </c>
    </row>
    <row r="42" spans="1:5" x14ac:dyDescent="0.3">
      <c r="A42">
        <v>39</v>
      </c>
      <c r="C42" t="s">
        <v>2108</v>
      </c>
      <c r="D42" t="b">
        <v>0</v>
      </c>
      <c r="E42" t="s">
        <v>1753</v>
      </c>
    </row>
    <row r="43" spans="1:5" x14ac:dyDescent="0.3">
      <c r="A43">
        <v>40</v>
      </c>
      <c r="C43" t="s">
        <v>2108</v>
      </c>
      <c r="D43" t="b">
        <v>0</v>
      </c>
      <c r="E43" t="s">
        <v>1753</v>
      </c>
    </row>
    <row r="44" spans="1:5" x14ac:dyDescent="0.3">
      <c r="A44">
        <v>41</v>
      </c>
      <c r="C44" t="s">
        <v>1684</v>
      </c>
      <c r="D44" t="b">
        <v>1</v>
      </c>
      <c r="E44" t="s">
        <v>1685</v>
      </c>
    </row>
    <row r="45" spans="1:5" x14ac:dyDescent="0.3">
      <c r="A45">
        <v>42</v>
      </c>
      <c r="C45" t="s">
        <v>1684</v>
      </c>
      <c r="D45" t="b">
        <v>1</v>
      </c>
      <c r="E45" t="s">
        <v>1685</v>
      </c>
    </row>
    <row r="46" spans="1:5" x14ac:dyDescent="0.3">
      <c r="A46">
        <v>43</v>
      </c>
      <c r="C46" t="s">
        <v>1243</v>
      </c>
      <c r="D46" t="b">
        <v>1</v>
      </c>
      <c r="E46" t="s">
        <v>1288</v>
      </c>
    </row>
    <row r="47" spans="1:5" x14ac:dyDescent="0.3">
      <c r="A47">
        <v>44</v>
      </c>
      <c r="C47" t="s">
        <v>1243</v>
      </c>
      <c r="D47" t="b">
        <v>1</v>
      </c>
      <c r="E47" t="s">
        <v>1288</v>
      </c>
    </row>
    <row r="48" spans="1:5" x14ac:dyDescent="0.3">
      <c r="A48">
        <v>45</v>
      </c>
      <c r="C48" t="s">
        <v>1243</v>
      </c>
      <c r="D48" t="b">
        <v>1</v>
      </c>
      <c r="E48" t="s">
        <v>1288</v>
      </c>
    </row>
    <row r="49" spans="1:5" x14ac:dyDescent="0.3">
      <c r="A49">
        <v>46</v>
      </c>
      <c r="C49" t="s">
        <v>1243</v>
      </c>
      <c r="D49" t="b">
        <v>1</v>
      </c>
      <c r="E49" t="s">
        <v>1288</v>
      </c>
    </row>
    <row r="50" spans="1:5" x14ac:dyDescent="0.3">
      <c r="A50">
        <v>47</v>
      </c>
      <c r="C50" t="s">
        <v>1243</v>
      </c>
      <c r="D50" t="b">
        <v>1</v>
      </c>
      <c r="E50" t="s">
        <v>1288</v>
      </c>
    </row>
    <row r="51" spans="1:5" x14ac:dyDescent="0.3">
      <c r="A51">
        <v>48</v>
      </c>
      <c r="C51" t="s">
        <v>1243</v>
      </c>
      <c r="D51" t="b">
        <v>0</v>
      </c>
      <c r="E51" t="s">
        <v>1288</v>
      </c>
    </row>
    <row r="52" spans="1:5" x14ac:dyDescent="0.3">
      <c r="A52">
        <v>49</v>
      </c>
      <c r="C52" t="s">
        <v>1243</v>
      </c>
      <c r="D52" t="b">
        <v>0</v>
      </c>
      <c r="E52" t="s">
        <v>1288</v>
      </c>
    </row>
    <row r="53" spans="1:5" x14ac:dyDescent="0.3">
      <c r="A53">
        <v>50</v>
      </c>
      <c r="C53" t="s">
        <v>2064</v>
      </c>
      <c r="D53" t="b">
        <v>1</v>
      </c>
      <c r="E53" t="s">
        <v>2238</v>
      </c>
    </row>
    <row r="54" spans="1:5" x14ac:dyDescent="0.3">
      <c r="A54">
        <v>51</v>
      </c>
      <c r="C54" t="s">
        <v>2064</v>
      </c>
      <c r="D54" t="b">
        <v>1</v>
      </c>
      <c r="E54" t="s">
        <v>2238</v>
      </c>
    </row>
    <row r="55" spans="1:5" x14ac:dyDescent="0.3">
      <c r="A55">
        <v>52</v>
      </c>
      <c r="C55" t="s">
        <v>2064</v>
      </c>
      <c r="D55" t="b">
        <v>1</v>
      </c>
      <c r="E55" t="s">
        <v>2238</v>
      </c>
    </row>
    <row r="56" spans="1:5" x14ac:dyDescent="0.3">
      <c r="A56">
        <v>53</v>
      </c>
      <c r="C56" t="s">
        <v>2064</v>
      </c>
      <c r="D56" t="b">
        <v>1</v>
      </c>
      <c r="E56" t="s">
        <v>2238</v>
      </c>
    </row>
    <row r="57" spans="1:5" x14ac:dyDescent="0.3">
      <c r="A57">
        <v>54</v>
      </c>
      <c r="C57" t="s">
        <v>2064</v>
      </c>
      <c r="D57" t="b">
        <v>1</v>
      </c>
      <c r="E57" t="s">
        <v>2238</v>
      </c>
    </row>
    <row r="58" spans="1:5" x14ac:dyDescent="0.3">
      <c r="A58">
        <v>55</v>
      </c>
      <c r="C58" t="s">
        <v>2301</v>
      </c>
      <c r="D58" t="b">
        <v>0</v>
      </c>
      <c r="E58" t="s">
        <v>2299</v>
      </c>
    </row>
    <row r="59" spans="1:5" x14ac:dyDescent="0.3">
      <c r="A59">
        <v>56</v>
      </c>
      <c r="C59" t="s">
        <v>2302</v>
      </c>
      <c r="D59" t="b">
        <v>1</v>
      </c>
      <c r="E59" t="s">
        <v>2300</v>
      </c>
    </row>
    <row r="60" spans="1:5" x14ac:dyDescent="0.3">
      <c r="A60">
        <v>57</v>
      </c>
      <c r="C60" t="s">
        <v>2310</v>
      </c>
      <c r="D60" t="b">
        <v>1</v>
      </c>
      <c r="E60" t="s">
        <v>2305</v>
      </c>
    </row>
    <row r="61" spans="1:5" x14ac:dyDescent="0.3">
      <c r="A61">
        <v>58</v>
      </c>
      <c r="C61" t="s">
        <v>2302</v>
      </c>
      <c r="D61" t="b">
        <v>1</v>
      </c>
      <c r="E61" t="s">
        <v>2300</v>
      </c>
    </row>
    <row r="62" spans="1:5" x14ac:dyDescent="0.3">
      <c r="A62">
        <v>59</v>
      </c>
      <c r="D62" t="b">
        <v>0</v>
      </c>
    </row>
    <row r="63" spans="1:5" x14ac:dyDescent="0.3">
      <c r="A63">
        <v>60</v>
      </c>
      <c r="C63" t="s">
        <v>2376</v>
      </c>
      <c r="D63" t="b">
        <v>1</v>
      </c>
      <c r="E63" t="s">
        <v>2377</v>
      </c>
    </row>
    <row r="64" spans="1:5" x14ac:dyDescent="0.3">
      <c r="A64">
        <v>61</v>
      </c>
      <c r="C64" t="s">
        <v>2376</v>
      </c>
      <c r="D64" t="b">
        <v>0</v>
      </c>
      <c r="E64" t="s">
        <v>2377</v>
      </c>
    </row>
  </sheetData>
  <phoneticPr fontId="1" type="noConversion"/>
  <conditionalFormatting sqref="D2:D64">
    <cfRule type="cellIs" dxfId="18" priority="1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BE838-B0B5-4573-80AA-7CAB52052CE9}">
  <dimension ref="A1:K25"/>
  <sheetViews>
    <sheetView workbookViewId="0">
      <selection sqref="A1:K25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1893</v>
      </c>
      <c r="B2" t="s">
        <v>2438</v>
      </c>
      <c r="C2" t="s">
        <v>1450</v>
      </c>
      <c r="D2" t="s">
        <v>1451</v>
      </c>
      <c r="E2">
        <v>8</v>
      </c>
      <c r="F2">
        <v>56</v>
      </c>
      <c r="G2">
        <v>1</v>
      </c>
      <c r="H2" t="s">
        <v>840</v>
      </c>
      <c r="I2" t="s">
        <v>840</v>
      </c>
      <c r="J2" t="s">
        <v>840</v>
      </c>
      <c r="K2" t="s">
        <v>840</v>
      </c>
    </row>
    <row r="3" spans="1:11" x14ac:dyDescent="0.3">
      <c r="A3">
        <v>1898</v>
      </c>
      <c r="B3" t="s">
        <v>2439</v>
      </c>
      <c r="C3" t="s">
        <v>1744</v>
      </c>
      <c r="D3" t="s">
        <v>1826</v>
      </c>
      <c r="E3">
        <v>30</v>
      </c>
      <c r="F3">
        <v>56</v>
      </c>
      <c r="G3">
        <v>3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1891</v>
      </c>
      <c r="B4" t="s">
        <v>2440</v>
      </c>
      <c r="C4" t="s">
        <v>453</v>
      </c>
      <c r="D4" t="s">
        <v>1419</v>
      </c>
      <c r="E4">
        <v>8</v>
      </c>
      <c r="F4">
        <v>56</v>
      </c>
      <c r="G4">
        <v>1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1895</v>
      </c>
      <c r="B5" t="s">
        <v>2441</v>
      </c>
      <c r="C5" t="s">
        <v>466</v>
      </c>
      <c r="D5" t="s">
        <v>1052</v>
      </c>
      <c r="E5">
        <v>8</v>
      </c>
      <c r="F5">
        <v>56</v>
      </c>
      <c r="G5">
        <v>1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1907</v>
      </c>
      <c r="B6" t="s">
        <v>2442</v>
      </c>
      <c r="C6" t="s">
        <v>1662</v>
      </c>
      <c r="D6" t="s">
        <v>1663</v>
      </c>
      <c r="E6">
        <v>8</v>
      </c>
      <c r="F6">
        <v>56</v>
      </c>
      <c r="G6">
        <v>1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1897</v>
      </c>
      <c r="B7" t="s">
        <v>2443</v>
      </c>
      <c r="C7" t="s">
        <v>1870</v>
      </c>
      <c r="D7" t="s">
        <v>1294</v>
      </c>
      <c r="E7">
        <v>8</v>
      </c>
      <c r="F7">
        <v>56</v>
      </c>
      <c r="G7">
        <v>1</v>
      </c>
      <c r="H7" t="s">
        <v>840</v>
      </c>
      <c r="I7" t="s">
        <v>840</v>
      </c>
      <c r="J7" t="s">
        <v>840</v>
      </c>
      <c r="K7" t="s">
        <v>840</v>
      </c>
    </row>
    <row r="8" spans="1:11" x14ac:dyDescent="0.3">
      <c r="A8">
        <v>1948</v>
      </c>
      <c r="B8" t="s">
        <v>2437</v>
      </c>
      <c r="C8" t="s">
        <v>1373</v>
      </c>
      <c r="D8" t="s">
        <v>365</v>
      </c>
      <c r="E8">
        <v>30</v>
      </c>
      <c r="F8">
        <v>58</v>
      </c>
      <c r="G8">
        <v>7</v>
      </c>
      <c r="H8" t="s">
        <v>840</v>
      </c>
      <c r="I8" t="s">
        <v>840</v>
      </c>
      <c r="J8" t="s">
        <v>840</v>
      </c>
      <c r="K8" t="s">
        <v>840</v>
      </c>
    </row>
    <row r="9" spans="1:11" x14ac:dyDescent="0.3">
      <c r="A9">
        <v>1890</v>
      </c>
      <c r="B9" t="s">
        <v>2444</v>
      </c>
      <c r="C9" t="s">
        <v>423</v>
      </c>
      <c r="D9" t="s">
        <v>1027</v>
      </c>
      <c r="E9">
        <v>8</v>
      </c>
      <c r="F9">
        <v>56</v>
      </c>
      <c r="G9">
        <v>1</v>
      </c>
      <c r="H9" t="s">
        <v>840</v>
      </c>
      <c r="I9" t="s">
        <v>840</v>
      </c>
      <c r="J9" t="s">
        <v>840</v>
      </c>
      <c r="K9" t="s">
        <v>840</v>
      </c>
    </row>
    <row r="10" spans="1:11" x14ac:dyDescent="0.3">
      <c r="A10">
        <v>1889</v>
      </c>
      <c r="B10" t="s">
        <v>2445</v>
      </c>
      <c r="C10" t="s">
        <v>449</v>
      </c>
      <c r="D10" t="s">
        <v>1406</v>
      </c>
      <c r="E10">
        <v>8</v>
      </c>
      <c r="F10">
        <v>56</v>
      </c>
      <c r="G10">
        <v>1</v>
      </c>
      <c r="H10" t="s">
        <v>840</v>
      </c>
      <c r="I10" t="s">
        <v>840</v>
      </c>
      <c r="J10" t="s">
        <v>840</v>
      </c>
      <c r="K10" t="s">
        <v>840</v>
      </c>
    </row>
    <row r="11" spans="1:11" x14ac:dyDescent="0.3">
      <c r="A11">
        <v>1892</v>
      </c>
      <c r="B11" t="s">
        <v>2446</v>
      </c>
      <c r="C11" t="s">
        <v>432</v>
      </c>
      <c r="D11" t="s">
        <v>1440</v>
      </c>
      <c r="E11">
        <v>8</v>
      </c>
      <c r="F11">
        <v>56</v>
      </c>
      <c r="G11">
        <v>1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1894</v>
      </c>
      <c r="B12" t="s">
        <v>2447</v>
      </c>
      <c r="C12" t="s">
        <v>560</v>
      </c>
      <c r="D12" t="s">
        <v>1465</v>
      </c>
      <c r="E12">
        <v>8</v>
      </c>
      <c r="F12">
        <v>56</v>
      </c>
      <c r="G12">
        <v>1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1887</v>
      </c>
      <c r="B13" t="s">
        <v>2448</v>
      </c>
      <c r="C13" t="s">
        <v>448</v>
      </c>
      <c r="D13" t="s">
        <v>1028</v>
      </c>
      <c r="E13">
        <v>8</v>
      </c>
      <c r="F13">
        <v>56</v>
      </c>
      <c r="G13">
        <v>2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1899</v>
      </c>
      <c r="B14" t="s">
        <v>2449</v>
      </c>
      <c r="C14" t="s">
        <v>1505</v>
      </c>
      <c r="D14" t="s">
        <v>378</v>
      </c>
      <c r="E14">
        <v>30</v>
      </c>
      <c r="F14">
        <v>56</v>
      </c>
      <c r="G14">
        <v>1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1903</v>
      </c>
      <c r="B15" t="s">
        <v>2450</v>
      </c>
      <c r="C15" t="s">
        <v>478</v>
      </c>
      <c r="D15" t="s">
        <v>1026</v>
      </c>
      <c r="E15">
        <v>8</v>
      </c>
      <c r="F15">
        <v>56</v>
      </c>
      <c r="G15">
        <v>1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1901</v>
      </c>
      <c r="B16" t="s">
        <v>2451</v>
      </c>
      <c r="C16" t="s">
        <v>1524</v>
      </c>
      <c r="D16" t="s">
        <v>1853</v>
      </c>
      <c r="E16">
        <v>30</v>
      </c>
      <c r="F16">
        <v>56</v>
      </c>
      <c r="G16">
        <v>2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1908</v>
      </c>
      <c r="B17" t="s">
        <v>2452</v>
      </c>
      <c r="C17" t="s">
        <v>601</v>
      </c>
      <c r="D17" t="s">
        <v>1077</v>
      </c>
      <c r="E17">
        <v>8</v>
      </c>
      <c r="F17">
        <v>56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1888</v>
      </c>
      <c r="B18" t="s">
        <v>2453</v>
      </c>
      <c r="C18" t="s">
        <v>1120</v>
      </c>
      <c r="D18" t="s">
        <v>1019</v>
      </c>
      <c r="E18">
        <v>8</v>
      </c>
      <c r="F18">
        <v>56</v>
      </c>
      <c r="G18">
        <v>2</v>
      </c>
      <c r="H18" t="s">
        <v>840</v>
      </c>
      <c r="I18" t="s">
        <v>840</v>
      </c>
      <c r="J18" t="s">
        <v>840</v>
      </c>
      <c r="K18" t="s">
        <v>840</v>
      </c>
    </row>
    <row r="19" spans="1:11" x14ac:dyDescent="0.3">
      <c r="A19">
        <v>1902</v>
      </c>
      <c r="B19" t="s">
        <v>2454</v>
      </c>
      <c r="C19" t="s">
        <v>1529</v>
      </c>
      <c r="D19" t="s">
        <v>396</v>
      </c>
      <c r="E19">
        <v>30</v>
      </c>
      <c r="F19">
        <v>56</v>
      </c>
      <c r="G19">
        <v>5</v>
      </c>
      <c r="H19" t="s">
        <v>840</v>
      </c>
      <c r="I19" t="s">
        <v>840</v>
      </c>
      <c r="J19" t="s">
        <v>840</v>
      </c>
      <c r="K19" t="s">
        <v>840</v>
      </c>
    </row>
    <row r="20" spans="1:11" x14ac:dyDescent="0.3">
      <c r="A20">
        <v>1904</v>
      </c>
      <c r="B20" t="s">
        <v>2455</v>
      </c>
      <c r="C20" t="s">
        <v>481</v>
      </c>
      <c r="D20" t="s">
        <v>1050</v>
      </c>
      <c r="E20">
        <v>8</v>
      </c>
      <c r="F20">
        <v>56</v>
      </c>
      <c r="G20">
        <v>1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1896</v>
      </c>
      <c r="B21" t="s">
        <v>2456</v>
      </c>
      <c r="C21" t="s">
        <v>1693</v>
      </c>
      <c r="D21" t="s">
        <v>1294</v>
      </c>
      <c r="E21">
        <v>8</v>
      </c>
      <c r="F21">
        <v>56</v>
      </c>
      <c r="G21">
        <v>1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1905</v>
      </c>
      <c r="B22" t="s">
        <v>2457</v>
      </c>
      <c r="C22" t="s">
        <v>1188</v>
      </c>
      <c r="D22" t="s">
        <v>1189</v>
      </c>
      <c r="E22">
        <v>8</v>
      </c>
      <c r="F22">
        <v>56</v>
      </c>
      <c r="G22">
        <v>1</v>
      </c>
      <c r="H22" t="s">
        <v>840</v>
      </c>
      <c r="I22" t="s">
        <v>840</v>
      </c>
      <c r="J22" t="s">
        <v>840</v>
      </c>
      <c r="K22" t="s">
        <v>840</v>
      </c>
    </row>
    <row r="23" spans="1:11" x14ac:dyDescent="0.3">
      <c r="A23">
        <v>1900</v>
      </c>
      <c r="B23" t="s">
        <v>2458</v>
      </c>
      <c r="C23" t="s">
        <v>1514</v>
      </c>
      <c r="D23" t="s">
        <v>1834</v>
      </c>
      <c r="E23">
        <v>30</v>
      </c>
      <c r="F23">
        <v>56</v>
      </c>
      <c r="G23">
        <v>1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1947</v>
      </c>
      <c r="B24" t="s">
        <v>2436</v>
      </c>
      <c r="C24" t="s">
        <v>672</v>
      </c>
      <c r="D24" t="s">
        <v>1339</v>
      </c>
      <c r="E24">
        <v>30</v>
      </c>
      <c r="F24">
        <v>58</v>
      </c>
      <c r="G24">
        <v>1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1906</v>
      </c>
      <c r="B25" t="s">
        <v>2459</v>
      </c>
      <c r="C25" t="s">
        <v>1689</v>
      </c>
      <c r="D25" t="s">
        <v>1654</v>
      </c>
      <c r="E25">
        <v>8</v>
      </c>
      <c r="F25">
        <v>56</v>
      </c>
      <c r="G25">
        <v>1</v>
      </c>
      <c r="H25" t="s">
        <v>840</v>
      </c>
      <c r="I25" t="s">
        <v>840</v>
      </c>
      <c r="J25" t="s">
        <v>840</v>
      </c>
      <c r="K25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tabColor rgb="FF92D050"/>
    <pageSetUpPr fitToPage="1"/>
  </sheetPr>
  <dimension ref="A1:K145"/>
  <sheetViews>
    <sheetView topLeftCell="B1" zoomScaleNormal="100" workbookViewId="0">
      <selection activeCell="J142" sqref="J142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7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1746</v>
      </c>
      <c r="B2" t="s">
        <v>2001</v>
      </c>
      <c r="C2" t="s">
        <v>1960</v>
      </c>
      <c r="D2" t="s">
        <v>219</v>
      </c>
      <c r="E2">
        <v>7</v>
      </c>
      <c r="F2">
        <v>24</v>
      </c>
      <c r="G2">
        <v>56</v>
      </c>
      <c r="H2" t="s">
        <v>840</v>
      </c>
      <c r="I2" t="s">
        <v>840</v>
      </c>
      <c r="J2" t="s">
        <v>840</v>
      </c>
      <c r="K2" t="s">
        <v>840</v>
      </c>
    </row>
    <row r="3" spans="1:11" hidden="1" x14ac:dyDescent="0.3">
      <c r="A3">
        <v>1454</v>
      </c>
      <c r="B3" t="s">
        <v>1289</v>
      </c>
      <c r="C3" t="s">
        <v>192</v>
      </c>
      <c r="D3" t="s">
        <v>396</v>
      </c>
      <c r="E3">
        <v>25</v>
      </c>
      <c r="F3">
        <v>19</v>
      </c>
      <c r="G3">
        <v>420</v>
      </c>
      <c r="H3" t="s">
        <v>840</v>
      </c>
      <c r="I3" t="s">
        <v>840</v>
      </c>
      <c r="J3" t="s">
        <v>840</v>
      </c>
      <c r="K3" t="s">
        <v>841</v>
      </c>
    </row>
    <row r="4" spans="1:11" x14ac:dyDescent="0.3">
      <c r="A4">
        <v>1792</v>
      </c>
      <c r="B4" t="s">
        <v>2059</v>
      </c>
      <c r="C4" t="s">
        <v>2053</v>
      </c>
      <c r="D4" t="s">
        <v>2060</v>
      </c>
      <c r="E4">
        <v>7</v>
      </c>
      <c r="F4">
        <v>28</v>
      </c>
      <c r="G4">
        <v>112</v>
      </c>
      <c r="H4" t="s">
        <v>840</v>
      </c>
      <c r="I4" t="s">
        <v>840</v>
      </c>
      <c r="J4" t="s">
        <v>840</v>
      </c>
      <c r="K4" t="s">
        <v>840</v>
      </c>
    </row>
    <row r="5" spans="1:11" hidden="1" x14ac:dyDescent="0.3">
      <c r="A5">
        <v>1444</v>
      </c>
      <c r="B5" t="s">
        <v>1276</v>
      </c>
      <c r="C5" t="s">
        <v>145</v>
      </c>
      <c r="D5" t="s">
        <v>845</v>
      </c>
      <c r="E5">
        <v>7</v>
      </c>
      <c r="F5">
        <v>19</v>
      </c>
      <c r="G5">
        <v>28</v>
      </c>
      <c r="H5" t="s">
        <v>840</v>
      </c>
      <c r="I5" t="s">
        <v>840</v>
      </c>
      <c r="J5" t="s">
        <v>840</v>
      </c>
      <c r="K5" t="s">
        <v>841</v>
      </c>
    </row>
    <row r="6" spans="1:11" hidden="1" x14ac:dyDescent="0.3">
      <c r="A6">
        <v>1436</v>
      </c>
      <c r="B6" t="s">
        <v>1267</v>
      </c>
      <c r="C6" t="s">
        <v>133</v>
      </c>
      <c r="D6" t="s">
        <v>1244</v>
      </c>
      <c r="E6">
        <v>7</v>
      </c>
      <c r="F6">
        <v>19</v>
      </c>
      <c r="G6">
        <v>56</v>
      </c>
      <c r="H6" t="s">
        <v>840</v>
      </c>
      <c r="I6" t="s">
        <v>840</v>
      </c>
      <c r="J6" t="s">
        <v>840</v>
      </c>
      <c r="K6" t="s">
        <v>841</v>
      </c>
    </row>
    <row r="7" spans="1:11" hidden="1" x14ac:dyDescent="0.3">
      <c r="A7">
        <v>1656</v>
      </c>
      <c r="B7" t="s">
        <v>1764</v>
      </c>
      <c r="C7" t="s">
        <v>1763</v>
      </c>
      <c r="D7" t="s">
        <v>1765</v>
      </c>
      <c r="E7">
        <v>7</v>
      </c>
      <c r="F7">
        <v>23</v>
      </c>
      <c r="G7">
        <v>28</v>
      </c>
      <c r="H7" t="s">
        <v>840</v>
      </c>
      <c r="I7" t="s">
        <v>840</v>
      </c>
      <c r="J7" t="s">
        <v>840</v>
      </c>
      <c r="K7" t="s">
        <v>841</v>
      </c>
    </row>
    <row r="8" spans="1:11" hidden="1" x14ac:dyDescent="0.3">
      <c r="A8">
        <v>1786</v>
      </c>
      <c r="B8" t="s">
        <v>2044</v>
      </c>
      <c r="C8" t="s">
        <v>745</v>
      </c>
      <c r="D8" t="s">
        <v>1217</v>
      </c>
      <c r="E8">
        <v>7</v>
      </c>
      <c r="F8">
        <v>27</v>
      </c>
      <c r="G8">
        <v>28</v>
      </c>
      <c r="H8" t="s">
        <v>840</v>
      </c>
      <c r="I8" t="s">
        <v>840</v>
      </c>
      <c r="J8" t="s">
        <v>840</v>
      </c>
      <c r="K8" t="s">
        <v>841</v>
      </c>
    </row>
    <row r="9" spans="1:11" hidden="1" x14ac:dyDescent="0.3">
      <c r="A9">
        <v>1447</v>
      </c>
      <c r="B9" t="s">
        <v>1279</v>
      </c>
      <c r="C9" t="s">
        <v>156</v>
      </c>
      <c r="D9" t="s">
        <v>656</v>
      </c>
      <c r="E9">
        <v>7</v>
      </c>
      <c r="F9">
        <v>19</v>
      </c>
      <c r="G9">
        <v>28</v>
      </c>
      <c r="H9" t="s">
        <v>840</v>
      </c>
      <c r="I9" t="s">
        <v>840</v>
      </c>
      <c r="J9" t="s">
        <v>840</v>
      </c>
      <c r="K9" t="s">
        <v>841</v>
      </c>
    </row>
    <row r="10" spans="1:11" x14ac:dyDescent="0.3">
      <c r="A10">
        <v>2068</v>
      </c>
      <c r="B10" t="s">
        <v>2429</v>
      </c>
      <c r="C10" t="s">
        <v>2342</v>
      </c>
      <c r="D10" t="s">
        <v>2430</v>
      </c>
      <c r="E10">
        <v>7</v>
      </c>
      <c r="F10">
        <v>47</v>
      </c>
      <c r="G10">
        <v>28</v>
      </c>
      <c r="H10" t="s">
        <v>840</v>
      </c>
      <c r="I10" t="s">
        <v>840</v>
      </c>
      <c r="J10" t="s">
        <v>840</v>
      </c>
      <c r="K10" t="s">
        <v>840</v>
      </c>
    </row>
    <row r="11" spans="1:11" hidden="1" x14ac:dyDescent="0.3">
      <c r="A11">
        <v>1741</v>
      </c>
      <c r="B11" t="s">
        <v>2002</v>
      </c>
      <c r="C11" t="s">
        <v>1347</v>
      </c>
      <c r="D11" t="s">
        <v>235</v>
      </c>
      <c r="E11">
        <v>7</v>
      </c>
      <c r="F11">
        <v>24</v>
      </c>
      <c r="G11">
        <v>112</v>
      </c>
      <c r="H11" t="s">
        <v>840</v>
      </c>
      <c r="I11" t="s">
        <v>840</v>
      </c>
      <c r="J11" t="s">
        <v>840</v>
      </c>
      <c r="K11" t="s">
        <v>841</v>
      </c>
    </row>
    <row r="12" spans="1:11" hidden="1" x14ac:dyDescent="0.3">
      <c r="A12">
        <v>1455</v>
      </c>
      <c r="B12" t="s">
        <v>1292</v>
      </c>
      <c r="C12" t="s">
        <v>191</v>
      </c>
      <c r="D12" t="s">
        <v>398</v>
      </c>
      <c r="E12">
        <v>25</v>
      </c>
      <c r="F12">
        <v>19</v>
      </c>
      <c r="G12">
        <v>336</v>
      </c>
      <c r="H12" t="s">
        <v>840</v>
      </c>
      <c r="I12" t="s">
        <v>840</v>
      </c>
      <c r="J12" t="s">
        <v>840</v>
      </c>
      <c r="K12" t="s">
        <v>841</v>
      </c>
    </row>
    <row r="13" spans="1:11" hidden="1" x14ac:dyDescent="0.3">
      <c r="A13">
        <v>1641</v>
      </c>
      <c r="B13" t="s">
        <v>1710</v>
      </c>
      <c r="C13" t="s">
        <v>126</v>
      </c>
      <c r="D13" t="s">
        <v>341</v>
      </c>
      <c r="E13">
        <v>7</v>
      </c>
      <c r="F13">
        <v>22</v>
      </c>
      <c r="G13">
        <v>28</v>
      </c>
      <c r="H13" t="s">
        <v>840</v>
      </c>
      <c r="I13" t="s">
        <v>840</v>
      </c>
      <c r="J13" t="s">
        <v>840</v>
      </c>
      <c r="K13" t="s">
        <v>841</v>
      </c>
    </row>
    <row r="14" spans="1:11" hidden="1" x14ac:dyDescent="0.3">
      <c r="A14">
        <v>1632</v>
      </c>
      <c r="B14" t="s">
        <v>1711</v>
      </c>
      <c r="C14" t="s">
        <v>140</v>
      </c>
      <c r="D14" t="s">
        <v>239</v>
      </c>
      <c r="E14">
        <v>7</v>
      </c>
      <c r="F14">
        <v>22</v>
      </c>
      <c r="G14">
        <v>28</v>
      </c>
      <c r="H14" t="s">
        <v>840</v>
      </c>
      <c r="I14" t="s">
        <v>840</v>
      </c>
      <c r="J14" t="s">
        <v>840</v>
      </c>
      <c r="K14" t="s">
        <v>841</v>
      </c>
    </row>
    <row r="15" spans="1:11" hidden="1" x14ac:dyDescent="0.3">
      <c r="A15">
        <v>1473</v>
      </c>
      <c r="B15" t="s">
        <v>1343</v>
      </c>
      <c r="C15" t="s">
        <v>945</v>
      </c>
      <c r="D15" t="s">
        <v>383</v>
      </c>
      <c r="E15">
        <v>25</v>
      </c>
      <c r="F15">
        <v>20</v>
      </c>
      <c r="G15">
        <v>28</v>
      </c>
      <c r="H15" t="s">
        <v>840</v>
      </c>
      <c r="I15" t="s">
        <v>840</v>
      </c>
      <c r="J15" t="s">
        <v>840</v>
      </c>
      <c r="K15" t="s">
        <v>841</v>
      </c>
    </row>
    <row r="16" spans="1:11" hidden="1" x14ac:dyDescent="0.3">
      <c r="A16">
        <v>1629</v>
      </c>
      <c r="B16" t="s">
        <v>1712</v>
      </c>
      <c r="C16" t="s">
        <v>121</v>
      </c>
      <c r="D16" t="s">
        <v>1713</v>
      </c>
      <c r="E16">
        <v>7</v>
      </c>
      <c r="F16">
        <v>22</v>
      </c>
      <c r="G16">
        <v>28</v>
      </c>
      <c r="H16" t="s">
        <v>840</v>
      </c>
      <c r="I16" t="s">
        <v>840</v>
      </c>
      <c r="J16" t="s">
        <v>840</v>
      </c>
      <c r="K16" t="s">
        <v>841</v>
      </c>
    </row>
    <row r="17" spans="1:11" hidden="1" x14ac:dyDescent="0.3">
      <c r="A17">
        <v>1460</v>
      </c>
      <c r="B17" t="s">
        <v>1300</v>
      </c>
      <c r="C17" t="s">
        <v>855</v>
      </c>
      <c r="D17" t="s">
        <v>602</v>
      </c>
      <c r="E17">
        <v>7</v>
      </c>
      <c r="F17">
        <v>19</v>
      </c>
      <c r="G17">
        <v>28</v>
      </c>
      <c r="H17" t="s">
        <v>840</v>
      </c>
      <c r="I17" t="s">
        <v>840</v>
      </c>
      <c r="J17" t="s">
        <v>840</v>
      </c>
      <c r="K17" t="s">
        <v>841</v>
      </c>
    </row>
    <row r="18" spans="1:11" hidden="1" x14ac:dyDescent="0.3">
      <c r="A18">
        <v>1425</v>
      </c>
      <c r="B18" t="s">
        <v>1248</v>
      </c>
      <c r="C18" t="s">
        <v>81</v>
      </c>
      <c r="D18" t="s">
        <v>1249</v>
      </c>
      <c r="E18">
        <v>7</v>
      </c>
      <c r="F18">
        <v>19</v>
      </c>
      <c r="G18">
        <v>56</v>
      </c>
      <c r="H18" t="s">
        <v>840</v>
      </c>
      <c r="I18" t="s">
        <v>840</v>
      </c>
      <c r="J18" t="s">
        <v>840</v>
      </c>
      <c r="K18" t="s">
        <v>841</v>
      </c>
    </row>
    <row r="19" spans="1:11" hidden="1" x14ac:dyDescent="0.3">
      <c r="A19">
        <v>1428</v>
      </c>
      <c r="B19" t="s">
        <v>1253</v>
      </c>
      <c r="C19" t="s">
        <v>91</v>
      </c>
      <c r="D19" t="s">
        <v>1254</v>
      </c>
      <c r="E19">
        <v>7</v>
      </c>
      <c r="F19">
        <v>19</v>
      </c>
      <c r="G19">
        <v>28</v>
      </c>
      <c r="H19" t="s">
        <v>840</v>
      </c>
      <c r="I19" t="s">
        <v>840</v>
      </c>
      <c r="J19" t="s">
        <v>840</v>
      </c>
      <c r="K19" t="s">
        <v>841</v>
      </c>
    </row>
    <row r="20" spans="1:11" hidden="1" x14ac:dyDescent="0.3">
      <c r="A20">
        <v>1651</v>
      </c>
      <c r="B20" t="s">
        <v>1768</v>
      </c>
      <c r="C20" t="s">
        <v>949</v>
      </c>
      <c r="D20" t="s">
        <v>1769</v>
      </c>
      <c r="E20">
        <v>7</v>
      </c>
      <c r="F20">
        <v>23</v>
      </c>
      <c r="G20">
        <v>28</v>
      </c>
      <c r="H20" t="s">
        <v>840</v>
      </c>
      <c r="I20" t="s">
        <v>840</v>
      </c>
      <c r="J20" t="s">
        <v>840</v>
      </c>
      <c r="K20" t="s">
        <v>841</v>
      </c>
    </row>
    <row r="21" spans="1:11" hidden="1" x14ac:dyDescent="0.3">
      <c r="A21">
        <v>1424</v>
      </c>
      <c r="B21" t="s">
        <v>1246</v>
      </c>
      <c r="C21" t="s">
        <v>78</v>
      </c>
      <c r="D21" t="s">
        <v>1247</v>
      </c>
      <c r="E21">
        <v>7</v>
      </c>
      <c r="F21">
        <v>19</v>
      </c>
      <c r="G21">
        <v>56</v>
      </c>
      <c r="H21" t="s">
        <v>840</v>
      </c>
      <c r="I21" t="s">
        <v>840</v>
      </c>
      <c r="J21" t="s">
        <v>840</v>
      </c>
      <c r="K21" t="s">
        <v>841</v>
      </c>
    </row>
    <row r="22" spans="1:11" hidden="1" x14ac:dyDescent="0.3">
      <c r="A22">
        <v>1468</v>
      </c>
      <c r="B22" t="s">
        <v>1338</v>
      </c>
      <c r="C22" t="s">
        <v>981</v>
      </c>
      <c r="D22" t="s">
        <v>1339</v>
      </c>
      <c r="E22">
        <v>25</v>
      </c>
      <c r="F22">
        <v>20</v>
      </c>
      <c r="G22">
        <v>56</v>
      </c>
      <c r="H22" t="s">
        <v>840</v>
      </c>
      <c r="I22" t="s">
        <v>840</v>
      </c>
      <c r="J22" t="s">
        <v>840</v>
      </c>
      <c r="K22" t="s">
        <v>841</v>
      </c>
    </row>
    <row r="23" spans="1:11" hidden="1" x14ac:dyDescent="0.3">
      <c r="A23">
        <v>1427</v>
      </c>
      <c r="B23" t="s">
        <v>1252</v>
      </c>
      <c r="C23" t="s">
        <v>87</v>
      </c>
      <c r="D23" t="s">
        <v>851</v>
      </c>
      <c r="E23">
        <v>7</v>
      </c>
      <c r="F23">
        <v>19</v>
      </c>
      <c r="G23">
        <v>28</v>
      </c>
      <c r="H23" t="s">
        <v>840</v>
      </c>
      <c r="I23" t="s">
        <v>840</v>
      </c>
      <c r="J23" t="s">
        <v>840</v>
      </c>
      <c r="K23" t="s">
        <v>841</v>
      </c>
    </row>
    <row r="24" spans="1:11" hidden="1" x14ac:dyDescent="0.3">
      <c r="A24">
        <v>1630</v>
      </c>
      <c r="B24" t="s">
        <v>1715</v>
      </c>
      <c r="C24" t="s">
        <v>132</v>
      </c>
      <c r="D24" t="s">
        <v>1716</v>
      </c>
      <c r="E24">
        <v>7</v>
      </c>
      <c r="F24">
        <v>22</v>
      </c>
      <c r="G24">
        <v>28</v>
      </c>
      <c r="H24" t="s">
        <v>840</v>
      </c>
      <c r="I24" t="s">
        <v>840</v>
      </c>
      <c r="J24" t="s">
        <v>840</v>
      </c>
      <c r="K24" t="s">
        <v>841</v>
      </c>
    </row>
    <row r="25" spans="1:11" hidden="1" x14ac:dyDescent="0.3">
      <c r="A25">
        <v>1836</v>
      </c>
      <c r="B25" t="s">
        <v>2118</v>
      </c>
      <c r="C25" t="s">
        <v>2117</v>
      </c>
      <c r="D25" t="s">
        <v>212</v>
      </c>
      <c r="E25">
        <v>7</v>
      </c>
      <c r="F25">
        <v>43</v>
      </c>
      <c r="G25">
        <v>28</v>
      </c>
      <c r="H25" t="s">
        <v>840</v>
      </c>
      <c r="I25" t="s">
        <v>840</v>
      </c>
      <c r="J25" t="s">
        <v>840</v>
      </c>
      <c r="K25" t="s">
        <v>841</v>
      </c>
    </row>
    <row r="26" spans="1:11" hidden="1" x14ac:dyDescent="0.3">
      <c r="A26">
        <v>1631</v>
      </c>
      <c r="B26" t="s">
        <v>1719</v>
      </c>
      <c r="C26" t="s">
        <v>139</v>
      </c>
      <c r="D26" t="s">
        <v>238</v>
      </c>
      <c r="E26">
        <v>7</v>
      </c>
      <c r="F26">
        <v>22</v>
      </c>
      <c r="G26">
        <v>28</v>
      </c>
      <c r="H26" t="s">
        <v>840</v>
      </c>
      <c r="I26" t="s">
        <v>840</v>
      </c>
      <c r="J26" t="s">
        <v>840</v>
      </c>
      <c r="K26" t="s">
        <v>841</v>
      </c>
    </row>
    <row r="27" spans="1:11" hidden="1" x14ac:dyDescent="0.3">
      <c r="A27">
        <v>1625</v>
      </c>
      <c r="B27" t="s">
        <v>1720</v>
      </c>
      <c r="C27" t="s">
        <v>97</v>
      </c>
      <c r="D27" t="s">
        <v>322</v>
      </c>
      <c r="E27">
        <v>7</v>
      </c>
      <c r="F27">
        <v>22</v>
      </c>
      <c r="G27">
        <v>28</v>
      </c>
      <c r="H27" t="s">
        <v>840</v>
      </c>
      <c r="I27" t="s">
        <v>840</v>
      </c>
      <c r="J27" t="s">
        <v>840</v>
      </c>
      <c r="K27" t="s">
        <v>841</v>
      </c>
    </row>
    <row r="28" spans="1:11" hidden="1" x14ac:dyDescent="0.3">
      <c r="A28">
        <v>1453</v>
      </c>
      <c r="B28" t="s">
        <v>1296</v>
      </c>
      <c r="C28" t="s">
        <v>287</v>
      </c>
      <c r="D28" t="s">
        <v>394</v>
      </c>
      <c r="E28">
        <v>25</v>
      </c>
      <c r="F28">
        <v>19</v>
      </c>
      <c r="G28">
        <v>56</v>
      </c>
      <c r="H28" t="s">
        <v>840</v>
      </c>
      <c r="I28" t="s">
        <v>840</v>
      </c>
      <c r="J28" t="s">
        <v>840</v>
      </c>
      <c r="K28" t="s">
        <v>841</v>
      </c>
    </row>
    <row r="29" spans="1:11" hidden="1" x14ac:dyDescent="0.3">
      <c r="A29">
        <v>1437</v>
      </c>
      <c r="B29" t="s">
        <v>1268</v>
      </c>
      <c r="C29" t="s">
        <v>134</v>
      </c>
      <c r="D29" t="s">
        <v>1269</v>
      </c>
      <c r="E29">
        <v>7</v>
      </c>
      <c r="F29">
        <v>19</v>
      </c>
      <c r="G29">
        <v>56</v>
      </c>
      <c r="H29" t="s">
        <v>840</v>
      </c>
      <c r="I29" t="s">
        <v>840</v>
      </c>
      <c r="J29" t="s">
        <v>840</v>
      </c>
      <c r="K29" t="s">
        <v>841</v>
      </c>
    </row>
    <row r="30" spans="1:11" hidden="1" x14ac:dyDescent="0.3">
      <c r="A30">
        <v>1755</v>
      </c>
      <c r="B30" t="s">
        <v>2025</v>
      </c>
      <c r="C30" t="s">
        <v>2018</v>
      </c>
      <c r="D30" t="s">
        <v>225</v>
      </c>
      <c r="E30">
        <v>7</v>
      </c>
      <c r="F30">
        <v>26</v>
      </c>
      <c r="G30">
        <v>28</v>
      </c>
      <c r="H30" t="s">
        <v>840</v>
      </c>
      <c r="I30" t="s">
        <v>840</v>
      </c>
      <c r="J30" t="s">
        <v>840</v>
      </c>
      <c r="K30" t="s">
        <v>841</v>
      </c>
    </row>
    <row r="31" spans="1:11" x14ac:dyDescent="0.3">
      <c r="A31">
        <v>2069</v>
      </c>
      <c r="B31" t="s">
        <v>2431</v>
      </c>
      <c r="C31" t="s">
        <v>2414</v>
      </c>
      <c r="D31" t="s">
        <v>1216</v>
      </c>
      <c r="E31">
        <v>7</v>
      </c>
      <c r="F31">
        <v>47</v>
      </c>
      <c r="G31">
        <v>28</v>
      </c>
      <c r="H31" t="s">
        <v>840</v>
      </c>
      <c r="I31" t="s">
        <v>840</v>
      </c>
      <c r="J31" t="s">
        <v>840</v>
      </c>
      <c r="K31" t="s">
        <v>840</v>
      </c>
    </row>
    <row r="32" spans="1:11" hidden="1" x14ac:dyDescent="0.3">
      <c r="A32">
        <v>1633</v>
      </c>
      <c r="B32" t="s">
        <v>1722</v>
      </c>
      <c r="C32" t="s">
        <v>150</v>
      </c>
      <c r="D32" t="s">
        <v>246</v>
      </c>
      <c r="E32">
        <v>7</v>
      </c>
      <c r="F32">
        <v>22</v>
      </c>
      <c r="G32">
        <v>28</v>
      </c>
      <c r="H32" t="s">
        <v>840</v>
      </c>
      <c r="I32" t="s">
        <v>840</v>
      </c>
      <c r="J32" t="s">
        <v>840</v>
      </c>
      <c r="K32" t="s">
        <v>841</v>
      </c>
    </row>
    <row r="33" spans="1:11" hidden="1" x14ac:dyDescent="0.3">
      <c r="A33">
        <v>1817</v>
      </c>
      <c r="B33" t="s">
        <v>2067</v>
      </c>
      <c r="C33" t="s">
        <v>2066</v>
      </c>
      <c r="D33" t="s">
        <v>250</v>
      </c>
      <c r="E33">
        <v>7</v>
      </c>
      <c r="F33">
        <v>29</v>
      </c>
      <c r="G33">
        <v>112</v>
      </c>
      <c r="H33" t="s">
        <v>840</v>
      </c>
      <c r="I33" t="s">
        <v>840</v>
      </c>
      <c r="J33" t="s">
        <v>840</v>
      </c>
      <c r="K33" t="s">
        <v>841</v>
      </c>
    </row>
    <row r="34" spans="1:11" hidden="1" x14ac:dyDescent="0.3">
      <c r="A34">
        <v>1749</v>
      </c>
      <c r="B34" t="s">
        <v>2009</v>
      </c>
      <c r="C34" t="s">
        <v>1997</v>
      </c>
      <c r="D34" t="s">
        <v>935</v>
      </c>
      <c r="E34">
        <v>7</v>
      </c>
      <c r="F34">
        <v>25</v>
      </c>
      <c r="G34">
        <v>28</v>
      </c>
      <c r="H34" t="s">
        <v>840</v>
      </c>
      <c r="I34" t="s">
        <v>840</v>
      </c>
      <c r="J34" t="s">
        <v>840</v>
      </c>
      <c r="K34" t="s">
        <v>841</v>
      </c>
    </row>
    <row r="35" spans="1:11" hidden="1" x14ac:dyDescent="0.3">
      <c r="A35">
        <v>1442</v>
      </c>
      <c r="B35" t="s">
        <v>1274</v>
      </c>
      <c r="C35" t="s">
        <v>143</v>
      </c>
      <c r="D35" t="s">
        <v>241</v>
      </c>
      <c r="E35">
        <v>7</v>
      </c>
      <c r="F35">
        <v>19</v>
      </c>
      <c r="G35">
        <v>56</v>
      </c>
      <c r="H35" t="s">
        <v>840</v>
      </c>
      <c r="I35" t="s">
        <v>840</v>
      </c>
      <c r="J35" t="s">
        <v>840</v>
      </c>
      <c r="K35" t="s">
        <v>841</v>
      </c>
    </row>
    <row r="36" spans="1:11" hidden="1" x14ac:dyDescent="0.3">
      <c r="A36">
        <v>1654</v>
      </c>
      <c r="B36" t="s">
        <v>1771</v>
      </c>
      <c r="C36" t="s">
        <v>1751</v>
      </c>
      <c r="D36" t="s">
        <v>1212</v>
      </c>
      <c r="E36">
        <v>7</v>
      </c>
      <c r="F36">
        <v>23</v>
      </c>
      <c r="G36">
        <v>28</v>
      </c>
      <c r="H36" t="s">
        <v>840</v>
      </c>
      <c r="I36" t="s">
        <v>840</v>
      </c>
      <c r="J36" t="s">
        <v>840</v>
      </c>
      <c r="K36" t="s">
        <v>841</v>
      </c>
    </row>
    <row r="37" spans="1:11" hidden="1" x14ac:dyDescent="0.3">
      <c r="A37">
        <v>1648</v>
      </c>
      <c r="B37" t="s">
        <v>1726</v>
      </c>
      <c r="C37" t="s">
        <v>985</v>
      </c>
      <c r="D37" t="s">
        <v>1727</v>
      </c>
      <c r="E37">
        <v>7</v>
      </c>
      <c r="F37">
        <v>22</v>
      </c>
      <c r="G37">
        <v>28</v>
      </c>
      <c r="H37" t="s">
        <v>840</v>
      </c>
      <c r="I37" t="s">
        <v>840</v>
      </c>
      <c r="J37" t="s">
        <v>840</v>
      </c>
      <c r="K37" t="s">
        <v>841</v>
      </c>
    </row>
    <row r="38" spans="1:11" hidden="1" x14ac:dyDescent="0.3">
      <c r="A38">
        <v>1647</v>
      </c>
      <c r="B38" t="s">
        <v>1729</v>
      </c>
      <c r="C38" t="s">
        <v>1197</v>
      </c>
      <c r="D38" t="s">
        <v>1730</v>
      </c>
      <c r="E38">
        <v>7</v>
      </c>
      <c r="F38">
        <v>22</v>
      </c>
      <c r="G38">
        <v>28</v>
      </c>
      <c r="H38" t="s">
        <v>840</v>
      </c>
      <c r="I38" t="s">
        <v>840</v>
      </c>
      <c r="J38" t="s">
        <v>840</v>
      </c>
      <c r="K38" t="s">
        <v>841</v>
      </c>
    </row>
    <row r="39" spans="1:11" hidden="1" x14ac:dyDescent="0.3">
      <c r="A39">
        <v>1624</v>
      </c>
      <c r="B39" t="s">
        <v>1731</v>
      </c>
      <c r="C39" t="s">
        <v>90</v>
      </c>
      <c r="D39" t="s">
        <v>317</v>
      </c>
      <c r="E39">
        <v>7</v>
      </c>
      <c r="F39">
        <v>22</v>
      </c>
      <c r="G39">
        <v>28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1950</v>
      </c>
      <c r="B40" t="s">
        <v>2330</v>
      </c>
      <c r="C40" t="s">
        <v>2320</v>
      </c>
      <c r="D40" t="s">
        <v>227</v>
      </c>
      <c r="E40">
        <v>7</v>
      </c>
      <c r="F40">
        <v>46</v>
      </c>
      <c r="G40">
        <v>56</v>
      </c>
      <c r="H40" t="s">
        <v>840</v>
      </c>
      <c r="I40" t="s">
        <v>840</v>
      </c>
      <c r="J40" t="s">
        <v>840</v>
      </c>
      <c r="K40" t="s">
        <v>840</v>
      </c>
    </row>
    <row r="41" spans="1:11" x14ac:dyDescent="0.3">
      <c r="A41">
        <v>2071</v>
      </c>
      <c r="B41" t="s">
        <v>2432</v>
      </c>
      <c r="C41" t="s">
        <v>2419</v>
      </c>
      <c r="D41" t="s">
        <v>2433</v>
      </c>
      <c r="E41">
        <v>7</v>
      </c>
      <c r="F41">
        <v>47</v>
      </c>
      <c r="G41">
        <v>28</v>
      </c>
      <c r="H41" t="s">
        <v>840</v>
      </c>
      <c r="I41" t="s">
        <v>840</v>
      </c>
      <c r="J41" t="s">
        <v>840</v>
      </c>
      <c r="K41" t="s">
        <v>840</v>
      </c>
    </row>
    <row r="42" spans="1:11" hidden="1" x14ac:dyDescent="0.3">
      <c r="A42">
        <v>1752</v>
      </c>
      <c r="B42" t="s">
        <v>2003</v>
      </c>
      <c r="C42" t="s">
        <v>1998</v>
      </c>
      <c r="D42" t="s">
        <v>2598</v>
      </c>
      <c r="E42">
        <v>7</v>
      </c>
      <c r="F42">
        <v>25</v>
      </c>
      <c r="G42">
        <v>28</v>
      </c>
      <c r="H42" t="s">
        <v>840</v>
      </c>
      <c r="I42" t="s">
        <v>840</v>
      </c>
      <c r="J42" t="s">
        <v>840</v>
      </c>
      <c r="K42" t="s">
        <v>841</v>
      </c>
    </row>
    <row r="43" spans="1:11" hidden="1" x14ac:dyDescent="0.3">
      <c r="A43">
        <v>1748</v>
      </c>
      <c r="B43" t="s">
        <v>2010</v>
      </c>
      <c r="C43" t="s">
        <v>1962</v>
      </c>
      <c r="D43" t="s">
        <v>1219</v>
      </c>
      <c r="E43">
        <v>7</v>
      </c>
      <c r="F43">
        <v>24</v>
      </c>
      <c r="G43">
        <v>56</v>
      </c>
      <c r="H43" t="s">
        <v>840</v>
      </c>
      <c r="I43" t="s">
        <v>840</v>
      </c>
      <c r="J43" t="s">
        <v>840</v>
      </c>
      <c r="K43" t="s">
        <v>841</v>
      </c>
    </row>
    <row r="44" spans="1:11" hidden="1" x14ac:dyDescent="0.3">
      <c r="A44">
        <v>1474</v>
      </c>
      <c r="B44" t="s">
        <v>1341</v>
      </c>
      <c r="C44" t="s">
        <v>1003</v>
      </c>
      <c r="D44" t="s">
        <v>388</v>
      </c>
      <c r="E44">
        <v>25</v>
      </c>
      <c r="F44">
        <v>20</v>
      </c>
      <c r="G44">
        <v>28</v>
      </c>
      <c r="H44" t="s">
        <v>840</v>
      </c>
      <c r="I44" t="s">
        <v>840</v>
      </c>
      <c r="J44" t="s">
        <v>840</v>
      </c>
      <c r="K44" t="s">
        <v>841</v>
      </c>
    </row>
    <row r="45" spans="1:11" hidden="1" x14ac:dyDescent="0.3">
      <c r="A45">
        <v>1757</v>
      </c>
      <c r="B45" t="s">
        <v>2028</v>
      </c>
      <c r="C45" t="s">
        <v>2020</v>
      </c>
      <c r="D45" t="s">
        <v>842</v>
      </c>
      <c r="E45">
        <v>7</v>
      </c>
      <c r="F45">
        <v>26</v>
      </c>
      <c r="G45">
        <v>28</v>
      </c>
      <c r="H45" t="s">
        <v>840</v>
      </c>
      <c r="I45" t="s">
        <v>840</v>
      </c>
      <c r="J45" t="s">
        <v>840</v>
      </c>
      <c r="K45" t="s">
        <v>841</v>
      </c>
    </row>
    <row r="46" spans="1:11" hidden="1" x14ac:dyDescent="0.3">
      <c r="A46">
        <v>1875</v>
      </c>
      <c r="B46" t="s">
        <v>2224</v>
      </c>
      <c r="C46" t="s">
        <v>801</v>
      </c>
      <c r="D46" t="s">
        <v>2225</v>
      </c>
      <c r="E46">
        <v>7</v>
      </c>
      <c r="F46">
        <v>44</v>
      </c>
      <c r="G46">
        <v>28</v>
      </c>
      <c r="H46" t="s">
        <v>840</v>
      </c>
      <c r="I46" t="s">
        <v>840</v>
      </c>
      <c r="J46" t="s">
        <v>840</v>
      </c>
      <c r="K46" t="s">
        <v>841</v>
      </c>
    </row>
    <row r="47" spans="1:11" hidden="1" x14ac:dyDescent="0.3">
      <c r="A47">
        <v>1638</v>
      </c>
      <c r="B47" t="s">
        <v>1732</v>
      </c>
      <c r="C47" t="s">
        <v>203</v>
      </c>
      <c r="D47" t="s">
        <v>1733</v>
      </c>
      <c r="E47">
        <v>7</v>
      </c>
      <c r="F47">
        <v>22</v>
      </c>
      <c r="G47">
        <v>28</v>
      </c>
      <c r="H47" t="s">
        <v>840</v>
      </c>
      <c r="I47" t="s">
        <v>840</v>
      </c>
      <c r="J47" t="s">
        <v>840</v>
      </c>
      <c r="K47" t="s">
        <v>841</v>
      </c>
    </row>
    <row r="48" spans="1:11" hidden="1" x14ac:dyDescent="0.3">
      <c r="A48">
        <v>1626</v>
      </c>
      <c r="B48" t="s">
        <v>1734</v>
      </c>
      <c r="C48" t="s">
        <v>106</v>
      </c>
      <c r="D48" t="s">
        <v>1735</v>
      </c>
      <c r="E48">
        <v>7</v>
      </c>
      <c r="F48">
        <v>22</v>
      </c>
      <c r="G48">
        <v>56</v>
      </c>
      <c r="H48" t="s">
        <v>840</v>
      </c>
      <c r="I48" t="s">
        <v>840</v>
      </c>
      <c r="J48" t="s">
        <v>840</v>
      </c>
      <c r="K48" t="s">
        <v>841</v>
      </c>
    </row>
    <row r="49" spans="1:11" hidden="1" x14ac:dyDescent="0.3">
      <c r="A49">
        <v>1450</v>
      </c>
      <c r="B49" t="s">
        <v>1282</v>
      </c>
      <c r="C49" t="s">
        <v>177</v>
      </c>
      <c r="D49" t="s">
        <v>372</v>
      </c>
      <c r="E49">
        <v>25</v>
      </c>
      <c r="F49">
        <v>19</v>
      </c>
      <c r="G49">
        <v>168</v>
      </c>
      <c r="H49" t="s">
        <v>840</v>
      </c>
      <c r="I49" t="s">
        <v>840</v>
      </c>
      <c r="J49" t="s">
        <v>840</v>
      </c>
      <c r="K49" t="s">
        <v>841</v>
      </c>
    </row>
    <row r="50" spans="1:11" hidden="1" x14ac:dyDescent="0.3">
      <c r="A50">
        <v>1472</v>
      </c>
      <c r="B50" t="s">
        <v>1340</v>
      </c>
      <c r="C50" t="s">
        <v>939</v>
      </c>
      <c r="D50" t="s">
        <v>380</v>
      </c>
      <c r="E50">
        <v>25</v>
      </c>
      <c r="F50">
        <v>20</v>
      </c>
      <c r="G50">
        <v>28</v>
      </c>
      <c r="H50" t="s">
        <v>840</v>
      </c>
      <c r="I50" t="s">
        <v>840</v>
      </c>
      <c r="J50" t="s">
        <v>840</v>
      </c>
      <c r="K50" t="s">
        <v>841</v>
      </c>
    </row>
    <row r="51" spans="1:11" hidden="1" x14ac:dyDescent="0.3">
      <c r="A51">
        <v>1434</v>
      </c>
      <c r="B51" t="s">
        <v>1264</v>
      </c>
      <c r="C51" t="s">
        <v>123</v>
      </c>
      <c r="D51" t="s">
        <v>1265</v>
      </c>
      <c r="E51">
        <v>7</v>
      </c>
      <c r="F51">
        <v>19</v>
      </c>
      <c r="G51">
        <v>28</v>
      </c>
      <c r="H51" t="s">
        <v>840</v>
      </c>
      <c r="I51" t="s">
        <v>840</v>
      </c>
      <c r="J51" t="s">
        <v>840</v>
      </c>
      <c r="K51" t="s">
        <v>841</v>
      </c>
    </row>
    <row r="52" spans="1:11" hidden="1" x14ac:dyDescent="0.3">
      <c r="A52">
        <v>1445</v>
      </c>
      <c r="B52" t="s">
        <v>1277</v>
      </c>
      <c r="C52" t="s">
        <v>147</v>
      </c>
      <c r="D52" t="s">
        <v>243</v>
      </c>
      <c r="E52">
        <v>7</v>
      </c>
      <c r="F52">
        <v>19</v>
      </c>
      <c r="G52">
        <v>56</v>
      </c>
      <c r="H52" t="s">
        <v>840</v>
      </c>
      <c r="I52" t="s">
        <v>840</v>
      </c>
      <c r="J52" t="s">
        <v>840</v>
      </c>
      <c r="K52" t="s">
        <v>841</v>
      </c>
    </row>
    <row r="53" spans="1:11" hidden="1" x14ac:dyDescent="0.3">
      <c r="A53">
        <v>1758</v>
      </c>
      <c r="B53" t="s">
        <v>2026</v>
      </c>
      <c r="C53" t="s">
        <v>2343</v>
      </c>
      <c r="D53" t="s">
        <v>218</v>
      </c>
      <c r="E53">
        <v>7</v>
      </c>
      <c r="F53">
        <v>26</v>
      </c>
      <c r="G53">
        <v>28</v>
      </c>
      <c r="H53" t="s">
        <v>840</v>
      </c>
      <c r="I53" t="s">
        <v>840</v>
      </c>
      <c r="J53" t="s">
        <v>840</v>
      </c>
      <c r="K53" t="s">
        <v>841</v>
      </c>
    </row>
    <row r="54" spans="1:11" hidden="1" x14ac:dyDescent="0.3">
      <c r="A54">
        <v>1643</v>
      </c>
      <c r="B54" t="s">
        <v>1728</v>
      </c>
      <c r="C54" t="s">
        <v>146</v>
      </c>
      <c r="D54" t="s">
        <v>846</v>
      </c>
      <c r="E54">
        <v>7</v>
      </c>
      <c r="F54">
        <v>22</v>
      </c>
      <c r="G54">
        <v>28</v>
      </c>
      <c r="H54" t="s">
        <v>840</v>
      </c>
      <c r="I54" t="s">
        <v>840</v>
      </c>
      <c r="J54" t="s">
        <v>840</v>
      </c>
      <c r="K54" t="s">
        <v>841</v>
      </c>
    </row>
    <row r="55" spans="1:11" hidden="1" x14ac:dyDescent="0.3">
      <c r="A55">
        <v>1951</v>
      </c>
      <c r="B55" t="s">
        <v>2331</v>
      </c>
      <c r="C55" t="s">
        <v>2325</v>
      </c>
      <c r="D55" t="s">
        <v>1234</v>
      </c>
      <c r="E55">
        <v>7</v>
      </c>
      <c r="F55">
        <v>46</v>
      </c>
      <c r="G55">
        <v>28</v>
      </c>
      <c r="H55" t="s">
        <v>840</v>
      </c>
      <c r="I55" t="s">
        <v>840</v>
      </c>
      <c r="J55" t="s">
        <v>840</v>
      </c>
      <c r="K55" t="s">
        <v>841</v>
      </c>
    </row>
    <row r="56" spans="1:11" hidden="1" x14ac:dyDescent="0.3">
      <c r="A56">
        <v>1634</v>
      </c>
      <c r="B56" t="s">
        <v>1738</v>
      </c>
      <c r="C56" t="s">
        <v>155</v>
      </c>
      <c r="D56" t="s">
        <v>251</v>
      </c>
      <c r="E56">
        <v>7</v>
      </c>
      <c r="F56">
        <v>22</v>
      </c>
      <c r="G56">
        <v>28</v>
      </c>
      <c r="H56" t="s">
        <v>840</v>
      </c>
      <c r="I56" t="s">
        <v>840</v>
      </c>
      <c r="J56" t="s">
        <v>840</v>
      </c>
      <c r="K56" t="s">
        <v>841</v>
      </c>
    </row>
    <row r="57" spans="1:11" hidden="1" x14ac:dyDescent="0.3">
      <c r="A57">
        <v>1627</v>
      </c>
      <c r="B57" t="s">
        <v>1736</v>
      </c>
      <c r="C57" t="s">
        <v>108</v>
      </c>
      <c r="D57" t="s">
        <v>1737</v>
      </c>
      <c r="E57">
        <v>7</v>
      </c>
      <c r="F57">
        <v>22</v>
      </c>
      <c r="G57">
        <v>28</v>
      </c>
      <c r="H57" t="s">
        <v>840</v>
      </c>
      <c r="I57" t="s">
        <v>840</v>
      </c>
      <c r="J57" t="s">
        <v>840</v>
      </c>
      <c r="K57" t="s">
        <v>841</v>
      </c>
    </row>
    <row r="58" spans="1:11" hidden="1" x14ac:dyDescent="0.3">
      <c r="A58">
        <v>1435</v>
      </c>
      <c r="B58" t="s">
        <v>1266</v>
      </c>
      <c r="C58" t="s">
        <v>125</v>
      </c>
      <c r="D58" t="s">
        <v>813</v>
      </c>
      <c r="E58">
        <v>7</v>
      </c>
      <c r="F58">
        <v>19</v>
      </c>
      <c r="G58">
        <v>28</v>
      </c>
      <c r="H58" t="s">
        <v>840</v>
      </c>
      <c r="I58" t="s">
        <v>840</v>
      </c>
      <c r="J58" t="s">
        <v>840</v>
      </c>
      <c r="K58" t="s">
        <v>841</v>
      </c>
    </row>
    <row r="59" spans="1:11" hidden="1" x14ac:dyDescent="0.3">
      <c r="A59">
        <v>1623</v>
      </c>
      <c r="B59" t="s">
        <v>1752</v>
      </c>
      <c r="C59" t="s">
        <v>86</v>
      </c>
      <c r="D59" t="s">
        <v>1739</v>
      </c>
      <c r="E59">
        <v>7</v>
      </c>
      <c r="F59">
        <v>22</v>
      </c>
      <c r="G59">
        <v>28</v>
      </c>
      <c r="H59" t="s">
        <v>840</v>
      </c>
      <c r="I59" t="s">
        <v>840</v>
      </c>
      <c r="J59" t="s">
        <v>840</v>
      </c>
      <c r="K59" t="s">
        <v>841</v>
      </c>
    </row>
    <row r="60" spans="1:11" hidden="1" x14ac:dyDescent="0.3">
      <c r="A60">
        <v>1443</v>
      </c>
      <c r="B60" t="s">
        <v>1275</v>
      </c>
      <c r="C60" t="s">
        <v>144</v>
      </c>
      <c r="D60" t="s">
        <v>242</v>
      </c>
      <c r="E60">
        <v>7</v>
      </c>
      <c r="F60">
        <v>19</v>
      </c>
      <c r="G60">
        <v>28</v>
      </c>
      <c r="H60" t="s">
        <v>840</v>
      </c>
      <c r="I60" t="s">
        <v>840</v>
      </c>
      <c r="J60" t="s">
        <v>840</v>
      </c>
      <c r="K60" t="s">
        <v>841</v>
      </c>
    </row>
    <row r="61" spans="1:11" hidden="1" x14ac:dyDescent="0.3">
      <c r="A61">
        <v>1743</v>
      </c>
      <c r="B61" t="s">
        <v>2013</v>
      </c>
      <c r="C61" t="s">
        <v>1748</v>
      </c>
      <c r="D61" t="s">
        <v>1806</v>
      </c>
      <c r="E61">
        <v>7</v>
      </c>
      <c r="F61">
        <v>24</v>
      </c>
      <c r="G61">
        <v>28</v>
      </c>
      <c r="H61" t="s">
        <v>840</v>
      </c>
      <c r="I61" t="s">
        <v>840</v>
      </c>
      <c r="J61" t="s">
        <v>840</v>
      </c>
      <c r="K61" t="s">
        <v>841</v>
      </c>
    </row>
    <row r="62" spans="1:11" hidden="1" x14ac:dyDescent="0.3">
      <c r="A62">
        <v>1655</v>
      </c>
      <c r="B62" t="s">
        <v>1774</v>
      </c>
      <c r="C62" t="s">
        <v>1759</v>
      </c>
      <c r="D62" t="s">
        <v>520</v>
      </c>
      <c r="E62">
        <v>7</v>
      </c>
      <c r="F62">
        <v>23</v>
      </c>
      <c r="G62">
        <v>56</v>
      </c>
      <c r="H62" t="s">
        <v>840</v>
      </c>
      <c r="I62" t="s">
        <v>840</v>
      </c>
      <c r="J62" t="s">
        <v>840</v>
      </c>
      <c r="K62" t="s">
        <v>841</v>
      </c>
    </row>
    <row r="63" spans="1:11" hidden="1" x14ac:dyDescent="0.3">
      <c r="A63">
        <v>1465</v>
      </c>
      <c r="B63" t="s">
        <v>1335</v>
      </c>
      <c r="C63" t="s">
        <v>860</v>
      </c>
      <c r="D63" t="s">
        <v>363</v>
      </c>
      <c r="E63">
        <v>25</v>
      </c>
      <c r="F63">
        <v>20</v>
      </c>
      <c r="G63">
        <v>28</v>
      </c>
      <c r="H63" t="s">
        <v>840</v>
      </c>
      <c r="I63" t="s">
        <v>840</v>
      </c>
      <c r="J63" t="s">
        <v>840</v>
      </c>
      <c r="K63" t="s">
        <v>841</v>
      </c>
    </row>
    <row r="64" spans="1:11" hidden="1" x14ac:dyDescent="0.3">
      <c r="A64">
        <v>1637</v>
      </c>
      <c r="B64" t="s">
        <v>1740</v>
      </c>
      <c r="C64" t="s">
        <v>201</v>
      </c>
      <c r="D64" t="s">
        <v>1741</v>
      </c>
      <c r="E64">
        <v>7</v>
      </c>
      <c r="F64">
        <v>22</v>
      </c>
      <c r="G64">
        <v>28</v>
      </c>
      <c r="H64" t="s">
        <v>840</v>
      </c>
      <c r="I64" t="s">
        <v>840</v>
      </c>
      <c r="J64" t="s">
        <v>840</v>
      </c>
      <c r="K64" t="s">
        <v>841</v>
      </c>
    </row>
    <row r="65" spans="1:11" hidden="1" x14ac:dyDescent="0.3">
      <c r="A65">
        <v>1640</v>
      </c>
      <c r="B65" t="s">
        <v>1742</v>
      </c>
      <c r="C65" t="s">
        <v>296</v>
      </c>
      <c r="D65" t="s">
        <v>291</v>
      </c>
      <c r="E65">
        <v>7</v>
      </c>
      <c r="F65">
        <v>22</v>
      </c>
      <c r="G65">
        <v>28</v>
      </c>
      <c r="H65" t="s">
        <v>840</v>
      </c>
      <c r="I65" t="s">
        <v>840</v>
      </c>
      <c r="J65" t="s">
        <v>840</v>
      </c>
      <c r="K65" t="s">
        <v>841</v>
      </c>
    </row>
    <row r="66" spans="1:11" hidden="1" x14ac:dyDescent="0.3">
      <c r="A66">
        <v>1874</v>
      </c>
      <c r="B66" t="s">
        <v>2226</v>
      </c>
      <c r="C66" t="s">
        <v>783</v>
      </c>
      <c r="D66" t="s">
        <v>2227</v>
      </c>
      <c r="E66">
        <v>7</v>
      </c>
      <c r="F66">
        <v>44</v>
      </c>
      <c r="G66">
        <v>28</v>
      </c>
      <c r="H66" t="s">
        <v>840</v>
      </c>
      <c r="I66" t="s">
        <v>840</v>
      </c>
      <c r="J66" t="s">
        <v>840</v>
      </c>
      <c r="K66" t="s">
        <v>841</v>
      </c>
    </row>
    <row r="67" spans="1:11" hidden="1" x14ac:dyDescent="0.3">
      <c r="A67">
        <v>1745</v>
      </c>
      <c r="B67" t="s">
        <v>2000</v>
      </c>
      <c r="C67" t="s">
        <v>1895</v>
      </c>
      <c r="D67" t="s">
        <v>247</v>
      </c>
      <c r="E67">
        <v>7</v>
      </c>
      <c r="F67">
        <v>24</v>
      </c>
      <c r="G67">
        <v>56</v>
      </c>
      <c r="H67" t="s">
        <v>840</v>
      </c>
      <c r="I67" t="s">
        <v>840</v>
      </c>
      <c r="J67" t="s">
        <v>840</v>
      </c>
      <c r="K67" t="s">
        <v>841</v>
      </c>
    </row>
    <row r="68" spans="1:11" hidden="1" x14ac:dyDescent="0.3">
      <c r="A68">
        <v>1642</v>
      </c>
      <c r="B68" t="s">
        <v>1706</v>
      </c>
      <c r="C68" t="s">
        <v>773</v>
      </c>
      <c r="D68" t="s">
        <v>1707</v>
      </c>
      <c r="E68">
        <v>7</v>
      </c>
      <c r="F68">
        <v>22</v>
      </c>
      <c r="G68">
        <v>28</v>
      </c>
      <c r="H68" t="s">
        <v>840</v>
      </c>
      <c r="I68" t="s">
        <v>840</v>
      </c>
      <c r="J68" t="s">
        <v>840</v>
      </c>
      <c r="K68" t="s">
        <v>841</v>
      </c>
    </row>
    <row r="69" spans="1:11" x14ac:dyDescent="0.3">
      <c r="A69">
        <v>2070</v>
      </c>
      <c r="B69" t="s">
        <v>2434</v>
      </c>
      <c r="C69" t="s">
        <v>2415</v>
      </c>
      <c r="D69" t="s">
        <v>647</v>
      </c>
      <c r="E69">
        <v>7</v>
      </c>
      <c r="F69">
        <v>47</v>
      </c>
      <c r="G69">
        <v>28</v>
      </c>
      <c r="H69" t="s">
        <v>840</v>
      </c>
      <c r="I69" t="s">
        <v>840</v>
      </c>
      <c r="J69" t="s">
        <v>840</v>
      </c>
      <c r="K69" t="s">
        <v>840</v>
      </c>
    </row>
    <row r="70" spans="1:11" hidden="1" x14ac:dyDescent="0.3">
      <c r="A70">
        <v>1876</v>
      </c>
      <c r="B70" t="s">
        <v>2228</v>
      </c>
      <c r="C70" t="s">
        <v>1861</v>
      </c>
      <c r="D70" t="s">
        <v>1203</v>
      </c>
      <c r="E70">
        <v>7</v>
      </c>
      <c r="F70">
        <v>44</v>
      </c>
      <c r="G70">
        <v>112</v>
      </c>
      <c r="H70" t="s">
        <v>840</v>
      </c>
      <c r="I70" t="s">
        <v>840</v>
      </c>
      <c r="J70" t="s">
        <v>840</v>
      </c>
      <c r="K70" t="s">
        <v>841</v>
      </c>
    </row>
    <row r="71" spans="1:11" hidden="1" x14ac:dyDescent="0.3">
      <c r="A71">
        <v>1458</v>
      </c>
      <c r="B71" t="s">
        <v>1295</v>
      </c>
      <c r="C71" t="s">
        <v>847</v>
      </c>
      <c r="D71" t="s">
        <v>1294</v>
      </c>
      <c r="E71">
        <v>7</v>
      </c>
      <c r="F71">
        <v>19</v>
      </c>
      <c r="G71">
        <v>28</v>
      </c>
      <c r="H71" t="s">
        <v>840</v>
      </c>
      <c r="I71" t="s">
        <v>840</v>
      </c>
      <c r="J71" t="s">
        <v>840</v>
      </c>
      <c r="K71" t="s">
        <v>841</v>
      </c>
    </row>
    <row r="72" spans="1:11" hidden="1" x14ac:dyDescent="0.3">
      <c r="A72">
        <v>1471</v>
      </c>
      <c r="B72" t="s">
        <v>1342</v>
      </c>
      <c r="C72" t="s">
        <v>936</v>
      </c>
      <c r="D72" t="s">
        <v>378</v>
      </c>
      <c r="E72">
        <v>25</v>
      </c>
      <c r="F72">
        <v>20</v>
      </c>
      <c r="G72">
        <v>28</v>
      </c>
      <c r="H72" t="s">
        <v>840</v>
      </c>
      <c r="I72" t="s">
        <v>840</v>
      </c>
      <c r="J72" t="s">
        <v>840</v>
      </c>
      <c r="K72" t="s">
        <v>841</v>
      </c>
    </row>
    <row r="73" spans="1:11" hidden="1" x14ac:dyDescent="0.3">
      <c r="A73">
        <v>1644</v>
      </c>
      <c r="B73" t="s">
        <v>1708</v>
      </c>
      <c r="C73" t="s">
        <v>986</v>
      </c>
      <c r="D73" t="s">
        <v>1709</v>
      </c>
      <c r="E73">
        <v>7</v>
      </c>
      <c r="F73">
        <v>22</v>
      </c>
      <c r="G73">
        <v>28</v>
      </c>
      <c r="H73" t="s">
        <v>840</v>
      </c>
      <c r="I73" t="s">
        <v>840</v>
      </c>
      <c r="J73" t="s">
        <v>840</v>
      </c>
      <c r="K73" t="s">
        <v>841</v>
      </c>
    </row>
    <row r="74" spans="1:11" hidden="1" x14ac:dyDescent="0.3">
      <c r="A74">
        <v>1793</v>
      </c>
      <c r="B74" t="s">
        <v>2061</v>
      </c>
      <c r="C74" t="s">
        <v>2054</v>
      </c>
      <c r="D74" t="s">
        <v>2062</v>
      </c>
      <c r="E74">
        <v>7</v>
      </c>
      <c r="F74">
        <v>28</v>
      </c>
      <c r="G74">
        <v>28</v>
      </c>
      <c r="H74" t="s">
        <v>840</v>
      </c>
      <c r="I74" t="s">
        <v>840</v>
      </c>
      <c r="J74" t="s">
        <v>840</v>
      </c>
      <c r="K74" t="s">
        <v>841</v>
      </c>
    </row>
    <row r="75" spans="1:11" hidden="1" x14ac:dyDescent="0.3">
      <c r="A75">
        <v>1744</v>
      </c>
      <c r="B75" t="s">
        <v>2005</v>
      </c>
      <c r="C75" t="s">
        <v>1894</v>
      </c>
      <c r="D75" t="s">
        <v>248</v>
      </c>
      <c r="E75">
        <v>7</v>
      </c>
      <c r="F75">
        <v>24</v>
      </c>
      <c r="G75">
        <v>56</v>
      </c>
      <c r="H75" t="s">
        <v>840</v>
      </c>
      <c r="I75" t="s">
        <v>840</v>
      </c>
      <c r="J75" t="s">
        <v>840</v>
      </c>
      <c r="K75" t="s">
        <v>841</v>
      </c>
    </row>
    <row r="76" spans="1:11" hidden="1" x14ac:dyDescent="0.3">
      <c r="A76">
        <v>1750</v>
      </c>
      <c r="B76" t="s">
        <v>2006</v>
      </c>
      <c r="C76" t="s">
        <v>1992</v>
      </c>
      <c r="D76" t="s">
        <v>2007</v>
      </c>
      <c r="E76">
        <v>7</v>
      </c>
      <c r="F76">
        <v>25</v>
      </c>
      <c r="G76">
        <v>28</v>
      </c>
      <c r="H76" t="s">
        <v>840</v>
      </c>
      <c r="I76" t="s">
        <v>840</v>
      </c>
      <c r="J76" t="s">
        <v>840</v>
      </c>
      <c r="K76" t="s">
        <v>841</v>
      </c>
    </row>
    <row r="77" spans="1:11" hidden="1" x14ac:dyDescent="0.3">
      <c r="A77">
        <v>1440</v>
      </c>
      <c r="B77" t="s">
        <v>1272</v>
      </c>
      <c r="C77" t="s">
        <v>141</v>
      </c>
      <c r="D77" t="s">
        <v>240</v>
      </c>
      <c r="E77">
        <v>7</v>
      </c>
      <c r="F77">
        <v>19</v>
      </c>
      <c r="G77">
        <v>28</v>
      </c>
      <c r="H77" t="s">
        <v>840</v>
      </c>
      <c r="I77" t="s">
        <v>840</v>
      </c>
      <c r="J77" t="s">
        <v>840</v>
      </c>
      <c r="K77" t="s">
        <v>841</v>
      </c>
    </row>
    <row r="78" spans="1:11" hidden="1" x14ac:dyDescent="0.3">
      <c r="A78">
        <v>1747</v>
      </c>
      <c r="B78" t="s">
        <v>2008</v>
      </c>
      <c r="C78" t="s">
        <v>1959</v>
      </c>
      <c r="D78" t="s">
        <v>1220</v>
      </c>
      <c r="E78">
        <v>7</v>
      </c>
      <c r="F78">
        <v>24</v>
      </c>
      <c r="G78">
        <v>56</v>
      </c>
      <c r="H78" t="s">
        <v>840</v>
      </c>
      <c r="I78" t="s">
        <v>840</v>
      </c>
      <c r="J78" t="s">
        <v>840</v>
      </c>
      <c r="K78" t="s">
        <v>841</v>
      </c>
    </row>
    <row r="79" spans="1:11" hidden="1" x14ac:dyDescent="0.3">
      <c r="A79">
        <v>1452</v>
      </c>
      <c r="B79" t="s">
        <v>1285</v>
      </c>
      <c r="C79" t="s">
        <v>190</v>
      </c>
      <c r="D79" t="s">
        <v>390</v>
      </c>
      <c r="E79">
        <v>25</v>
      </c>
      <c r="F79">
        <v>19</v>
      </c>
      <c r="G79">
        <v>56</v>
      </c>
      <c r="H79" t="s">
        <v>840</v>
      </c>
      <c r="I79" t="s">
        <v>840</v>
      </c>
      <c r="J79" t="s">
        <v>840</v>
      </c>
      <c r="K79" t="s">
        <v>841</v>
      </c>
    </row>
    <row r="80" spans="1:11" x14ac:dyDescent="0.3">
      <c r="A80">
        <v>1794</v>
      </c>
      <c r="B80" t="s">
        <v>2063</v>
      </c>
      <c r="C80" t="s">
        <v>2057</v>
      </c>
      <c r="D80" t="s">
        <v>217</v>
      </c>
      <c r="E80">
        <v>7</v>
      </c>
      <c r="F80">
        <v>28</v>
      </c>
      <c r="G80">
        <v>84</v>
      </c>
      <c r="H80" t="s">
        <v>840</v>
      </c>
      <c r="I80" t="s">
        <v>840</v>
      </c>
      <c r="J80" t="s">
        <v>840</v>
      </c>
      <c r="K80" t="s">
        <v>840</v>
      </c>
    </row>
    <row r="81" spans="1:11" hidden="1" x14ac:dyDescent="0.3">
      <c r="A81">
        <v>1467</v>
      </c>
      <c r="B81" t="s">
        <v>1345</v>
      </c>
      <c r="C81" t="s">
        <v>978</v>
      </c>
      <c r="D81" t="s">
        <v>1346</v>
      </c>
      <c r="E81">
        <v>25</v>
      </c>
      <c r="F81">
        <v>20</v>
      </c>
      <c r="G81">
        <v>28</v>
      </c>
      <c r="H81" t="s">
        <v>840</v>
      </c>
      <c r="I81" t="s">
        <v>840</v>
      </c>
      <c r="J81" t="s">
        <v>840</v>
      </c>
      <c r="K81" t="s">
        <v>841</v>
      </c>
    </row>
    <row r="82" spans="1:11" hidden="1" x14ac:dyDescent="0.3">
      <c r="A82">
        <v>1426</v>
      </c>
      <c r="B82" t="s">
        <v>1250</v>
      </c>
      <c r="C82" t="s">
        <v>84</v>
      </c>
      <c r="D82" t="s">
        <v>1251</v>
      </c>
      <c r="E82">
        <v>7</v>
      </c>
      <c r="F82">
        <v>19</v>
      </c>
      <c r="G82">
        <v>84</v>
      </c>
      <c r="H82" t="s">
        <v>840</v>
      </c>
      <c r="I82" t="s">
        <v>840</v>
      </c>
      <c r="J82" t="s">
        <v>840</v>
      </c>
      <c r="K82" t="s">
        <v>841</v>
      </c>
    </row>
    <row r="83" spans="1:11" hidden="1" x14ac:dyDescent="0.3">
      <c r="A83">
        <v>1433</v>
      </c>
      <c r="B83" t="s">
        <v>1262</v>
      </c>
      <c r="C83" t="s">
        <v>122</v>
      </c>
      <c r="D83" t="s">
        <v>1263</v>
      </c>
      <c r="E83">
        <v>7</v>
      </c>
      <c r="F83">
        <v>19</v>
      </c>
      <c r="G83">
        <v>84</v>
      </c>
      <c r="H83" t="s">
        <v>840</v>
      </c>
      <c r="I83" t="s">
        <v>840</v>
      </c>
      <c r="J83" t="s">
        <v>840</v>
      </c>
      <c r="K83" t="s">
        <v>841</v>
      </c>
    </row>
    <row r="84" spans="1:11" hidden="1" x14ac:dyDescent="0.3">
      <c r="A84">
        <v>1789</v>
      </c>
      <c r="B84" t="s">
        <v>2045</v>
      </c>
      <c r="C84" t="s">
        <v>2038</v>
      </c>
      <c r="D84" t="s">
        <v>2046</v>
      </c>
      <c r="E84">
        <v>7</v>
      </c>
      <c r="F84">
        <v>27</v>
      </c>
      <c r="G84">
        <v>28</v>
      </c>
      <c r="H84" t="s">
        <v>840</v>
      </c>
      <c r="I84" t="s">
        <v>840</v>
      </c>
      <c r="J84" t="s">
        <v>840</v>
      </c>
      <c r="K84" t="s">
        <v>841</v>
      </c>
    </row>
    <row r="85" spans="1:11" hidden="1" x14ac:dyDescent="0.3">
      <c r="A85">
        <v>1475</v>
      </c>
      <c r="B85" t="s">
        <v>1334</v>
      </c>
      <c r="C85" t="s">
        <v>942</v>
      </c>
      <c r="D85" t="s">
        <v>394</v>
      </c>
      <c r="E85">
        <v>25</v>
      </c>
      <c r="F85">
        <v>20</v>
      </c>
      <c r="G85">
        <v>56</v>
      </c>
      <c r="H85" t="s">
        <v>840</v>
      </c>
      <c r="I85" t="s">
        <v>840</v>
      </c>
      <c r="J85" t="s">
        <v>840</v>
      </c>
      <c r="K85" t="s">
        <v>841</v>
      </c>
    </row>
    <row r="86" spans="1:11" hidden="1" x14ac:dyDescent="0.3">
      <c r="A86">
        <v>1448</v>
      </c>
      <c r="B86" t="s">
        <v>1280</v>
      </c>
      <c r="C86" t="s">
        <v>169</v>
      </c>
      <c r="D86" t="s">
        <v>626</v>
      </c>
      <c r="E86">
        <v>7</v>
      </c>
      <c r="F86">
        <v>19</v>
      </c>
      <c r="G86">
        <v>28</v>
      </c>
      <c r="H86" t="s">
        <v>840</v>
      </c>
      <c r="I86" t="s">
        <v>840</v>
      </c>
      <c r="J86" t="s">
        <v>840</v>
      </c>
      <c r="K86" t="s">
        <v>841</v>
      </c>
    </row>
    <row r="87" spans="1:11" x14ac:dyDescent="0.3">
      <c r="A87">
        <v>1652</v>
      </c>
      <c r="B87" t="s">
        <v>1766</v>
      </c>
      <c r="C87" t="s">
        <v>1750</v>
      </c>
      <c r="D87" t="s">
        <v>1767</v>
      </c>
      <c r="E87">
        <v>7</v>
      </c>
      <c r="F87">
        <v>23</v>
      </c>
      <c r="G87">
        <v>28</v>
      </c>
      <c r="H87" t="s">
        <v>840</v>
      </c>
      <c r="I87" t="s">
        <v>840</v>
      </c>
      <c r="J87" t="s">
        <v>840</v>
      </c>
      <c r="K87" t="s">
        <v>840</v>
      </c>
    </row>
    <row r="88" spans="1:11" x14ac:dyDescent="0.3">
      <c r="A88">
        <v>1791</v>
      </c>
      <c r="B88" t="s">
        <v>2047</v>
      </c>
      <c r="C88" t="s">
        <v>2041</v>
      </c>
      <c r="D88" t="s">
        <v>578</v>
      </c>
      <c r="E88">
        <v>7</v>
      </c>
      <c r="F88">
        <v>27</v>
      </c>
      <c r="G88">
        <v>28</v>
      </c>
      <c r="H88" t="s">
        <v>840</v>
      </c>
      <c r="I88" t="s">
        <v>840</v>
      </c>
      <c r="J88" t="s">
        <v>840</v>
      </c>
      <c r="K88" t="s">
        <v>840</v>
      </c>
    </row>
    <row r="89" spans="1:11" hidden="1" x14ac:dyDescent="0.3">
      <c r="A89">
        <v>1423</v>
      </c>
      <c r="B89" t="s">
        <v>1245</v>
      </c>
      <c r="C89" t="s">
        <v>75</v>
      </c>
      <c r="D89" t="s">
        <v>834</v>
      </c>
      <c r="E89">
        <v>7</v>
      </c>
      <c r="F89">
        <v>19</v>
      </c>
      <c r="G89">
        <v>28</v>
      </c>
      <c r="H89" t="s">
        <v>840</v>
      </c>
      <c r="I89" t="s">
        <v>840</v>
      </c>
      <c r="J89" t="s">
        <v>840</v>
      </c>
      <c r="K89" t="s">
        <v>841</v>
      </c>
    </row>
    <row r="90" spans="1:11" hidden="1" x14ac:dyDescent="0.3">
      <c r="A90">
        <v>1451</v>
      </c>
      <c r="B90" t="s">
        <v>1283</v>
      </c>
      <c r="C90" t="s">
        <v>187</v>
      </c>
      <c r="D90" t="s">
        <v>385</v>
      </c>
      <c r="E90">
        <v>25</v>
      </c>
      <c r="F90">
        <v>19</v>
      </c>
      <c r="G90">
        <v>56</v>
      </c>
      <c r="H90" t="s">
        <v>840</v>
      </c>
      <c r="I90" t="s">
        <v>840</v>
      </c>
      <c r="J90" t="s">
        <v>840</v>
      </c>
      <c r="K90" t="s">
        <v>841</v>
      </c>
    </row>
    <row r="91" spans="1:11" hidden="1" x14ac:dyDescent="0.3">
      <c r="A91">
        <v>1635</v>
      </c>
      <c r="B91" t="s">
        <v>1714</v>
      </c>
      <c r="C91" t="s">
        <v>161</v>
      </c>
      <c r="D91" t="s">
        <v>595</v>
      </c>
      <c r="E91">
        <v>7</v>
      </c>
      <c r="F91">
        <v>22</v>
      </c>
      <c r="G91">
        <v>28</v>
      </c>
      <c r="H91" t="s">
        <v>840</v>
      </c>
      <c r="I91" t="s">
        <v>840</v>
      </c>
      <c r="J91" t="s">
        <v>840</v>
      </c>
      <c r="K91" t="s">
        <v>841</v>
      </c>
    </row>
    <row r="92" spans="1:11" hidden="1" x14ac:dyDescent="0.3">
      <c r="A92">
        <v>1645</v>
      </c>
      <c r="B92" t="s">
        <v>1717</v>
      </c>
      <c r="C92" t="s">
        <v>969</v>
      </c>
      <c r="D92" t="s">
        <v>1718</v>
      </c>
      <c r="E92">
        <v>7</v>
      </c>
      <c r="F92">
        <v>22</v>
      </c>
      <c r="G92">
        <v>28</v>
      </c>
      <c r="H92" t="s">
        <v>840</v>
      </c>
      <c r="I92" t="s">
        <v>840</v>
      </c>
      <c r="J92" t="s">
        <v>840</v>
      </c>
      <c r="K92" t="s">
        <v>841</v>
      </c>
    </row>
    <row r="93" spans="1:11" hidden="1" x14ac:dyDescent="0.3">
      <c r="A93">
        <v>1650</v>
      </c>
      <c r="B93" t="s">
        <v>1770</v>
      </c>
      <c r="C93" t="s">
        <v>148</v>
      </c>
      <c r="D93" t="s">
        <v>244</v>
      </c>
      <c r="E93">
        <v>7</v>
      </c>
      <c r="F93">
        <v>23</v>
      </c>
      <c r="G93">
        <v>28</v>
      </c>
      <c r="H93" t="s">
        <v>840</v>
      </c>
      <c r="I93" t="s">
        <v>840</v>
      </c>
      <c r="J93" t="s">
        <v>840</v>
      </c>
      <c r="K93" t="s">
        <v>841</v>
      </c>
    </row>
    <row r="94" spans="1:11" hidden="1" x14ac:dyDescent="0.3">
      <c r="A94">
        <v>1756</v>
      </c>
      <c r="B94" t="s">
        <v>2024</v>
      </c>
      <c r="C94" t="s">
        <v>2019</v>
      </c>
      <c r="D94" t="s">
        <v>224</v>
      </c>
      <c r="E94">
        <v>7</v>
      </c>
      <c r="F94">
        <v>26</v>
      </c>
      <c r="G94">
        <v>28</v>
      </c>
      <c r="H94" t="s">
        <v>840</v>
      </c>
      <c r="I94" t="s">
        <v>840</v>
      </c>
      <c r="J94" t="s">
        <v>840</v>
      </c>
      <c r="K94" t="s">
        <v>841</v>
      </c>
    </row>
    <row r="95" spans="1:11" hidden="1" x14ac:dyDescent="0.3">
      <c r="A95">
        <v>1429</v>
      </c>
      <c r="B95" t="s">
        <v>1255</v>
      </c>
      <c r="C95" t="s">
        <v>103</v>
      </c>
      <c r="D95" t="s">
        <v>221</v>
      </c>
      <c r="E95">
        <v>7</v>
      </c>
      <c r="F95">
        <v>19</v>
      </c>
      <c r="G95">
        <v>28</v>
      </c>
      <c r="H95" t="s">
        <v>840</v>
      </c>
      <c r="I95" t="s">
        <v>840</v>
      </c>
      <c r="J95" t="s">
        <v>840</v>
      </c>
      <c r="K95" t="s">
        <v>841</v>
      </c>
    </row>
    <row r="96" spans="1:11" hidden="1" x14ac:dyDescent="0.3">
      <c r="A96">
        <v>1432</v>
      </c>
      <c r="B96" t="s">
        <v>1260</v>
      </c>
      <c r="C96" t="s">
        <v>118</v>
      </c>
      <c r="D96" t="s">
        <v>1261</v>
      </c>
      <c r="E96">
        <v>7</v>
      </c>
      <c r="F96">
        <v>19</v>
      </c>
      <c r="G96">
        <v>28</v>
      </c>
      <c r="H96" t="s">
        <v>840</v>
      </c>
      <c r="I96" t="s">
        <v>840</v>
      </c>
      <c r="J96" t="s">
        <v>840</v>
      </c>
      <c r="K96" t="s">
        <v>841</v>
      </c>
    </row>
    <row r="97" spans="1:11" hidden="1" x14ac:dyDescent="0.3">
      <c r="A97">
        <v>1456</v>
      </c>
      <c r="B97" t="s">
        <v>1298</v>
      </c>
      <c r="C97" t="s">
        <v>288</v>
      </c>
      <c r="D97" t="s">
        <v>598</v>
      </c>
      <c r="E97">
        <v>7</v>
      </c>
      <c r="F97">
        <v>19</v>
      </c>
      <c r="G97">
        <v>28</v>
      </c>
      <c r="H97" t="s">
        <v>840</v>
      </c>
      <c r="I97" t="s">
        <v>840</v>
      </c>
      <c r="J97" t="s">
        <v>840</v>
      </c>
      <c r="K97" t="s">
        <v>841</v>
      </c>
    </row>
    <row r="98" spans="1:11" hidden="1" x14ac:dyDescent="0.3">
      <c r="A98">
        <v>1463</v>
      </c>
      <c r="B98" t="s">
        <v>1290</v>
      </c>
      <c r="C98" t="s">
        <v>968</v>
      </c>
      <c r="D98" t="s">
        <v>1291</v>
      </c>
      <c r="E98">
        <v>7</v>
      </c>
      <c r="F98">
        <v>19</v>
      </c>
      <c r="G98">
        <v>28</v>
      </c>
      <c r="H98" t="s">
        <v>840</v>
      </c>
      <c r="I98" t="s">
        <v>840</v>
      </c>
      <c r="J98" t="s">
        <v>840</v>
      </c>
      <c r="K98" t="s">
        <v>841</v>
      </c>
    </row>
    <row r="99" spans="1:11" hidden="1" x14ac:dyDescent="0.3">
      <c r="A99">
        <v>1628</v>
      </c>
      <c r="B99" t="s">
        <v>1721</v>
      </c>
      <c r="C99" t="s">
        <v>744</v>
      </c>
      <c r="D99" t="s">
        <v>334</v>
      </c>
      <c r="E99">
        <v>7</v>
      </c>
      <c r="F99">
        <v>22</v>
      </c>
      <c r="G99">
        <v>28</v>
      </c>
      <c r="H99" t="s">
        <v>840</v>
      </c>
      <c r="I99" t="s">
        <v>840</v>
      </c>
      <c r="J99" t="s">
        <v>840</v>
      </c>
      <c r="K99" t="s">
        <v>841</v>
      </c>
    </row>
    <row r="100" spans="1:11" x14ac:dyDescent="0.3">
      <c r="A100">
        <v>2072</v>
      </c>
      <c r="B100" t="s">
        <v>2435</v>
      </c>
      <c r="C100" t="s">
        <v>2425</v>
      </c>
      <c r="D100" t="s">
        <v>2433</v>
      </c>
      <c r="E100">
        <v>7</v>
      </c>
      <c r="F100">
        <v>47</v>
      </c>
      <c r="G100">
        <v>28</v>
      </c>
      <c r="H100" t="s">
        <v>840</v>
      </c>
      <c r="I100" t="s">
        <v>840</v>
      </c>
      <c r="J100" t="s">
        <v>840</v>
      </c>
      <c r="K100" t="s">
        <v>840</v>
      </c>
    </row>
    <row r="101" spans="1:11" hidden="1" x14ac:dyDescent="0.3">
      <c r="A101">
        <v>1476</v>
      </c>
      <c r="B101" t="s">
        <v>1333</v>
      </c>
      <c r="C101" t="s">
        <v>953</v>
      </c>
      <c r="D101" t="s">
        <v>396</v>
      </c>
      <c r="E101">
        <v>25</v>
      </c>
      <c r="F101">
        <v>20</v>
      </c>
      <c r="G101">
        <v>112</v>
      </c>
      <c r="H101" t="s">
        <v>840</v>
      </c>
      <c r="I101" t="s">
        <v>840</v>
      </c>
      <c r="J101" t="s">
        <v>840</v>
      </c>
      <c r="K101" t="s">
        <v>841</v>
      </c>
    </row>
    <row r="102" spans="1:11" hidden="1" x14ac:dyDescent="0.3">
      <c r="A102">
        <v>1636</v>
      </c>
      <c r="B102" t="s">
        <v>1725</v>
      </c>
      <c r="C102" t="s">
        <v>170</v>
      </c>
      <c r="D102" t="s">
        <v>260</v>
      </c>
      <c r="E102">
        <v>7</v>
      </c>
      <c r="F102">
        <v>22</v>
      </c>
      <c r="G102">
        <v>28</v>
      </c>
      <c r="H102" t="s">
        <v>840</v>
      </c>
      <c r="I102" t="s">
        <v>840</v>
      </c>
      <c r="J102" t="s">
        <v>840</v>
      </c>
      <c r="K102" t="s">
        <v>841</v>
      </c>
    </row>
    <row r="103" spans="1:11" hidden="1" x14ac:dyDescent="0.3">
      <c r="A103">
        <v>1646</v>
      </c>
      <c r="B103" t="s">
        <v>1723</v>
      </c>
      <c r="C103" t="s">
        <v>963</v>
      </c>
      <c r="D103" t="s">
        <v>1724</v>
      </c>
      <c r="E103">
        <v>7</v>
      </c>
      <c r="F103">
        <v>22</v>
      </c>
      <c r="G103">
        <v>28</v>
      </c>
      <c r="H103" t="s">
        <v>840</v>
      </c>
      <c r="I103" t="s">
        <v>840</v>
      </c>
      <c r="J103" t="s">
        <v>840</v>
      </c>
      <c r="K103" t="s">
        <v>841</v>
      </c>
    </row>
    <row r="104" spans="1:11" hidden="1" x14ac:dyDescent="0.3">
      <c r="A104">
        <v>1449</v>
      </c>
      <c r="B104" t="s">
        <v>1281</v>
      </c>
      <c r="C104" t="s">
        <v>172</v>
      </c>
      <c r="D104" t="s">
        <v>365</v>
      </c>
      <c r="E104">
        <v>25</v>
      </c>
      <c r="F104">
        <v>19</v>
      </c>
      <c r="G104">
        <v>840</v>
      </c>
      <c r="H104" t="s">
        <v>840</v>
      </c>
      <c r="I104" t="s">
        <v>840</v>
      </c>
      <c r="J104" t="s">
        <v>840</v>
      </c>
      <c r="K104" t="s">
        <v>841</v>
      </c>
    </row>
    <row r="105" spans="1:11" hidden="1" x14ac:dyDescent="0.3">
      <c r="A105">
        <v>1457</v>
      </c>
      <c r="B105" t="s">
        <v>1299</v>
      </c>
      <c r="C105" t="s">
        <v>831</v>
      </c>
      <c r="D105" t="s">
        <v>833</v>
      </c>
      <c r="E105">
        <v>7</v>
      </c>
      <c r="F105">
        <v>19</v>
      </c>
      <c r="G105">
        <v>56</v>
      </c>
      <c r="H105" t="s">
        <v>840</v>
      </c>
      <c r="I105" t="s">
        <v>840</v>
      </c>
      <c r="J105" t="s">
        <v>840</v>
      </c>
      <c r="K105" t="s">
        <v>841</v>
      </c>
    </row>
    <row r="106" spans="1:11" hidden="1" x14ac:dyDescent="0.3">
      <c r="A106">
        <v>1469</v>
      </c>
      <c r="B106" t="s">
        <v>1337</v>
      </c>
      <c r="C106" t="s">
        <v>972</v>
      </c>
      <c r="D106" t="s">
        <v>369</v>
      </c>
      <c r="E106">
        <v>25</v>
      </c>
      <c r="F106">
        <v>20</v>
      </c>
      <c r="G106">
        <v>28</v>
      </c>
      <c r="H106" t="s">
        <v>840</v>
      </c>
      <c r="I106" t="s">
        <v>840</v>
      </c>
      <c r="J106" t="s">
        <v>840</v>
      </c>
      <c r="K106" t="s">
        <v>841</v>
      </c>
    </row>
    <row r="107" spans="1:11" hidden="1" x14ac:dyDescent="0.3">
      <c r="A107">
        <v>1431</v>
      </c>
      <c r="B107" t="s">
        <v>1258</v>
      </c>
      <c r="C107" t="s">
        <v>117</v>
      </c>
      <c r="D107" t="s">
        <v>1259</v>
      </c>
      <c r="E107">
        <v>7</v>
      </c>
      <c r="F107">
        <v>19</v>
      </c>
      <c r="G107">
        <v>56</v>
      </c>
      <c r="H107" t="s">
        <v>840</v>
      </c>
      <c r="I107" t="s">
        <v>840</v>
      </c>
      <c r="J107" t="s">
        <v>840</v>
      </c>
      <c r="K107" t="s">
        <v>841</v>
      </c>
    </row>
    <row r="108" spans="1:11" hidden="1" x14ac:dyDescent="0.3">
      <c r="A108">
        <v>1461</v>
      </c>
      <c r="B108" t="s">
        <v>1301</v>
      </c>
      <c r="C108" t="s">
        <v>856</v>
      </c>
      <c r="D108" t="s">
        <v>1284</v>
      </c>
      <c r="E108">
        <v>7</v>
      </c>
      <c r="F108">
        <v>19</v>
      </c>
      <c r="G108">
        <v>28</v>
      </c>
      <c r="H108" t="s">
        <v>840</v>
      </c>
      <c r="I108" t="s">
        <v>840</v>
      </c>
      <c r="J108" t="s">
        <v>840</v>
      </c>
      <c r="K108" t="s">
        <v>841</v>
      </c>
    </row>
    <row r="109" spans="1:11" hidden="1" x14ac:dyDescent="0.3">
      <c r="A109">
        <v>1649</v>
      </c>
      <c r="B109" t="s">
        <v>1772</v>
      </c>
      <c r="C109" t="s">
        <v>80</v>
      </c>
      <c r="D109" t="s">
        <v>514</v>
      </c>
      <c r="E109">
        <v>7</v>
      </c>
      <c r="F109">
        <v>23</v>
      </c>
      <c r="G109">
        <v>56</v>
      </c>
      <c r="H109" t="s">
        <v>840</v>
      </c>
      <c r="I109" t="s">
        <v>840</v>
      </c>
      <c r="J109" t="s">
        <v>840</v>
      </c>
      <c r="K109" t="s">
        <v>841</v>
      </c>
    </row>
    <row r="110" spans="1:11" hidden="1" x14ac:dyDescent="0.3">
      <c r="A110">
        <v>1438</v>
      </c>
      <c r="B110" t="s">
        <v>1270</v>
      </c>
      <c r="C110" t="s">
        <v>137</v>
      </c>
      <c r="D110" t="s">
        <v>1232</v>
      </c>
      <c r="E110">
        <v>7</v>
      </c>
      <c r="F110">
        <v>19</v>
      </c>
      <c r="G110">
        <v>280</v>
      </c>
      <c r="H110" t="s">
        <v>840</v>
      </c>
      <c r="I110" t="s">
        <v>840</v>
      </c>
      <c r="J110" t="s">
        <v>840</v>
      </c>
      <c r="K110" t="s">
        <v>841</v>
      </c>
    </row>
    <row r="111" spans="1:11" hidden="1" x14ac:dyDescent="0.3">
      <c r="A111">
        <v>1459</v>
      </c>
      <c r="B111" t="s">
        <v>1293</v>
      </c>
      <c r="C111" t="s">
        <v>849</v>
      </c>
      <c r="D111" t="s">
        <v>1294</v>
      </c>
      <c r="E111">
        <v>7</v>
      </c>
      <c r="F111">
        <v>19</v>
      </c>
      <c r="G111">
        <v>28</v>
      </c>
      <c r="H111" t="s">
        <v>840</v>
      </c>
      <c r="I111" t="s">
        <v>840</v>
      </c>
      <c r="J111" t="s">
        <v>840</v>
      </c>
      <c r="K111" t="s">
        <v>841</v>
      </c>
    </row>
    <row r="112" spans="1:11" hidden="1" x14ac:dyDescent="0.3">
      <c r="A112">
        <v>1790</v>
      </c>
      <c r="B112" t="s">
        <v>2048</v>
      </c>
      <c r="C112" t="s">
        <v>2040</v>
      </c>
      <c r="D112" t="s">
        <v>214</v>
      </c>
      <c r="E112">
        <v>7</v>
      </c>
      <c r="F112">
        <v>27</v>
      </c>
      <c r="G112">
        <v>28</v>
      </c>
      <c r="H112" t="s">
        <v>840</v>
      </c>
      <c r="I112" t="s">
        <v>840</v>
      </c>
      <c r="J112" t="s">
        <v>840</v>
      </c>
      <c r="K112" t="s">
        <v>841</v>
      </c>
    </row>
    <row r="113" spans="1:11" hidden="1" x14ac:dyDescent="0.3">
      <c r="A113">
        <v>1787</v>
      </c>
      <c r="B113" t="s">
        <v>2049</v>
      </c>
      <c r="C113" t="s">
        <v>2034</v>
      </c>
      <c r="D113" t="s">
        <v>2050</v>
      </c>
      <c r="E113">
        <v>7</v>
      </c>
      <c r="F113">
        <v>27</v>
      </c>
      <c r="G113">
        <v>28</v>
      </c>
      <c r="H113" t="s">
        <v>840</v>
      </c>
      <c r="I113" t="s">
        <v>840</v>
      </c>
      <c r="J113" t="s">
        <v>840</v>
      </c>
      <c r="K113" t="s">
        <v>841</v>
      </c>
    </row>
    <row r="114" spans="1:11" hidden="1" x14ac:dyDescent="0.3">
      <c r="A114">
        <v>1753</v>
      </c>
      <c r="B114" t="s">
        <v>2027</v>
      </c>
      <c r="C114" t="s">
        <v>2014</v>
      </c>
      <c r="D114" t="s">
        <v>935</v>
      </c>
      <c r="E114">
        <v>7</v>
      </c>
      <c r="F114">
        <v>26</v>
      </c>
      <c r="G114">
        <v>28</v>
      </c>
      <c r="H114" t="s">
        <v>840</v>
      </c>
      <c r="I114" t="s">
        <v>840</v>
      </c>
      <c r="J114" t="s">
        <v>840</v>
      </c>
      <c r="K114" t="s">
        <v>841</v>
      </c>
    </row>
    <row r="115" spans="1:11" hidden="1" x14ac:dyDescent="0.3">
      <c r="A115">
        <v>1466</v>
      </c>
      <c r="B115" t="s">
        <v>1336</v>
      </c>
      <c r="C115" t="s">
        <v>864</v>
      </c>
      <c r="D115" t="s">
        <v>365</v>
      </c>
      <c r="E115">
        <v>25</v>
      </c>
      <c r="F115">
        <v>20</v>
      </c>
      <c r="G115">
        <v>140</v>
      </c>
      <c r="H115" t="s">
        <v>840</v>
      </c>
      <c r="I115" t="s">
        <v>840</v>
      </c>
      <c r="J115" t="s">
        <v>840</v>
      </c>
      <c r="K115" t="s">
        <v>841</v>
      </c>
    </row>
    <row r="116" spans="1:11" hidden="1" x14ac:dyDescent="0.3">
      <c r="A116">
        <v>1835</v>
      </c>
      <c r="B116" t="s">
        <v>2119</v>
      </c>
      <c r="C116" t="s">
        <v>2114</v>
      </c>
      <c r="D116" t="s">
        <v>557</v>
      </c>
      <c r="E116">
        <v>7</v>
      </c>
      <c r="F116">
        <v>43</v>
      </c>
      <c r="G116">
        <v>28</v>
      </c>
      <c r="H116" t="s">
        <v>840</v>
      </c>
      <c r="I116" t="s">
        <v>840</v>
      </c>
      <c r="J116" t="s">
        <v>840</v>
      </c>
      <c r="K116" t="s">
        <v>841</v>
      </c>
    </row>
    <row r="117" spans="1:11" hidden="1" x14ac:dyDescent="0.3">
      <c r="A117">
        <v>1742</v>
      </c>
      <c r="B117" t="s">
        <v>2011</v>
      </c>
      <c r="C117" t="s">
        <v>210</v>
      </c>
      <c r="D117" t="s">
        <v>824</v>
      </c>
      <c r="E117">
        <v>7</v>
      </c>
      <c r="F117">
        <v>24</v>
      </c>
      <c r="G117">
        <v>56</v>
      </c>
      <c r="H117" t="s">
        <v>840</v>
      </c>
      <c r="I117" t="s">
        <v>840</v>
      </c>
      <c r="J117" t="s">
        <v>840</v>
      </c>
      <c r="K117" t="s">
        <v>841</v>
      </c>
    </row>
    <row r="118" spans="1:11" hidden="1" x14ac:dyDescent="0.3">
      <c r="A118">
        <v>1653</v>
      </c>
      <c r="B118" t="s">
        <v>1773</v>
      </c>
      <c r="C118" t="s">
        <v>1747</v>
      </c>
      <c r="D118" t="s">
        <v>797</v>
      </c>
      <c r="E118">
        <v>7</v>
      </c>
      <c r="F118">
        <v>23</v>
      </c>
      <c r="G118">
        <v>56</v>
      </c>
      <c r="H118" t="s">
        <v>840</v>
      </c>
      <c r="I118" t="s">
        <v>840</v>
      </c>
      <c r="J118" t="s">
        <v>840</v>
      </c>
      <c r="K118" t="s">
        <v>841</v>
      </c>
    </row>
    <row r="119" spans="1:11" hidden="1" x14ac:dyDescent="0.3">
      <c r="A119">
        <v>1441</v>
      </c>
      <c r="B119" t="s">
        <v>1273</v>
      </c>
      <c r="C119" t="s">
        <v>142</v>
      </c>
      <c r="D119" t="s">
        <v>844</v>
      </c>
      <c r="E119">
        <v>7</v>
      </c>
      <c r="F119">
        <v>19</v>
      </c>
      <c r="G119">
        <v>56</v>
      </c>
      <c r="H119" t="s">
        <v>840</v>
      </c>
      <c r="I119" t="s">
        <v>840</v>
      </c>
      <c r="J119" t="s">
        <v>840</v>
      </c>
      <c r="K119" t="s">
        <v>841</v>
      </c>
    </row>
    <row r="120" spans="1:11" hidden="1" x14ac:dyDescent="0.3">
      <c r="A120">
        <v>1834</v>
      </c>
      <c r="B120" t="s">
        <v>2120</v>
      </c>
      <c r="C120" t="s">
        <v>2111</v>
      </c>
      <c r="D120" t="s">
        <v>1231</v>
      </c>
      <c r="E120">
        <v>7</v>
      </c>
      <c r="F120">
        <v>43</v>
      </c>
      <c r="G120">
        <v>28</v>
      </c>
      <c r="H120" t="s">
        <v>840</v>
      </c>
      <c r="I120" t="s">
        <v>840</v>
      </c>
      <c r="J120" t="s">
        <v>840</v>
      </c>
      <c r="K120" t="s">
        <v>841</v>
      </c>
    </row>
    <row r="121" spans="1:11" x14ac:dyDescent="0.3">
      <c r="A121">
        <v>1949</v>
      </c>
      <c r="B121" t="s">
        <v>2332</v>
      </c>
      <c r="C121" t="s">
        <v>146</v>
      </c>
      <c r="D121" t="s">
        <v>846</v>
      </c>
      <c r="E121">
        <v>7</v>
      </c>
      <c r="F121">
        <v>46</v>
      </c>
      <c r="G121">
        <v>28</v>
      </c>
      <c r="H121" t="s">
        <v>840</v>
      </c>
      <c r="I121" t="s">
        <v>840</v>
      </c>
      <c r="J121" t="s">
        <v>840</v>
      </c>
      <c r="K121" t="s">
        <v>840</v>
      </c>
    </row>
    <row r="122" spans="1:11" hidden="1" x14ac:dyDescent="0.3">
      <c r="A122">
        <v>1439</v>
      </c>
      <c r="B122" t="s">
        <v>1271</v>
      </c>
      <c r="C122" t="s">
        <v>138</v>
      </c>
      <c r="D122" t="s">
        <v>591</v>
      </c>
      <c r="E122">
        <v>7</v>
      </c>
      <c r="F122">
        <v>19</v>
      </c>
      <c r="G122">
        <v>56</v>
      </c>
      <c r="H122" t="s">
        <v>840</v>
      </c>
      <c r="I122" t="s">
        <v>840</v>
      </c>
      <c r="J122" t="s">
        <v>840</v>
      </c>
      <c r="K122" t="s">
        <v>841</v>
      </c>
    </row>
    <row r="123" spans="1:11" hidden="1" x14ac:dyDescent="0.3">
      <c r="A123">
        <v>1462</v>
      </c>
      <c r="B123" t="s">
        <v>1297</v>
      </c>
      <c r="C123" t="s">
        <v>964</v>
      </c>
      <c r="D123" t="s">
        <v>869</v>
      </c>
      <c r="E123">
        <v>7</v>
      </c>
      <c r="F123">
        <v>19</v>
      </c>
      <c r="G123">
        <v>28</v>
      </c>
      <c r="H123" t="s">
        <v>840</v>
      </c>
      <c r="I123" t="s">
        <v>840</v>
      </c>
      <c r="J123" t="s">
        <v>840</v>
      </c>
      <c r="K123" t="s">
        <v>841</v>
      </c>
    </row>
    <row r="124" spans="1:11" hidden="1" x14ac:dyDescent="0.3">
      <c r="A124">
        <v>1430</v>
      </c>
      <c r="B124" t="s">
        <v>1256</v>
      </c>
      <c r="C124" t="s">
        <v>107</v>
      </c>
      <c r="D124" t="s">
        <v>1257</v>
      </c>
      <c r="E124">
        <v>7</v>
      </c>
      <c r="F124">
        <v>19</v>
      </c>
      <c r="G124">
        <v>56</v>
      </c>
      <c r="H124" t="s">
        <v>840</v>
      </c>
      <c r="I124" t="s">
        <v>840</v>
      </c>
      <c r="J124" t="s">
        <v>840</v>
      </c>
      <c r="K124" t="s">
        <v>841</v>
      </c>
    </row>
    <row r="125" spans="1:11" hidden="1" x14ac:dyDescent="0.3">
      <c r="A125">
        <v>1877</v>
      </c>
      <c r="B125" t="s">
        <v>2229</v>
      </c>
      <c r="C125" t="s">
        <v>2187</v>
      </c>
      <c r="D125" t="s">
        <v>1218</v>
      </c>
      <c r="E125">
        <v>7</v>
      </c>
      <c r="F125">
        <v>44</v>
      </c>
      <c r="G125">
        <v>28</v>
      </c>
      <c r="H125" t="s">
        <v>840</v>
      </c>
      <c r="I125" t="s">
        <v>840</v>
      </c>
      <c r="J125" t="s">
        <v>840</v>
      </c>
      <c r="K125" t="s">
        <v>841</v>
      </c>
    </row>
    <row r="126" spans="1:11" hidden="1" x14ac:dyDescent="0.3">
      <c r="A126">
        <v>1754</v>
      </c>
      <c r="B126" t="s">
        <v>2029</v>
      </c>
      <c r="C126" t="s">
        <v>2015</v>
      </c>
      <c r="D126" t="s">
        <v>2016</v>
      </c>
      <c r="E126">
        <v>7</v>
      </c>
      <c r="F126">
        <v>26</v>
      </c>
      <c r="G126">
        <v>112</v>
      </c>
      <c r="H126" t="s">
        <v>840</v>
      </c>
      <c r="I126" t="s">
        <v>840</v>
      </c>
      <c r="J126" t="s">
        <v>840</v>
      </c>
      <c r="K126" t="s">
        <v>841</v>
      </c>
    </row>
    <row r="127" spans="1:11" hidden="1" x14ac:dyDescent="0.3">
      <c r="A127">
        <v>1788</v>
      </c>
      <c r="B127" t="s">
        <v>2051</v>
      </c>
      <c r="C127" t="s">
        <v>2035</v>
      </c>
      <c r="D127" t="s">
        <v>1230</v>
      </c>
      <c r="E127">
        <v>7</v>
      </c>
      <c r="F127">
        <v>27</v>
      </c>
      <c r="G127">
        <v>28</v>
      </c>
      <c r="H127" t="s">
        <v>840</v>
      </c>
      <c r="I127" t="s">
        <v>840</v>
      </c>
      <c r="J127" t="s">
        <v>840</v>
      </c>
      <c r="K127" t="s">
        <v>841</v>
      </c>
    </row>
    <row r="128" spans="1:11" hidden="1" x14ac:dyDescent="0.3">
      <c r="A128">
        <v>1751</v>
      </c>
      <c r="B128" t="s">
        <v>2012</v>
      </c>
      <c r="C128" t="s">
        <v>1994</v>
      </c>
      <c r="D128" t="s">
        <v>546</v>
      </c>
      <c r="E128">
        <v>7</v>
      </c>
      <c r="F128">
        <v>25</v>
      </c>
      <c r="G128">
        <v>28</v>
      </c>
      <c r="H128" t="s">
        <v>840</v>
      </c>
      <c r="I128" t="s">
        <v>840</v>
      </c>
      <c r="J128" t="s">
        <v>840</v>
      </c>
      <c r="K128" t="s">
        <v>841</v>
      </c>
    </row>
    <row r="129" spans="1:11" hidden="1" x14ac:dyDescent="0.3">
      <c r="A129">
        <v>1446</v>
      </c>
      <c r="B129" t="s">
        <v>1278</v>
      </c>
      <c r="C129" t="s">
        <v>149</v>
      </c>
      <c r="D129" t="s">
        <v>245</v>
      </c>
      <c r="E129">
        <v>7</v>
      </c>
      <c r="F129">
        <v>19</v>
      </c>
      <c r="G129">
        <v>28</v>
      </c>
      <c r="H129" t="s">
        <v>840</v>
      </c>
      <c r="I129" t="s">
        <v>840</v>
      </c>
      <c r="J129" t="s">
        <v>840</v>
      </c>
      <c r="K129" t="s">
        <v>841</v>
      </c>
    </row>
    <row r="130" spans="1:11" x14ac:dyDescent="0.3">
      <c r="A130">
        <v>1952</v>
      </c>
      <c r="B130" t="s">
        <v>2333</v>
      </c>
      <c r="C130" t="s">
        <v>2326</v>
      </c>
      <c r="D130" t="s">
        <v>255</v>
      </c>
      <c r="E130">
        <v>7</v>
      </c>
      <c r="F130">
        <v>46</v>
      </c>
      <c r="G130">
        <v>28</v>
      </c>
      <c r="H130" t="s">
        <v>840</v>
      </c>
      <c r="I130" t="s">
        <v>840</v>
      </c>
      <c r="J130" t="s">
        <v>840</v>
      </c>
      <c r="K130" t="s">
        <v>840</v>
      </c>
    </row>
    <row r="131" spans="1:11" hidden="1" x14ac:dyDescent="0.3">
      <c r="A131">
        <v>1639</v>
      </c>
      <c r="B131" t="s">
        <v>1743</v>
      </c>
      <c r="C131" t="s">
        <v>207</v>
      </c>
      <c r="D131" t="s">
        <v>266</v>
      </c>
      <c r="E131">
        <v>7</v>
      </c>
      <c r="F131">
        <v>22</v>
      </c>
      <c r="G131">
        <v>28</v>
      </c>
      <c r="H131" t="s">
        <v>840</v>
      </c>
      <c r="I131" t="s">
        <v>840</v>
      </c>
      <c r="J131" t="s">
        <v>840</v>
      </c>
      <c r="K131" t="s">
        <v>841</v>
      </c>
    </row>
    <row r="132" spans="1:11" hidden="1" x14ac:dyDescent="0.3">
      <c r="A132">
        <v>1878</v>
      </c>
      <c r="B132" t="s">
        <v>2240</v>
      </c>
      <c r="C132" t="s">
        <v>2236</v>
      </c>
      <c r="D132" t="s">
        <v>2241</v>
      </c>
      <c r="E132">
        <v>7</v>
      </c>
      <c r="F132">
        <v>45</v>
      </c>
      <c r="G132">
        <v>56</v>
      </c>
      <c r="H132" t="s">
        <v>840</v>
      </c>
      <c r="I132" t="s">
        <v>840</v>
      </c>
      <c r="J132" t="s">
        <v>840</v>
      </c>
      <c r="K132" t="s">
        <v>841</v>
      </c>
    </row>
    <row r="133" spans="1:11" hidden="1" x14ac:dyDescent="0.3">
      <c r="A133">
        <v>1470</v>
      </c>
      <c r="B133" t="s">
        <v>1344</v>
      </c>
      <c r="C133" t="s">
        <v>874</v>
      </c>
      <c r="D133" t="s">
        <v>372</v>
      </c>
      <c r="E133">
        <v>25</v>
      </c>
      <c r="F133">
        <v>20</v>
      </c>
      <c r="G133">
        <v>28</v>
      </c>
      <c r="H133" t="s">
        <v>840</v>
      </c>
      <c r="I133" t="s">
        <v>840</v>
      </c>
      <c r="J133" t="s">
        <v>840</v>
      </c>
      <c r="K133" t="s">
        <v>841</v>
      </c>
    </row>
    <row r="145" spans="10:10" x14ac:dyDescent="0.3">
      <c r="J145" t="s">
        <v>2110</v>
      </c>
    </row>
  </sheetData>
  <phoneticPr fontId="1" type="noConversion"/>
  <conditionalFormatting sqref="C1:C1048576">
    <cfRule type="duplicateValues" dxfId="17" priority="2"/>
  </conditionalFormatting>
  <conditionalFormatting sqref="D1:D1048576">
    <cfRule type="duplicateValues" dxfId="16" priority="3"/>
  </conditionalFormatting>
  <conditionalFormatting sqref="K1:K1048576">
    <cfRule type="cellIs" dxfId="15" priority="1" operator="equal">
      <formula>"passed"</formula>
    </cfRule>
  </conditionalFormatting>
  <pageMargins left="0.7" right="0.7" top="0.75" bottom="0.75" header="0.3" footer="0.3"/>
  <pageSetup paperSize="9" scale="86" fitToHeight="0" orientation="landscape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tabColor rgb="FFFFFF00"/>
    <pageSetUpPr fitToPage="1"/>
  </sheetPr>
  <dimension ref="A1:K131"/>
  <sheetViews>
    <sheetView zoomScaleNormal="100" workbookViewId="0">
      <selection activeCell="L13" sqref="L13"/>
    </sheetView>
  </sheetViews>
  <sheetFormatPr defaultColWidth="42.21875" defaultRowHeight="14.4" x14ac:dyDescent="0.3"/>
  <cols>
    <col min="1" max="1" width="14.109375" bestFit="1" customWidth="1"/>
    <col min="2" max="2" width="19.44140625" bestFit="1" customWidth="1"/>
    <col min="3" max="3" width="14.664062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1677</v>
      </c>
      <c r="B2" t="s">
        <v>1915</v>
      </c>
      <c r="C2" s="154" t="s">
        <v>123</v>
      </c>
      <c r="D2" t="s">
        <v>1265</v>
      </c>
      <c r="E2">
        <v>7</v>
      </c>
      <c r="F2">
        <v>30</v>
      </c>
      <c r="G2">
        <v>17</v>
      </c>
      <c r="H2" t="s">
        <v>840</v>
      </c>
      <c r="I2" t="s">
        <v>840</v>
      </c>
      <c r="J2" t="s">
        <v>840</v>
      </c>
      <c r="K2" t="s">
        <v>841</v>
      </c>
    </row>
    <row r="3" spans="1:11" x14ac:dyDescent="0.3">
      <c r="A3">
        <v>1854</v>
      </c>
      <c r="B3" t="s">
        <v>2127</v>
      </c>
      <c r="C3" s="154" t="s">
        <v>1962</v>
      </c>
      <c r="D3" t="s">
        <v>1219</v>
      </c>
      <c r="E3">
        <v>7</v>
      </c>
      <c r="F3">
        <v>34</v>
      </c>
      <c r="G3">
        <v>34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1859</v>
      </c>
      <c r="B4" t="s">
        <v>2128</v>
      </c>
      <c r="C4" s="154" t="s">
        <v>2020</v>
      </c>
      <c r="D4" t="s">
        <v>842</v>
      </c>
      <c r="E4">
        <v>7</v>
      </c>
      <c r="F4">
        <v>34</v>
      </c>
      <c r="G4">
        <v>17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2076</v>
      </c>
      <c r="B5" t="s">
        <v>2622</v>
      </c>
      <c r="C5" s="154" t="s">
        <v>2419</v>
      </c>
      <c r="D5" t="s">
        <v>2433</v>
      </c>
      <c r="E5">
        <v>7</v>
      </c>
      <c r="F5">
        <v>37</v>
      </c>
      <c r="G5">
        <v>17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1868</v>
      </c>
      <c r="B6" t="s">
        <v>2130</v>
      </c>
      <c r="C6" s="154" t="s">
        <v>2057</v>
      </c>
      <c r="D6" t="s">
        <v>217</v>
      </c>
      <c r="E6">
        <v>7</v>
      </c>
      <c r="F6">
        <v>34</v>
      </c>
      <c r="G6">
        <v>51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1851</v>
      </c>
      <c r="B7" t="s">
        <v>2131</v>
      </c>
      <c r="C7" s="154" t="s">
        <v>1895</v>
      </c>
      <c r="D7" t="s">
        <v>247</v>
      </c>
      <c r="E7">
        <v>7</v>
      </c>
      <c r="F7">
        <v>34</v>
      </c>
      <c r="G7">
        <v>34</v>
      </c>
      <c r="H7" t="s">
        <v>840</v>
      </c>
      <c r="I7" t="s">
        <v>840</v>
      </c>
      <c r="J7" t="s">
        <v>840</v>
      </c>
      <c r="K7" t="s">
        <v>841</v>
      </c>
    </row>
    <row r="8" spans="1:11" x14ac:dyDescent="0.3">
      <c r="A8">
        <v>1704</v>
      </c>
      <c r="B8" t="s">
        <v>1942</v>
      </c>
      <c r="C8" s="154" t="s">
        <v>949</v>
      </c>
      <c r="D8" t="s">
        <v>1769</v>
      </c>
      <c r="E8">
        <v>7</v>
      </c>
      <c r="F8">
        <v>30</v>
      </c>
      <c r="G8">
        <v>17</v>
      </c>
      <c r="H8" t="s">
        <v>840</v>
      </c>
      <c r="I8" t="s">
        <v>840</v>
      </c>
      <c r="J8" t="s">
        <v>840</v>
      </c>
      <c r="K8" t="s">
        <v>841</v>
      </c>
    </row>
    <row r="9" spans="1:11" x14ac:dyDescent="0.3">
      <c r="A9">
        <v>1846</v>
      </c>
      <c r="B9" t="s">
        <v>2132</v>
      </c>
      <c r="C9" s="154" t="s">
        <v>1861</v>
      </c>
      <c r="D9" t="s">
        <v>1203</v>
      </c>
      <c r="E9">
        <v>7</v>
      </c>
      <c r="F9">
        <v>34</v>
      </c>
      <c r="G9">
        <v>68</v>
      </c>
      <c r="H9" t="s">
        <v>840</v>
      </c>
      <c r="I9" t="s">
        <v>840</v>
      </c>
      <c r="J9" t="s">
        <v>840</v>
      </c>
      <c r="K9" t="s">
        <v>841</v>
      </c>
    </row>
    <row r="10" spans="1:11" x14ac:dyDescent="0.3">
      <c r="A10">
        <v>1688</v>
      </c>
      <c r="B10" t="s">
        <v>1926</v>
      </c>
      <c r="C10" s="154" t="s">
        <v>145</v>
      </c>
      <c r="D10" t="s">
        <v>845</v>
      </c>
      <c r="E10">
        <v>7</v>
      </c>
      <c r="F10">
        <v>30</v>
      </c>
      <c r="G10">
        <v>17</v>
      </c>
      <c r="H10" t="s">
        <v>840</v>
      </c>
      <c r="I10" t="s">
        <v>840</v>
      </c>
      <c r="J10" t="s">
        <v>840</v>
      </c>
      <c r="K10" t="s">
        <v>840</v>
      </c>
    </row>
    <row r="11" spans="1:11" x14ac:dyDescent="0.3">
      <c r="A11">
        <v>1682</v>
      </c>
      <c r="B11" t="s">
        <v>1920</v>
      </c>
      <c r="C11" s="154" t="s">
        <v>138</v>
      </c>
      <c r="D11" t="s">
        <v>591</v>
      </c>
      <c r="E11">
        <v>7</v>
      </c>
      <c r="F11">
        <v>30</v>
      </c>
      <c r="G11">
        <v>34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1664</v>
      </c>
      <c r="B12" t="s">
        <v>1902</v>
      </c>
      <c r="C12" s="154" t="s">
        <v>87</v>
      </c>
      <c r="D12" t="s">
        <v>851</v>
      </c>
      <c r="E12">
        <v>7</v>
      </c>
      <c r="F12">
        <v>30</v>
      </c>
      <c r="G12">
        <v>17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1687</v>
      </c>
      <c r="B13" t="s">
        <v>1925</v>
      </c>
      <c r="C13" s="154" t="s">
        <v>144</v>
      </c>
      <c r="D13" t="s">
        <v>242</v>
      </c>
      <c r="E13">
        <v>7</v>
      </c>
      <c r="F13">
        <v>30</v>
      </c>
      <c r="G13">
        <v>17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1724</v>
      </c>
      <c r="B14" t="s">
        <v>1967</v>
      </c>
      <c r="C14" s="154" t="s">
        <v>177</v>
      </c>
      <c r="D14" t="s">
        <v>372</v>
      </c>
      <c r="E14">
        <v>25</v>
      </c>
      <c r="F14">
        <v>32</v>
      </c>
      <c r="G14">
        <v>85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1728</v>
      </c>
      <c r="B15" t="s">
        <v>1971</v>
      </c>
      <c r="C15" s="154" t="s">
        <v>1331</v>
      </c>
      <c r="D15" t="s">
        <v>396</v>
      </c>
      <c r="E15">
        <v>25</v>
      </c>
      <c r="F15">
        <v>32</v>
      </c>
      <c r="G15">
        <v>221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1860</v>
      </c>
      <c r="B16" t="s">
        <v>2129</v>
      </c>
      <c r="C16" s="154" t="s">
        <v>2343</v>
      </c>
      <c r="D16" t="s">
        <v>218</v>
      </c>
      <c r="E16">
        <v>7</v>
      </c>
      <c r="F16">
        <v>34</v>
      </c>
      <c r="G16">
        <v>17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1738</v>
      </c>
      <c r="B17" t="s">
        <v>1981</v>
      </c>
      <c r="C17" s="154" t="s">
        <v>1003</v>
      </c>
      <c r="D17" t="s">
        <v>388</v>
      </c>
      <c r="E17">
        <v>25</v>
      </c>
      <c r="F17">
        <v>31</v>
      </c>
      <c r="G17">
        <v>17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1727</v>
      </c>
      <c r="B18" t="s">
        <v>1970</v>
      </c>
      <c r="C18" s="154" t="s">
        <v>1349</v>
      </c>
      <c r="D18" t="s">
        <v>394</v>
      </c>
      <c r="E18">
        <v>25</v>
      </c>
      <c r="F18">
        <v>32</v>
      </c>
      <c r="G18">
        <v>34</v>
      </c>
      <c r="H18" t="s">
        <v>840</v>
      </c>
      <c r="I18" t="s">
        <v>840</v>
      </c>
      <c r="J18" t="s">
        <v>840</v>
      </c>
      <c r="K18" t="s">
        <v>840</v>
      </c>
    </row>
    <row r="19" spans="1:11" x14ac:dyDescent="0.3">
      <c r="A19">
        <v>1718</v>
      </c>
      <c r="B19" t="s">
        <v>1956</v>
      </c>
      <c r="C19" s="154" t="s">
        <v>1751</v>
      </c>
      <c r="D19" t="s">
        <v>1212</v>
      </c>
      <c r="E19">
        <v>7</v>
      </c>
      <c r="F19">
        <v>30</v>
      </c>
      <c r="G19">
        <v>17</v>
      </c>
      <c r="H19" t="s">
        <v>840</v>
      </c>
      <c r="I19" t="s">
        <v>840</v>
      </c>
      <c r="J19" t="s">
        <v>840</v>
      </c>
      <c r="K19" t="s">
        <v>841</v>
      </c>
    </row>
    <row r="20" spans="1:11" x14ac:dyDescent="0.3">
      <c r="A20">
        <v>2077</v>
      </c>
      <c r="B20" t="s">
        <v>2623</v>
      </c>
      <c r="C20" s="154" t="s">
        <v>2425</v>
      </c>
      <c r="D20" t="s">
        <v>2433</v>
      </c>
      <c r="E20">
        <v>7</v>
      </c>
      <c r="F20">
        <v>37</v>
      </c>
      <c r="G20">
        <v>17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1842</v>
      </c>
      <c r="B21" t="s">
        <v>2133</v>
      </c>
      <c r="C21" s="154" t="s">
        <v>167</v>
      </c>
      <c r="D21" t="s">
        <v>593</v>
      </c>
      <c r="E21">
        <v>7</v>
      </c>
      <c r="F21">
        <v>34</v>
      </c>
      <c r="G21">
        <v>17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1662</v>
      </c>
      <c r="B22" t="s">
        <v>1900</v>
      </c>
      <c r="C22" s="154" t="s">
        <v>84</v>
      </c>
      <c r="D22" t="s">
        <v>1251</v>
      </c>
      <c r="E22">
        <v>7</v>
      </c>
      <c r="F22">
        <v>30</v>
      </c>
      <c r="G22">
        <v>51</v>
      </c>
      <c r="H22" t="s">
        <v>840</v>
      </c>
      <c r="I22" t="s">
        <v>840</v>
      </c>
      <c r="J22" t="s">
        <v>840</v>
      </c>
      <c r="K22" t="s">
        <v>841</v>
      </c>
    </row>
    <row r="23" spans="1:11" x14ac:dyDescent="0.3">
      <c r="A23">
        <v>1837</v>
      </c>
      <c r="B23" t="s">
        <v>2134</v>
      </c>
      <c r="C23" s="154" t="s">
        <v>745</v>
      </c>
      <c r="D23" t="s">
        <v>1217</v>
      </c>
      <c r="E23">
        <v>7</v>
      </c>
      <c r="F23">
        <v>34</v>
      </c>
      <c r="G23">
        <v>17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1839</v>
      </c>
      <c r="B24" t="s">
        <v>2135</v>
      </c>
      <c r="C24" s="154" t="s">
        <v>136</v>
      </c>
      <c r="D24" t="s">
        <v>236</v>
      </c>
      <c r="E24">
        <v>7</v>
      </c>
      <c r="F24">
        <v>34</v>
      </c>
      <c r="G24">
        <v>17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1719</v>
      </c>
      <c r="B25" t="s">
        <v>1957</v>
      </c>
      <c r="C25" s="154" t="s">
        <v>1759</v>
      </c>
      <c r="D25" t="s">
        <v>520</v>
      </c>
      <c r="E25">
        <v>7</v>
      </c>
      <c r="F25">
        <v>30</v>
      </c>
      <c r="G25">
        <v>34</v>
      </c>
      <c r="H25" t="s">
        <v>840</v>
      </c>
      <c r="I25" t="s">
        <v>840</v>
      </c>
      <c r="J25" t="s">
        <v>840</v>
      </c>
      <c r="K25" t="s">
        <v>841</v>
      </c>
    </row>
    <row r="26" spans="1:11" x14ac:dyDescent="0.3">
      <c r="A26">
        <v>1845</v>
      </c>
      <c r="B26" t="s">
        <v>2136</v>
      </c>
      <c r="C26" s="154" t="s">
        <v>811</v>
      </c>
      <c r="D26" t="s">
        <v>812</v>
      </c>
      <c r="E26">
        <v>7</v>
      </c>
      <c r="F26">
        <v>34</v>
      </c>
      <c r="G26">
        <v>17</v>
      </c>
      <c r="H26" t="s">
        <v>840</v>
      </c>
      <c r="I26" t="s">
        <v>840</v>
      </c>
      <c r="J26" t="s">
        <v>840</v>
      </c>
      <c r="K26" t="s">
        <v>840</v>
      </c>
    </row>
    <row r="27" spans="1:11" x14ac:dyDescent="0.3">
      <c r="A27">
        <v>1850</v>
      </c>
      <c r="B27" t="s">
        <v>2137</v>
      </c>
      <c r="C27" s="154" t="s">
        <v>1894</v>
      </c>
      <c r="D27" t="s">
        <v>248</v>
      </c>
      <c r="E27">
        <v>7</v>
      </c>
      <c r="F27">
        <v>34</v>
      </c>
      <c r="G27">
        <v>102</v>
      </c>
      <c r="H27" t="s">
        <v>840</v>
      </c>
      <c r="I27" t="s">
        <v>840</v>
      </c>
      <c r="J27" t="s">
        <v>840</v>
      </c>
      <c r="K27" t="s">
        <v>841</v>
      </c>
    </row>
    <row r="28" spans="1:11" x14ac:dyDescent="0.3">
      <c r="A28">
        <v>1699</v>
      </c>
      <c r="B28" t="s">
        <v>1937</v>
      </c>
      <c r="C28" s="154" t="s">
        <v>203</v>
      </c>
      <c r="D28" t="s">
        <v>1733</v>
      </c>
      <c r="E28">
        <v>7</v>
      </c>
      <c r="F28">
        <v>30</v>
      </c>
      <c r="G28">
        <v>17</v>
      </c>
      <c r="H28" t="s">
        <v>840</v>
      </c>
      <c r="I28" t="s">
        <v>840</v>
      </c>
      <c r="J28" t="s">
        <v>840</v>
      </c>
      <c r="K28" t="s">
        <v>840</v>
      </c>
    </row>
    <row r="29" spans="1:11" x14ac:dyDescent="0.3">
      <c r="A29">
        <v>1740</v>
      </c>
      <c r="B29" t="s">
        <v>1983</v>
      </c>
      <c r="C29" s="154" t="s">
        <v>953</v>
      </c>
      <c r="D29" t="s">
        <v>396</v>
      </c>
      <c r="E29">
        <v>25</v>
      </c>
      <c r="F29">
        <v>31</v>
      </c>
      <c r="G29">
        <v>51</v>
      </c>
      <c r="H29" t="s">
        <v>840</v>
      </c>
      <c r="I29" t="s">
        <v>840</v>
      </c>
      <c r="J29" t="s">
        <v>840</v>
      </c>
      <c r="K29" t="s">
        <v>840</v>
      </c>
    </row>
    <row r="30" spans="1:11" x14ac:dyDescent="0.3">
      <c r="A30">
        <v>1737</v>
      </c>
      <c r="B30" t="s">
        <v>1980</v>
      </c>
      <c r="C30" s="154" t="s">
        <v>945</v>
      </c>
      <c r="D30" t="s">
        <v>383</v>
      </c>
      <c r="E30">
        <v>25</v>
      </c>
      <c r="F30">
        <v>31</v>
      </c>
      <c r="G30">
        <v>17</v>
      </c>
      <c r="H30" t="s">
        <v>840</v>
      </c>
      <c r="I30" t="s">
        <v>840</v>
      </c>
      <c r="J30" t="s">
        <v>840</v>
      </c>
      <c r="K30" t="s">
        <v>840</v>
      </c>
    </row>
    <row r="31" spans="1:11" x14ac:dyDescent="0.3">
      <c r="A31">
        <v>1703</v>
      </c>
      <c r="B31" t="s">
        <v>1941</v>
      </c>
      <c r="C31" s="154" t="s">
        <v>773</v>
      </c>
      <c r="D31" t="s">
        <v>1707</v>
      </c>
      <c r="E31">
        <v>7</v>
      </c>
      <c r="F31">
        <v>30</v>
      </c>
      <c r="G31">
        <v>17</v>
      </c>
      <c r="H31" t="s">
        <v>840</v>
      </c>
      <c r="I31" t="s">
        <v>840</v>
      </c>
      <c r="J31" t="s">
        <v>840</v>
      </c>
      <c r="K31" t="s">
        <v>841</v>
      </c>
    </row>
    <row r="32" spans="1:11" x14ac:dyDescent="0.3">
      <c r="A32">
        <v>1710</v>
      </c>
      <c r="B32" t="s">
        <v>1948</v>
      </c>
      <c r="C32" s="154" t="s">
        <v>986</v>
      </c>
      <c r="D32" t="s">
        <v>1709</v>
      </c>
      <c r="E32">
        <v>7</v>
      </c>
      <c r="F32">
        <v>30</v>
      </c>
      <c r="G32">
        <v>17</v>
      </c>
      <c r="H32" t="s">
        <v>840</v>
      </c>
      <c r="I32" t="s">
        <v>840</v>
      </c>
      <c r="J32" t="s">
        <v>840</v>
      </c>
      <c r="K32" t="s">
        <v>841</v>
      </c>
    </row>
    <row r="33" spans="1:11" x14ac:dyDescent="0.3">
      <c r="A33">
        <v>1686</v>
      </c>
      <c r="B33" t="s">
        <v>1924</v>
      </c>
      <c r="C33" s="154" t="s">
        <v>143</v>
      </c>
      <c r="D33" t="s">
        <v>241</v>
      </c>
      <c r="E33">
        <v>7</v>
      </c>
      <c r="F33">
        <v>30</v>
      </c>
      <c r="G33">
        <v>34</v>
      </c>
      <c r="H33" t="s">
        <v>840</v>
      </c>
      <c r="I33" t="s">
        <v>840</v>
      </c>
      <c r="J33" t="s">
        <v>840</v>
      </c>
      <c r="K33" t="s">
        <v>840</v>
      </c>
    </row>
    <row r="34" spans="1:11" x14ac:dyDescent="0.3">
      <c r="A34">
        <v>1715</v>
      </c>
      <c r="B34" t="s">
        <v>1953</v>
      </c>
      <c r="C34" s="154" t="s">
        <v>1750</v>
      </c>
      <c r="D34" t="s">
        <v>1767</v>
      </c>
      <c r="E34">
        <v>7</v>
      </c>
      <c r="F34">
        <v>30</v>
      </c>
      <c r="G34">
        <v>17</v>
      </c>
      <c r="H34" t="s">
        <v>840</v>
      </c>
      <c r="I34" t="s">
        <v>840</v>
      </c>
      <c r="J34" t="s">
        <v>840</v>
      </c>
      <c r="K34" t="s">
        <v>840</v>
      </c>
    </row>
    <row r="35" spans="1:11" x14ac:dyDescent="0.3">
      <c r="A35">
        <v>1843</v>
      </c>
      <c r="B35" t="s">
        <v>2138</v>
      </c>
      <c r="C35" s="154" t="s">
        <v>168</v>
      </c>
      <c r="D35" t="s">
        <v>259</v>
      </c>
      <c r="E35">
        <v>7</v>
      </c>
      <c r="F35">
        <v>34</v>
      </c>
      <c r="G35">
        <v>17</v>
      </c>
      <c r="H35" t="s">
        <v>840</v>
      </c>
      <c r="I35" t="s">
        <v>840</v>
      </c>
      <c r="J35" t="s">
        <v>840</v>
      </c>
      <c r="K35" t="s">
        <v>840</v>
      </c>
    </row>
    <row r="36" spans="1:11" x14ac:dyDescent="0.3">
      <c r="A36">
        <v>1670</v>
      </c>
      <c r="B36" t="s">
        <v>1908</v>
      </c>
      <c r="C36" s="154" t="s">
        <v>107</v>
      </c>
      <c r="D36" t="s">
        <v>1257</v>
      </c>
      <c r="E36">
        <v>7</v>
      </c>
      <c r="F36">
        <v>30</v>
      </c>
      <c r="G36">
        <v>34</v>
      </c>
      <c r="H36" t="s">
        <v>840</v>
      </c>
      <c r="I36" t="s">
        <v>840</v>
      </c>
      <c r="J36" t="s">
        <v>840</v>
      </c>
      <c r="K36" t="s">
        <v>840</v>
      </c>
    </row>
    <row r="37" spans="1:11" x14ac:dyDescent="0.3">
      <c r="A37">
        <v>1700</v>
      </c>
      <c r="B37" t="s">
        <v>1938</v>
      </c>
      <c r="C37" s="154" t="s">
        <v>288</v>
      </c>
      <c r="D37" t="s">
        <v>598</v>
      </c>
      <c r="E37">
        <v>7</v>
      </c>
      <c r="F37">
        <v>30</v>
      </c>
      <c r="G37">
        <v>17</v>
      </c>
      <c r="H37" t="s">
        <v>840</v>
      </c>
      <c r="I37" t="s">
        <v>840</v>
      </c>
      <c r="J37" t="s">
        <v>840</v>
      </c>
      <c r="K37" t="s">
        <v>841</v>
      </c>
    </row>
    <row r="38" spans="1:11" x14ac:dyDescent="0.3">
      <c r="A38">
        <v>1869</v>
      </c>
      <c r="B38" t="s">
        <v>2139</v>
      </c>
      <c r="C38" s="154" t="s">
        <v>2066</v>
      </c>
      <c r="D38" t="s">
        <v>250</v>
      </c>
      <c r="E38">
        <v>7</v>
      </c>
      <c r="F38">
        <v>34</v>
      </c>
      <c r="G38">
        <v>68</v>
      </c>
      <c r="H38" t="s">
        <v>840</v>
      </c>
      <c r="I38" t="s">
        <v>840</v>
      </c>
      <c r="J38" t="s">
        <v>840</v>
      </c>
      <c r="K38" t="s">
        <v>840</v>
      </c>
    </row>
    <row r="39" spans="1:11" x14ac:dyDescent="0.3">
      <c r="A39">
        <v>1695</v>
      </c>
      <c r="B39" t="s">
        <v>1933</v>
      </c>
      <c r="C39" s="154" t="s">
        <v>161</v>
      </c>
      <c r="D39" t="s">
        <v>595</v>
      </c>
      <c r="E39">
        <v>7</v>
      </c>
      <c r="F39">
        <v>30</v>
      </c>
      <c r="G39">
        <v>17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1870</v>
      </c>
      <c r="B40" t="s">
        <v>2140</v>
      </c>
      <c r="C40" s="154" t="s">
        <v>2111</v>
      </c>
      <c r="D40" t="s">
        <v>1231</v>
      </c>
      <c r="E40">
        <v>7</v>
      </c>
      <c r="F40">
        <v>34</v>
      </c>
      <c r="G40">
        <v>17</v>
      </c>
      <c r="H40" t="s">
        <v>840</v>
      </c>
      <c r="I40" t="s">
        <v>840</v>
      </c>
      <c r="J40" t="s">
        <v>840</v>
      </c>
      <c r="K40" t="s">
        <v>840</v>
      </c>
    </row>
    <row r="41" spans="1:11" x14ac:dyDescent="0.3">
      <c r="A41">
        <v>1840</v>
      </c>
      <c r="B41" t="s">
        <v>2141</v>
      </c>
      <c r="C41" s="154" t="s">
        <v>137</v>
      </c>
      <c r="D41" t="s">
        <v>1232</v>
      </c>
      <c r="E41">
        <v>7</v>
      </c>
      <c r="F41">
        <v>34</v>
      </c>
      <c r="G41">
        <v>153</v>
      </c>
      <c r="H41" t="s">
        <v>840</v>
      </c>
      <c r="I41" t="s">
        <v>840</v>
      </c>
      <c r="J41" t="s">
        <v>840</v>
      </c>
      <c r="K41" t="s">
        <v>841</v>
      </c>
    </row>
    <row r="42" spans="1:11" x14ac:dyDescent="0.3">
      <c r="A42">
        <v>1866</v>
      </c>
      <c r="B42" t="s">
        <v>2142</v>
      </c>
      <c r="C42" s="154" t="s">
        <v>2053</v>
      </c>
      <c r="D42" t="s">
        <v>2060</v>
      </c>
      <c r="E42">
        <v>7</v>
      </c>
      <c r="F42">
        <v>34</v>
      </c>
      <c r="G42">
        <v>68</v>
      </c>
      <c r="H42" t="s">
        <v>840</v>
      </c>
      <c r="I42" t="s">
        <v>840</v>
      </c>
      <c r="J42" t="s">
        <v>840</v>
      </c>
      <c r="K42" t="s">
        <v>840</v>
      </c>
    </row>
    <row r="43" spans="1:11" x14ac:dyDescent="0.3">
      <c r="A43">
        <v>1954</v>
      </c>
      <c r="B43" t="s">
        <v>2334</v>
      </c>
      <c r="C43" s="154" t="s">
        <v>2325</v>
      </c>
      <c r="D43" t="s">
        <v>1234</v>
      </c>
      <c r="E43">
        <v>7</v>
      </c>
      <c r="F43">
        <v>36</v>
      </c>
      <c r="G43">
        <v>17</v>
      </c>
      <c r="H43" t="s">
        <v>840</v>
      </c>
      <c r="I43" t="s">
        <v>840</v>
      </c>
      <c r="J43" t="s">
        <v>840</v>
      </c>
      <c r="K43" t="s">
        <v>841</v>
      </c>
    </row>
    <row r="44" spans="1:11" x14ac:dyDescent="0.3">
      <c r="A44">
        <v>1881</v>
      </c>
      <c r="B44" t="s">
        <v>2242</v>
      </c>
      <c r="C44" s="154" t="s">
        <v>2187</v>
      </c>
      <c r="D44" t="s">
        <v>1218</v>
      </c>
      <c r="E44">
        <v>7</v>
      </c>
      <c r="F44">
        <v>35</v>
      </c>
      <c r="G44">
        <v>17</v>
      </c>
      <c r="H44" t="s">
        <v>840</v>
      </c>
      <c r="I44" t="s">
        <v>840</v>
      </c>
      <c r="J44" t="s">
        <v>840</v>
      </c>
      <c r="K44" t="s">
        <v>840</v>
      </c>
    </row>
    <row r="45" spans="1:11" x14ac:dyDescent="0.3">
      <c r="A45">
        <v>1675</v>
      </c>
      <c r="B45" t="s">
        <v>1913</v>
      </c>
      <c r="C45" s="154" t="s">
        <v>121</v>
      </c>
      <c r="D45" t="s">
        <v>1713</v>
      </c>
      <c r="E45">
        <v>7</v>
      </c>
      <c r="F45">
        <v>30</v>
      </c>
      <c r="G45">
        <v>17</v>
      </c>
      <c r="H45" t="s">
        <v>840</v>
      </c>
      <c r="I45" t="s">
        <v>840</v>
      </c>
      <c r="J45" t="s">
        <v>840</v>
      </c>
      <c r="K45" t="s">
        <v>841</v>
      </c>
    </row>
    <row r="46" spans="1:11" x14ac:dyDescent="0.3">
      <c r="A46">
        <v>1856</v>
      </c>
      <c r="B46" t="s">
        <v>2157</v>
      </c>
      <c r="C46" s="154" t="s">
        <v>1998</v>
      </c>
      <c r="D46" t="s">
        <v>2598</v>
      </c>
      <c r="E46">
        <v>7</v>
      </c>
      <c r="F46">
        <v>34</v>
      </c>
      <c r="G46">
        <v>17</v>
      </c>
      <c r="H46" t="s">
        <v>840</v>
      </c>
      <c r="I46" t="s">
        <v>840</v>
      </c>
      <c r="J46" t="s">
        <v>840</v>
      </c>
      <c r="K46" t="s">
        <v>840</v>
      </c>
    </row>
    <row r="47" spans="1:11" x14ac:dyDescent="0.3">
      <c r="A47">
        <v>1708</v>
      </c>
      <c r="B47" t="s">
        <v>1946</v>
      </c>
      <c r="C47" s="154" t="s">
        <v>855</v>
      </c>
      <c r="D47" t="s">
        <v>602</v>
      </c>
      <c r="E47">
        <v>7</v>
      </c>
      <c r="F47">
        <v>30</v>
      </c>
      <c r="G47">
        <v>17</v>
      </c>
      <c r="H47" t="s">
        <v>840</v>
      </c>
      <c r="I47" t="s">
        <v>840</v>
      </c>
      <c r="J47" t="s">
        <v>840</v>
      </c>
      <c r="K47" t="s">
        <v>840</v>
      </c>
    </row>
    <row r="48" spans="1:11" x14ac:dyDescent="0.3">
      <c r="A48">
        <v>1665</v>
      </c>
      <c r="B48" t="s">
        <v>1903</v>
      </c>
      <c r="C48" s="154" t="s">
        <v>90</v>
      </c>
      <c r="D48" t="s">
        <v>317</v>
      </c>
      <c r="E48">
        <v>7</v>
      </c>
      <c r="F48">
        <v>30</v>
      </c>
      <c r="G48">
        <v>17</v>
      </c>
      <c r="H48" t="s">
        <v>840</v>
      </c>
      <c r="I48" t="s">
        <v>840</v>
      </c>
      <c r="J48" t="s">
        <v>840</v>
      </c>
      <c r="K48" t="s">
        <v>841</v>
      </c>
    </row>
    <row r="49" spans="1:11" x14ac:dyDescent="0.3">
      <c r="A49">
        <v>1848</v>
      </c>
      <c r="B49" t="s">
        <v>2143</v>
      </c>
      <c r="C49" s="154" t="s">
        <v>1997</v>
      </c>
      <c r="D49" t="s">
        <v>935</v>
      </c>
      <c r="E49">
        <v>7</v>
      </c>
      <c r="F49">
        <v>34</v>
      </c>
      <c r="G49">
        <v>17</v>
      </c>
      <c r="H49" t="s">
        <v>840</v>
      </c>
      <c r="I49" t="s">
        <v>840</v>
      </c>
      <c r="J49" t="s">
        <v>840</v>
      </c>
      <c r="K49" t="s">
        <v>840</v>
      </c>
    </row>
    <row r="50" spans="1:11" x14ac:dyDescent="0.3">
      <c r="A50">
        <v>1867</v>
      </c>
      <c r="B50" t="s">
        <v>2144</v>
      </c>
      <c r="C50" s="154" t="s">
        <v>2054</v>
      </c>
      <c r="D50" t="s">
        <v>2062</v>
      </c>
      <c r="E50">
        <v>7</v>
      </c>
      <c r="F50">
        <v>34</v>
      </c>
      <c r="G50">
        <v>17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1858</v>
      </c>
      <c r="B51" t="s">
        <v>2145</v>
      </c>
      <c r="C51" s="154" t="s">
        <v>2019</v>
      </c>
      <c r="D51" t="s">
        <v>224</v>
      </c>
      <c r="E51">
        <v>7</v>
      </c>
      <c r="F51">
        <v>34</v>
      </c>
      <c r="G51">
        <v>17</v>
      </c>
      <c r="H51" t="s">
        <v>840</v>
      </c>
      <c r="I51" t="s">
        <v>840</v>
      </c>
      <c r="J51" t="s">
        <v>840</v>
      </c>
      <c r="K51" t="s">
        <v>840</v>
      </c>
    </row>
    <row r="52" spans="1:11" x14ac:dyDescent="0.3">
      <c r="A52">
        <v>1864</v>
      </c>
      <c r="B52" t="s">
        <v>2146</v>
      </c>
      <c r="C52" s="154" t="s">
        <v>2040</v>
      </c>
      <c r="D52" t="s">
        <v>214</v>
      </c>
      <c r="E52">
        <v>7</v>
      </c>
      <c r="F52">
        <v>34</v>
      </c>
      <c r="G52">
        <v>17</v>
      </c>
      <c r="H52" t="s">
        <v>840</v>
      </c>
      <c r="I52" t="s">
        <v>840</v>
      </c>
      <c r="J52" t="s">
        <v>840</v>
      </c>
      <c r="K52" t="s">
        <v>840</v>
      </c>
    </row>
    <row r="53" spans="1:11" x14ac:dyDescent="0.3">
      <c r="A53">
        <v>1709</v>
      </c>
      <c r="B53" t="s">
        <v>1947</v>
      </c>
      <c r="C53" s="154" t="s">
        <v>856</v>
      </c>
      <c r="D53" t="s">
        <v>1284</v>
      </c>
      <c r="E53">
        <v>7</v>
      </c>
      <c r="F53">
        <v>30</v>
      </c>
      <c r="G53">
        <v>17</v>
      </c>
      <c r="H53" t="s">
        <v>840</v>
      </c>
      <c r="I53" t="s">
        <v>840</v>
      </c>
      <c r="J53" t="s">
        <v>840</v>
      </c>
      <c r="K53" t="s">
        <v>840</v>
      </c>
    </row>
    <row r="54" spans="1:11" x14ac:dyDescent="0.3">
      <c r="A54">
        <v>1697</v>
      </c>
      <c r="B54" t="s">
        <v>1935</v>
      </c>
      <c r="C54" s="154" t="s">
        <v>170</v>
      </c>
      <c r="D54" t="s">
        <v>260</v>
      </c>
      <c r="E54">
        <v>7</v>
      </c>
      <c r="F54">
        <v>30</v>
      </c>
      <c r="G54">
        <v>17</v>
      </c>
      <c r="H54" t="s">
        <v>840</v>
      </c>
      <c r="I54" t="s">
        <v>840</v>
      </c>
      <c r="J54" t="s">
        <v>840</v>
      </c>
      <c r="K54" t="s">
        <v>841</v>
      </c>
    </row>
    <row r="55" spans="1:11" x14ac:dyDescent="0.3">
      <c r="A55">
        <v>1733</v>
      </c>
      <c r="B55" t="s">
        <v>1976</v>
      </c>
      <c r="C55" s="154" t="s">
        <v>981</v>
      </c>
      <c r="D55" t="s">
        <v>1339</v>
      </c>
      <c r="E55">
        <v>25</v>
      </c>
      <c r="F55">
        <v>31</v>
      </c>
      <c r="G55">
        <v>34</v>
      </c>
      <c r="H55" t="s">
        <v>840</v>
      </c>
      <c r="I55" t="s">
        <v>840</v>
      </c>
      <c r="J55" t="s">
        <v>840</v>
      </c>
      <c r="K55" t="s">
        <v>840</v>
      </c>
    </row>
    <row r="56" spans="1:11" x14ac:dyDescent="0.3">
      <c r="A56">
        <v>1696</v>
      </c>
      <c r="B56" t="s">
        <v>1934</v>
      </c>
      <c r="C56" s="154" t="s">
        <v>169</v>
      </c>
      <c r="D56" t="s">
        <v>626</v>
      </c>
      <c r="E56">
        <v>7</v>
      </c>
      <c r="F56">
        <v>30</v>
      </c>
      <c r="G56">
        <v>17</v>
      </c>
      <c r="H56" t="s">
        <v>840</v>
      </c>
      <c r="I56" t="s">
        <v>840</v>
      </c>
      <c r="J56" t="s">
        <v>840</v>
      </c>
      <c r="K56" t="s">
        <v>840</v>
      </c>
    </row>
    <row r="57" spans="1:11" x14ac:dyDescent="0.3">
      <c r="A57">
        <v>1861</v>
      </c>
      <c r="B57" t="s">
        <v>2147</v>
      </c>
      <c r="C57" s="154" t="s">
        <v>2034</v>
      </c>
      <c r="D57" t="s">
        <v>2050</v>
      </c>
      <c r="E57">
        <v>7</v>
      </c>
      <c r="F57">
        <v>34</v>
      </c>
      <c r="G57">
        <v>17</v>
      </c>
      <c r="H57" t="s">
        <v>840</v>
      </c>
      <c r="I57" t="s">
        <v>840</v>
      </c>
      <c r="J57" t="s">
        <v>840</v>
      </c>
      <c r="K57" t="s">
        <v>840</v>
      </c>
    </row>
    <row r="58" spans="1:11" x14ac:dyDescent="0.3">
      <c r="A58">
        <v>1735</v>
      </c>
      <c r="B58" t="s">
        <v>1978</v>
      </c>
      <c r="C58" s="154" t="s">
        <v>936</v>
      </c>
      <c r="D58" t="s">
        <v>378</v>
      </c>
      <c r="E58">
        <v>25</v>
      </c>
      <c r="F58">
        <v>31</v>
      </c>
      <c r="G58">
        <v>17</v>
      </c>
      <c r="H58" t="s">
        <v>840</v>
      </c>
      <c r="I58" t="s">
        <v>840</v>
      </c>
      <c r="J58" t="s">
        <v>840</v>
      </c>
      <c r="K58" t="s">
        <v>840</v>
      </c>
    </row>
    <row r="59" spans="1:11" x14ac:dyDescent="0.3">
      <c r="A59">
        <v>1844</v>
      </c>
      <c r="B59" t="s">
        <v>2148</v>
      </c>
      <c r="C59" s="154" t="s">
        <v>210</v>
      </c>
      <c r="D59" t="s">
        <v>824</v>
      </c>
      <c r="E59">
        <v>7</v>
      </c>
      <c r="F59">
        <v>34</v>
      </c>
      <c r="G59">
        <v>34</v>
      </c>
      <c r="H59" t="s">
        <v>840</v>
      </c>
      <c r="I59" t="s">
        <v>840</v>
      </c>
      <c r="J59" t="s">
        <v>840</v>
      </c>
      <c r="K59" t="s">
        <v>840</v>
      </c>
    </row>
    <row r="60" spans="1:11" x14ac:dyDescent="0.3">
      <c r="A60">
        <v>1705</v>
      </c>
      <c r="B60" t="s">
        <v>1943</v>
      </c>
      <c r="C60" s="154" t="s">
        <v>831</v>
      </c>
      <c r="D60" t="s">
        <v>833</v>
      </c>
      <c r="E60">
        <v>7</v>
      </c>
      <c r="F60">
        <v>30</v>
      </c>
      <c r="G60">
        <v>34</v>
      </c>
      <c r="H60" t="s">
        <v>840</v>
      </c>
      <c r="I60" t="s">
        <v>840</v>
      </c>
      <c r="J60" t="s">
        <v>840</v>
      </c>
      <c r="K60" t="s">
        <v>841</v>
      </c>
    </row>
    <row r="61" spans="1:11" x14ac:dyDescent="0.3">
      <c r="A61">
        <v>1661</v>
      </c>
      <c r="B61" t="s">
        <v>1899</v>
      </c>
      <c r="C61" s="154" t="s">
        <v>81</v>
      </c>
      <c r="D61" t="s">
        <v>1249</v>
      </c>
      <c r="E61">
        <v>7</v>
      </c>
      <c r="F61">
        <v>30</v>
      </c>
      <c r="G61">
        <v>34</v>
      </c>
      <c r="H61" t="s">
        <v>840</v>
      </c>
      <c r="I61" t="s">
        <v>840</v>
      </c>
      <c r="J61" t="s">
        <v>840</v>
      </c>
      <c r="K61" t="s">
        <v>841</v>
      </c>
    </row>
    <row r="62" spans="1:11" x14ac:dyDescent="0.3">
      <c r="A62">
        <v>1882</v>
      </c>
      <c r="B62" t="s">
        <v>2243</v>
      </c>
      <c r="C62" s="154" t="s">
        <v>2236</v>
      </c>
      <c r="D62" t="s">
        <v>2241</v>
      </c>
      <c r="E62">
        <v>7</v>
      </c>
      <c r="F62">
        <v>35</v>
      </c>
      <c r="G62">
        <v>34</v>
      </c>
      <c r="H62" t="s">
        <v>840</v>
      </c>
      <c r="I62" t="s">
        <v>840</v>
      </c>
      <c r="J62" t="s">
        <v>840</v>
      </c>
      <c r="K62" t="s">
        <v>840</v>
      </c>
    </row>
    <row r="63" spans="1:11" x14ac:dyDescent="0.3">
      <c r="A63">
        <v>2074</v>
      </c>
      <c r="B63" t="s">
        <v>2624</v>
      </c>
      <c r="C63" s="154" t="s">
        <v>2342</v>
      </c>
      <c r="D63" t="s">
        <v>2430</v>
      </c>
      <c r="E63">
        <v>7</v>
      </c>
      <c r="F63">
        <v>37</v>
      </c>
      <c r="G63">
        <v>17</v>
      </c>
      <c r="H63" t="s">
        <v>840</v>
      </c>
      <c r="I63" t="s">
        <v>840</v>
      </c>
      <c r="J63" t="s">
        <v>840</v>
      </c>
      <c r="K63" t="s">
        <v>840</v>
      </c>
    </row>
    <row r="64" spans="1:11" x14ac:dyDescent="0.3">
      <c r="A64">
        <v>1693</v>
      </c>
      <c r="B64" t="s">
        <v>1931</v>
      </c>
      <c r="C64" s="154" t="s">
        <v>155</v>
      </c>
      <c r="D64" t="s">
        <v>251</v>
      </c>
      <c r="E64">
        <v>7</v>
      </c>
      <c r="F64">
        <v>30</v>
      </c>
      <c r="G64">
        <v>17</v>
      </c>
      <c r="H64" t="s">
        <v>840</v>
      </c>
      <c r="I64" t="s">
        <v>840</v>
      </c>
      <c r="J64" t="s">
        <v>840</v>
      </c>
      <c r="K64" t="s">
        <v>841</v>
      </c>
    </row>
    <row r="65" spans="1:11" x14ac:dyDescent="0.3">
      <c r="A65">
        <v>1666</v>
      </c>
      <c r="B65" t="s">
        <v>1904</v>
      </c>
      <c r="C65" s="154" t="s">
        <v>91</v>
      </c>
      <c r="D65" t="s">
        <v>1254</v>
      </c>
      <c r="E65">
        <v>7</v>
      </c>
      <c r="F65">
        <v>30</v>
      </c>
      <c r="G65">
        <v>17</v>
      </c>
      <c r="H65" t="s">
        <v>840</v>
      </c>
      <c r="I65" t="s">
        <v>840</v>
      </c>
      <c r="J65" t="s">
        <v>840</v>
      </c>
      <c r="K65" t="s">
        <v>840</v>
      </c>
    </row>
    <row r="66" spans="1:11" x14ac:dyDescent="0.3">
      <c r="A66">
        <v>1736</v>
      </c>
      <c r="B66" t="s">
        <v>1979</v>
      </c>
      <c r="C66" s="154" t="s">
        <v>939</v>
      </c>
      <c r="D66" t="s">
        <v>380</v>
      </c>
      <c r="E66">
        <v>25</v>
      </c>
      <c r="F66">
        <v>31</v>
      </c>
      <c r="G66">
        <v>17</v>
      </c>
      <c r="H66" t="s">
        <v>840</v>
      </c>
      <c r="I66" t="s">
        <v>840</v>
      </c>
      <c r="J66" t="s">
        <v>840</v>
      </c>
      <c r="K66" t="s">
        <v>840</v>
      </c>
    </row>
    <row r="67" spans="1:11" x14ac:dyDescent="0.3">
      <c r="A67">
        <v>1955</v>
      </c>
      <c r="B67" t="s">
        <v>2335</v>
      </c>
      <c r="C67" s="154" t="s">
        <v>2326</v>
      </c>
      <c r="D67" t="s">
        <v>255</v>
      </c>
      <c r="E67">
        <v>7</v>
      </c>
      <c r="F67">
        <v>36</v>
      </c>
      <c r="G67">
        <v>17</v>
      </c>
      <c r="H67" t="s">
        <v>840</v>
      </c>
      <c r="I67" t="s">
        <v>840</v>
      </c>
      <c r="J67" t="s">
        <v>840</v>
      </c>
      <c r="K67" t="s">
        <v>840</v>
      </c>
    </row>
    <row r="68" spans="1:11" x14ac:dyDescent="0.3">
      <c r="A68">
        <v>1857</v>
      </c>
      <c r="B68" t="s">
        <v>2149</v>
      </c>
      <c r="C68" s="154" t="s">
        <v>2018</v>
      </c>
      <c r="D68" t="s">
        <v>225</v>
      </c>
      <c r="E68">
        <v>7</v>
      </c>
      <c r="F68">
        <v>34</v>
      </c>
      <c r="G68">
        <v>17</v>
      </c>
      <c r="H68" t="s">
        <v>840</v>
      </c>
      <c r="I68" t="s">
        <v>840</v>
      </c>
      <c r="J68" t="s">
        <v>840</v>
      </c>
      <c r="K68" t="s">
        <v>840</v>
      </c>
    </row>
    <row r="69" spans="1:11" x14ac:dyDescent="0.3">
      <c r="A69">
        <v>1694</v>
      </c>
      <c r="B69" t="s">
        <v>1932</v>
      </c>
      <c r="C69" s="154" t="s">
        <v>156</v>
      </c>
      <c r="D69" t="s">
        <v>656</v>
      </c>
      <c r="E69">
        <v>7</v>
      </c>
      <c r="F69">
        <v>30</v>
      </c>
      <c r="G69">
        <v>17</v>
      </c>
      <c r="H69" t="s">
        <v>840</v>
      </c>
      <c r="I69" t="s">
        <v>840</v>
      </c>
      <c r="J69" t="s">
        <v>840</v>
      </c>
      <c r="K69" t="s">
        <v>841</v>
      </c>
    </row>
    <row r="70" spans="1:11" x14ac:dyDescent="0.3">
      <c r="A70">
        <v>1692</v>
      </c>
      <c r="B70" t="s">
        <v>1930</v>
      </c>
      <c r="C70" s="154" t="s">
        <v>150</v>
      </c>
      <c r="D70" t="s">
        <v>246</v>
      </c>
      <c r="E70">
        <v>7</v>
      </c>
      <c r="F70">
        <v>30</v>
      </c>
      <c r="G70">
        <v>17</v>
      </c>
      <c r="H70" t="s">
        <v>840</v>
      </c>
      <c r="I70" t="s">
        <v>840</v>
      </c>
      <c r="J70" t="s">
        <v>840</v>
      </c>
      <c r="K70" t="s">
        <v>841</v>
      </c>
    </row>
    <row r="71" spans="1:11" x14ac:dyDescent="0.3">
      <c r="A71">
        <v>1739</v>
      </c>
      <c r="B71" t="s">
        <v>1982</v>
      </c>
      <c r="C71" s="154" t="s">
        <v>942</v>
      </c>
      <c r="D71" t="s">
        <v>394</v>
      </c>
      <c r="E71">
        <v>25</v>
      </c>
      <c r="F71">
        <v>31</v>
      </c>
      <c r="G71">
        <v>34</v>
      </c>
      <c r="H71" t="s">
        <v>840</v>
      </c>
      <c r="I71" t="s">
        <v>840</v>
      </c>
      <c r="J71" t="s">
        <v>840</v>
      </c>
      <c r="K71" t="s">
        <v>840</v>
      </c>
    </row>
    <row r="72" spans="1:11" x14ac:dyDescent="0.3">
      <c r="A72">
        <v>1855</v>
      </c>
      <c r="B72" t="s">
        <v>2150</v>
      </c>
      <c r="C72" s="154" t="s">
        <v>1992</v>
      </c>
      <c r="D72" t="s">
        <v>2007</v>
      </c>
      <c r="E72">
        <v>7</v>
      </c>
      <c r="F72">
        <v>34</v>
      </c>
      <c r="G72">
        <v>17</v>
      </c>
      <c r="H72" t="s">
        <v>840</v>
      </c>
      <c r="I72" t="s">
        <v>840</v>
      </c>
      <c r="J72" t="s">
        <v>840</v>
      </c>
      <c r="K72" t="s">
        <v>840</v>
      </c>
    </row>
    <row r="73" spans="1:11" x14ac:dyDescent="0.3">
      <c r="A73">
        <v>1871</v>
      </c>
      <c r="B73" t="s">
        <v>2151</v>
      </c>
      <c r="C73" s="154" t="s">
        <v>2114</v>
      </c>
      <c r="D73" t="s">
        <v>557</v>
      </c>
      <c r="E73">
        <v>7</v>
      </c>
      <c r="F73">
        <v>34</v>
      </c>
      <c r="G73">
        <v>17</v>
      </c>
      <c r="H73" t="s">
        <v>840</v>
      </c>
      <c r="I73" t="s">
        <v>840</v>
      </c>
      <c r="J73" t="s">
        <v>840</v>
      </c>
      <c r="K73" t="s">
        <v>840</v>
      </c>
    </row>
    <row r="74" spans="1:11" x14ac:dyDescent="0.3">
      <c r="A74">
        <v>1716</v>
      </c>
      <c r="B74" t="s">
        <v>1954</v>
      </c>
      <c r="C74" s="154" t="s">
        <v>985</v>
      </c>
      <c r="D74" t="s">
        <v>1727</v>
      </c>
      <c r="E74">
        <v>7</v>
      </c>
      <c r="F74">
        <v>30</v>
      </c>
      <c r="G74">
        <v>17</v>
      </c>
      <c r="H74" t="s">
        <v>840</v>
      </c>
      <c r="I74" t="s">
        <v>840</v>
      </c>
      <c r="J74" t="s">
        <v>840</v>
      </c>
      <c r="K74" t="s">
        <v>841</v>
      </c>
    </row>
    <row r="75" spans="1:11" x14ac:dyDescent="0.3">
      <c r="A75">
        <v>1723</v>
      </c>
      <c r="B75" t="s">
        <v>1966</v>
      </c>
      <c r="C75" s="154" t="s">
        <v>1332</v>
      </c>
      <c r="D75" t="s">
        <v>365</v>
      </c>
      <c r="E75">
        <v>25</v>
      </c>
      <c r="F75">
        <v>32</v>
      </c>
      <c r="G75">
        <v>510</v>
      </c>
      <c r="H75" t="s">
        <v>840</v>
      </c>
      <c r="I75" t="s">
        <v>840</v>
      </c>
      <c r="J75" t="s">
        <v>840</v>
      </c>
      <c r="K75" t="s">
        <v>840</v>
      </c>
    </row>
    <row r="76" spans="1:11" x14ac:dyDescent="0.3">
      <c r="A76">
        <v>1726</v>
      </c>
      <c r="B76" t="s">
        <v>1969</v>
      </c>
      <c r="C76" s="154" t="s">
        <v>190</v>
      </c>
      <c r="D76" t="s">
        <v>390</v>
      </c>
      <c r="E76">
        <v>25</v>
      </c>
      <c r="F76">
        <v>32</v>
      </c>
      <c r="G76">
        <v>34</v>
      </c>
      <c r="H76" t="s">
        <v>840</v>
      </c>
      <c r="I76" t="s">
        <v>840</v>
      </c>
      <c r="J76" t="s">
        <v>840</v>
      </c>
      <c r="K76" t="s">
        <v>840</v>
      </c>
    </row>
    <row r="77" spans="1:11" x14ac:dyDescent="0.3">
      <c r="A77">
        <v>1717</v>
      </c>
      <c r="B77" t="s">
        <v>1955</v>
      </c>
      <c r="C77" s="154" t="s">
        <v>1747</v>
      </c>
      <c r="D77" t="s">
        <v>797</v>
      </c>
      <c r="E77">
        <v>7</v>
      </c>
      <c r="F77">
        <v>30</v>
      </c>
      <c r="G77">
        <v>34</v>
      </c>
      <c r="H77" t="s">
        <v>840</v>
      </c>
      <c r="I77" t="s">
        <v>840</v>
      </c>
      <c r="J77" t="s">
        <v>840</v>
      </c>
      <c r="K77" t="s">
        <v>841</v>
      </c>
    </row>
    <row r="78" spans="1:11" x14ac:dyDescent="0.3">
      <c r="A78">
        <v>1847</v>
      </c>
      <c r="B78" t="s">
        <v>2152</v>
      </c>
      <c r="C78" s="154" t="s">
        <v>2014</v>
      </c>
      <c r="D78" t="s">
        <v>935</v>
      </c>
      <c r="E78">
        <v>7</v>
      </c>
      <c r="F78">
        <v>34</v>
      </c>
      <c r="G78">
        <v>17</v>
      </c>
      <c r="H78" t="s">
        <v>840</v>
      </c>
      <c r="I78" t="s">
        <v>840</v>
      </c>
      <c r="J78" t="s">
        <v>840</v>
      </c>
      <c r="K78" t="s">
        <v>841</v>
      </c>
    </row>
    <row r="79" spans="1:11" x14ac:dyDescent="0.3">
      <c r="A79">
        <v>1660</v>
      </c>
      <c r="B79" t="s">
        <v>1898</v>
      </c>
      <c r="C79" s="154" t="s">
        <v>80</v>
      </c>
      <c r="D79" t="s">
        <v>514</v>
      </c>
      <c r="E79">
        <v>7</v>
      </c>
      <c r="F79">
        <v>30</v>
      </c>
      <c r="G79">
        <v>34</v>
      </c>
      <c r="H79" t="s">
        <v>840</v>
      </c>
      <c r="I79" t="s">
        <v>840</v>
      </c>
      <c r="J79" t="s">
        <v>840</v>
      </c>
      <c r="K79" t="s">
        <v>841</v>
      </c>
    </row>
    <row r="80" spans="1:11" x14ac:dyDescent="0.3">
      <c r="A80">
        <v>1725</v>
      </c>
      <c r="B80" t="s">
        <v>1968</v>
      </c>
      <c r="C80" s="154" t="s">
        <v>187</v>
      </c>
      <c r="D80" t="s">
        <v>385</v>
      </c>
      <c r="E80">
        <v>25</v>
      </c>
      <c r="F80">
        <v>32</v>
      </c>
      <c r="G80">
        <v>34</v>
      </c>
      <c r="H80" t="s">
        <v>840</v>
      </c>
      <c r="I80" t="s">
        <v>840</v>
      </c>
      <c r="J80" t="s">
        <v>840</v>
      </c>
      <c r="K80" t="s">
        <v>840</v>
      </c>
    </row>
    <row r="81" spans="1:11" x14ac:dyDescent="0.3">
      <c r="A81">
        <v>1714</v>
      </c>
      <c r="B81" t="s">
        <v>1952</v>
      </c>
      <c r="C81" s="154" t="s">
        <v>963</v>
      </c>
      <c r="D81" t="s">
        <v>1724</v>
      </c>
      <c r="E81">
        <v>7</v>
      </c>
      <c r="F81">
        <v>30</v>
      </c>
      <c r="G81">
        <v>17</v>
      </c>
      <c r="H81" t="s">
        <v>840</v>
      </c>
      <c r="I81" t="s">
        <v>840</v>
      </c>
      <c r="J81" t="s">
        <v>840</v>
      </c>
      <c r="K81" t="s">
        <v>840</v>
      </c>
    </row>
    <row r="82" spans="1:11" x14ac:dyDescent="0.3">
      <c r="A82">
        <v>1672</v>
      </c>
      <c r="B82" t="s">
        <v>1910</v>
      </c>
      <c r="C82" s="154" t="s">
        <v>744</v>
      </c>
      <c r="D82" t="s">
        <v>334</v>
      </c>
      <c r="E82">
        <v>7</v>
      </c>
      <c r="F82">
        <v>30</v>
      </c>
      <c r="G82">
        <v>17</v>
      </c>
      <c r="H82" t="s">
        <v>840</v>
      </c>
      <c r="I82" t="s">
        <v>840</v>
      </c>
      <c r="J82" t="s">
        <v>840</v>
      </c>
      <c r="K82" t="s">
        <v>840</v>
      </c>
    </row>
    <row r="83" spans="1:11" x14ac:dyDescent="0.3">
      <c r="A83">
        <v>1729</v>
      </c>
      <c r="B83" t="s">
        <v>1972</v>
      </c>
      <c r="C83" s="154" t="s">
        <v>191</v>
      </c>
      <c r="D83" t="s">
        <v>398</v>
      </c>
      <c r="E83">
        <v>25</v>
      </c>
      <c r="F83">
        <v>32</v>
      </c>
      <c r="G83">
        <v>204</v>
      </c>
      <c r="H83" t="s">
        <v>840</v>
      </c>
      <c r="I83" t="s">
        <v>840</v>
      </c>
      <c r="J83" t="s">
        <v>840</v>
      </c>
      <c r="K83" t="s">
        <v>840</v>
      </c>
    </row>
    <row r="84" spans="1:11" x14ac:dyDescent="0.3">
      <c r="A84">
        <v>1681</v>
      </c>
      <c r="B84" t="s">
        <v>1919</v>
      </c>
      <c r="C84" s="154" t="s">
        <v>134</v>
      </c>
      <c r="D84" t="s">
        <v>1269</v>
      </c>
      <c r="E84">
        <v>7</v>
      </c>
      <c r="F84">
        <v>30</v>
      </c>
      <c r="G84">
        <v>34</v>
      </c>
      <c r="H84" t="s">
        <v>840</v>
      </c>
      <c r="I84" t="s">
        <v>840</v>
      </c>
      <c r="J84" t="s">
        <v>840</v>
      </c>
      <c r="K84" t="s">
        <v>840</v>
      </c>
    </row>
    <row r="85" spans="1:11" x14ac:dyDescent="0.3">
      <c r="A85">
        <v>1872</v>
      </c>
      <c r="B85" t="s">
        <v>2153</v>
      </c>
      <c r="C85" s="154" t="s">
        <v>2117</v>
      </c>
      <c r="D85" t="s">
        <v>212</v>
      </c>
      <c r="E85">
        <v>7</v>
      </c>
      <c r="F85">
        <v>34</v>
      </c>
      <c r="G85">
        <v>17</v>
      </c>
      <c r="H85" t="s">
        <v>840</v>
      </c>
      <c r="I85" t="s">
        <v>840</v>
      </c>
      <c r="J85" t="s">
        <v>840</v>
      </c>
      <c r="K85" t="s">
        <v>841</v>
      </c>
    </row>
    <row r="86" spans="1:11" x14ac:dyDescent="0.3">
      <c r="A86">
        <v>1698</v>
      </c>
      <c r="B86" t="s">
        <v>1936</v>
      </c>
      <c r="C86" s="154" t="s">
        <v>201</v>
      </c>
      <c r="D86" t="s">
        <v>1741</v>
      </c>
      <c r="E86">
        <v>7</v>
      </c>
      <c r="F86">
        <v>30</v>
      </c>
      <c r="G86">
        <v>17</v>
      </c>
      <c r="H86" t="s">
        <v>840</v>
      </c>
      <c r="I86" t="s">
        <v>840</v>
      </c>
      <c r="J86" t="s">
        <v>840</v>
      </c>
      <c r="K86" t="s">
        <v>841</v>
      </c>
    </row>
    <row r="87" spans="1:11" x14ac:dyDescent="0.3">
      <c r="A87">
        <v>1684</v>
      </c>
      <c r="B87" t="s">
        <v>1922</v>
      </c>
      <c r="C87" s="154" t="s">
        <v>141</v>
      </c>
      <c r="D87" t="s">
        <v>240</v>
      </c>
      <c r="E87">
        <v>7</v>
      </c>
      <c r="F87">
        <v>30</v>
      </c>
      <c r="G87">
        <v>34</v>
      </c>
      <c r="H87" t="s">
        <v>840</v>
      </c>
      <c r="I87" t="s">
        <v>840</v>
      </c>
      <c r="J87" t="s">
        <v>840</v>
      </c>
      <c r="K87" t="s">
        <v>841</v>
      </c>
    </row>
    <row r="88" spans="1:11" x14ac:dyDescent="0.3">
      <c r="A88">
        <v>1880</v>
      </c>
      <c r="B88" t="s">
        <v>2244</v>
      </c>
      <c r="C88" s="154" t="s">
        <v>801</v>
      </c>
      <c r="D88" t="s">
        <v>2225</v>
      </c>
      <c r="E88">
        <v>7</v>
      </c>
      <c r="F88">
        <v>35</v>
      </c>
      <c r="G88">
        <v>17</v>
      </c>
      <c r="H88" t="s">
        <v>840</v>
      </c>
      <c r="I88" t="s">
        <v>840</v>
      </c>
      <c r="J88" t="s">
        <v>840</v>
      </c>
      <c r="K88" t="s">
        <v>840</v>
      </c>
    </row>
    <row r="89" spans="1:11" x14ac:dyDescent="0.3">
      <c r="A89">
        <v>1674</v>
      </c>
      <c r="B89" t="s">
        <v>1912</v>
      </c>
      <c r="C89" s="154" t="s">
        <v>118</v>
      </c>
      <c r="D89" t="s">
        <v>1261</v>
      </c>
      <c r="E89">
        <v>7</v>
      </c>
      <c r="F89">
        <v>30</v>
      </c>
      <c r="G89">
        <v>17</v>
      </c>
      <c r="H89" t="s">
        <v>840</v>
      </c>
      <c r="I89" t="s">
        <v>840</v>
      </c>
      <c r="J89" t="s">
        <v>840</v>
      </c>
      <c r="K89" t="s">
        <v>841</v>
      </c>
    </row>
    <row r="90" spans="1:11" x14ac:dyDescent="0.3">
      <c r="A90">
        <v>1863</v>
      </c>
      <c r="B90" t="s">
        <v>2154</v>
      </c>
      <c r="C90" s="154" t="s">
        <v>2038</v>
      </c>
      <c r="D90" t="s">
        <v>2046</v>
      </c>
      <c r="E90">
        <v>7</v>
      </c>
      <c r="F90">
        <v>34</v>
      </c>
      <c r="G90">
        <v>17</v>
      </c>
      <c r="H90" t="s">
        <v>840</v>
      </c>
      <c r="I90" t="s">
        <v>840</v>
      </c>
      <c r="J90" t="s">
        <v>840</v>
      </c>
      <c r="K90" t="s">
        <v>841</v>
      </c>
    </row>
    <row r="91" spans="1:11" x14ac:dyDescent="0.3">
      <c r="A91">
        <v>1711</v>
      </c>
      <c r="B91" t="s">
        <v>1949</v>
      </c>
      <c r="C91" s="154" t="s">
        <v>964</v>
      </c>
      <c r="D91" t="s">
        <v>869</v>
      </c>
      <c r="E91">
        <v>7</v>
      </c>
      <c r="F91">
        <v>30</v>
      </c>
      <c r="G91">
        <v>17</v>
      </c>
      <c r="H91" t="s">
        <v>840</v>
      </c>
      <c r="I91" t="s">
        <v>840</v>
      </c>
      <c r="J91" t="s">
        <v>840</v>
      </c>
      <c r="K91" t="s">
        <v>840</v>
      </c>
    </row>
    <row r="92" spans="1:11" x14ac:dyDescent="0.3">
      <c r="A92">
        <v>1667</v>
      </c>
      <c r="B92" t="s">
        <v>1905</v>
      </c>
      <c r="C92" s="154" t="s">
        <v>97</v>
      </c>
      <c r="D92" t="s">
        <v>322</v>
      </c>
      <c r="E92">
        <v>7</v>
      </c>
      <c r="F92">
        <v>30</v>
      </c>
      <c r="G92">
        <v>17</v>
      </c>
      <c r="H92" t="s">
        <v>840</v>
      </c>
      <c r="I92" t="s">
        <v>840</v>
      </c>
      <c r="J92" t="s">
        <v>840</v>
      </c>
      <c r="K92" t="s">
        <v>840</v>
      </c>
    </row>
    <row r="93" spans="1:11" x14ac:dyDescent="0.3">
      <c r="A93">
        <v>1730</v>
      </c>
      <c r="B93" t="s">
        <v>1973</v>
      </c>
      <c r="C93" s="154" t="s">
        <v>860</v>
      </c>
      <c r="D93" t="s">
        <v>363</v>
      </c>
      <c r="E93">
        <v>25</v>
      </c>
      <c r="F93">
        <v>31</v>
      </c>
      <c r="G93">
        <v>17</v>
      </c>
      <c r="H93" t="s">
        <v>840</v>
      </c>
      <c r="I93" t="s">
        <v>840</v>
      </c>
      <c r="J93" t="s">
        <v>840</v>
      </c>
      <c r="K93" t="s">
        <v>840</v>
      </c>
    </row>
    <row r="94" spans="1:11" x14ac:dyDescent="0.3">
      <c r="A94">
        <v>1673</v>
      </c>
      <c r="B94" t="s">
        <v>1911</v>
      </c>
      <c r="C94" s="154" t="s">
        <v>117</v>
      </c>
      <c r="D94" t="s">
        <v>1259</v>
      </c>
      <c r="E94">
        <v>7</v>
      </c>
      <c r="F94">
        <v>30</v>
      </c>
      <c r="G94">
        <v>34</v>
      </c>
      <c r="H94" t="s">
        <v>840</v>
      </c>
      <c r="I94" t="s">
        <v>840</v>
      </c>
      <c r="J94" t="s">
        <v>840</v>
      </c>
      <c r="K94" t="s">
        <v>841</v>
      </c>
    </row>
    <row r="95" spans="1:11" x14ac:dyDescent="0.3">
      <c r="A95">
        <v>1669</v>
      </c>
      <c r="B95" t="s">
        <v>1907</v>
      </c>
      <c r="C95" s="154" t="s">
        <v>106</v>
      </c>
      <c r="D95" t="s">
        <v>1735</v>
      </c>
      <c r="E95">
        <v>7</v>
      </c>
      <c r="F95">
        <v>30</v>
      </c>
      <c r="G95">
        <v>34</v>
      </c>
      <c r="H95" t="s">
        <v>840</v>
      </c>
      <c r="I95" t="s">
        <v>840</v>
      </c>
      <c r="J95" t="s">
        <v>840</v>
      </c>
      <c r="K95" t="s">
        <v>840</v>
      </c>
    </row>
    <row r="96" spans="1:11" x14ac:dyDescent="0.3">
      <c r="A96">
        <v>1668</v>
      </c>
      <c r="B96" t="s">
        <v>1906</v>
      </c>
      <c r="C96" s="154" t="s">
        <v>103</v>
      </c>
      <c r="D96" t="s">
        <v>221</v>
      </c>
      <c r="E96">
        <v>7</v>
      </c>
      <c r="F96">
        <v>30</v>
      </c>
      <c r="G96">
        <v>17</v>
      </c>
      <c r="H96" t="s">
        <v>840</v>
      </c>
      <c r="I96" t="s">
        <v>840</v>
      </c>
      <c r="J96" t="s">
        <v>840</v>
      </c>
      <c r="K96" t="s">
        <v>840</v>
      </c>
    </row>
    <row r="97" spans="1:11" x14ac:dyDescent="0.3">
      <c r="A97">
        <v>1676</v>
      </c>
      <c r="B97" t="s">
        <v>1914</v>
      </c>
      <c r="C97" s="154" t="s">
        <v>122</v>
      </c>
      <c r="D97" t="s">
        <v>1263</v>
      </c>
      <c r="E97">
        <v>7</v>
      </c>
      <c r="F97">
        <v>30</v>
      </c>
      <c r="G97">
        <v>51</v>
      </c>
      <c r="H97" t="s">
        <v>840</v>
      </c>
      <c r="I97" t="s">
        <v>840</v>
      </c>
      <c r="J97" t="s">
        <v>840</v>
      </c>
      <c r="K97" t="s">
        <v>841</v>
      </c>
    </row>
    <row r="98" spans="1:11" x14ac:dyDescent="0.3">
      <c r="A98">
        <v>1720</v>
      </c>
      <c r="B98" t="s">
        <v>1958</v>
      </c>
      <c r="C98" s="154" t="s">
        <v>1763</v>
      </c>
      <c r="D98" t="s">
        <v>1765</v>
      </c>
      <c r="E98">
        <v>7</v>
      </c>
      <c r="F98">
        <v>30</v>
      </c>
      <c r="G98">
        <v>17</v>
      </c>
      <c r="H98" t="s">
        <v>840</v>
      </c>
      <c r="I98" t="s">
        <v>840</v>
      </c>
      <c r="J98" t="s">
        <v>840</v>
      </c>
      <c r="K98" t="s">
        <v>840</v>
      </c>
    </row>
    <row r="99" spans="1:11" x14ac:dyDescent="0.3">
      <c r="A99">
        <v>1838</v>
      </c>
      <c r="B99" t="s">
        <v>2155</v>
      </c>
      <c r="C99" s="154" t="s">
        <v>135</v>
      </c>
      <c r="D99" t="s">
        <v>234</v>
      </c>
      <c r="E99">
        <v>7</v>
      </c>
      <c r="F99">
        <v>34</v>
      </c>
      <c r="G99">
        <v>68</v>
      </c>
      <c r="H99" t="s">
        <v>840</v>
      </c>
      <c r="I99" t="s">
        <v>840</v>
      </c>
      <c r="J99" t="s">
        <v>840</v>
      </c>
      <c r="K99" t="s">
        <v>840</v>
      </c>
    </row>
    <row r="100" spans="1:11" x14ac:dyDescent="0.3">
      <c r="A100">
        <v>1690</v>
      </c>
      <c r="B100" t="s">
        <v>1928</v>
      </c>
      <c r="C100" s="154" t="s">
        <v>148</v>
      </c>
      <c r="D100" t="s">
        <v>244</v>
      </c>
      <c r="E100">
        <v>7</v>
      </c>
      <c r="F100">
        <v>30</v>
      </c>
      <c r="G100">
        <v>17</v>
      </c>
      <c r="H100" t="s">
        <v>840</v>
      </c>
      <c r="I100" t="s">
        <v>840</v>
      </c>
      <c r="J100" t="s">
        <v>840</v>
      </c>
      <c r="K100" t="s">
        <v>840</v>
      </c>
    </row>
    <row r="101" spans="1:11" x14ac:dyDescent="0.3">
      <c r="A101">
        <v>1862</v>
      </c>
      <c r="B101" t="s">
        <v>2156</v>
      </c>
      <c r="C101" s="154" t="s">
        <v>2035</v>
      </c>
      <c r="D101" t="s">
        <v>1230</v>
      </c>
      <c r="E101">
        <v>7</v>
      </c>
      <c r="F101">
        <v>34</v>
      </c>
      <c r="G101">
        <v>17</v>
      </c>
      <c r="H101" t="s">
        <v>840</v>
      </c>
      <c r="I101" t="s">
        <v>840</v>
      </c>
      <c r="J101" t="s">
        <v>840</v>
      </c>
      <c r="K101" t="s">
        <v>840</v>
      </c>
    </row>
    <row r="102" spans="1:11" x14ac:dyDescent="0.3">
      <c r="A102">
        <v>1707</v>
      </c>
      <c r="B102" t="s">
        <v>1945</v>
      </c>
      <c r="C102" s="154" t="s">
        <v>847</v>
      </c>
      <c r="D102" t="s">
        <v>1294</v>
      </c>
      <c r="E102">
        <v>7</v>
      </c>
      <c r="F102">
        <v>30</v>
      </c>
      <c r="G102">
        <v>17</v>
      </c>
      <c r="H102" t="s">
        <v>840</v>
      </c>
      <c r="I102" t="s">
        <v>840</v>
      </c>
      <c r="J102" t="s">
        <v>840</v>
      </c>
      <c r="K102" t="s">
        <v>841</v>
      </c>
    </row>
    <row r="103" spans="1:11" x14ac:dyDescent="0.3">
      <c r="A103">
        <v>1841</v>
      </c>
      <c r="B103" t="s">
        <v>2158</v>
      </c>
      <c r="C103" s="154" t="s">
        <v>165</v>
      </c>
      <c r="D103" t="s">
        <v>2159</v>
      </c>
      <c r="E103">
        <v>7</v>
      </c>
      <c r="F103">
        <v>34</v>
      </c>
      <c r="G103">
        <v>17</v>
      </c>
      <c r="H103" t="s">
        <v>840</v>
      </c>
      <c r="I103" t="s">
        <v>840</v>
      </c>
      <c r="J103" t="s">
        <v>840</v>
      </c>
      <c r="K103" t="s">
        <v>840</v>
      </c>
    </row>
    <row r="104" spans="1:11" x14ac:dyDescent="0.3">
      <c r="A104">
        <v>1712</v>
      </c>
      <c r="B104" t="s">
        <v>1950</v>
      </c>
      <c r="C104" s="154" t="s">
        <v>969</v>
      </c>
      <c r="D104" t="s">
        <v>1718</v>
      </c>
      <c r="E104">
        <v>7</v>
      </c>
      <c r="F104">
        <v>30</v>
      </c>
      <c r="G104">
        <v>17</v>
      </c>
      <c r="H104" t="s">
        <v>840</v>
      </c>
      <c r="I104" t="s">
        <v>840</v>
      </c>
      <c r="J104" t="s">
        <v>840</v>
      </c>
      <c r="K104" t="s">
        <v>841</v>
      </c>
    </row>
    <row r="105" spans="1:11" x14ac:dyDescent="0.3">
      <c r="A105">
        <v>1685</v>
      </c>
      <c r="B105" t="s">
        <v>1923</v>
      </c>
      <c r="C105" s="154" t="s">
        <v>142</v>
      </c>
      <c r="D105" t="s">
        <v>844</v>
      </c>
      <c r="E105">
        <v>7</v>
      </c>
      <c r="F105">
        <v>30</v>
      </c>
      <c r="G105">
        <v>34</v>
      </c>
      <c r="H105" t="s">
        <v>840</v>
      </c>
      <c r="I105" t="s">
        <v>840</v>
      </c>
      <c r="J105" t="s">
        <v>840</v>
      </c>
      <c r="K105" t="s">
        <v>841</v>
      </c>
    </row>
    <row r="106" spans="1:11" x14ac:dyDescent="0.3">
      <c r="A106">
        <v>2073</v>
      </c>
      <c r="B106" t="s">
        <v>2625</v>
      </c>
      <c r="C106" s="154" t="s">
        <v>166</v>
      </c>
      <c r="D106" t="s">
        <v>258</v>
      </c>
      <c r="E106">
        <v>7</v>
      </c>
      <c r="F106">
        <v>37</v>
      </c>
      <c r="G106">
        <v>17</v>
      </c>
      <c r="H106" t="s">
        <v>840</v>
      </c>
      <c r="I106" t="s">
        <v>840</v>
      </c>
      <c r="J106" t="s">
        <v>840</v>
      </c>
      <c r="K106" t="s">
        <v>840</v>
      </c>
    </row>
    <row r="107" spans="1:11" x14ac:dyDescent="0.3">
      <c r="A107">
        <v>1731</v>
      </c>
      <c r="B107" t="s">
        <v>1974</v>
      </c>
      <c r="C107" s="154" t="s">
        <v>864</v>
      </c>
      <c r="D107" t="s">
        <v>365</v>
      </c>
      <c r="E107">
        <v>25</v>
      </c>
      <c r="F107">
        <v>31</v>
      </c>
      <c r="G107">
        <v>102</v>
      </c>
      <c r="H107" t="s">
        <v>840</v>
      </c>
      <c r="I107" t="s">
        <v>840</v>
      </c>
      <c r="J107" t="s">
        <v>840</v>
      </c>
      <c r="K107" t="s">
        <v>840</v>
      </c>
    </row>
    <row r="108" spans="1:11" x14ac:dyDescent="0.3">
      <c r="A108">
        <v>1658</v>
      </c>
      <c r="B108" t="s">
        <v>1896</v>
      </c>
      <c r="C108" s="154" t="s">
        <v>75</v>
      </c>
      <c r="D108" t="s">
        <v>834</v>
      </c>
      <c r="E108">
        <v>7</v>
      </c>
      <c r="F108">
        <v>30</v>
      </c>
      <c r="G108">
        <v>17</v>
      </c>
      <c r="H108" t="s">
        <v>840</v>
      </c>
      <c r="I108" t="s">
        <v>840</v>
      </c>
      <c r="J108" t="s">
        <v>840</v>
      </c>
      <c r="K108" t="s">
        <v>841</v>
      </c>
    </row>
    <row r="109" spans="1:11" x14ac:dyDescent="0.3">
      <c r="A109">
        <v>1691</v>
      </c>
      <c r="B109" t="s">
        <v>1929</v>
      </c>
      <c r="C109" s="154" t="s">
        <v>149</v>
      </c>
      <c r="D109" t="s">
        <v>245</v>
      </c>
      <c r="E109">
        <v>7</v>
      </c>
      <c r="F109">
        <v>30</v>
      </c>
      <c r="G109">
        <v>17</v>
      </c>
      <c r="H109" t="s">
        <v>840</v>
      </c>
      <c r="I109" t="s">
        <v>840</v>
      </c>
      <c r="J109" t="s">
        <v>840</v>
      </c>
      <c r="K109" t="s">
        <v>840</v>
      </c>
    </row>
    <row r="110" spans="1:11" x14ac:dyDescent="0.3">
      <c r="A110">
        <v>1663</v>
      </c>
      <c r="B110" t="s">
        <v>1901</v>
      </c>
      <c r="C110" s="154" t="s">
        <v>86</v>
      </c>
      <c r="D110" t="s">
        <v>1739</v>
      </c>
      <c r="E110">
        <v>7</v>
      </c>
      <c r="F110">
        <v>30</v>
      </c>
      <c r="G110">
        <v>17</v>
      </c>
      <c r="H110" t="s">
        <v>840</v>
      </c>
      <c r="I110" t="s">
        <v>840</v>
      </c>
      <c r="J110" t="s">
        <v>840</v>
      </c>
      <c r="K110" t="s">
        <v>840</v>
      </c>
    </row>
    <row r="111" spans="1:11" x14ac:dyDescent="0.3">
      <c r="A111">
        <v>1659</v>
      </c>
      <c r="B111" t="s">
        <v>1897</v>
      </c>
      <c r="C111" s="154" t="s">
        <v>78</v>
      </c>
      <c r="D111" t="s">
        <v>1247</v>
      </c>
      <c r="E111">
        <v>7</v>
      </c>
      <c r="F111">
        <v>30</v>
      </c>
      <c r="G111">
        <v>34</v>
      </c>
      <c r="H111" t="s">
        <v>840</v>
      </c>
      <c r="I111" t="s">
        <v>840</v>
      </c>
      <c r="J111" t="s">
        <v>840</v>
      </c>
      <c r="K111" t="s">
        <v>841</v>
      </c>
    </row>
    <row r="112" spans="1:11" x14ac:dyDescent="0.3">
      <c r="A112">
        <v>1732</v>
      </c>
      <c r="B112" t="s">
        <v>1975</v>
      </c>
      <c r="C112" s="154" t="s">
        <v>978</v>
      </c>
      <c r="D112" t="s">
        <v>1346</v>
      </c>
      <c r="E112">
        <v>25</v>
      </c>
      <c r="F112">
        <v>31</v>
      </c>
      <c r="G112">
        <v>17</v>
      </c>
      <c r="H112" t="s">
        <v>840</v>
      </c>
      <c r="I112" t="s">
        <v>840</v>
      </c>
      <c r="J112" t="s">
        <v>840</v>
      </c>
      <c r="K112" t="s">
        <v>840</v>
      </c>
    </row>
    <row r="113" spans="1:11" x14ac:dyDescent="0.3">
      <c r="A113">
        <v>1852</v>
      </c>
      <c r="B113" t="s">
        <v>2160</v>
      </c>
      <c r="C113" s="154" t="s">
        <v>1960</v>
      </c>
      <c r="D113" t="s">
        <v>219</v>
      </c>
      <c r="E113">
        <v>7</v>
      </c>
      <c r="F113">
        <v>34</v>
      </c>
      <c r="G113">
        <v>34</v>
      </c>
      <c r="H113" t="s">
        <v>840</v>
      </c>
      <c r="I113" t="s">
        <v>840</v>
      </c>
      <c r="J113" t="s">
        <v>840</v>
      </c>
      <c r="K113" t="s">
        <v>840</v>
      </c>
    </row>
    <row r="114" spans="1:11" x14ac:dyDescent="0.3">
      <c r="A114">
        <v>1953</v>
      </c>
      <c r="B114" t="s">
        <v>2336</v>
      </c>
      <c r="C114" s="154" t="s">
        <v>2320</v>
      </c>
      <c r="D114" t="s">
        <v>227</v>
      </c>
      <c r="E114">
        <v>7</v>
      </c>
      <c r="F114">
        <v>36</v>
      </c>
      <c r="G114">
        <v>34</v>
      </c>
      <c r="H114" t="s">
        <v>840</v>
      </c>
      <c r="I114" t="s">
        <v>840</v>
      </c>
      <c r="J114" t="s">
        <v>840</v>
      </c>
      <c r="K114" t="s">
        <v>840</v>
      </c>
    </row>
    <row r="115" spans="1:11" x14ac:dyDescent="0.3">
      <c r="A115">
        <v>1734</v>
      </c>
      <c r="B115" t="s">
        <v>1977</v>
      </c>
      <c r="C115" s="154" t="s">
        <v>874</v>
      </c>
      <c r="D115" t="s">
        <v>372</v>
      </c>
      <c r="E115">
        <v>25</v>
      </c>
      <c r="F115">
        <v>31</v>
      </c>
      <c r="G115">
        <v>17</v>
      </c>
      <c r="H115" t="s">
        <v>840</v>
      </c>
      <c r="I115" t="s">
        <v>840</v>
      </c>
      <c r="J115" t="s">
        <v>840</v>
      </c>
      <c r="K115" t="s">
        <v>840</v>
      </c>
    </row>
    <row r="116" spans="1:11" x14ac:dyDescent="0.3">
      <c r="A116">
        <v>1713</v>
      </c>
      <c r="B116" t="s">
        <v>1951</v>
      </c>
      <c r="C116" s="154" t="s">
        <v>968</v>
      </c>
      <c r="D116" t="s">
        <v>1291</v>
      </c>
      <c r="E116">
        <v>7</v>
      </c>
      <c r="F116">
        <v>30</v>
      </c>
      <c r="G116">
        <v>17</v>
      </c>
      <c r="H116" t="s">
        <v>840</v>
      </c>
      <c r="I116" t="s">
        <v>840</v>
      </c>
      <c r="J116" t="s">
        <v>840</v>
      </c>
      <c r="K116" t="s">
        <v>841</v>
      </c>
    </row>
    <row r="117" spans="1:11" x14ac:dyDescent="0.3">
      <c r="A117">
        <v>1680</v>
      </c>
      <c r="B117" t="s">
        <v>1918</v>
      </c>
      <c r="C117" s="154" t="s">
        <v>133</v>
      </c>
      <c r="D117" t="s">
        <v>1244</v>
      </c>
      <c r="E117">
        <v>7</v>
      </c>
      <c r="F117">
        <v>30</v>
      </c>
      <c r="G117">
        <v>34</v>
      </c>
      <c r="H117" t="s">
        <v>840</v>
      </c>
      <c r="I117" t="s">
        <v>840</v>
      </c>
      <c r="J117" t="s">
        <v>840</v>
      </c>
      <c r="K117" t="s">
        <v>840</v>
      </c>
    </row>
    <row r="118" spans="1:11" x14ac:dyDescent="0.3">
      <c r="A118">
        <v>1689</v>
      </c>
      <c r="B118" t="s">
        <v>1927</v>
      </c>
      <c r="C118" s="154" t="s">
        <v>147</v>
      </c>
      <c r="D118" t="s">
        <v>243</v>
      </c>
      <c r="E118">
        <v>7</v>
      </c>
      <c r="F118">
        <v>30</v>
      </c>
      <c r="G118">
        <v>34</v>
      </c>
      <c r="H118" t="s">
        <v>840</v>
      </c>
      <c r="I118" t="s">
        <v>840</v>
      </c>
      <c r="J118" t="s">
        <v>840</v>
      </c>
      <c r="K118" t="s">
        <v>840</v>
      </c>
    </row>
    <row r="119" spans="1:11" x14ac:dyDescent="0.3">
      <c r="A119">
        <v>1865</v>
      </c>
      <c r="B119" t="s">
        <v>2161</v>
      </c>
      <c r="C119" s="154" t="s">
        <v>2041</v>
      </c>
      <c r="D119" t="s">
        <v>578</v>
      </c>
      <c r="E119">
        <v>7</v>
      </c>
      <c r="F119">
        <v>34</v>
      </c>
      <c r="G119">
        <v>17</v>
      </c>
      <c r="H119" t="s">
        <v>840</v>
      </c>
      <c r="I119" t="s">
        <v>840</v>
      </c>
      <c r="J119" t="s">
        <v>840</v>
      </c>
      <c r="K119" t="s">
        <v>840</v>
      </c>
    </row>
    <row r="120" spans="1:11" x14ac:dyDescent="0.3">
      <c r="A120">
        <v>1833</v>
      </c>
      <c r="B120" t="s">
        <v>2109</v>
      </c>
      <c r="C120" s="154" t="s">
        <v>849</v>
      </c>
      <c r="D120" t="s">
        <v>1294</v>
      </c>
      <c r="E120">
        <v>7</v>
      </c>
      <c r="F120">
        <v>33</v>
      </c>
      <c r="G120">
        <v>17</v>
      </c>
      <c r="H120" t="s">
        <v>840</v>
      </c>
      <c r="I120" t="s">
        <v>840</v>
      </c>
      <c r="J120" t="s">
        <v>840</v>
      </c>
      <c r="K120" t="s">
        <v>841</v>
      </c>
    </row>
    <row r="121" spans="1:11" x14ac:dyDescent="0.3">
      <c r="A121">
        <v>1671</v>
      </c>
      <c r="B121" t="s">
        <v>1909</v>
      </c>
      <c r="C121" s="154" t="s">
        <v>108</v>
      </c>
      <c r="D121" t="s">
        <v>1737</v>
      </c>
      <c r="E121">
        <v>7</v>
      </c>
      <c r="F121">
        <v>30</v>
      </c>
      <c r="G121">
        <v>17</v>
      </c>
      <c r="H121" t="s">
        <v>840</v>
      </c>
      <c r="I121" t="s">
        <v>840</v>
      </c>
      <c r="J121" t="s">
        <v>840</v>
      </c>
      <c r="K121" t="s">
        <v>841</v>
      </c>
    </row>
    <row r="122" spans="1:11" x14ac:dyDescent="0.3">
      <c r="A122">
        <v>1706</v>
      </c>
      <c r="B122" t="s">
        <v>1944</v>
      </c>
      <c r="C122" s="154" t="s">
        <v>146</v>
      </c>
      <c r="D122" t="s">
        <v>846</v>
      </c>
      <c r="E122">
        <v>7</v>
      </c>
      <c r="F122">
        <v>30</v>
      </c>
      <c r="G122">
        <v>17</v>
      </c>
      <c r="H122" t="s">
        <v>840</v>
      </c>
      <c r="I122" t="s">
        <v>840</v>
      </c>
      <c r="J122" t="s">
        <v>840</v>
      </c>
      <c r="K122" t="s">
        <v>840</v>
      </c>
    </row>
    <row r="123" spans="1:11" x14ac:dyDescent="0.3">
      <c r="A123">
        <v>1702</v>
      </c>
      <c r="B123" t="s">
        <v>1940</v>
      </c>
      <c r="C123" s="154" t="s">
        <v>126</v>
      </c>
      <c r="D123" t="s">
        <v>341</v>
      </c>
      <c r="E123">
        <v>7</v>
      </c>
      <c r="F123">
        <v>30</v>
      </c>
      <c r="G123">
        <v>17</v>
      </c>
      <c r="H123" t="s">
        <v>840</v>
      </c>
      <c r="I123" t="s">
        <v>840</v>
      </c>
      <c r="J123" t="s">
        <v>840</v>
      </c>
      <c r="K123" t="s">
        <v>840</v>
      </c>
    </row>
    <row r="124" spans="1:11" x14ac:dyDescent="0.3">
      <c r="A124">
        <v>1879</v>
      </c>
      <c r="B124" t="s">
        <v>2245</v>
      </c>
      <c r="C124" s="154" t="s">
        <v>783</v>
      </c>
      <c r="D124" t="s">
        <v>2227</v>
      </c>
      <c r="E124">
        <v>7</v>
      </c>
      <c r="F124">
        <v>35</v>
      </c>
      <c r="G124">
        <v>17</v>
      </c>
      <c r="H124" t="s">
        <v>840</v>
      </c>
      <c r="I124" t="s">
        <v>840</v>
      </c>
      <c r="J124" t="s">
        <v>840</v>
      </c>
      <c r="K124" t="s">
        <v>841</v>
      </c>
    </row>
    <row r="125" spans="1:11" x14ac:dyDescent="0.3">
      <c r="A125">
        <v>1679</v>
      </c>
      <c r="B125" t="s">
        <v>1917</v>
      </c>
      <c r="C125" s="154" t="s">
        <v>132</v>
      </c>
      <c r="D125" t="s">
        <v>1716</v>
      </c>
      <c r="E125">
        <v>7</v>
      </c>
      <c r="F125">
        <v>30</v>
      </c>
      <c r="G125">
        <v>17</v>
      </c>
      <c r="H125" t="s">
        <v>840</v>
      </c>
      <c r="I125" t="s">
        <v>840</v>
      </c>
      <c r="J125" t="s">
        <v>840</v>
      </c>
      <c r="K125" t="s">
        <v>841</v>
      </c>
    </row>
    <row r="126" spans="1:11" x14ac:dyDescent="0.3">
      <c r="A126">
        <v>1849</v>
      </c>
      <c r="B126" t="s">
        <v>2162</v>
      </c>
      <c r="C126" s="154" t="s">
        <v>1748</v>
      </c>
      <c r="D126" t="s">
        <v>1806</v>
      </c>
      <c r="E126">
        <v>7</v>
      </c>
      <c r="F126">
        <v>34</v>
      </c>
      <c r="G126">
        <v>17</v>
      </c>
      <c r="H126" t="s">
        <v>840</v>
      </c>
      <c r="I126" t="s">
        <v>840</v>
      </c>
      <c r="J126" t="s">
        <v>840</v>
      </c>
      <c r="K126" t="s">
        <v>840</v>
      </c>
    </row>
    <row r="127" spans="1:11" x14ac:dyDescent="0.3">
      <c r="A127">
        <v>1678</v>
      </c>
      <c r="B127" t="s">
        <v>1916</v>
      </c>
      <c r="C127" s="154" t="s">
        <v>125</v>
      </c>
      <c r="D127" t="s">
        <v>813</v>
      </c>
      <c r="E127">
        <v>7</v>
      </c>
      <c r="F127">
        <v>30</v>
      </c>
      <c r="G127">
        <v>17</v>
      </c>
      <c r="H127" t="s">
        <v>840</v>
      </c>
      <c r="I127" t="s">
        <v>840</v>
      </c>
      <c r="J127" t="s">
        <v>840</v>
      </c>
      <c r="K127" t="s">
        <v>841</v>
      </c>
    </row>
    <row r="128" spans="1:11" x14ac:dyDescent="0.3">
      <c r="A128">
        <v>2075</v>
      </c>
      <c r="B128" t="s">
        <v>2626</v>
      </c>
      <c r="C128" s="154" t="s">
        <v>2414</v>
      </c>
      <c r="D128" t="s">
        <v>1216</v>
      </c>
      <c r="E128">
        <v>7</v>
      </c>
      <c r="F128">
        <v>37</v>
      </c>
      <c r="G128">
        <v>17</v>
      </c>
      <c r="H128" t="s">
        <v>840</v>
      </c>
      <c r="I128" t="s">
        <v>840</v>
      </c>
      <c r="J128" t="s">
        <v>840</v>
      </c>
      <c r="K128" t="s">
        <v>840</v>
      </c>
    </row>
    <row r="129" spans="1:11" x14ac:dyDescent="0.3">
      <c r="A129">
        <v>1701</v>
      </c>
      <c r="B129" t="s">
        <v>1939</v>
      </c>
      <c r="C129" s="154" t="s">
        <v>207</v>
      </c>
      <c r="D129" t="s">
        <v>266</v>
      </c>
      <c r="E129">
        <v>7</v>
      </c>
      <c r="F129">
        <v>30</v>
      </c>
      <c r="G129">
        <v>17</v>
      </c>
      <c r="H129" t="s">
        <v>840</v>
      </c>
      <c r="I129" t="s">
        <v>840</v>
      </c>
      <c r="J129" t="s">
        <v>840</v>
      </c>
      <c r="K129" t="s">
        <v>841</v>
      </c>
    </row>
    <row r="130" spans="1:11" x14ac:dyDescent="0.3">
      <c r="A130">
        <v>1683</v>
      </c>
      <c r="B130" t="s">
        <v>1921</v>
      </c>
      <c r="C130" s="154" t="s">
        <v>139</v>
      </c>
      <c r="D130" t="s">
        <v>238</v>
      </c>
      <c r="E130">
        <v>7</v>
      </c>
      <c r="F130">
        <v>30</v>
      </c>
      <c r="G130">
        <v>34</v>
      </c>
      <c r="H130" t="s">
        <v>840</v>
      </c>
      <c r="I130" t="s">
        <v>840</v>
      </c>
      <c r="J130" t="s">
        <v>840</v>
      </c>
      <c r="K130" t="s">
        <v>841</v>
      </c>
    </row>
    <row r="131" spans="1:11" x14ac:dyDescent="0.3">
      <c r="A131">
        <v>1853</v>
      </c>
      <c r="B131" t="s">
        <v>2163</v>
      </c>
      <c r="C131" s="154" t="s">
        <v>1959</v>
      </c>
      <c r="D131" t="s">
        <v>1220</v>
      </c>
      <c r="E131">
        <v>7</v>
      </c>
      <c r="F131">
        <v>34</v>
      </c>
      <c r="G131">
        <v>34</v>
      </c>
      <c r="H131" t="s">
        <v>840</v>
      </c>
      <c r="I131" t="s">
        <v>840</v>
      </c>
      <c r="J131" t="s">
        <v>840</v>
      </c>
      <c r="K131" t="s">
        <v>840</v>
      </c>
    </row>
  </sheetData>
  <conditionalFormatting sqref="C1:C1048576">
    <cfRule type="duplicateValues" dxfId="14" priority="2"/>
  </conditionalFormatting>
  <conditionalFormatting sqref="D1:D1048576">
    <cfRule type="duplicateValues" dxfId="13" priority="3"/>
  </conditionalFormatting>
  <conditionalFormatting sqref="K1:K1048576">
    <cfRule type="cellIs" dxfId="12" priority="1" operator="equal">
      <formula>"passed"</formula>
    </cfRule>
  </conditionalFormatting>
  <pageMargins left="0.7" right="0.7" top="0.75" bottom="0.75" header="0.3" footer="0.3"/>
  <pageSetup paperSize="9" scale="82" fitToHeight="0" orientation="landscape" r:id="rId1"/>
  <headerFooter>
    <oddHeader>&amp;C&amp;22H248 MAIN RHD - 14 Борда</oddHeader>
    <oddFooter>Page &amp;P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F36B-6D0F-42B0-8CB5-82F98DBCBDAB}">
  <sheetPr>
    <pageSetUpPr fitToPage="1"/>
  </sheetPr>
  <dimension ref="A1:E28"/>
  <sheetViews>
    <sheetView workbookViewId="0">
      <selection activeCell="H43" sqref="H43"/>
    </sheetView>
  </sheetViews>
  <sheetFormatPr defaultRowHeight="14.4" x14ac:dyDescent="0.3"/>
  <cols>
    <col min="1" max="1" width="20.33203125" bestFit="1" customWidth="1"/>
    <col min="2" max="2" width="9.21875" bestFit="1" customWidth="1"/>
    <col min="3" max="3" width="15.5546875" customWidth="1"/>
    <col min="4" max="4" width="23.77734375" customWidth="1"/>
    <col min="5" max="5" width="26" customWidth="1"/>
  </cols>
  <sheetData>
    <row r="1" spans="1:5" ht="25.8" x14ac:dyDescent="0.5">
      <c r="A1" s="115" t="s">
        <v>2182</v>
      </c>
      <c r="B1" s="115"/>
      <c r="C1" s="115"/>
      <c r="D1" s="115"/>
      <c r="E1" s="115"/>
    </row>
    <row r="2" spans="1:5" ht="18" x14ac:dyDescent="0.35">
      <c r="A2" s="58" t="s">
        <v>309</v>
      </c>
      <c r="B2" s="58" t="s">
        <v>1306</v>
      </c>
      <c r="C2" s="58" t="s">
        <v>2179</v>
      </c>
      <c r="D2" s="58" t="s">
        <v>1320</v>
      </c>
      <c r="E2" s="58" t="s">
        <v>1330</v>
      </c>
    </row>
    <row r="3" spans="1:5" ht="18" hidden="1" x14ac:dyDescent="0.35">
      <c r="A3" s="51" t="s">
        <v>1208</v>
      </c>
      <c r="B3" s="51">
        <v>2</v>
      </c>
      <c r="C3" s="58">
        <f>B3*17</f>
        <v>34</v>
      </c>
      <c r="D3" s="51" t="s">
        <v>1324</v>
      </c>
      <c r="E3" s="51"/>
    </row>
    <row r="4" spans="1:5" ht="18" hidden="1" x14ac:dyDescent="0.35">
      <c r="A4" s="51" t="s">
        <v>858</v>
      </c>
      <c r="B4" s="51">
        <v>1</v>
      </c>
      <c r="C4" s="58">
        <f t="shared" ref="C4:C28" si="0">B4*17</f>
        <v>17</v>
      </c>
      <c r="D4" s="51" t="s">
        <v>1322</v>
      </c>
      <c r="E4" s="51"/>
    </row>
    <row r="5" spans="1:5" ht="18" hidden="1" x14ac:dyDescent="0.35">
      <c r="A5" s="51" t="s">
        <v>1307</v>
      </c>
      <c r="B5" s="51">
        <v>15</v>
      </c>
      <c r="C5" s="58">
        <f t="shared" si="0"/>
        <v>255</v>
      </c>
      <c r="D5" s="51" t="s">
        <v>1324</v>
      </c>
      <c r="E5" s="51"/>
    </row>
    <row r="6" spans="1:5" ht="18" hidden="1" x14ac:dyDescent="0.35">
      <c r="A6" s="51" t="s">
        <v>863</v>
      </c>
      <c r="B6" s="51">
        <v>1</v>
      </c>
      <c r="C6" s="58">
        <f t="shared" si="0"/>
        <v>17</v>
      </c>
      <c r="D6" s="51" t="s">
        <v>1324</v>
      </c>
      <c r="E6" s="51"/>
    </row>
    <row r="7" spans="1:5" ht="18" hidden="1" x14ac:dyDescent="0.35">
      <c r="A7" s="51" t="s">
        <v>1308</v>
      </c>
      <c r="B7" s="51">
        <v>14</v>
      </c>
      <c r="C7" s="58">
        <f t="shared" si="0"/>
        <v>238</v>
      </c>
      <c r="D7" s="51" t="s">
        <v>1322</v>
      </c>
      <c r="E7" s="51"/>
    </row>
    <row r="8" spans="1:5" ht="18" hidden="1" x14ac:dyDescent="0.35">
      <c r="A8" s="51" t="s">
        <v>1209</v>
      </c>
      <c r="B8" s="51">
        <v>6</v>
      </c>
      <c r="C8" s="58">
        <f t="shared" si="0"/>
        <v>102</v>
      </c>
      <c r="D8" s="51" t="s">
        <v>1322</v>
      </c>
      <c r="E8" s="51"/>
    </row>
    <row r="9" spans="1:5" ht="18" hidden="1" x14ac:dyDescent="0.35">
      <c r="A9" s="51" t="s">
        <v>1210</v>
      </c>
      <c r="B9" s="51">
        <v>1</v>
      </c>
      <c r="C9" s="58">
        <f t="shared" si="0"/>
        <v>17</v>
      </c>
      <c r="D9" s="51" t="s">
        <v>1323</v>
      </c>
      <c r="E9" s="51"/>
    </row>
    <row r="10" spans="1:5" ht="18" hidden="1" x14ac:dyDescent="0.35">
      <c r="A10" s="51" t="s">
        <v>1309</v>
      </c>
      <c r="B10" s="51">
        <v>2</v>
      </c>
      <c r="C10" s="58">
        <f t="shared" si="0"/>
        <v>34</v>
      </c>
      <c r="D10" s="51" t="s">
        <v>1324</v>
      </c>
      <c r="E10" s="51"/>
    </row>
    <row r="11" spans="1:5" ht="18" hidden="1" x14ac:dyDescent="0.35">
      <c r="A11" s="51" t="s">
        <v>1006</v>
      </c>
      <c r="B11" s="51">
        <v>1</v>
      </c>
      <c r="C11" s="58">
        <f t="shared" si="0"/>
        <v>17</v>
      </c>
      <c r="D11" s="51" t="s">
        <v>1324</v>
      </c>
      <c r="E11" s="51"/>
    </row>
    <row r="12" spans="1:5" ht="18" hidden="1" x14ac:dyDescent="0.35">
      <c r="A12" s="51" t="s">
        <v>1221</v>
      </c>
      <c r="B12" s="51">
        <v>1</v>
      </c>
      <c r="C12" s="58">
        <f t="shared" si="0"/>
        <v>17</v>
      </c>
      <c r="D12" s="51" t="s">
        <v>1322</v>
      </c>
      <c r="E12" s="51"/>
    </row>
    <row r="13" spans="1:5" ht="18" hidden="1" x14ac:dyDescent="0.35">
      <c r="A13" s="51" t="s">
        <v>1222</v>
      </c>
      <c r="B13" s="51">
        <v>1</v>
      </c>
      <c r="C13" s="58">
        <f t="shared" si="0"/>
        <v>17</v>
      </c>
      <c r="D13" s="51" t="s">
        <v>1323</v>
      </c>
      <c r="E13" s="51"/>
    </row>
    <row r="14" spans="1:5" ht="18" hidden="1" x14ac:dyDescent="0.35">
      <c r="A14" s="51" t="s">
        <v>1223</v>
      </c>
      <c r="B14" s="51">
        <v>1</v>
      </c>
      <c r="C14" s="58">
        <f t="shared" si="0"/>
        <v>17</v>
      </c>
      <c r="D14" s="51" t="s">
        <v>1322</v>
      </c>
      <c r="E14" s="51"/>
    </row>
    <row r="15" spans="1:5" ht="18" hidden="1" x14ac:dyDescent="0.35">
      <c r="A15" s="51" t="s">
        <v>1311</v>
      </c>
      <c r="B15" s="51">
        <v>2</v>
      </c>
      <c r="C15" s="58">
        <f t="shared" si="0"/>
        <v>34</v>
      </c>
      <c r="D15" s="51" t="s">
        <v>1323</v>
      </c>
      <c r="E15" s="51"/>
    </row>
    <row r="16" spans="1:5" ht="18" hidden="1" x14ac:dyDescent="0.35">
      <c r="A16" s="51" t="s">
        <v>1224</v>
      </c>
      <c r="B16" s="51">
        <v>1</v>
      </c>
      <c r="C16" s="58">
        <f t="shared" si="0"/>
        <v>17</v>
      </c>
      <c r="D16" s="51" t="s">
        <v>1323</v>
      </c>
      <c r="E16" s="51"/>
    </row>
    <row r="17" spans="1:5" ht="18" hidden="1" x14ac:dyDescent="0.35">
      <c r="A17" s="51" t="s">
        <v>1312</v>
      </c>
      <c r="B17" s="51">
        <v>2</v>
      </c>
      <c r="C17" s="58">
        <f t="shared" si="0"/>
        <v>34</v>
      </c>
      <c r="D17" s="51" t="s">
        <v>1324</v>
      </c>
      <c r="E17" s="51"/>
    </row>
    <row r="18" spans="1:5" ht="18" hidden="1" x14ac:dyDescent="0.35">
      <c r="A18" s="51" t="s">
        <v>1313</v>
      </c>
      <c r="B18" s="51">
        <v>1</v>
      </c>
      <c r="C18" s="58">
        <f t="shared" si="0"/>
        <v>17</v>
      </c>
      <c r="D18" s="51" t="s">
        <v>1324</v>
      </c>
      <c r="E18" s="51"/>
    </row>
    <row r="19" spans="1:5" ht="18" hidden="1" x14ac:dyDescent="0.35">
      <c r="A19" s="51" t="s">
        <v>1225</v>
      </c>
      <c r="B19" s="51">
        <v>2</v>
      </c>
      <c r="C19" s="58">
        <f t="shared" si="0"/>
        <v>34</v>
      </c>
      <c r="D19" s="51" t="s">
        <v>1324</v>
      </c>
      <c r="E19" s="51"/>
    </row>
    <row r="20" spans="1:5" ht="18" hidden="1" x14ac:dyDescent="0.35">
      <c r="A20" s="51" t="s">
        <v>1314</v>
      </c>
      <c r="B20" s="51">
        <v>1</v>
      </c>
      <c r="C20" s="58">
        <f t="shared" si="0"/>
        <v>17</v>
      </c>
      <c r="D20" s="51" t="s">
        <v>1322</v>
      </c>
      <c r="E20" s="51"/>
    </row>
    <row r="21" spans="1:5" ht="18" hidden="1" x14ac:dyDescent="0.35">
      <c r="A21" s="51" t="s">
        <v>1226</v>
      </c>
      <c r="B21" s="51">
        <v>1</v>
      </c>
      <c r="C21" s="58">
        <f t="shared" si="0"/>
        <v>17</v>
      </c>
      <c r="D21" s="51" t="s">
        <v>1322</v>
      </c>
      <c r="E21" s="51"/>
    </row>
    <row r="22" spans="1:5" ht="18" x14ac:dyDescent="0.35">
      <c r="A22" s="51" t="s">
        <v>1315</v>
      </c>
      <c r="B22" s="51">
        <v>8</v>
      </c>
      <c r="C22" s="58">
        <f t="shared" si="0"/>
        <v>136</v>
      </c>
      <c r="D22" s="51" t="s">
        <v>1324</v>
      </c>
      <c r="E22" s="51"/>
    </row>
    <row r="23" spans="1:5" ht="18" x14ac:dyDescent="0.35">
      <c r="A23" s="51" t="s">
        <v>1227</v>
      </c>
      <c r="B23" s="51">
        <v>3</v>
      </c>
      <c r="C23" s="58">
        <f t="shared" si="0"/>
        <v>51</v>
      </c>
      <c r="D23" s="51" t="s">
        <v>1324</v>
      </c>
      <c r="E23" s="51"/>
    </row>
    <row r="24" spans="1:5" ht="18" x14ac:dyDescent="0.35">
      <c r="A24" s="51" t="s">
        <v>1316</v>
      </c>
      <c r="B24" s="58">
        <v>3</v>
      </c>
      <c r="C24" s="58">
        <f t="shared" si="0"/>
        <v>51</v>
      </c>
      <c r="D24" s="51" t="s">
        <v>1322</v>
      </c>
      <c r="E24" s="51"/>
    </row>
    <row r="25" spans="1:5" ht="18" x14ac:dyDescent="0.35">
      <c r="A25" s="51" t="s">
        <v>1317</v>
      </c>
      <c r="B25" s="51">
        <v>2</v>
      </c>
      <c r="C25" s="58">
        <f t="shared" si="0"/>
        <v>34</v>
      </c>
      <c r="D25" s="51" t="s">
        <v>1323</v>
      </c>
      <c r="E25" s="51"/>
    </row>
    <row r="26" spans="1:5" ht="18" hidden="1" x14ac:dyDescent="0.35">
      <c r="A26" s="51" t="s">
        <v>1229</v>
      </c>
      <c r="B26" s="51">
        <v>1</v>
      </c>
      <c r="C26" s="58">
        <f t="shared" si="0"/>
        <v>17</v>
      </c>
      <c r="D26" s="51" t="s">
        <v>1322</v>
      </c>
      <c r="E26" s="51"/>
    </row>
    <row r="27" spans="1:5" ht="18" hidden="1" x14ac:dyDescent="0.35">
      <c r="A27" s="51" t="s">
        <v>1318</v>
      </c>
      <c r="B27" s="51">
        <v>4</v>
      </c>
      <c r="C27" s="58">
        <f t="shared" si="0"/>
        <v>68</v>
      </c>
      <c r="D27" s="51" t="s">
        <v>1322</v>
      </c>
      <c r="E27" s="51"/>
    </row>
    <row r="28" spans="1:5" ht="18" hidden="1" x14ac:dyDescent="0.35">
      <c r="A28" s="51" t="s">
        <v>1319</v>
      </c>
      <c r="B28" s="51">
        <v>8</v>
      </c>
      <c r="C28" s="58">
        <f t="shared" si="0"/>
        <v>136</v>
      </c>
      <c r="D28" s="51" t="s">
        <v>1323</v>
      </c>
      <c r="E28" s="51"/>
    </row>
  </sheetData>
  <mergeCells count="1">
    <mergeCell ref="A1:E1"/>
  </mergeCells>
  <pageMargins left="0.7" right="0.7" top="0.75" bottom="0.75" header="0.3" footer="0.3"/>
  <pageSetup paperSize="9" scale="21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>
    <pageSetUpPr fitToPage="1"/>
  </sheetPr>
  <dimension ref="A1:E31"/>
  <sheetViews>
    <sheetView workbookViewId="0">
      <selection activeCell="E34" sqref="E34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115" t="s">
        <v>1325</v>
      </c>
      <c r="B1" s="115"/>
      <c r="C1" s="115"/>
      <c r="D1" s="115"/>
      <c r="E1" s="115"/>
    </row>
    <row r="2" spans="1:5" ht="18" x14ac:dyDescent="0.35">
      <c r="A2" s="58" t="s">
        <v>309</v>
      </c>
      <c r="B2" s="58" t="s">
        <v>1306</v>
      </c>
      <c r="C2" s="58" t="s">
        <v>1321</v>
      </c>
      <c r="D2" s="58" t="s">
        <v>1320</v>
      </c>
      <c r="E2" s="58" t="s">
        <v>1330</v>
      </c>
    </row>
    <row r="3" spans="1:5" ht="18" hidden="1" x14ac:dyDescent="0.35">
      <c r="A3" s="51" t="s">
        <v>1208</v>
      </c>
      <c r="B3" s="51">
        <v>2</v>
      </c>
      <c r="C3" s="58">
        <f>B3*28</f>
        <v>56</v>
      </c>
      <c r="D3" s="51" t="s">
        <v>1324</v>
      </c>
      <c r="E3" s="51"/>
    </row>
    <row r="4" spans="1:5" ht="18" hidden="1" x14ac:dyDescent="0.35">
      <c r="A4" s="51" t="s">
        <v>858</v>
      </c>
      <c r="B4" s="51">
        <v>1</v>
      </c>
      <c r="C4" s="58">
        <f>B4*28</f>
        <v>28</v>
      </c>
      <c r="D4" s="51" t="s">
        <v>1322</v>
      </c>
      <c r="E4" s="51"/>
    </row>
    <row r="5" spans="1:5" ht="18" x14ac:dyDescent="0.35">
      <c r="A5" s="51" t="s">
        <v>1307</v>
      </c>
      <c r="B5" s="51">
        <v>14</v>
      </c>
      <c r="C5" s="58">
        <f>B5*28</f>
        <v>392</v>
      </c>
      <c r="D5" s="51" t="s">
        <v>1324</v>
      </c>
      <c r="E5" s="51"/>
    </row>
    <row r="6" spans="1:5" ht="18" x14ac:dyDescent="0.35">
      <c r="A6" s="51" t="s">
        <v>863</v>
      </c>
      <c r="B6" s="51">
        <v>1</v>
      </c>
      <c r="C6" s="58">
        <f>B6*28</f>
        <v>28</v>
      </c>
      <c r="D6" s="51" t="s">
        <v>1324</v>
      </c>
      <c r="E6" s="51"/>
    </row>
    <row r="7" spans="1:5" ht="18" x14ac:dyDescent="0.35">
      <c r="A7" s="51" t="s">
        <v>1308</v>
      </c>
      <c r="B7" s="51">
        <v>15</v>
      </c>
      <c r="C7" s="58">
        <v>448</v>
      </c>
      <c r="D7" s="51" t="s">
        <v>1322</v>
      </c>
      <c r="E7" s="51"/>
    </row>
    <row r="8" spans="1:5" ht="18" x14ac:dyDescent="0.35">
      <c r="A8" s="51" t="s">
        <v>1209</v>
      </c>
      <c r="B8" s="51">
        <v>3</v>
      </c>
      <c r="C8" s="58">
        <f t="shared" ref="C8:C31" si="0">B8*28</f>
        <v>84</v>
      </c>
      <c r="D8" s="51" t="s">
        <v>1322</v>
      </c>
      <c r="E8" s="51"/>
    </row>
    <row r="9" spans="1:5" ht="18" x14ac:dyDescent="0.35">
      <c r="A9" s="51" t="s">
        <v>1210</v>
      </c>
      <c r="B9" s="51">
        <v>1</v>
      </c>
      <c r="C9" s="58">
        <f t="shared" si="0"/>
        <v>28</v>
      </c>
      <c r="D9" s="51" t="s">
        <v>1323</v>
      </c>
      <c r="E9" s="51"/>
    </row>
    <row r="10" spans="1:5" ht="18" hidden="1" x14ac:dyDescent="0.35">
      <c r="A10" s="51" t="s">
        <v>1211</v>
      </c>
      <c r="B10" s="51">
        <v>1</v>
      </c>
      <c r="C10" s="58">
        <f t="shared" si="0"/>
        <v>28</v>
      </c>
      <c r="D10" s="51" t="s">
        <v>1322</v>
      </c>
      <c r="E10" s="51"/>
    </row>
    <row r="11" spans="1:5" ht="18" hidden="1" x14ac:dyDescent="0.35">
      <c r="A11" s="51" t="s">
        <v>1309</v>
      </c>
      <c r="B11" s="51">
        <v>1</v>
      </c>
      <c r="C11" s="58">
        <f t="shared" si="0"/>
        <v>28</v>
      </c>
      <c r="D11" s="51" t="s">
        <v>1324</v>
      </c>
      <c r="E11" s="51"/>
    </row>
    <row r="12" spans="1:5" ht="18" hidden="1" x14ac:dyDescent="0.35">
      <c r="A12" s="51" t="s">
        <v>1006</v>
      </c>
      <c r="B12" s="51">
        <v>1</v>
      </c>
      <c r="C12" s="58">
        <f t="shared" si="0"/>
        <v>28</v>
      </c>
      <c r="D12" s="51" t="s">
        <v>1324</v>
      </c>
      <c r="E12" s="51"/>
    </row>
    <row r="13" spans="1:5" ht="18" hidden="1" x14ac:dyDescent="0.35">
      <c r="A13" s="51" t="s">
        <v>1310</v>
      </c>
      <c r="B13" s="51">
        <v>5</v>
      </c>
      <c r="C13" s="58">
        <f t="shared" si="0"/>
        <v>140</v>
      </c>
      <c r="D13" s="51" t="s">
        <v>1322</v>
      </c>
      <c r="E13" s="51"/>
    </row>
    <row r="14" spans="1:5" ht="18" hidden="1" x14ac:dyDescent="0.35">
      <c r="A14" s="51" t="s">
        <v>1221</v>
      </c>
      <c r="B14" s="51">
        <v>1</v>
      </c>
      <c r="C14" s="58">
        <f t="shared" si="0"/>
        <v>28</v>
      </c>
      <c r="D14" s="51" t="s">
        <v>1322</v>
      </c>
      <c r="E14" s="51"/>
    </row>
    <row r="15" spans="1:5" ht="18" hidden="1" x14ac:dyDescent="0.35">
      <c r="A15" s="51" t="s">
        <v>1222</v>
      </c>
      <c r="B15" s="51">
        <v>1</v>
      </c>
      <c r="C15" s="58">
        <f t="shared" si="0"/>
        <v>28</v>
      </c>
      <c r="D15" s="51" t="s">
        <v>1323</v>
      </c>
      <c r="E15" s="51"/>
    </row>
    <row r="16" spans="1:5" ht="18" hidden="1" x14ac:dyDescent="0.35">
      <c r="A16" s="51" t="s">
        <v>1223</v>
      </c>
      <c r="B16" s="51">
        <v>1</v>
      </c>
      <c r="C16" s="58">
        <f t="shared" si="0"/>
        <v>28</v>
      </c>
      <c r="D16" s="51" t="s">
        <v>1322</v>
      </c>
      <c r="E16" s="51"/>
    </row>
    <row r="17" spans="1:5" ht="18" hidden="1" x14ac:dyDescent="0.35">
      <c r="A17" s="51" t="s">
        <v>1311</v>
      </c>
      <c r="B17" s="51">
        <v>2</v>
      </c>
      <c r="C17" s="58">
        <f t="shared" si="0"/>
        <v>56</v>
      </c>
      <c r="D17" s="51" t="s">
        <v>1323</v>
      </c>
      <c r="E17" s="51"/>
    </row>
    <row r="18" spans="1:5" ht="18" hidden="1" x14ac:dyDescent="0.35">
      <c r="A18" s="51" t="s">
        <v>1224</v>
      </c>
      <c r="B18" s="51">
        <v>1</v>
      </c>
      <c r="C18" s="58">
        <f t="shared" si="0"/>
        <v>28</v>
      </c>
      <c r="D18" s="51" t="s">
        <v>1323</v>
      </c>
      <c r="E18" s="51"/>
    </row>
    <row r="19" spans="1:5" ht="18" hidden="1" x14ac:dyDescent="0.35">
      <c r="A19" s="51" t="s">
        <v>1312</v>
      </c>
      <c r="B19" s="51">
        <v>2</v>
      </c>
      <c r="C19" s="58">
        <f t="shared" si="0"/>
        <v>56</v>
      </c>
      <c r="D19" s="51" t="s">
        <v>1324</v>
      </c>
      <c r="E19" s="51"/>
    </row>
    <row r="20" spans="1:5" ht="18" hidden="1" x14ac:dyDescent="0.35">
      <c r="A20" s="51" t="s">
        <v>1313</v>
      </c>
      <c r="B20" s="51">
        <v>1</v>
      </c>
      <c r="C20" s="58">
        <f t="shared" si="0"/>
        <v>28</v>
      </c>
      <c r="D20" s="51" t="s">
        <v>1324</v>
      </c>
      <c r="E20" s="51"/>
    </row>
    <row r="21" spans="1:5" ht="18" hidden="1" x14ac:dyDescent="0.35">
      <c r="A21" s="51" t="s">
        <v>1225</v>
      </c>
      <c r="B21" s="51">
        <v>1</v>
      </c>
      <c r="C21" s="58">
        <f t="shared" si="0"/>
        <v>28</v>
      </c>
      <c r="D21" s="51" t="s">
        <v>1324</v>
      </c>
      <c r="E21" s="51"/>
    </row>
    <row r="22" spans="1:5" ht="18" hidden="1" x14ac:dyDescent="0.35">
      <c r="A22" s="51" t="s">
        <v>1314</v>
      </c>
      <c r="B22" s="51">
        <v>1</v>
      </c>
      <c r="C22" s="58">
        <f t="shared" si="0"/>
        <v>28</v>
      </c>
      <c r="D22" s="51" t="s">
        <v>1322</v>
      </c>
      <c r="E22" s="51"/>
    </row>
    <row r="23" spans="1:5" ht="18" hidden="1" x14ac:dyDescent="0.35">
      <c r="A23" s="51" t="s">
        <v>1226</v>
      </c>
      <c r="B23" s="51">
        <v>1</v>
      </c>
      <c r="C23" s="58">
        <f t="shared" si="0"/>
        <v>28</v>
      </c>
      <c r="D23" s="51" t="s">
        <v>1322</v>
      </c>
      <c r="E23" s="51"/>
    </row>
    <row r="24" spans="1:5" ht="18" hidden="1" x14ac:dyDescent="0.35">
      <c r="A24" s="51" t="s">
        <v>1315</v>
      </c>
      <c r="B24" s="51">
        <v>8</v>
      </c>
      <c r="C24" s="58">
        <f t="shared" si="0"/>
        <v>224</v>
      </c>
      <c r="D24" s="51" t="s">
        <v>1324</v>
      </c>
      <c r="E24" s="51"/>
    </row>
    <row r="25" spans="1:5" ht="18" hidden="1" x14ac:dyDescent="0.35">
      <c r="A25" s="51" t="s">
        <v>1227</v>
      </c>
      <c r="B25" s="51">
        <v>3</v>
      </c>
      <c r="C25" s="58">
        <f t="shared" si="0"/>
        <v>84</v>
      </c>
      <c r="D25" s="51" t="s">
        <v>1324</v>
      </c>
      <c r="E25" s="51"/>
    </row>
    <row r="26" spans="1:5" ht="18" hidden="1" x14ac:dyDescent="0.35">
      <c r="A26" s="51" t="s">
        <v>1316</v>
      </c>
      <c r="B26" s="73">
        <v>5</v>
      </c>
      <c r="C26" s="58">
        <f t="shared" si="0"/>
        <v>140</v>
      </c>
      <c r="D26" s="51" t="s">
        <v>1322</v>
      </c>
      <c r="E26" s="51"/>
    </row>
    <row r="27" spans="1:5" ht="18" hidden="1" x14ac:dyDescent="0.35">
      <c r="A27" s="51" t="s">
        <v>1228</v>
      </c>
      <c r="B27" s="51">
        <v>1</v>
      </c>
      <c r="C27" s="58">
        <f t="shared" si="0"/>
        <v>28</v>
      </c>
      <c r="D27" s="51" t="s">
        <v>1322</v>
      </c>
      <c r="E27" s="51"/>
    </row>
    <row r="28" spans="1:5" ht="18" hidden="1" x14ac:dyDescent="0.35">
      <c r="A28" s="51" t="s">
        <v>1317</v>
      </c>
      <c r="B28" s="51">
        <v>2</v>
      </c>
      <c r="C28" s="58">
        <f t="shared" si="0"/>
        <v>56</v>
      </c>
      <c r="D28" s="51" t="s">
        <v>1323</v>
      </c>
      <c r="E28" s="51"/>
    </row>
    <row r="29" spans="1:5" ht="18" hidden="1" x14ac:dyDescent="0.35">
      <c r="A29" s="51" t="s">
        <v>1229</v>
      </c>
      <c r="B29" s="51">
        <v>1</v>
      </c>
      <c r="C29" s="58">
        <f t="shared" si="0"/>
        <v>28</v>
      </c>
      <c r="D29" s="51" t="s">
        <v>1322</v>
      </c>
      <c r="E29" s="51"/>
    </row>
    <row r="30" spans="1:5" ht="18" hidden="1" x14ac:dyDescent="0.35">
      <c r="A30" s="51" t="s">
        <v>1318</v>
      </c>
      <c r="B30" s="51">
        <v>4</v>
      </c>
      <c r="C30" s="58">
        <f t="shared" si="0"/>
        <v>112</v>
      </c>
      <c r="D30" s="51" t="s">
        <v>1322</v>
      </c>
      <c r="E30" s="51"/>
    </row>
    <row r="31" spans="1:5" ht="18" hidden="1" x14ac:dyDescent="0.35">
      <c r="A31" s="51" t="s">
        <v>1319</v>
      </c>
      <c r="B31" s="51">
        <v>8</v>
      </c>
      <c r="C31" s="58">
        <f t="shared" si="0"/>
        <v>224</v>
      </c>
      <c r="D31" s="51" t="s">
        <v>1323</v>
      </c>
      <c r="E31" s="51"/>
    </row>
  </sheetData>
  <mergeCells count="1">
    <mergeCell ref="A1:E1"/>
  </mergeCells>
  <pageMargins left="0.7" right="0.7" top="0.75" bottom="0.75" header="0.3" footer="0.3"/>
  <pageSetup paperSize="9" scale="22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ED3-3824-4435-89E8-568476FFBD6B}">
  <sheetPr>
    <pageSetUpPr fitToPage="1"/>
  </sheetPr>
  <dimension ref="A1:H123"/>
  <sheetViews>
    <sheetView topLeftCell="A71" workbookViewId="0">
      <selection activeCell="L113" sqref="L113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51.77734375" customWidth="1"/>
    <col min="4" max="4" width="12" customWidth="1"/>
    <col min="5" max="5" width="15" customWidth="1"/>
    <col min="6" max="6" width="8.44140625" bestFit="1" customWidth="1"/>
    <col min="7" max="7" width="9.5546875" bestFit="1" customWidth="1"/>
  </cols>
  <sheetData>
    <row r="1" spans="1:8" ht="25.8" x14ac:dyDescent="0.5">
      <c r="A1" s="115" t="s">
        <v>2178</v>
      </c>
      <c r="B1" s="115"/>
      <c r="C1" s="115"/>
      <c r="D1" s="115"/>
      <c r="E1" s="115"/>
      <c r="F1" s="115"/>
      <c r="G1" s="115"/>
    </row>
    <row r="2" spans="1:8" ht="18" x14ac:dyDescent="0.35">
      <c r="A2" s="58" t="s">
        <v>1356</v>
      </c>
      <c r="B2" s="58" t="s">
        <v>977</v>
      </c>
      <c r="C2" s="58" t="s">
        <v>309</v>
      </c>
      <c r="D2" s="58" t="s">
        <v>1306</v>
      </c>
      <c r="E2" s="58" t="s">
        <v>2179</v>
      </c>
      <c r="F2" s="58" t="s">
        <v>1329</v>
      </c>
      <c r="G2" s="58" t="s">
        <v>1330</v>
      </c>
    </row>
    <row r="3" spans="1:8" ht="18" x14ac:dyDescent="0.35">
      <c r="A3" s="51" t="s">
        <v>1915</v>
      </c>
      <c r="B3" s="51" t="s">
        <v>123</v>
      </c>
      <c r="C3" s="61" t="s">
        <v>1265</v>
      </c>
      <c r="D3" s="51">
        <v>1</v>
      </c>
      <c r="E3" s="58">
        <f>Table212314[[#This Row],[qtyx1]]*17</f>
        <v>17</v>
      </c>
      <c r="F3" s="51"/>
      <c r="G3" s="51">
        <v>1</v>
      </c>
      <c r="H3" s="51"/>
    </row>
    <row r="4" spans="1:8" ht="18" hidden="1" x14ac:dyDescent="0.35">
      <c r="A4" s="51" t="s">
        <v>2127</v>
      </c>
      <c r="B4" s="51" t="s">
        <v>1962</v>
      </c>
      <c r="C4" s="61" t="s">
        <v>1219</v>
      </c>
      <c r="D4" s="51">
        <v>2</v>
      </c>
      <c r="E4" s="58">
        <f>Table212314[[#This Row],[qtyx1]]*17</f>
        <v>34</v>
      </c>
      <c r="F4" s="51"/>
      <c r="G4" s="51"/>
    </row>
    <row r="5" spans="1:8" ht="18" hidden="1" x14ac:dyDescent="0.35">
      <c r="A5" s="51" t="s">
        <v>2128</v>
      </c>
      <c r="B5" s="51" t="s">
        <v>2020</v>
      </c>
      <c r="C5" s="61" t="s">
        <v>842</v>
      </c>
      <c r="D5" s="51">
        <v>1</v>
      </c>
      <c r="E5" s="58">
        <f>Table212314[[#This Row],[qtyx1]]*17</f>
        <v>17</v>
      </c>
      <c r="F5" s="51"/>
      <c r="G5" s="51"/>
    </row>
    <row r="6" spans="1:8" ht="18" hidden="1" x14ac:dyDescent="0.35">
      <c r="A6" s="51" t="s">
        <v>2129</v>
      </c>
      <c r="B6" s="51" t="s">
        <v>2021</v>
      </c>
      <c r="C6" s="61" t="s">
        <v>218</v>
      </c>
      <c r="D6" s="51">
        <v>1</v>
      </c>
      <c r="E6" s="58">
        <f>Table212314[[#This Row],[qtyx1]]*17</f>
        <v>17</v>
      </c>
      <c r="F6" s="51"/>
      <c r="G6" s="51"/>
    </row>
    <row r="7" spans="1:8" ht="18" hidden="1" x14ac:dyDescent="0.35">
      <c r="A7" s="51" t="s">
        <v>2130</v>
      </c>
      <c r="B7" s="51" t="s">
        <v>2057</v>
      </c>
      <c r="C7" s="61" t="s">
        <v>217</v>
      </c>
      <c r="D7" s="51">
        <v>3</v>
      </c>
      <c r="E7" s="58">
        <f>Table212314[[#This Row],[qtyx1]]*17</f>
        <v>51</v>
      </c>
      <c r="F7" s="51"/>
      <c r="G7" s="51"/>
    </row>
    <row r="8" spans="1:8" ht="18" x14ac:dyDescent="0.35">
      <c r="A8" s="51" t="s">
        <v>2131</v>
      </c>
      <c r="B8" s="51" t="s">
        <v>1895</v>
      </c>
      <c r="C8" s="61" t="s">
        <v>247</v>
      </c>
      <c r="D8" s="51">
        <v>2</v>
      </c>
      <c r="E8" s="58">
        <f>Table212314[[#This Row],[qtyx1]]*17</f>
        <v>34</v>
      </c>
      <c r="F8" s="51"/>
      <c r="G8" s="51">
        <v>1</v>
      </c>
    </row>
    <row r="9" spans="1:8" ht="18" hidden="1" x14ac:dyDescent="0.35">
      <c r="A9" s="51" t="s">
        <v>1942</v>
      </c>
      <c r="B9" s="51" t="s">
        <v>949</v>
      </c>
      <c r="C9" s="61" t="s">
        <v>1769</v>
      </c>
      <c r="D9" s="51">
        <v>1</v>
      </c>
      <c r="E9" s="58">
        <f>Table212314[[#This Row],[qtyx1]]*17</f>
        <v>17</v>
      </c>
      <c r="F9" s="51"/>
      <c r="G9" s="51"/>
    </row>
    <row r="10" spans="1:8" ht="18" x14ac:dyDescent="0.35">
      <c r="A10" s="51" t="s">
        <v>2132</v>
      </c>
      <c r="B10" s="51" t="s">
        <v>1861</v>
      </c>
      <c r="C10" s="61" t="s">
        <v>1203</v>
      </c>
      <c r="D10" s="51">
        <v>4</v>
      </c>
      <c r="E10" s="58">
        <f>Table212314[[#This Row],[qtyx1]]*17</f>
        <v>68</v>
      </c>
      <c r="F10" s="51" t="s">
        <v>2180</v>
      </c>
      <c r="G10" s="51">
        <v>1</v>
      </c>
    </row>
    <row r="11" spans="1:8" ht="18" hidden="1" x14ac:dyDescent="0.35">
      <c r="A11" s="51" t="s">
        <v>1926</v>
      </c>
      <c r="B11" s="51" t="s">
        <v>145</v>
      </c>
      <c r="C11" s="61" t="s">
        <v>845</v>
      </c>
      <c r="D11" s="51">
        <v>1</v>
      </c>
      <c r="E11" s="58">
        <f>Table212314[[#This Row],[qtyx1]]*17</f>
        <v>17</v>
      </c>
      <c r="F11" s="51"/>
      <c r="G11" s="51"/>
    </row>
    <row r="12" spans="1:8" ht="18" x14ac:dyDescent="0.35">
      <c r="A12" s="51" t="s">
        <v>1920</v>
      </c>
      <c r="B12" s="51" t="s">
        <v>138</v>
      </c>
      <c r="C12" s="61" t="s">
        <v>591</v>
      </c>
      <c r="D12" s="51">
        <v>2</v>
      </c>
      <c r="E12" s="58">
        <f>Table212314[[#This Row],[qtyx1]]*17</f>
        <v>34</v>
      </c>
      <c r="F12" s="51"/>
      <c r="G12" s="51">
        <v>1</v>
      </c>
    </row>
    <row r="13" spans="1:8" ht="18" x14ac:dyDescent="0.35">
      <c r="A13" s="51" t="s">
        <v>1902</v>
      </c>
      <c r="B13" s="51" t="s">
        <v>87</v>
      </c>
      <c r="C13" s="61" t="s">
        <v>851</v>
      </c>
      <c r="D13" s="51">
        <v>1</v>
      </c>
      <c r="E13" s="58">
        <f>Table212314[[#This Row],[qtyx1]]*17</f>
        <v>17</v>
      </c>
      <c r="F13" s="51"/>
      <c r="G13" s="51">
        <v>1</v>
      </c>
    </row>
    <row r="14" spans="1:8" ht="18" hidden="1" x14ac:dyDescent="0.35">
      <c r="A14" s="51" t="s">
        <v>1925</v>
      </c>
      <c r="B14" s="51" t="s">
        <v>144</v>
      </c>
      <c r="C14" s="61" t="s">
        <v>242</v>
      </c>
      <c r="D14" s="51">
        <v>1</v>
      </c>
      <c r="E14" s="58">
        <f>Table212314[[#This Row],[qtyx1]]*17</f>
        <v>17</v>
      </c>
      <c r="F14" s="51"/>
      <c r="G14" s="51"/>
    </row>
    <row r="15" spans="1:8" ht="18" hidden="1" x14ac:dyDescent="0.35">
      <c r="A15" s="51" t="s">
        <v>1967</v>
      </c>
      <c r="B15" s="51" t="s">
        <v>177</v>
      </c>
      <c r="C15" s="61" t="s">
        <v>372</v>
      </c>
      <c r="D15" s="51">
        <v>5</v>
      </c>
      <c r="E15" s="58">
        <f>Table212314[[#This Row],[qtyx1]]*17</f>
        <v>85</v>
      </c>
      <c r="F15" s="51"/>
      <c r="G15" s="51"/>
    </row>
    <row r="16" spans="1:8" ht="18" hidden="1" x14ac:dyDescent="0.35">
      <c r="A16" s="51" t="s">
        <v>1971</v>
      </c>
      <c r="B16" s="51" t="s">
        <v>1331</v>
      </c>
      <c r="C16" s="61" t="s">
        <v>396</v>
      </c>
      <c r="D16" s="51">
        <v>13</v>
      </c>
      <c r="E16" s="58">
        <f>Table212314[[#This Row],[qtyx1]]*17</f>
        <v>221</v>
      </c>
      <c r="F16" s="51"/>
      <c r="G16" s="51"/>
    </row>
    <row r="17" spans="1:7" ht="18" hidden="1" x14ac:dyDescent="0.35">
      <c r="A17" s="51" t="s">
        <v>1981</v>
      </c>
      <c r="B17" s="51" t="s">
        <v>1003</v>
      </c>
      <c r="C17" s="61" t="s">
        <v>388</v>
      </c>
      <c r="D17" s="51">
        <v>1</v>
      </c>
      <c r="E17" s="58">
        <f>Table212314[[#This Row],[qtyx1]]*17</f>
        <v>17</v>
      </c>
      <c r="F17" s="51"/>
      <c r="G17" s="51"/>
    </row>
    <row r="18" spans="1:7" ht="18" hidden="1" x14ac:dyDescent="0.35">
      <c r="A18" s="51" t="s">
        <v>1970</v>
      </c>
      <c r="B18" s="51" t="s">
        <v>1349</v>
      </c>
      <c r="C18" s="61" t="s">
        <v>394</v>
      </c>
      <c r="D18" s="51">
        <v>2</v>
      </c>
      <c r="E18" s="58">
        <f>Table212314[[#This Row],[qtyx1]]*17</f>
        <v>34</v>
      </c>
      <c r="F18" s="51"/>
      <c r="G18" s="51"/>
    </row>
    <row r="19" spans="1:7" ht="18" hidden="1" x14ac:dyDescent="0.35">
      <c r="A19" s="51" t="s">
        <v>1956</v>
      </c>
      <c r="B19" s="51" t="s">
        <v>1751</v>
      </c>
      <c r="C19" s="61" t="s">
        <v>1212</v>
      </c>
      <c r="D19" s="51">
        <v>1</v>
      </c>
      <c r="E19" s="58">
        <f>Table212314[[#This Row],[qtyx1]]*17</f>
        <v>17</v>
      </c>
      <c r="F19" s="51"/>
      <c r="G19" s="51"/>
    </row>
    <row r="20" spans="1:7" ht="18" hidden="1" x14ac:dyDescent="0.35">
      <c r="A20" s="51" t="s">
        <v>2133</v>
      </c>
      <c r="B20" s="51" t="s">
        <v>167</v>
      </c>
      <c r="C20" s="61" t="s">
        <v>593</v>
      </c>
      <c r="D20" s="51">
        <v>1</v>
      </c>
      <c r="E20" s="58">
        <f>Table212314[[#This Row],[qtyx1]]*17</f>
        <v>17</v>
      </c>
      <c r="F20" s="51"/>
      <c r="G20" s="51"/>
    </row>
    <row r="21" spans="1:7" ht="18" x14ac:dyDescent="0.35">
      <c r="A21" s="51" t="s">
        <v>1900</v>
      </c>
      <c r="B21" s="51" t="s">
        <v>84</v>
      </c>
      <c r="C21" s="61" t="s">
        <v>1251</v>
      </c>
      <c r="D21" s="51">
        <v>3</v>
      </c>
      <c r="E21" s="58">
        <f>Table212314[[#This Row],[qtyx1]]*17</f>
        <v>51</v>
      </c>
      <c r="F21" s="51"/>
      <c r="G21" s="51">
        <v>1</v>
      </c>
    </row>
    <row r="22" spans="1:7" ht="18" hidden="1" x14ac:dyDescent="0.35">
      <c r="A22" s="51" t="s">
        <v>2134</v>
      </c>
      <c r="B22" s="51" t="s">
        <v>745</v>
      </c>
      <c r="C22" s="61" t="s">
        <v>1217</v>
      </c>
      <c r="D22" s="51">
        <v>1</v>
      </c>
      <c r="E22" s="58">
        <f>Table212314[[#This Row],[qtyx1]]*17</f>
        <v>17</v>
      </c>
      <c r="F22" s="51"/>
      <c r="G22" s="51"/>
    </row>
    <row r="23" spans="1:7" ht="18" hidden="1" x14ac:dyDescent="0.35">
      <c r="A23" s="51" t="s">
        <v>2135</v>
      </c>
      <c r="B23" s="51" t="s">
        <v>136</v>
      </c>
      <c r="C23" s="61" t="s">
        <v>236</v>
      </c>
      <c r="D23" s="51">
        <v>1</v>
      </c>
      <c r="E23" s="58">
        <f>Table212314[[#This Row],[qtyx1]]*17</f>
        <v>17</v>
      </c>
      <c r="F23" s="51"/>
      <c r="G23" s="51"/>
    </row>
    <row r="24" spans="1:7" ht="18" hidden="1" x14ac:dyDescent="0.35">
      <c r="A24" s="51" t="s">
        <v>1957</v>
      </c>
      <c r="B24" s="51" t="s">
        <v>1759</v>
      </c>
      <c r="C24" s="61" t="s">
        <v>520</v>
      </c>
      <c r="D24" s="51">
        <v>2</v>
      </c>
      <c r="E24" s="58">
        <f>Table212314[[#This Row],[qtyx1]]*17</f>
        <v>34</v>
      </c>
      <c r="F24" s="51"/>
      <c r="G24" s="51"/>
    </row>
    <row r="25" spans="1:7" ht="18" hidden="1" x14ac:dyDescent="0.35">
      <c r="A25" s="51" t="s">
        <v>2136</v>
      </c>
      <c r="B25" s="51" t="s">
        <v>811</v>
      </c>
      <c r="C25" s="61" t="s">
        <v>812</v>
      </c>
      <c r="D25" s="51">
        <v>1</v>
      </c>
      <c r="E25" s="58">
        <f>Table212314[[#This Row],[qtyx1]]*17</f>
        <v>17</v>
      </c>
      <c r="F25" s="51"/>
      <c r="G25" s="51"/>
    </row>
    <row r="26" spans="1:7" ht="18" x14ac:dyDescent="0.35">
      <c r="A26" s="51" t="s">
        <v>2137</v>
      </c>
      <c r="B26" s="51" t="s">
        <v>1894</v>
      </c>
      <c r="C26" s="61" t="s">
        <v>248</v>
      </c>
      <c r="D26" s="51">
        <v>6</v>
      </c>
      <c r="E26" s="58">
        <f>Table212314[[#This Row],[qtyx1]]*17</f>
        <v>102</v>
      </c>
      <c r="F26" s="51"/>
      <c r="G26" s="51">
        <v>1</v>
      </c>
    </row>
    <row r="27" spans="1:7" ht="18" x14ac:dyDescent="0.35">
      <c r="A27" s="51" t="s">
        <v>1937</v>
      </c>
      <c r="B27" s="51" t="s">
        <v>203</v>
      </c>
      <c r="C27" s="61" t="s">
        <v>1733</v>
      </c>
      <c r="D27" s="51">
        <v>1</v>
      </c>
      <c r="E27" s="58">
        <f>Table212314[[#This Row],[qtyx1]]*17</f>
        <v>17</v>
      </c>
      <c r="F27" s="51"/>
      <c r="G27" s="51">
        <v>1</v>
      </c>
    </row>
    <row r="28" spans="1:7" ht="18" hidden="1" x14ac:dyDescent="0.35">
      <c r="A28" s="51" t="s">
        <v>1983</v>
      </c>
      <c r="B28" s="51" t="s">
        <v>953</v>
      </c>
      <c r="C28" s="61" t="s">
        <v>396</v>
      </c>
      <c r="D28" s="51">
        <v>3</v>
      </c>
      <c r="E28" s="58">
        <f>Table212314[[#This Row],[qtyx1]]*17</f>
        <v>51</v>
      </c>
      <c r="F28" s="51"/>
      <c r="G28" s="51"/>
    </row>
    <row r="29" spans="1:7" ht="18" hidden="1" x14ac:dyDescent="0.35">
      <c r="A29" s="51" t="s">
        <v>1941</v>
      </c>
      <c r="B29" s="51" t="s">
        <v>773</v>
      </c>
      <c r="C29" s="61" t="s">
        <v>1707</v>
      </c>
      <c r="D29" s="51">
        <v>1</v>
      </c>
      <c r="E29" s="58">
        <f>Table212314[[#This Row],[qtyx1]]*17</f>
        <v>17</v>
      </c>
      <c r="F29" s="51"/>
      <c r="G29" s="51"/>
    </row>
    <row r="30" spans="1:7" ht="18" hidden="1" x14ac:dyDescent="0.35">
      <c r="A30" s="51" t="s">
        <v>1980</v>
      </c>
      <c r="B30" s="51" t="s">
        <v>945</v>
      </c>
      <c r="C30" s="61" t="s">
        <v>383</v>
      </c>
      <c r="D30" s="51">
        <v>1</v>
      </c>
      <c r="E30" s="58">
        <f>Table212314[[#This Row],[qtyx1]]*17</f>
        <v>17</v>
      </c>
      <c r="F30" s="51"/>
      <c r="G30" s="51"/>
    </row>
    <row r="31" spans="1:7" ht="18" x14ac:dyDescent="0.35">
      <c r="A31" s="51" t="s">
        <v>1948</v>
      </c>
      <c r="B31" s="51" t="s">
        <v>986</v>
      </c>
      <c r="C31" s="61" t="s">
        <v>1709</v>
      </c>
      <c r="D31" s="51">
        <v>1</v>
      </c>
      <c r="E31" s="58">
        <f>Table212314[[#This Row],[qtyx1]]*17</f>
        <v>17</v>
      </c>
      <c r="F31" s="51"/>
      <c r="G31" s="51">
        <v>1</v>
      </c>
    </row>
    <row r="32" spans="1:7" ht="18" hidden="1" x14ac:dyDescent="0.35">
      <c r="A32" s="51" t="s">
        <v>1924</v>
      </c>
      <c r="B32" s="51" t="s">
        <v>143</v>
      </c>
      <c r="C32" s="61" t="s">
        <v>241</v>
      </c>
      <c r="D32" s="51">
        <v>2</v>
      </c>
      <c r="E32" s="58">
        <f>Table212314[[#This Row],[qtyx1]]*17</f>
        <v>34</v>
      </c>
      <c r="F32" s="51"/>
      <c r="G32" s="51"/>
    </row>
    <row r="33" spans="1:7" ht="18" hidden="1" x14ac:dyDescent="0.35">
      <c r="A33" s="51" t="s">
        <v>1953</v>
      </c>
      <c r="B33" s="51" t="s">
        <v>1750</v>
      </c>
      <c r="C33" s="61" t="s">
        <v>1767</v>
      </c>
      <c r="D33" s="51">
        <v>1</v>
      </c>
      <c r="E33" s="58">
        <f>Table212314[[#This Row],[qtyx1]]*17</f>
        <v>17</v>
      </c>
      <c r="F33" s="51"/>
      <c r="G33" s="51"/>
    </row>
    <row r="34" spans="1:7" ht="18" hidden="1" x14ac:dyDescent="0.35">
      <c r="A34" s="51" t="s">
        <v>2138</v>
      </c>
      <c r="B34" s="51" t="s">
        <v>168</v>
      </c>
      <c r="C34" s="61" t="s">
        <v>259</v>
      </c>
      <c r="D34" s="51">
        <v>1</v>
      </c>
      <c r="E34" s="58">
        <f>Table212314[[#This Row],[qtyx1]]*17</f>
        <v>17</v>
      </c>
      <c r="F34" s="51"/>
      <c r="G34" s="51"/>
    </row>
    <row r="35" spans="1:7" ht="18" x14ac:dyDescent="0.35">
      <c r="A35" s="51" t="s">
        <v>1908</v>
      </c>
      <c r="B35" s="51" t="s">
        <v>107</v>
      </c>
      <c r="C35" s="61" t="s">
        <v>1257</v>
      </c>
      <c r="D35" s="51">
        <v>2</v>
      </c>
      <c r="E35" s="58">
        <f>Table212314[[#This Row],[qtyx1]]*17</f>
        <v>34</v>
      </c>
      <c r="F35" s="51"/>
      <c r="G35" s="51">
        <v>1</v>
      </c>
    </row>
    <row r="36" spans="1:7" ht="18" hidden="1" x14ac:dyDescent="0.35">
      <c r="A36" s="51" t="s">
        <v>1938</v>
      </c>
      <c r="B36" s="51" t="s">
        <v>288</v>
      </c>
      <c r="C36" s="61" t="s">
        <v>598</v>
      </c>
      <c r="D36" s="51">
        <v>1</v>
      </c>
      <c r="E36" s="58">
        <f>Table212314[[#This Row],[qtyx1]]*17</f>
        <v>17</v>
      </c>
      <c r="F36" s="51"/>
      <c r="G36" s="51"/>
    </row>
    <row r="37" spans="1:7" ht="18" hidden="1" x14ac:dyDescent="0.35">
      <c r="A37" s="51" t="s">
        <v>2139</v>
      </c>
      <c r="B37" s="51" t="s">
        <v>2066</v>
      </c>
      <c r="C37" s="61" t="s">
        <v>250</v>
      </c>
      <c r="D37" s="51">
        <v>4</v>
      </c>
      <c r="E37" s="58">
        <f>Table212314[[#This Row],[qtyx1]]*17</f>
        <v>68</v>
      </c>
      <c r="F37" s="51"/>
      <c r="G37" s="51"/>
    </row>
    <row r="38" spans="1:7" ht="18" x14ac:dyDescent="0.35">
      <c r="A38" s="51" t="s">
        <v>1933</v>
      </c>
      <c r="B38" s="51" t="s">
        <v>161</v>
      </c>
      <c r="C38" s="61" t="s">
        <v>595</v>
      </c>
      <c r="D38" s="51">
        <v>1</v>
      </c>
      <c r="E38" s="58">
        <f>Table212314[[#This Row],[qtyx1]]*17</f>
        <v>17</v>
      </c>
      <c r="F38" s="51"/>
      <c r="G38" s="51">
        <v>1</v>
      </c>
    </row>
    <row r="39" spans="1:7" ht="18" hidden="1" x14ac:dyDescent="0.35">
      <c r="A39" s="51" t="s">
        <v>2140</v>
      </c>
      <c r="B39" s="51" t="s">
        <v>2111</v>
      </c>
      <c r="C39" s="61" t="s">
        <v>1231</v>
      </c>
      <c r="D39" s="51">
        <v>1</v>
      </c>
      <c r="E39" s="58">
        <f>Table212314[[#This Row],[qtyx1]]*17</f>
        <v>17</v>
      </c>
      <c r="F39" s="51"/>
      <c r="G39" s="51"/>
    </row>
    <row r="40" spans="1:7" ht="18" hidden="1" x14ac:dyDescent="0.35">
      <c r="A40" s="51" t="s">
        <v>2141</v>
      </c>
      <c r="B40" s="51" t="s">
        <v>137</v>
      </c>
      <c r="C40" s="61" t="s">
        <v>1232</v>
      </c>
      <c r="D40" s="51">
        <v>9</v>
      </c>
      <c r="E40" s="58">
        <f>Table212314[[#This Row],[qtyx1]]*17</f>
        <v>153</v>
      </c>
      <c r="F40" s="51"/>
      <c r="G40" s="51"/>
    </row>
    <row r="41" spans="1:7" ht="18" x14ac:dyDescent="0.35">
      <c r="A41" s="51" t="s">
        <v>2142</v>
      </c>
      <c r="B41" s="51" t="s">
        <v>2053</v>
      </c>
      <c r="C41" s="61" t="s">
        <v>2060</v>
      </c>
      <c r="D41" s="51">
        <v>4</v>
      </c>
      <c r="E41" s="58">
        <f>Table212314[[#This Row],[qtyx1]]*17</f>
        <v>68</v>
      </c>
      <c r="F41" s="51"/>
      <c r="G41" s="51">
        <v>1</v>
      </c>
    </row>
    <row r="42" spans="1:7" ht="18" x14ac:dyDescent="0.35">
      <c r="A42" s="51" t="s">
        <v>1913</v>
      </c>
      <c r="B42" s="51" t="s">
        <v>121</v>
      </c>
      <c r="C42" s="61">
        <v>7198916130</v>
      </c>
      <c r="D42" s="51">
        <v>1</v>
      </c>
      <c r="E42" s="58">
        <f>Table212314[[#This Row],[qtyx1]]*17</f>
        <v>17</v>
      </c>
      <c r="F42" s="51"/>
      <c r="G42" s="51">
        <v>1</v>
      </c>
    </row>
    <row r="43" spans="1:7" ht="18" hidden="1" x14ac:dyDescent="0.35">
      <c r="A43" s="51" t="s">
        <v>1946</v>
      </c>
      <c r="B43" s="51" t="s">
        <v>855</v>
      </c>
      <c r="C43" s="61" t="s">
        <v>602</v>
      </c>
      <c r="D43" s="51">
        <v>1</v>
      </c>
      <c r="E43" s="58">
        <f>Table212314[[#This Row],[qtyx1]]*17</f>
        <v>17</v>
      </c>
      <c r="F43" s="51"/>
      <c r="G43" s="51"/>
    </row>
    <row r="44" spans="1:7" ht="18" x14ac:dyDescent="0.35">
      <c r="A44" s="51" t="s">
        <v>1903</v>
      </c>
      <c r="B44" s="51" t="s">
        <v>90</v>
      </c>
      <c r="C44" s="61" t="s">
        <v>317</v>
      </c>
      <c r="D44" s="51">
        <v>1</v>
      </c>
      <c r="E44" s="58">
        <f>Table212314[[#This Row],[qtyx1]]*17</f>
        <v>17</v>
      </c>
      <c r="F44" s="51"/>
      <c r="G44" s="51">
        <v>1</v>
      </c>
    </row>
    <row r="45" spans="1:7" ht="18" hidden="1" x14ac:dyDescent="0.35">
      <c r="A45" s="51" t="s">
        <v>2143</v>
      </c>
      <c r="B45" s="51" t="s">
        <v>1997</v>
      </c>
      <c r="C45" s="61" t="s">
        <v>935</v>
      </c>
      <c r="D45" s="51">
        <v>1</v>
      </c>
      <c r="E45" s="58">
        <f>Table212314[[#This Row],[qtyx1]]*17</f>
        <v>17</v>
      </c>
      <c r="F45" s="51"/>
      <c r="G45" s="51"/>
    </row>
    <row r="46" spans="1:7" ht="18" x14ac:dyDescent="0.35">
      <c r="A46" s="51" t="s">
        <v>2144</v>
      </c>
      <c r="B46" s="51" t="s">
        <v>2054</v>
      </c>
      <c r="C46" s="61" t="s">
        <v>2062</v>
      </c>
      <c r="D46" s="51">
        <v>1</v>
      </c>
      <c r="E46" s="58">
        <f>Table212314[[#This Row],[qtyx1]]*17</f>
        <v>17</v>
      </c>
      <c r="F46" s="51"/>
      <c r="G46" s="51">
        <v>1</v>
      </c>
    </row>
    <row r="47" spans="1:7" ht="18" hidden="1" x14ac:dyDescent="0.35">
      <c r="A47" s="51" t="s">
        <v>2145</v>
      </c>
      <c r="B47" s="51" t="s">
        <v>2019</v>
      </c>
      <c r="C47" s="61" t="s">
        <v>224</v>
      </c>
      <c r="D47" s="51">
        <v>1</v>
      </c>
      <c r="E47" s="58">
        <f>Table212314[[#This Row],[qtyx1]]*17</f>
        <v>17</v>
      </c>
      <c r="F47" s="51"/>
      <c r="G47" s="51"/>
    </row>
    <row r="48" spans="1:7" ht="18" hidden="1" x14ac:dyDescent="0.35">
      <c r="A48" s="51" t="s">
        <v>2146</v>
      </c>
      <c r="B48" s="51" t="s">
        <v>2040</v>
      </c>
      <c r="C48" s="61" t="s">
        <v>214</v>
      </c>
      <c r="D48" s="51">
        <v>1</v>
      </c>
      <c r="E48" s="58">
        <f>Table212314[[#This Row],[qtyx1]]*17</f>
        <v>17</v>
      </c>
      <c r="F48" s="51"/>
      <c r="G48" s="51"/>
    </row>
    <row r="49" spans="1:7" ht="18" hidden="1" x14ac:dyDescent="0.35">
      <c r="A49" s="51" t="s">
        <v>1947</v>
      </c>
      <c r="B49" s="51" t="s">
        <v>856</v>
      </c>
      <c r="C49" s="61" t="s">
        <v>1284</v>
      </c>
      <c r="D49" s="51">
        <v>1</v>
      </c>
      <c r="E49" s="58">
        <f>Table212314[[#This Row],[qtyx1]]*17</f>
        <v>17</v>
      </c>
      <c r="F49" s="51"/>
      <c r="G49" s="51"/>
    </row>
    <row r="50" spans="1:7" ht="18" hidden="1" x14ac:dyDescent="0.35">
      <c r="A50" s="51" t="s">
        <v>1935</v>
      </c>
      <c r="B50" s="51" t="s">
        <v>170</v>
      </c>
      <c r="C50" s="61" t="s">
        <v>260</v>
      </c>
      <c r="D50" s="51">
        <v>1</v>
      </c>
      <c r="E50" s="58">
        <f>Table212314[[#This Row],[qtyx1]]*17</f>
        <v>17</v>
      </c>
      <c r="F50" s="51"/>
      <c r="G50" s="51"/>
    </row>
    <row r="51" spans="1:7" ht="18" hidden="1" x14ac:dyDescent="0.35">
      <c r="A51" s="51" t="s">
        <v>1976</v>
      </c>
      <c r="B51" s="51" t="s">
        <v>981</v>
      </c>
      <c r="C51" s="61" t="s">
        <v>1339</v>
      </c>
      <c r="D51" s="51">
        <v>2</v>
      </c>
      <c r="E51" s="58">
        <f>Table212314[[#This Row],[qtyx1]]*17</f>
        <v>34</v>
      </c>
      <c r="F51" s="51"/>
      <c r="G51" s="51"/>
    </row>
    <row r="52" spans="1:7" ht="18" hidden="1" x14ac:dyDescent="0.35">
      <c r="A52" s="51" t="s">
        <v>1934</v>
      </c>
      <c r="B52" s="51" t="s">
        <v>169</v>
      </c>
      <c r="C52" s="61" t="s">
        <v>626</v>
      </c>
      <c r="D52" s="51">
        <v>1</v>
      </c>
      <c r="E52" s="58">
        <f>Table212314[[#This Row],[qtyx1]]*17</f>
        <v>17</v>
      </c>
      <c r="F52" s="51"/>
      <c r="G52" s="51"/>
    </row>
    <row r="53" spans="1:7" ht="18" x14ac:dyDescent="0.35">
      <c r="A53" s="51" t="s">
        <v>2147</v>
      </c>
      <c r="B53" s="51" t="s">
        <v>2034</v>
      </c>
      <c r="C53" s="61" t="s">
        <v>2050</v>
      </c>
      <c r="D53" s="51">
        <v>1</v>
      </c>
      <c r="E53" s="58">
        <f>Table212314[[#This Row],[qtyx1]]*17</f>
        <v>17</v>
      </c>
      <c r="F53" s="51"/>
      <c r="G53" s="51">
        <v>1</v>
      </c>
    </row>
    <row r="54" spans="1:7" ht="18" hidden="1" x14ac:dyDescent="0.35">
      <c r="A54" s="51" t="s">
        <v>1978</v>
      </c>
      <c r="B54" s="51" t="s">
        <v>936</v>
      </c>
      <c r="C54" s="61" t="s">
        <v>378</v>
      </c>
      <c r="D54" s="51">
        <v>1</v>
      </c>
      <c r="E54" s="58">
        <f>Table212314[[#This Row],[qtyx1]]*17</f>
        <v>17</v>
      </c>
      <c r="F54" s="51"/>
      <c r="G54" s="51"/>
    </row>
    <row r="55" spans="1:7" ht="18" hidden="1" x14ac:dyDescent="0.35">
      <c r="A55" s="51" t="s">
        <v>2148</v>
      </c>
      <c r="B55" s="51" t="s">
        <v>210</v>
      </c>
      <c r="C55" s="61" t="s">
        <v>824</v>
      </c>
      <c r="D55" s="51">
        <v>2</v>
      </c>
      <c r="E55" s="58">
        <f>Table212314[[#This Row],[qtyx1]]*17</f>
        <v>34</v>
      </c>
      <c r="F55" s="51"/>
      <c r="G55" s="51"/>
    </row>
    <row r="56" spans="1:7" ht="18" x14ac:dyDescent="0.35">
      <c r="A56" s="51" t="s">
        <v>1899</v>
      </c>
      <c r="B56" s="51" t="s">
        <v>81</v>
      </c>
      <c r="C56" s="61">
        <v>7118670020</v>
      </c>
      <c r="D56" s="51">
        <v>2</v>
      </c>
      <c r="E56" s="58">
        <f>Table212314[[#This Row],[qtyx1]]*17</f>
        <v>34</v>
      </c>
      <c r="F56" s="51" t="s">
        <v>1328</v>
      </c>
      <c r="G56" s="51">
        <v>1</v>
      </c>
    </row>
    <row r="57" spans="1:7" ht="18" hidden="1" x14ac:dyDescent="0.35">
      <c r="A57" s="51" t="s">
        <v>1943</v>
      </c>
      <c r="B57" s="51" t="s">
        <v>831</v>
      </c>
      <c r="C57" s="61" t="s">
        <v>833</v>
      </c>
      <c r="D57" s="51">
        <v>2</v>
      </c>
      <c r="E57" s="58">
        <f>Table212314[[#This Row],[qtyx1]]*17</f>
        <v>34</v>
      </c>
      <c r="F57" s="51"/>
      <c r="G57" s="51"/>
    </row>
    <row r="58" spans="1:7" ht="18" hidden="1" x14ac:dyDescent="0.35">
      <c r="A58" s="51" t="s">
        <v>1931</v>
      </c>
      <c r="B58" s="51" t="s">
        <v>155</v>
      </c>
      <c r="C58" s="61" t="s">
        <v>251</v>
      </c>
      <c r="D58" s="51">
        <v>1</v>
      </c>
      <c r="E58" s="58">
        <f>Table212314[[#This Row],[qtyx1]]*17</f>
        <v>17</v>
      </c>
      <c r="F58" s="51"/>
      <c r="G58" s="51"/>
    </row>
    <row r="59" spans="1:7" ht="18" x14ac:dyDescent="0.35">
      <c r="A59" s="51" t="s">
        <v>1904</v>
      </c>
      <c r="B59" s="51" t="s">
        <v>91</v>
      </c>
      <c r="C59" s="61" t="s">
        <v>1254</v>
      </c>
      <c r="D59" s="51">
        <v>1</v>
      </c>
      <c r="E59" s="58">
        <f>Table212314[[#This Row],[qtyx1]]*17</f>
        <v>17</v>
      </c>
      <c r="F59" s="51"/>
      <c r="G59" s="51">
        <v>1</v>
      </c>
    </row>
    <row r="60" spans="1:7" ht="18" hidden="1" x14ac:dyDescent="0.35">
      <c r="A60" s="51" t="s">
        <v>1979</v>
      </c>
      <c r="B60" s="51" t="s">
        <v>939</v>
      </c>
      <c r="C60" s="61" t="s">
        <v>380</v>
      </c>
      <c r="D60" s="51">
        <v>1</v>
      </c>
      <c r="E60" s="58">
        <f>Table212314[[#This Row],[qtyx1]]*17</f>
        <v>17</v>
      </c>
      <c r="F60" s="51"/>
      <c r="G60" s="51"/>
    </row>
    <row r="61" spans="1:7" ht="18" hidden="1" x14ac:dyDescent="0.35">
      <c r="A61" s="51" t="s">
        <v>2149</v>
      </c>
      <c r="B61" s="51" t="s">
        <v>2018</v>
      </c>
      <c r="C61" s="61" t="s">
        <v>225</v>
      </c>
      <c r="D61" s="51">
        <v>1</v>
      </c>
      <c r="E61" s="58">
        <f>Table212314[[#This Row],[qtyx1]]*17</f>
        <v>17</v>
      </c>
      <c r="F61" s="51"/>
      <c r="G61" s="51"/>
    </row>
    <row r="62" spans="1:7" ht="18" hidden="1" x14ac:dyDescent="0.35">
      <c r="A62" s="51" t="s">
        <v>1932</v>
      </c>
      <c r="B62" s="51" t="s">
        <v>156</v>
      </c>
      <c r="C62" s="61" t="s">
        <v>656</v>
      </c>
      <c r="D62" s="51">
        <v>1</v>
      </c>
      <c r="E62" s="58">
        <f>Table212314[[#This Row],[qtyx1]]*17</f>
        <v>17</v>
      </c>
      <c r="F62" s="51"/>
      <c r="G62" s="51"/>
    </row>
    <row r="63" spans="1:7" ht="18" hidden="1" x14ac:dyDescent="0.35">
      <c r="A63" s="51" t="s">
        <v>1930</v>
      </c>
      <c r="B63" s="51" t="s">
        <v>150</v>
      </c>
      <c r="C63" s="61" t="s">
        <v>246</v>
      </c>
      <c r="D63" s="51">
        <v>1</v>
      </c>
      <c r="E63" s="58">
        <f>Table212314[[#This Row],[qtyx1]]*17</f>
        <v>17</v>
      </c>
      <c r="F63" s="51"/>
      <c r="G63" s="51"/>
    </row>
    <row r="64" spans="1:7" ht="18" hidden="1" x14ac:dyDescent="0.35">
      <c r="A64" s="51" t="s">
        <v>1982</v>
      </c>
      <c r="B64" s="51" t="s">
        <v>942</v>
      </c>
      <c r="C64" s="61" t="s">
        <v>394</v>
      </c>
      <c r="D64" s="51">
        <v>2</v>
      </c>
      <c r="E64" s="58">
        <f>Table212314[[#This Row],[qtyx1]]*17</f>
        <v>34</v>
      </c>
      <c r="F64" s="51"/>
      <c r="G64" s="51"/>
    </row>
    <row r="65" spans="1:7" ht="18" x14ac:dyDescent="0.35">
      <c r="A65" s="51" t="s">
        <v>2150</v>
      </c>
      <c r="B65" s="51" t="s">
        <v>1992</v>
      </c>
      <c r="C65" s="61" t="s">
        <v>2007</v>
      </c>
      <c r="D65" s="51">
        <v>1</v>
      </c>
      <c r="E65" s="58">
        <f>Table212314[[#This Row],[qtyx1]]*17</f>
        <v>17</v>
      </c>
      <c r="F65" s="51"/>
      <c r="G65" s="51">
        <v>1</v>
      </c>
    </row>
    <row r="66" spans="1:7" ht="18" hidden="1" x14ac:dyDescent="0.35">
      <c r="A66" s="51" t="s">
        <v>2151</v>
      </c>
      <c r="B66" s="51" t="s">
        <v>2114</v>
      </c>
      <c r="C66" s="61" t="s">
        <v>557</v>
      </c>
      <c r="D66" s="51">
        <v>1</v>
      </c>
      <c r="E66" s="58">
        <f>Table212314[[#This Row],[qtyx1]]*17</f>
        <v>17</v>
      </c>
      <c r="F66" s="51"/>
      <c r="G66" s="51"/>
    </row>
    <row r="67" spans="1:7" ht="18" x14ac:dyDescent="0.35">
      <c r="A67" s="51" t="s">
        <v>1954</v>
      </c>
      <c r="B67" s="51" t="s">
        <v>985</v>
      </c>
      <c r="C67" s="61" t="s">
        <v>1727</v>
      </c>
      <c r="D67" s="51">
        <v>1</v>
      </c>
      <c r="E67" s="58">
        <f>Table212314[[#This Row],[qtyx1]]*17</f>
        <v>17</v>
      </c>
      <c r="F67" s="51"/>
      <c r="G67" s="51">
        <v>1</v>
      </c>
    </row>
    <row r="68" spans="1:7" ht="18" hidden="1" x14ac:dyDescent="0.35">
      <c r="A68" s="51" t="s">
        <v>1966</v>
      </c>
      <c r="B68" s="51" t="s">
        <v>1332</v>
      </c>
      <c r="C68" s="61" t="s">
        <v>365</v>
      </c>
      <c r="D68" s="51">
        <v>30</v>
      </c>
      <c r="E68" s="58">
        <f>Table212314[[#This Row],[qtyx1]]*17</f>
        <v>510</v>
      </c>
      <c r="F68" s="51"/>
      <c r="G68" s="51"/>
    </row>
    <row r="69" spans="1:7" ht="18" hidden="1" x14ac:dyDescent="0.35">
      <c r="A69" s="51" t="s">
        <v>1955</v>
      </c>
      <c r="B69" s="51" t="s">
        <v>1747</v>
      </c>
      <c r="C69" s="61" t="s">
        <v>797</v>
      </c>
      <c r="D69" s="51">
        <v>2</v>
      </c>
      <c r="E69" s="58">
        <f>Table212314[[#This Row],[qtyx1]]*17</f>
        <v>34</v>
      </c>
      <c r="F69" s="51"/>
      <c r="G69" s="51"/>
    </row>
    <row r="70" spans="1:7" ht="18" hidden="1" x14ac:dyDescent="0.35">
      <c r="A70" s="51" t="s">
        <v>1969</v>
      </c>
      <c r="B70" s="51" t="s">
        <v>190</v>
      </c>
      <c r="C70" s="61" t="s">
        <v>390</v>
      </c>
      <c r="D70" s="51">
        <v>2</v>
      </c>
      <c r="E70" s="58">
        <f>Table212314[[#This Row],[qtyx1]]*17</f>
        <v>34</v>
      </c>
      <c r="F70" s="51"/>
      <c r="G70" s="51"/>
    </row>
    <row r="71" spans="1:7" ht="18" x14ac:dyDescent="0.35">
      <c r="A71" s="51" t="s">
        <v>1898</v>
      </c>
      <c r="B71" s="51" t="s">
        <v>80</v>
      </c>
      <c r="C71" s="61" t="s">
        <v>514</v>
      </c>
      <c r="D71" s="51">
        <v>2</v>
      </c>
      <c r="E71" s="58">
        <f>Table212314[[#This Row],[qtyx1]]*17</f>
        <v>34</v>
      </c>
      <c r="F71" s="51"/>
      <c r="G71" s="51">
        <v>1</v>
      </c>
    </row>
    <row r="72" spans="1:7" ht="18" hidden="1" x14ac:dyDescent="0.35">
      <c r="A72" s="51" t="s">
        <v>2152</v>
      </c>
      <c r="B72" s="51" t="s">
        <v>2014</v>
      </c>
      <c r="C72" s="61" t="s">
        <v>935</v>
      </c>
      <c r="D72" s="51">
        <v>1</v>
      </c>
      <c r="E72" s="58">
        <f>Table212314[[#This Row],[qtyx1]]*17</f>
        <v>17</v>
      </c>
      <c r="F72" s="51"/>
      <c r="G72" s="51"/>
    </row>
    <row r="73" spans="1:7" ht="18" hidden="1" x14ac:dyDescent="0.35">
      <c r="A73" s="51" t="s">
        <v>1968</v>
      </c>
      <c r="B73" s="51" t="s">
        <v>187</v>
      </c>
      <c r="C73" s="61" t="s">
        <v>385</v>
      </c>
      <c r="D73" s="51">
        <v>2</v>
      </c>
      <c r="E73" s="58">
        <f>Table212314[[#This Row],[qtyx1]]*17</f>
        <v>34</v>
      </c>
      <c r="F73" s="51"/>
      <c r="G73" s="51"/>
    </row>
    <row r="74" spans="1:7" ht="18" hidden="1" x14ac:dyDescent="0.35">
      <c r="A74" s="51" t="s">
        <v>1952</v>
      </c>
      <c r="B74" s="51" t="s">
        <v>963</v>
      </c>
      <c r="C74" s="61" t="s">
        <v>1724</v>
      </c>
      <c r="D74" s="51">
        <v>1</v>
      </c>
      <c r="E74" s="58">
        <f>Table212314[[#This Row],[qtyx1]]*17</f>
        <v>17</v>
      </c>
      <c r="F74" s="51"/>
      <c r="G74" s="51"/>
    </row>
    <row r="75" spans="1:7" ht="18" x14ac:dyDescent="0.35">
      <c r="A75" s="51" t="s">
        <v>1910</v>
      </c>
      <c r="B75" s="51" t="s">
        <v>744</v>
      </c>
      <c r="C75" s="61" t="s">
        <v>334</v>
      </c>
      <c r="D75" s="51">
        <v>1</v>
      </c>
      <c r="E75" s="58">
        <f>Table212314[[#This Row],[qtyx1]]*17</f>
        <v>17</v>
      </c>
      <c r="F75" s="51"/>
      <c r="G75" s="51">
        <v>1</v>
      </c>
    </row>
    <row r="76" spans="1:7" ht="18" hidden="1" x14ac:dyDescent="0.35">
      <c r="A76" s="51" t="s">
        <v>1972</v>
      </c>
      <c r="B76" s="51" t="s">
        <v>191</v>
      </c>
      <c r="C76" s="61" t="s">
        <v>398</v>
      </c>
      <c r="D76" s="51">
        <v>12</v>
      </c>
      <c r="E76" s="58">
        <f>Table212314[[#This Row],[qtyx1]]*17</f>
        <v>204</v>
      </c>
      <c r="F76" s="51"/>
      <c r="G76" s="51"/>
    </row>
    <row r="77" spans="1:7" ht="18" x14ac:dyDescent="0.35">
      <c r="A77" s="51" t="s">
        <v>1919</v>
      </c>
      <c r="B77" s="51" t="s">
        <v>134</v>
      </c>
      <c r="C77" s="61" t="s">
        <v>1269</v>
      </c>
      <c r="D77" s="51">
        <v>2</v>
      </c>
      <c r="E77" s="58">
        <f>Table212314[[#This Row],[qtyx1]]*17</f>
        <v>34</v>
      </c>
      <c r="F77" s="51"/>
      <c r="G77" s="51">
        <v>1</v>
      </c>
    </row>
    <row r="78" spans="1:7" ht="18" x14ac:dyDescent="0.35">
      <c r="A78" s="51" t="s">
        <v>2153</v>
      </c>
      <c r="B78" s="51" t="s">
        <v>2117</v>
      </c>
      <c r="C78" s="61" t="s">
        <v>212</v>
      </c>
      <c r="D78" s="51">
        <v>1</v>
      </c>
      <c r="E78" s="58">
        <f>Table212314[[#This Row],[qtyx1]]*17</f>
        <v>17</v>
      </c>
      <c r="F78" s="51"/>
      <c r="G78" s="51">
        <v>1</v>
      </c>
    </row>
    <row r="79" spans="1:7" ht="18" x14ac:dyDescent="0.35">
      <c r="A79" s="51" t="s">
        <v>1936</v>
      </c>
      <c r="B79" s="51" t="s">
        <v>201</v>
      </c>
      <c r="C79" s="61" t="s">
        <v>1741</v>
      </c>
      <c r="D79" s="51">
        <v>1</v>
      </c>
      <c r="E79" s="58">
        <f>Table212314[[#This Row],[qtyx1]]*17</f>
        <v>17</v>
      </c>
      <c r="F79" s="51"/>
      <c r="G79" s="51">
        <v>1</v>
      </c>
    </row>
    <row r="80" spans="1:7" ht="18" hidden="1" x14ac:dyDescent="0.35">
      <c r="A80" s="51" t="s">
        <v>1922</v>
      </c>
      <c r="B80" s="51" t="s">
        <v>141</v>
      </c>
      <c r="C80" s="61" t="s">
        <v>240</v>
      </c>
      <c r="D80" s="51">
        <v>2</v>
      </c>
      <c r="E80" s="58">
        <f>Table212314[[#This Row],[qtyx1]]*17</f>
        <v>34</v>
      </c>
      <c r="F80" s="51"/>
      <c r="G80" s="51"/>
    </row>
    <row r="81" spans="1:7" ht="18" x14ac:dyDescent="0.35">
      <c r="A81" s="51" t="s">
        <v>1912</v>
      </c>
      <c r="B81" s="51" t="s">
        <v>118</v>
      </c>
      <c r="C81" s="61" t="s">
        <v>1261</v>
      </c>
      <c r="D81" s="51">
        <v>1</v>
      </c>
      <c r="E81" s="58">
        <f>Table212314[[#This Row],[qtyx1]]*17</f>
        <v>17</v>
      </c>
      <c r="F81" s="51"/>
      <c r="G81" s="51">
        <v>1</v>
      </c>
    </row>
    <row r="82" spans="1:7" ht="18" x14ac:dyDescent="0.35">
      <c r="A82" s="51" t="s">
        <v>2154</v>
      </c>
      <c r="B82" s="51" t="s">
        <v>2038</v>
      </c>
      <c r="C82" s="61" t="s">
        <v>2046</v>
      </c>
      <c r="D82" s="51">
        <v>1</v>
      </c>
      <c r="E82" s="58">
        <f>Table212314[[#This Row],[qtyx1]]*17</f>
        <v>17</v>
      </c>
      <c r="F82" s="51"/>
      <c r="G82" s="51">
        <v>1</v>
      </c>
    </row>
    <row r="83" spans="1:7" ht="18" x14ac:dyDescent="0.35">
      <c r="A83" s="51" t="s">
        <v>1949</v>
      </c>
      <c r="B83" s="51" t="s">
        <v>964</v>
      </c>
      <c r="C83" s="61" t="s">
        <v>869</v>
      </c>
      <c r="D83" s="51">
        <v>1</v>
      </c>
      <c r="E83" s="58">
        <f>Table212314[[#This Row],[qtyx1]]*17</f>
        <v>17</v>
      </c>
      <c r="F83" s="51"/>
      <c r="G83" s="51">
        <v>1</v>
      </c>
    </row>
    <row r="84" spans="1:7" ht="18" x14ac:dyDescent="0.35">
      <c r="A84" s="51" t="s">
        <v>1905</v>
      </c>
      <c r="B84" s="51" t="s">
        <v>97</v>
      </c>
      <c r="C84" s="61" t="s">
        <v>322</v>
      </c>
      <c r="D84" s="51">
        <v>1</v>
      </c>
      <c r="E84" s="58">
        <f>Table212314[[#This Row],[qtyx1]]*17</f>
        <v>17</v>
      </c>
      <c r="F84" s="51"/>
      <c r="G84" s="51">
        <v>1</v>
      </c>
    </row>
    <row r="85" spans="1:7" ht="18" hidden="1" x14ac:dyDescent="0.35">
      <c r="A85" s="51" t="s">
        <v>1973</v>
      </c>
      <c r="B85" s="51" t="s">
        <v>860</v>
      </c>
      <c r="C85" s="61" t="s">
        <v>363</v>
      </c>
      <c r="D85" s="51">
        <v>1</v>
      </c>
      <c r="E85" s="58">
        <f>Table212314[[#This Row],[qtyx1]]*17</f>
        <v>17</v>
      </c>
      <c r="F85" s="51"/>
      <c r="G85" s="51"/>
    </row>
    <row r="86" spans="1:7" ht="18" x14ac:dyDescent="0.35">
      <c r="A86" s="51" t="s">
        <v>1911</v>
      </c>
      <c r="B86" s="51" t="s">
        <v>117</v>
      </c>
      <c r="C86" s="61" t="s">
        <v>1259</v>
      </c>
      <c r="D86" s="51">
        <v>2</v>
      </c>
      <c r="E86" s="58">
        <f>Table212314[[#This Row],[qtyx1]]*17</f>
        <v>34</v>
      </c>
      <c r="F86" s="51"/>
      <c r="G86" s="51">
        <v>1</v>
      </c>
    </row>
    <row r="87" spans="1:7" ht="18" hidden="1" x14ac:dyDescent="0.35">
      <c r="A87" s="51" t="s">
        <v>1907</v>
      </c>
      <c r="B87" s="51" t="s">
        <v>106</v>
      </c>
      <c r="C87" s="61" t="s">
        <v>1735</v>
      </c>
      <c r="D87" s="51">
        <v>2</v>
      </c>
      <c r="E87" s="58">
        <f>Table212314[[#This Row],[qtyx1]]*17</f>
        <v>34</v>
      </c>
      <c r="F87" s="51"/>
      <c r="G87" s="51"/>
    </row>
    <row r="88" spans="1:7" ht="18" x14ac:dyDescent="0.35">
      <c r="A88" s="51" t="s">
        <v>1906</v>
      </c>
      <c r="B88" s="51" t="s">
        <v>103</v>
      </c>
      <c r="C88" s="61" t="s">
        <v>221</v>
      </c>
      <c r="D88" s="51">
        <v>1</v>
      </c>
      <c r="E88" s="58">
        <f>Table212314[[#This Row],[qtyx1]]*17</f>
        <v>17</v>
      </c>
      <c r="F88" s="51"/>
      <c r="G88" s="51">
        <v>1</v>
      </c>
    </row>
    <row r="89" spans="1:7" ht="18" x14ac:dyDescent="0.35">
      <c r="A89" s="51" t="s">
        <v>1914</v>
      </c>
      <c r="B89" s="51" t="s">
        <v>122</v>
      </c>
      <c r="C89" s="61" t="s">
        <v>1263</v>
      </c>
      <c r="D89" s="51">
        <v>3</v>
      </c>
      <c r="E89" s="58">
        <f>Table212314[[#This Row],[qtyx1]]*17</f>
        <v>51</v>
      </c>
      <c r="F89" s="51"/>
      <c r="G89" s="51">
        <v>1</v>
      </c>
    </row>
    <row r="90" spans="1:7" ht="18" hidden="1" x14ac:dyDescent="0.35">
      <c r="A90" s="51" t="s">
        <v>1944</v>
      </c>
      <c r="B90" s="51" t="s">
        <v>1354</v>
      </c>
      <c r="C90" s="61" t="s">
        <v>608</v>
      </c>
      <c r="D90" s="51">
        <v>1</v>
      </c>
      <c r="E90" s="58">
        <f>Table212314[[#This Row],[qtyx1]]*17</f>
        <v>17</v>
      </c>
      <c r="F90" s="51"/>
      <c r="G90" s="51"/>
    </row>
    <row r="91" spans="1:7" ht="18" x14ac:dyDescent="0.35">
      <c r="A91" s="51" t="s">
        <v>1958</v>
      </c>
      <c r="B91" s="51" t="s">
        <v>1763</v>
      </c>
      <c r="C91" s="61" t="s">
        <v>1765</v>
      </c>
      <c r="D91" s="51">
        <v>1</v>
      </c>
      <c r="E91" s="58">
        <f>Table212314[[#This Row],[qtyx1]]*17</f>
        <v>17</v>
      </c>
      <c r="F91" s="51"/>
      <c r="G91" s="51">
        <v>1</v>
      </c>
    </row>
    <row r="92" spans="1:7" ht="18" hidden="1" x14ac:dyDescent="0.35">
      <c r="A92" s="51" t="s">
        <v>2155</v>
      </c>
      <c r="B92" s="51" t="s">
        <v>135</v>
      </c>
      <c r="C92" s="61" t="s">
        <v>234</v>
      </c>
      <c r="D92" s="51">
        <v>4</v>
      </c>
      <c r="E92" s="58">
        <f>Table212314[[#This Row],[qtyx1]]*17</f>
        <v>68</v>
      </c>
      <c r="F92" s="51"/>
      <c r="G92" s="51"/>
    </row>
    <row r="93" spans="1:7" ht="18" hidden="1" x14ac:dyDescent="0.35">
      <c r="A93" s="51" t="s">
        <v>1928</v>
      </c>
      <c r="B93" s="51" t="s">
        <v>148</v>
      </c>
      <c r="C93" s="61" t="s">
        <v>244</v>
      </c>
      <c r="D93" s="51">
        <v>1</v>
      </c>
      <c r="E93" s="58">
        <f>Table212314[[#This Row],[qtyx1]]*17</f>
        <v>17</v>
      </c>
      <c r="F93" s="51"/>
      <c r="G93" s="51"/>
    </row>
    <row r="94" spans="1:7" ht="18" hidden="1" x14ac:dyDescent="0.35">
      <c r="A94" s="51" t="s">
        <v>2156</v>
      </c>
      <c r="B94" s="51" t="s">
        <v>2035</v>
      </c>
      <c r="C94" s="61" t="s">
        <v>1230</v>
      </c>
      <c r="D94" s="51">
        <v>1</v>
      </c>
      <c r="E94" s="58">
        <f>Table212314[[#This Row],[qtyx1]]*17</f>
        <v>17</v>
      </c>
      <c r="F94" s="51"/>
      <c r="G94" s="51"/>
    </row>
    <row r="95" spans="1:7" ht="18" hidden="1" x14ac:dyDescent="0.35">
      <c r="A95" s="51" t="s">
        <v>1945</v>
      </c>
      <c r="B95" s="51" t="s">
        <v>847</v>
      </c>
      <c r="C95" s="61" t="s">
        <v>1294</v>
      </c>
      <c r="D95" s="51">
        <v>1</v>
      </c>
      <c r="E95" s="58">
        <f>Table212314[[#This Row],[qtyx1]]*17</f>
        <v>17</v>
      </c>
      <c r="F95" s="51"/>
      <c r="G95" s="51"/>
    </row>
    <row r="96" spans="1:7" ht="18" hidden="1" x14ac:dyDescent="0.35">
      <c r="A96" s="51" t="s">
        <v>2157</v>
      </c>
      <c r="B96" s="51" t="s">
        <v>1998</v>
      </c>
      <c r="C96" s="61" t="s">
        <v>2004</v>
      </c>
      <c r="D96" s="51">
        <v>1</v>
      </c>
      <c r="E96" s="58">
        <f>Table212314[[#This Row],[qtyx1]]*17</f>
        <v>17</v>
      </c>
      <c r="F96" s="51"/>
      <c r="G96" s="51"/>
    </row>
    <row r="97" spans="1:7" ht="18" x14ac:dyDescent="0.35">
      <c r="A97" s="51" t="s">
        <v>2158</v>
      </c>
      <c r="B97" s="51" t="s">
        <v>165</v>
      </c>
      <c r="C97" s="61" t="s">
        <v>2159</v>
      </c>
      <c r="D97" s="51">
        <v>1</v>
      </c>
      <c r="E97" s="58">
        <f>Table212314[[#This Row],[qtyx1]]*17</f>
        <v>17</v>
      </c>
      <c r="F97" s="51"/>
      <c r="G97" s="51">
        <v>1</v>
      </c>
    </row>
    <row r="98" spans="1:7" ht="18" hidden="1" x14ac:dyDescent="0.35">
      <c r="A98" s="51" t="s">
        <v>1950</v>
      </c>
      <c r="B98" s="51" t="s">
        <v>969</v>
      </c>
      <c r="C98" s="61" t="s">
        <v>1718</v>
      </c>
      <c r="D98" s="51">
        <v>1</v>
      </c>
      <c r="E98" s="58">
        <f>Table212314[[#This Row],[qtyx1]]*17</f>
        <v>17</v>
      </c>
      <c r="F98" s="51"/>
      <c r="G98" s="51"/>
    </row>
    <row r="99" spans="1:7" ht="18" hidden="1" x14ac:dyDescent="0.35">
      <c r="A99" s="51" t="s">
        <v>1923</v>
      </c>
      <c r="B99" s="51" t="s">
        <v>142</v>
      </c>
      <c r="C99" s="61" t="s">
        <v>844</v>
      </c>
      <c r="D99" s="51">
        <v>2</v>
      </c>
      <c r="E99" s="58">
        <f>Table212314[[#This Row],[qtyx1]]*17</f>
        <v>34</v>
      </c>
      <c r="F99" s="51"/>
      <c r="G99" s="51"/>
    </row>
    <row r="100" spans="1:7" ht="18" hidden="1" x14ac:dyDescent="0.35">
      <c r="A100" s="51" t="s">
        <v>1896</v>
      </c>
      <c r="B100" s="51" t="s">
        <v>75</v>
      </c>
      <c r="C100" s="61" t="s">
        <v>834</v>
      </c>
      <c r="D100" s="51">
        <v>1</v>
      </c>
      <c r="E100" s="58">
        <f>Table212314[[#This Row],[qtyx1]]*17</f>
        <v>17</v>
      </c>
      <c r="F100" s="51"/>
      <c r="G100" s="51"/>
    </row>
    <row r="101" spans="1:7" ht="18" hidden="1" x14ac:dyDescent="0.35">
      <c r="A101" s="51" t="s">
        <v>1974</v>
      </c>
      <c r="B101" s="51" t="s">
        <v>864</v>
      </c>
      <c r="C101" s="61" t="s">
        <v>365</v>
      </c>
      <c r="D101" s="51">
        <v>6</v>
      </c>
      <c r="E101" s="58">
        <f>Table212314[[#This Row],[qtyx1]]*17</f>
        <v>102</v>
      </c>
      <c r="F101" s="51"/>
      <c r="G101" s="51"/>
    </row>
    <row r="102" spans="1:7" ht="18" hidden="1" x14ac:dyDescent="0.35">
      <c r="A102" s="51" t="s">
        <v>1929</v>
      </c>
      <c r="B102" s="51" t="s">
        <v>149</v>
      </c>
      <c r="C102" s="61" t="s">
        <v>245</v>
      </c>
      <c r="D102" s="51">
        <v>1</v>
      </c>
      <c r="E102" s="58">
        <f>Table212314[[#This Row],[qtyx1]]*17</f>
        <v>17</v>
      </c>
      <c r="F102" s="51"/>
      <c r="G102" s="51"/>
    </row>
    <row r="103" spans="1:7" ht="18" x14ac:dyDescent="0.35">
      <c r="A103" s="51" t="s">
        <v>1901</v>
      </c>
      <c r="B103" s="51" t="s">
        <v>86</v>
      </c>
      <c r="C103" s="61" t="s">
        <v>1739</v>
      </c>
      <c r="D103" s="51">
        <v>1</v>
      </c>
      <c r="E103" s="58">
        <f>Table212314[[#This Row],[qtyx1]]*17</f>
        <v>17</v>
      </c>
      <c r="F103" s="51"/>
      <c r="G103" s="51">
        <v>1</v>
      </c>
    </row>
    <row r="104" spans="1:7" ht="18" x14ac:dyDescent="0.35">
      <c r="A104" s="51" t="s">
        <v>1897</v>
      </c>
      <c r="B104" s="51" t="s">
        <v>78</v>
      </c>
      <c r="C104" s="61">
        <v>71186354</v>
      </c>
      <c r="D104" s="51">
        <v>2</v>
      </c>
      <c r="E104" s="58">
        <f>Table212314[[#This Row],[qtyx1]]*17</f>
        <v>34</v>
      </c>
      <c r="F104" s="51" t="s">
        <v>1326</v>
      </c>
      <c r="G104" s="51">
        <v>1</v>
      </c>
    </row>
    <row r="105" spans="1:7" ht="18" hidden="1" x14ac:dyDescent="0.35">
      <c r="A105" s="51" t="s">
        <v>1975</v>
      </c>
      <c r="B105" s="51" t="s">
        <v>978</v>
      </c>
      <c r="C105" s="61" t="s">
        <v>1346</v>
      </c>
      <c r="D105" s="51">
        <v>1</v>
      </c>
      <c r="E105" s="58">
        <f>Table212314[[#This Row],[qtyx1]]*17</f>
        <v>17</v>
      </c>
      <c r="F105" s="51"/>
      <c r="G105" s="51"/>
    </row>
    <row r="106" spans="1:7" ht="18" hidden="1" x14ac:dyDescent="0.35">
      <c r="A106" s="51" t="s">
        <v>2160</v>
      </c>
      <c r="B106" s="51" t="s">
        <v>1960</v>
      </c>
      <c r="C106" s="61" t="s">
        <v>219</v>
      </c>
      <c r="D106" s="51">
        <v>2</v>
      </c>
      <c r="E106" s="58">
        <f>Table212314[[#This Row],[qtyx1]]*17</f>
        <v>34</v>
      </c>
      <c r="F106" s="51"/>
      <c r="G106" s="51"/>
    </row>
    <row r="107" spans="1:7" ht="18" hidden="1" x14ac:dyDescent="0.35">
      <c r="A107" s="51" t="s">
        <v>1977</v>
      </c>
      <c r="B107" s="51" t="s">
        <v>874</v>
      </c>
      <c r="C107" s="61" t="s">
        <v>372</v>
      </c>
      <c r="D107" s="51">
        <v>1</v>
      </c>
      <c r="E107" s="58">
        <f>Table212314[[#This Row],[qtyx1]]*17</f>
        <v>17</v>
      </c>
      <c r="F107" s="51"/>
      <c r="G107" s="51"/>
    </row>
    <row r="108" spans="1:7" ht="18" hidden="1" x14ac:dyDescent="0.35">
      <c r="A108" s="51" t="s">
        <v>1951</v>
      </c>
      <c r="B108" s="51" t="s">
        <v>968</v>
      </c>
      <c r="C108" s="61" t="s">
        <v>1291</v>
      </c>
      <c r="D108" s="51">
        <v>1</v>
      </c>
      <c r="E108" s="58">
        <f>Table212314[[#This Row],[qtyx1]]*17</f>
        <v>17</v>
      </c>
      <c r="F108" s="51"/>
      <c r="G108" s="51"/>
    </row>
    <row r="109" spans="1:7" ht="18" hidden="1" x14ac:dyDescent="0.35">
      <c r="A109" s="51" t="s">
        <v>1918</v>
      </c>
      <c r="B109" s="51" t="s">
        <v>133</v>
      </c>
      <c r="C109" s="61" t="s">
        <v>1244</v>
      </c>
      <c r="D109" s="51">
        <v>2</v>
      </c>
      <c r="E109" s="58">
        <f>Table212314[[#This Row],[qtyx1]]*17</f>
        <v>34</v>
      </c>
      <c r="F109" s="51"/>
      <c r="G109" s="51"/>
    </row>
    <row r="110" spans="1:7" ht="18" hidden="1" x14ac:dyDescent="0.35">
      <c r="A110" s="51" t="s">
        <v>1927</v>
      </c>
      <c r="B110" s="51" t="s">
        <v>147</v>
      </c>
      <c r="C110" s="61" t="s">
        <v>243</v>
      </c>
      <c r="D110" s="51">
        <v>2</v>
      </c>
      <c r="E110" s="58">
        <f>Table212314[[#This Row],[qtyx1]]*17</f>
        <v>34</v>
      </c>
      <c r="F110" s="51"/>
      <c r="G110" s="51"/>
    </row>
    <row r="111" spans="1:7" ht="18" hidden="1" x14ac:dyDescent="0.35">
      <c r="A111" s="51" t="s">
        <v>2161</v>
      </c>
      <c r="B111" s="51" t="s">
        <v>2041</v>
      </c>
      <c r="C111" s="61" t="s">
        <v>578</v>
      </c>
      <c r="D111" s="51">
        <v>1</v>
      </c>
      <c r="E111" s="58">
        <f>Table212314[[#This Row],[qtyx1]]*17</f>
        <v>17</v>
      </c>
      <c r="F111" s="51"/>
      <c r="G111" s="51"/>
    </row>
    <row r="112" spans="1:7" ht="18" hidden="1" x14ac:dyDescent="0.35">
      <c r="A112" s="51" t="s">
        <v>2109</v>
      </c>
      <c r="B112" s="51" t="s">
        <v>849</v>
      </c>
      <c r="C112" s="61" t="s">
        <v>1294</v>
      </c>
      <c r="D112" s="51">
        <v>1</v>
      </c>
      <c r="E112" s="58">
        <f>Table212314[[#This Row],[qtyx1]]*17</f>
        <v>17</v>
      </c>
      <c r="F112" s="51"/>
      <c r="G112" s="51"/>
    </row>
    <row r="113" spans="1:7" ht="18" x14ac:dyDescent="0.35">
      <c r="A113" s="51" t="s">
        <v>1909</v>
      </c>
      <c r="B113" s="51" t="s">
        <v>108</v>
      </c>
      <c r="C113" s="61" t="s">
        <v>1737</v>
      </c>
      <c r="D113" s="51">
        <v>1</v>
      </c>
      <c r="E113" s="58">
        <f>Table212314[[#This Row],[qtyx1]]*17</f>
        <v>17</v>
      </c>
      <c r="F113" s="51"/>
      <c r="G113" s="51">
        <v>1</v>
      </c>
    </row>
    <row r="114" spans="1:7" ht="18" hidden="1" x14ac:dyDescent="0.35">
      <c r="A114" s="51" t="s">
        <v>1940</v>
      </c>
      <c r="B114" s="51" t="s">
        <v>126</v>
      </c>
      <c r="C114" s="61" t="s">
        <v>341</v>
      </c>
      <c r="D114" s="51">
        <v>1</v>
      </c>
      <c r="E114" s="58">
        <f>Table212314[[#This Row],[qtyx1]]*17</f>
        <v>17</v>
      </c>
      <c r="F114" s="51"/>
      <c r="G114" s="51"/>
    </row>
    <row r="115" spans="1:7" ht="18" x14ac:dyDescent="0.35">
      <c r="A115" s="51" t="s">
        <v>1917</v>
      </c>
      <c r="B115" s="51" t="s">
        <v>132</v>
      </c>
      <c r="C115" s="61" t="s">
        <v>1716</v>
      </c>
      <c r="D115" s="51">
        <v>1</v>
      </c>
      <c r="E115" s="58">
        <f>Table212314[[#This Row],[qtyx1]]*17</f>
        <v>17</v>
      </c>
      <c r="F115" s="51"/>
      <c r="G115" s="51">
        <v>1</v>
      </c>
    </row>
    <row r="116" spans="1:7" ht="18" hidden="1" x14ac:dyDescent="0.35">
      <c r="A116" s="51" t="s">
        <v>2162</v>
      </c>
      <c r="B116" s="51" t="s">
        <v>1748</v>
      </c>
      <c r="C116" s="61" t="s">
        <v>1806</v>
      </c>
      <c r="D116" s="51">
        <v>1</v>
      </c>
      <c r="E116" s="58">
        <f>Table212314[[#This Row],[qtyx1]]*17</f>
        <v>17</v>
      </c>
      <c r="F116" s="51"/>
      <c r="G116" s="51"/>
    </row>
    <row r="117" spans="1:7" ht="18" hidden="1" x14ac:dyDescent="0.35">
      <c r="A117" s="51" t="s">
        <v>1916</v>
      </c>
      <c r="B117" s="51" t="s">
        <v>125</v>
      </c>
      <c r="C117" s="61" t="s">
        <v>813</v>
      </c>
      <c r="D117" s="51">
        <v>1</v>
      </c>
      <c r="E117" s="58">
        <f>Table212314[[#This Row],[qtyx1]]*17</f>
        <v>17</v>
      </c>
      <c r="F117" s="51"/>
      <c r="G117" s="51"/>
    </row>
    <row r="118" spans="1:7" ht="18" x14ac:dyDescent="0.35">
      <c r="A118" s="51" t="s">
        <v>1939</v>
      </c>
      <c r="B118" s="51" t="s">
        <v>207</v>
      </c>
      <c r="C118" s="61" t="s">
        <v>266</v>
      </c>
      <c r="D118" s="51">
        <v>1</v>
      </c>
      <c r="E118" s="58">
        <f>Table212314[[#This Row],[qtyx1]]*17</f>
        <v>17</v>
      </c>
      <c r="F118" s="51"/>
      <c r="G118" s="51">
        <v>1</v>
      </c>
    </row>
    <row r="119" spans="1:7" ht="18" x14ac:dyDescent="0.35">
      <c r="A119" s="51" t="s">
        <v>1921</v>
      </c>
      <c r="B119" s="51" t="s">
        <v>139</v>
      </c>
      <c r="C119" s="61" t="s">
        <v>238</v>
      </c>
      <c r="D119" s="51">
        <v>2</v>
      </c>
      <c r="E119" s="58">
        <f>Table212314[[#This Row],[qtyx1]]*17</f>
        <v>34</v>
      </c>
      <c r="F119" s="51" t="s">
        <v>2181</v>
      </c>
      <c r="G119" s="51">
        <v>1</v>
      </c>
    </row>
    <row r="120" spans="1:7" ht="18" hidden="1" x14ac:dyDescent="0.35">
      <c r="A120" s="51" t="s">
        <v>2163</v>
      </c>
      <c r="B120" s="51" t="s">
        <v>1959</v>
      </c>
      <c r="C120" s="61" t="s">
        <v>1220</v>
      </c>
      <c r="D120" s="51">
        <v>2</v>
      </c>
      <c r="E120" s="58">
        <f>Table212314[[#This Row],[qtyx1]]*17</f>
        <v>34</v>
      </c>
      <c r="F120" s="51"/>
      <c r="G120" s="51"/>
    </row>
    <row r="121" spans="1:7" ht="18" x14ac:dyDescent="0.35">
      <c r="A121" s="51"/>
      <c r="B121" s="51"/>
      <c r="C121" s="61">
        <v>7278246930</v>
      </c>
      <c r="D121" s="51">
        <v>2</v>
      </c>
      <c r="E121" s="58">
        <f>Table212314[[#This Row],[qtyx1]]*17</f>
        <v>34</v>
      </c>
      <c r="F121" s="51"/>
      <c r="G121" s="51">
        <v>1</v>
      </c>
    </row>
    <row r="122" spans="1:7" ht="18" x14ac:dyDescent="0.35">
      <c r="A122" s="51"/>
      <c r="B122" s="51"/>
      <c r="C122" s="61">
        <v>7298948930</v>
      </c>
      <c r="D122" s="51">
        <v>1</v>
      </c>
      <c r="E122" s="58">
        <f>Table212314[[#This Row],[qtyx1]]*17</f>
        <v>17</v>
      </c>
      <c r="F122" s="51"/>
      <c r="G122" s="51">
        <v>1</v>
      </c>
    </row>
    <row r="123" spans="1:7" ht="18" x14ac:dyDescent="0.35">
      <c r="A123" s="51"/>
      <c r="B123" s="51"/>
      <c r="C123" s="61">
        <v>7298949030</v>
      </c>
      <c r="D123" s="51">
        <v>1</v>
      </c>
      <c r="E123" s="58">
        <f>Table212314[[#This Row],[qtyx1]]*17</f>
        <v>17</v>
      </c>
      <c r="F123" s="51"/>
      <c r="G123" s="51">
        <v>1</v>
      </c>
    </row>
  </sheetData>
  <mergeCells count="1">
    <mergeCell ref="A1:G1"/>
  </mergeCells>
  <phoneticPr fontId="1" type="noConversion"/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E46" sqref="E46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116" t="s">
        <v>2184</v>
      </c>
      <c r="B1" s="116"/>
      <c r="C1" s="116"/>
      <c r="D1" s="116"/>
      <c r="E1" s="116"/>
      <c r="F1" s="116"/>
      <c r="G1" s="117"/>
    </row>
    <row r="2" spans="1:7" ht="18" x14ac:dyDescent="0.35">
      <c r="A2" s="58" t="s">
        <v>1356</v>
      </c>
      <c r="B2" s="58" t="s">
        <v>977</v>
      </c>
      <c r="C2" s="58" t="s">
        <v>309</v>
      </c>
      <c r="D2" s="58" t="s">
        <v>1306</v>
      </c>
      <c r="E2" s="58" t="s">
        <v>1321</v>
      </c>
      <c r="F2" s="58" t="s">
        <v>1329</v>
      </c>
      <c r="G2" s="58" t="s">
        <v>1330</v>
      </c>
    </row>
    <row r="3" spans="1:7" ht="18" hidden="1" x14ac:dyDescent="0.35">
      <c r="A3" s="51" t="str">
        <f>IFERROR(VLOOKUP(C3,$M$44:$O$200, 2,FALSE), "Извън производство")</f>
        <v>262558</v>
      </c>
      <c r="B3" s="51" t="str">
        <f>IFERROR(VLOOKUP(C3,$M$44:$O$96, 3,FALSE), "")</f>
        <v>10.21.35131A</v>
      </c>
      <c r="C3" s="61">
        <v>71186354</v>
      </c>
      <c r="D3" s="51">
        <v>1</v>
      </c>
      <c r="E3" s="58">
        <f>Table2123[[#This Row],[qtyx1]]*28</f>
        <v>28</v>
      </c>
      <c r="F3" s="51" t="s">
        <v>1326</v>
      </c>
      <c r="G3" s="51"/>
    </row>
    <row r="4" spans="1:7" ht="18" hidden="1" x14ac:dyDescent="0.35">
      <c r="A4" s="51" t="str">
        <f t="shared" ref="A4:A42" si="0">IFERROR(VLOOKUP(C4,$M$44:$O$200, 2,FALSE), "Извън производство")</f>
        <v>Извън производство</v>
      </c>
      <c r="B4" s="51" t="str">
        <f t="shared" ref="B4:B42" si="1">IFERROR(VLOOKUP(C4,$M$44:$O$96, 3,FALSE), "")</f>
        <v/>
      </c>
      <c r="C4" s="61" t="s">
        <v>514</v>
      </c>
      <c r="D4" s="51">
        <v>2</v>
      </c>
      <c r="E4" s="58">
        <f>Table2123[[#This Row],[qtyx1]]*28</f>
        <v>56</v>
      </c>
      <c r="F4" s="51"/>
      <c r="G4" s="51"/>
    </row>
    <row r="5" spans="1:7" ht="18" x14ac:dyDescent="0.35">
      <c r="A5" s="51" t="str">
        <f t="shared" si="0"/>
        <v>262559</v>
      </c>
      <c r="B5" s="51" t="str">
        <f t="shared" si="1"/>
        <v>10.21.77121A</v>
      </c>
      <c r="C5" s="61">
        <v>7118670020</v>
      </c>
      <c r="D5" s="51">
        <v>1</v>
      </c>
      <c r="E5" s="58">
        <f>Table2123[[#This Row],[qtyx1]]*28</f>
        <v>28</v>
      </c>
      <c r="F5" s="51" t="s">
        <v>1328</v>
      </c>
      <c r="G5" s="51"/>
    </row>
    <row r="6" spans="1:7" ht="18" hidden="1" x14ac:dyDescent="0.35">
      <c r="A6" s="51" t="str">
        <f t="shared" si="0"/>
        <v>262560</v>
      </c>
      <c r="B6" s="51" t="str">
        <f t="shared" si="1"/>
        <v>10.21.54168C</v>
      </c>
      <c r="C6" s="61">
        <v>7119131530</v>
      </c>
      <c r="D6" s="51">
        <v>3</v>
      </c>
      <c r="E6" s="58">
        <f>Table2123[[#This Row],[qtyx1]]*28</f>
        <v>84</v>
      </c>
      <c r="F6" s="51"/>
      <c r="G6" s="51"/>
    </row>
    <row r="7" spans="1:7" ht="18" hidden="1" x14ac:dyDescent="0.35">
      <c r="A7" s="51">
        <f t="shared" si="0"/>
        <v>262706</v>
      </c>
      <c r="B7" s="51" t="str">
        <f t="shared" si="1"/>
        <v/>
      </c>
      <c r="C7" s="61">
        <v>7119146730</v>
      </c>
      <c r="D7" s="51">
        <v>1</v>
      </c>
      <c r="E7" s="58">
        <f>Table2123[[#This Row],[qtyx1]]*28</f>
        <v>28</v>
      </c>
      <c r="F7" s="51"/>
      <c r="G7" s="51"/>
    </row>
    <row r="8" spans="1:7" ht="18" hidden="1" x14ac:dyDescent="0.35">
      <c r="A8" s="51" t="str">
        <f t="shared" si="0"/>
        <v>Извън производство</v>
      </c>
      <c r="B8" s="51" t="str">
        <f t="shared" si="1"/>
        <v/>
      </c>
      <c r="C8" s="61">
        <v>7119163630</v>
      </c>
      <c r="D8" s="51">
        <v>4</v>
      </c>
      <c r="E8" s="58">
        <f>Table2123[[#This Row],[qtyx1]]*28</f>
        <v>112</v>
      </c>
      <c r="F8" s="51"/>
      <c r="G8" s="51"/>
    </row>
    <row r="9" spans="1:7" ht="18" hidden="1" x14ac:dyDescent="0.35">
      <c r="A9" s="51" t="str">
        <f t="shared" si="0"/>
        <v>Извън производство</v>
      </c>
      <c r="B9" s="51" t="str">
        <f t="shared" si="1"/>
        <v/>
      </c>
      <c r="C9" s="61">
        <v>7119172930</v>
      </c>
      <c r="D9" s="51">
        <v>1</v>
      </c>
      <c r="E9" s="58">
        <f>Table2123[[#This Row],[qtyx1]]*28</f>
        <v>28</v>
      </c>
      <c r="F9" s="51"/>
      <c r="G9" s="51"/>
    </row>
    <row r="10" spans="1:7" ht="18" hidden="1" x14ac:dyDescent="0.35">
      <c r="A10" s="51" t="str">
        <f t="shared" si="0"/>
        <v>262561</v>
      </c>
      <c r="B10" s="51" t="str">
        <f t="shared" si="1"/>
        <v>10.21.35003A</v>
      </c>
      <c r="C10" s="61">
        <v>71191993</v>
      </c>
      <c r="D10" s="51">
        <v>1</v>
      </c>
      <c r="E10" s="58">
        <f>Table2123[[#This Row],[qtyx1]]*28</f>
        <v>28</v>
      </c>
      <c r="F10" s="51"/>
      <c r="G10" s="51"/>
    </row>
    <row r="11" spans="1:7" ht="18" hidden="1" x14ac:dyDescent="0.35">
      <c r="A11" s="51" t="str">
        <f t="shared" si="0"/>
        <v>262707</v>
      </c>
      <c r="B11" s="51" t="str">
        <f t="shared" si="1"/>
        <v/>
      </c>
      <c r="C11" s="61">
        <v>7119639830</v>
      </c>
      <c r="D11" s="51">
        <v>1</v>
      </c>
      <c r="E11" s="58">
        <f>Table2123[[#This Row],[qtyx1]]*28</f>
        <v>28</v>
      </c>
      <c r="F11" s="51"/>
      <c r="G11" s="51"/>
    </row>
    <row r="12" spans="1:7" ht="18" hidden="1" x14ac:dyDescent="0.35">
      <c r="A12" s="51" t="str">
        <f t="shared" si="0"/>
        <v>262562</v>
      </c>
      <c r="B12" s="51" t="str">
        <f t="shared" si="1"/>
        <v>10.21.36271A</v>
      </c>
      <c r="C12" s="61">
        <v>71196401</v>
      </c>
      <c r="D12" s="51">
        <v>1</v>
      </c>
      <c r="E12" s="58">
        <f>Table2123[[#This Row],[qtyx1]]*28</f>
        <v>28</v>
      </c>
      <c r="F12" s="51"/>
      <c r="G12" s="51"/>
    </row>
    <row r="13" spans="1:7" ht="18" hidden="1" x14ac:dyDescent="0.35">
      <c r="A13" s="51" t="str">
        <f t="shared" si="0"/>
        <v>Извън производство</v>
      </c>
      <c r="B13" s="51" t="str">
        <f t="shared" si="1"/>
        <v/>
      </c>
      <c r="C13" s="61">
        <v>7119641970</v>
      </c>
      <c r="D13" s="51">
        <v>1</v>
      </c>
      <c r="E13" s="58">
        <f>Table2123[[#This Row],[qtyx1]]*28</f>
        <v>28</v>
      </c>
      <c r="F13" s="51"/>
      <c r="G13" s="51"/>
    </row>
    <row r="14" spans="1:7" ht="18" hidden="1" x14ac:dyDescent="0.35">
      <c r="A14" s="51" t="str">
        <f t="shared" si="0"/>
        <v>Извън производство</v>
      </c>
      <c r="B14" s="51" t="str">
        <f t="shared" si="1"/>
        <v/>
      </c>
      <c r="C14" s="61">
        <v>71196506</v>
      </c>
      <c r="D14" s="51">
        <v>1</v>
      </c>
      <c r="E14" s="58">
        <f>Table2123[[#This Row],[qtyx1]]*28</f>
        <v>28</v>
      </c>
      <c r="F14" s="51"/>
      <c r="G14" s="51"/>
    </row>
    <row r="15" spans="1:7" ht="18" hidden="1" x14ac:dyDescent="0.35">
      <c r="A15" s="51" t="str">
        <f t="shared" si="0"/>
        <v>Извън производство</v>
      </c>
      <c r="B15" s="51" t="str">
        <f t="shared" si="1"/>
        <v/>
      </c>
      <c r="C15" s="61">
        <v>7119668820</v>
      </c>
      <c r="D15" s="51">
        <v>1</v>
      </c>
      <c r="E15" s="58">
        <f>Table2123[[#This Row],[qtyx1]]*28</f>
        <v>28</v>
      </c>
      <c r="F15" s="51"/>
      <c r="G15" s="51"/>
    </row>
    <row r="16" spans="1:7" ht="18" hidden="1" x14ac:dyDescent="0.35">
      <c r="A16" s="51" t="str">
        <f t="shared" si="0"/>
        <v>262708</v>
      </c>
      <c r="B16" s="51" t="str">
        <f t="shared" si="1"/>
        <v>10.21.80748A</v>
      </c>
      <c r="C16" s="61">
        <v>71196714</v>
      </c>
      <c r="D16" s="51">
        <v>1</v>
      </c>
      <c r="E16" s="58">
        <f>Table2123[[#This Row],[qtyx1]]*28</f>
        <v>28</v>
      </c>
      <c r="F16" s="51"/>
      <c r="G16" s="51"/>
    </row>
    <row r="17" spans="1:7" ht="18" hidden="1" x14ac:dyDescent="0.35">
      <c r="A17" s="51" t="str">
        <f t="shared" si="0"/>
        <v>262720</v>
      </c>
      <c r="B17" s="51" t="str">
        <f t="shared" si="1"/>
        <v/>
      </c>
      <c r="C17" s="61">
        <v>71781227</v>
      </c>
      <c r="D17" s="51">
        <v>1</v>
      </c>
      <c r="E17" s="58">
        <f>Table2123[[#This Row],[qtyx1]]*28</f>
        <v>28</v>
      </c>
      <c r="F17" s="51"/>
      <c r="G17" s="51"/>
    </row>
    <row r="18" spans="1:7" ht="18" hidden="1" x14ac:dyDescent="0.35">
      <c r="A18" s="51" t="str">
        <f t="shared" si="0"/>
        <v>262727</v>
      </c>
      <c r="B18" s="51" t="str">
        <f t="shared" si="1"/>
        <v>10.21.96574A</v>
      </c>
      <c r="C18" s="61">
        <v>71782472</v>
      </c>
      <c r="D18" s="51">
        <v>1</v>
      </c>
      <c r="E18" s="58">
        <f>Table2123[[#This Row],[qtyx1]]*28</f>
        <v>28</v>
      </c>
      <c r="F18" s="51"/>
      <c r="G18" s="51"/>
    </row>
    <row r="19" spans="1:7" ht="18" hidden="1" x14ac:dyDescent="0.35">
      <c r="A19" s="51" t="str">
        <f t="shared" si="0"/>
        <v>262721</v>
      </c>
      <c r="B19" s="51" t="str">
        <f t="shared" si="1"/>
        <v/>
      </c>
      <c r="C19" s="61">
        <v>7183753630</v>
      </c>
      <c r="D19" s="51">
        <v>1</v>
      </c>
      <c r="E19" s="58">
        <f>Table2123[[#This Row],[qtyx1]]*28</f>
        <v>28</v>
      </c>
      <c r="F19" s="51"/>
      <c r="G19" s="51"/>
    </row>
    <row r="20" spans="1:7" ht="18" hidden="1" x14ac:dyDescent="0.35">
      <c r="A20" s="51" t="str">
        <f t="shared" si="0"/>
        <v>262563</v>
      </c>
      <c r="B20" s="51" t="str">
        <f t="shared" si="1"/>
        <v>10.21.72978A</v>
      </c>
      <c r="C20" s="61" t="s">
        <v>221</v>
      </c>
      <c r="D20" s="51">
        <v>1</v>
      </c>
      <c r="E20" s="58">
        <f>Table2123[[#This Row],[qtyx1]]*28</f>
        <v>28</v>
      </c>
      <c r="F20" s="51"/>
      <c r="G20" s="51"/>
    </row>
    <row r="21" spans="1:7" ht="18" hidden="1" x14ac:dyDescent="0.35">
      <c r="A21" s="51" t="str">
        <f t="shared" si="0"/>
        <v>262596</v>
      </c>
      <c r="B21" s="51" t="str">
        <f t="shared" si="1"/>
        <v/>
      </c>
      <c r="C21" s="61">
        <v>71897277</v>
      </c>
      <c r="D21" s="51">
        <v>1</v>
      </c>
      <c r="E21" s="58">
        <f>Table2123[[#This Row],[qtyx1]]*28</f>
        <v>28</v>
      </c>
      <c r="F21" s="51"/>
      <c r="G21" s="51"/>
    </row>
    <row r="22" spans="1:7" ht="18" hidden="1" x14ac:dyDescent="0.35">
      <c r="A22" s="51" t="str">
        <f t="shared" si="0"/>
        <v>262564</v>
      </c>
      <c r="B22" s="51" t="str">
        <f t="shared" si="1"/>
        <v/>
      </c>
      <c r="C22" s="61">
        <v>71899503</v>
      </c>
      <c r="D22" s="51">
        <v>2</v>
      </c>
      <c r="E22" s="58">
        <f>Table2123[[#This Row],[qtyx1]]*28</f>
        <v>56</v>
      </c>
      <c r="F22" s="51"/>
      <c r="G22" s="51"/>
    </row>
    <row r="23" spans="1:7" ht="18" hidden="1" x14ac:dyDescent="0.35">
      <c r="A23" s="51" t="str">
        <f t="shared" si="0"/>
        <v>262710</v>
      </c>
      <c r="B23" s="51" t="str">
        <f t="shared" si="1"/>
        <v/>
      </c>
      <c r="C23" s="61">
        <v>7189982830</v>
      </c>
      <c r="D23" s="51">
        <v>1</v>
      </c>
      <c r="E23" s="58">
        <f>Table2123[[#This Row],[qtyx1]]*28</f>
        <v>28</v>
      </c>
      <c r="F23" s="51"/>
      <c r="G23" s="51"/>
    </row>
    <row r="24" spans="1:7" ht="18" hidden="1" x14ac:dyDescent="0.35">
      <c r="A24" s="51" t="str">
        <f t="shared" si="0"/>
        <v>262565</v>
      </c>
      <c r="B24" s="51" t="str">
        <f t="shared" si="1"/>
        <v>10.21.73031A</v>
      </c>
      <c r="C24" s="61">
        <v>7198796290</v>
      </c>
      <c r="D24" s="51">
        <v>2</v>
      </c>
      <c r="E24" s="58">
        <f>Table2123[[#This Row],[qtyx1]]*28</f>
        <v>56</v>
      </c>
      <c r="F24" s="51"/>
      <c r="G24" s="51"/>
    </row>
    <row r="25" spans="1:7" ht="18" hidden="1" x14ac:dyDescent="0.35">
      <c r="A25" s="51" t="str">
        <f t="shared" si="0"/>
        <v>262566</v>
      </c>
      <c r="B25" s="51" t="str">
        <f t="shared" si="1"/>
        <v>10.21.72982A</v>
      </c>
      <c r="C25" s="61">
        <v>71988082</v>
      </c>
      <c r="D25" s="51">
        <v>1</v>
      </c>
      <c r="E25" s="58">
        <f>Table2123[[#This Row],[qtyx1]]*28</f>
        <v>28</v>
      </c>
      <c r="F25" s="51"/>
      <c r="G25" s="51"/>
    </row>
    <row r="26" spans="1:7" ht="18" hidden="1" x14ac:dyDescent="0.35">
      <c r="A26" s="51" t="str">
        <f t="shared" si="0"/>
        <v>262712</v>
      </c>
      <c r="B26" s="51" t="str">
        <f t="shared" si="1"/>
        <v>10.21.77054A</v>
      </c>
      <c r="C26" s="61">
        <v>7198916130</v>
      </c>
      <c r="D26" s="51">
        <v>1</v>
      </c>
      <c r="E26" s="58">
        <f>Table2123[[#This Row],[qtyx1]]*28</f>
        <v>28</v>
      </c>
      <c r="F26" s="51"/>
      <c r="G26" s="51"/>
    </row>
    <row r="27" spans="1:7" ht="18" hidden="1" x14ac:dyDescent="0.35">
      <c r="A27" s="51" t="str">
        <f t="shared" si="0"/>
        <v>262567</v>
      </c>
      <c r="B27" s="51" t="str">
        <f t="shared" si="1"/>
        <v>10.21.77084A</v>
      </c>
      <c r="C27" s="61">
        <v>71989162</v>
      </c>
      <c r="D27" s="51">
        <v>3</v>
      </c>
      <c r="E27" s="58">
        <f>Table2123[[#This Row],[qtyx1]]*28</f>
        <v>84</v>
      </c>
      <c r="F27" s="51"/>
      <c r="G27" s="51"/>
    </row>
    <row r="28" spans="1:7" ht="18" hidden="1" x14ac:dyDescent="0.35">
      <c r="A28" s="51" t="str">
        <f t="shared" si="0"/>
        <v>262568</v>
      </c>
      <c r="B28" s="51" t="str">
        <f t="shared" si="1"/>
        <v/>
      </c>
      <c r="C28" s="61">
        <v>7198948560</v>
      </c>
      <c r="D28" s="51">
        <v>1</v>
      </c>
      <c r="E28" s="58">
        <f>Table2123[[#This Row],[qtyx1]]*28</f>
        <v>28</v>
      </c>
      <c r="F28" s="51"/>
      <c r="G28" s="51"/>
    </row>
    <row r="29" spans="1:7" ht="18" hidden="1" x14ac:dyDescent="0.35">
      <c r="A29" s="51" t="str">
        <f t="shared" si="0"/>
        <v>Извън производство</v>
      </c>
      <c r="B29" s="51" t="str">
        <f t="shared" si="1"/>
        <v/>
      </c>
      <c r="C29" s="61">
        <v>7223686530</v>
      </c>
      <c r="D29" s="51">
        <v>1</v>
      </c>
      <c r="E29" s="58">
        <f>Table2123[[#This Row],[qtyx1]]*28</f>
        <v>28</v>
      </c>
      <c r="F29" s="51"/>
      <c r="G29" s="51"/>
    </row>
    <row r="30" spans="1:7" ht="18" hidden="1" x14ac:dyDescent="0.35">
      <c r="A30" s="51" t="str">
        <f t="shared" si="0"/>
        <v>Извън производство</v>
      </c>
      <c r="B30" s="51" t="str">
        <f t="shared" si="1"/>
        <v/>
      </c>
      <c r="C30" s="61">
        <v>7278246930</v>
      </c>
      <c r="D30" s="51">
        <v>2</v>
      </c>
      <c r="E30" s="58">
        <f>Table2123[[#This Row],[qtyx1]]*28</f>
        <v>56</v>
      </c>
      <c r="F30" s="51"/>
      <c r="G30" s="51"/>
    </row>
    <row r="31" spans="1:7" ht="18" hidden="1" x14ac:dyDescent="0.35">
      <c r="A31" s="51" t="str">
        <f t="shared" si="0"/>
        <v>262713</v>
      </c>
      <c r="B31" s="51" t="str">
        <f t="shared" si="1"/>
        <v>10.21.47195A</v>
      </c>
      <c r="C31" s="61">
        <v>7289896430</v>
      </c>
      <c r="D31" s="51">
        <v>1</v>
      </c>
      <c r="E31" s="58">
        <f>Table2123[[#This Row],[qtyx1]]*28</f>
        <v>28</v>
      </c>
      <c r="F31" s="51"/>
      <c r="G31" s="51"/>
    </row>
    <row r="32" spans="1:7" ht="18" hidden="1" x14ac:dyDescent="0.35">
      <c r="A32" s="51" t="str">
        <f t="shared" si="0"/>
        <v>262571</v>
      </c>
      <c r="B32" s="51" t="str">
        <f t="shared" si="1"/>
        <v>10.21.76981A</v>
      </c>
      <c r="C32" s="61">
        <v>7297944190</v>
      </c>
      <c r="D32" s="51">
        <v>2</v>
      </c>
      <c r="E32" s="58">
        <f>Table2123[[#This Row],[qtyx1]]*28</f>
        <v>56</v>
      </c>
      <c r="F32" s="51"/>
      <c r="G32" s="51"/>
    </row>
    <row r="33" spans="1:15" ht="18" hidden="1" x14ac:dyDescent="0.35">
      <c r="A33" s="51" t="str">
        <f t="shared" si="0"/>
        <v>Извън производство</v>
      </c>
      <c r="B33" s="51" t="str">
        <f t="shared" si="1"/>
        <v/>
      </c>
      <c r="C33" s="61">
        <v>7298948930</v>
      </c>
      <c r="D33" s="51">
        <v>1</v>
      </c>
      <c r="E33" s="58">
        <f>Table2123[[#This Row],[qtyx1]]*28</f>
        <v>28</v>
      </c>
      <c r="F33" s="51"/>
      <c r="G33" s="51"/>
    </row>
    <row r="34" spans="1:15" ht="18" hidden="1" x14ac:dyDescent="0.35">
      <c r="A34" s="51" t="str">
        <f t="shared" si="0"/>
        <v>Извън производство</v>
      </c>
      <c r="B34" s="51" t="str">
        <f t="shared" si="1"/>
        <v/>
      </c>
      <c r="C34" s="61">
        <v>7298949030</v>
      </c>
      <c r="D34" s="51">
        <v>1</v>
      </c>
      <c r="E34" s="58">
        <f>Table2123[[#This Row],[qtyx1]]*28</f>
        <v>28</v>
      </c>
      <c r="F34" s="51"/>
      <c r="G34" s="51"/>
    </row>
    <row r="35" spans="1:15" ht="18" hidden="1" x14ac:dyDescent="0.35">
      <c r="A35" s="51" t="str">
        <f t="shared" si="0"/>
        <v>262573</v>
      </c>
      <c r="B35" s="51" t="str">
        <f t="shared" si="1"/>
        <v/>
      </c>
      <c r="C35" s="61" t="s">
        <v>591</v>
      </c>
      <c r="D35" s="51">
        <v>2</v>
      </c>
      <c r="E35" s="58">
        <f>Table2123[[#This Row],[qtyx1]]*28</f>
        <v>56</v>
      </c>
      <c r="F35" s="51"/>
      <c r="G35" s="51"/>
    </row>
    <row r="36" spans="1:15" ht="18" hidden="1" x14ac:dyDescent="0.35">
      <c r="A36" s="51" t="str">
        <f t="shared" si="0"/>
        <v>Извън производство</v>
      </c>
      <c r="B36" s="51" t="str">
        <f t="shared" si="1"/>
        <v/>
      </c>
      <c r="C36" s="61" t="s">
        <v>254</v>
      </c>
      <c r="D36" s="51">
        <v>1</v>
      </c>
      <c r="E36" s="58">
        <f>Table2123[[#This Row],[qtyx1]]*28</f>
        <v>28</v>
      </c>
      <c r="F36" s="51"/>
      <c r="G36" s="51"/>
    </row>
    <row r="37" spans="1:15" ht="18" hidden="1" x14ac:dyDescent="0.35">
      <c r="A37" s="51" t="str">
        <f t="shared" si="0"/>
        <v>262590</v>
      </c>
      <c r="B37" s="51" t="str">
        <f t="shared" si="1"/>
        <v>10.21.36176A</v>
      </c>
      <c r="C37" s="61" t="s">
        <v>598</v>
      </c>
      <c r="D37" s="51">
        <v>1</v>
      </c>
      <c r="E37" s="58">
        <f>Table2123[[#This Row],[qtyx1]]*28</f>
        <v>28</v>
      </c>
      <c r="F37" s="51"/>
      <c r="G37" s="51"/>
    </row>
    <row r="38" spans="1:15" ht="18" hidden="1" x14ac:dyDescent="0.35">
      <c r="A38" s="51" t="str">
        <f t="shared" si="0"/>
        <v>262574</v>
      </c>
      <c r="B38" s="51" t="str">
        <f t="shared" si="1"/>
        <v>10.21.27982A</v>
      </c>
      <c r="C38" s="61" t="s">
        <v>240</v>
      </c>
      <c r="D38" s="51">
        <v>1</v>
      </c>
      <c r="E38" s="58">
        <f>Table2123[[#This Row],[qtyx1]]*28</f>
        <v>28</v>
      </c>
      <c r="F38" s="51"/>
      <c r="G38" s="51"/>
    </row>
    <row r="39" spans="1:15" ht="18" hidden="1" x14ac:dyDescent="0.35">
      <c r="A39" s="51" t="str">
        <f t="shared" si="0"/>
        <v>Извън производство</v>
      </c>
      <c r="B39" s="51" t="str">
        <f t="shared" si="1"/>
        <v/>
      </c>
      <c r="C39" s="61" t="s">
        <v>247</v>
      </c>
      <c r="D39" s="51">
        <v>2</v>
      </c>
      <c r="E39" s="58">
        <f>Table2123[[#This Row],[qtyx1]]*28</f>
        <v>56</v>
      </c>
      <c r="F39" s="51"/>
      <c r="G39" s="51"/>
    </row>
    <row r="40" spans="1:15" ht="18" hidden="1" x14ac:dyDescent="0.35">
      <c r="A40" s="51" t="str">
        <f t="shared" si="0"/>
        <v>Извън производство</v>
      </c>
      <c r="B40" s="51" t="str">
        <f t="shared" si="1"/>
        <v/>
      </c>
      <c r="C40" s="61" t="s">
        <v>248</v>
      </c>
      <c r="D40" s="51">
        <v>2</v>
      </c>
      <c r="E40" s="58">
        <f>Table2123[[#This Row],[qtyx1]]*28</f>
        <v>56</v>
      </c>
      <c r="F40" s="51"/>
      <c r="G40" s="51"/>
    </row>
    <row r="41" spans="1:15" ht="18" hidden="1" x14ac:dyDescent="0.35">
      <c r="A41" s="51" t="str">
        <f t="shared" si="0"/>
        <v>262722</v>
      </c>
      <c r="B41" s="51" t="str">
        <f t="shared" si="1"/>
        <v/>
      </c>
      <c r="C41" s="61" t="s">
        <v>266</v>
      </c>
      <c r="D41" s="51">
        <v>1</v>
      </c>
      <c r="E41" s="58">
        <f>Table2123[[#This Row],[qtyx1]]*28</f>
        <v>28</v>
      </c>
      <c r="F41" s="51"/>
      <c r="G41" s="51"/>
    </row>
    <row r="42" spans="1:15" ht="36" hidden="1" x14ac:dyDescent="0.35">
      <c r="A42" s="51" t="str">
        <f t="shared" si="0"/>
        <v>Извън производство</v>
      </c>
      <c r="B42" s="51" t="str">
        <f t="shared" si="1"/>
        <v/>
      </c>
      <c r="C42" s="61" t="s">
        <v>658</v>
      </c>
      <c r="D42" s="51">
        <v>4</v>
      </c>
      <c r="E42" s="58">
        <f>Table2123[[#This Row],[qtyx1]]*28</f>
        <v>112</v>
      </c>
      <c r="F42" s="51"/>
      <c r="G42" s="51"/>
    </row>
    <row r="43" spans="1:15" ht="18" hidden="1" x14ac:dyDescent="0.35">
      <c r="B43" t="s">
        <v>985</v>
      </c>
      <c r="C43" s="83">
        <v>7287547130</v>
      </c>
      <c r="D43" s="84">
        <v>1</v>
      </c>
      <c r="E43" s="85">
        <f>Table2123[[#This Row],[qtyx1]]*28</f>
        <v>28</v>
      </c>
      <c r="F43" s="84"/>
      <c r="G43" s="86"/>
    </row>
    <row r="44" spans="1:15" ht="18" x14ac:dyDescent="0.35">
      <c r="C44" s="83">
        <v>6562</v>
      </c>
      <c r="D44" s="84">
        <v>1</v>
      </c>
      <c r="E44" s="85">
        <f>Table2123[[#This Row],[qtyx1]]*28</f>
        <v>28</v>
      </c>
      <c r="F44" s="84"/>
      <c r="G44" s="86"/>
      <c r="M44" s="17">
        <v>7289405830</v>
      </c>
      <c r="N44" s="60" t="s">
        <v>1706</v>
      </c>
      <c r="O44" s="17" t="s">
        <v>773</v>
      </c>
    </row>
    <row r="45" spans="1:15" x14ac:dyDescent="0.3">
      <c r="M45" s="59">
        <v>7252785330</v>
      </c>
      <c r="N45" s="53" t="s">
        <v>1289</v>
      </c>
      <c r="O45" s="59" t="s">
        <v>192</v>
      </c>
    </row>
    <row r="46" spans="1:15" x14ac:dyDescent="0.3">
      <c r="M46" s="17" t="s">
        <v>845</v>
      </c>
      <c r="N46" s="17" t="s">
        <v>1276</v>
      </c>
      <c r="O46" s="17" t="s">
        <v>145</v>
      </c>
    </row>
    <row r="47" spans="1:15" x14ac:dyDescent="0.3">
      <c r="M47" s="59">
        <v>72897304</v>
      </c>
      <c r="N47" s="59" t="s">
        <v>1267</v>
      </c>
      <c r="O47" s="59" t="s">
        <v>133</v>
      </c>
    </row>
    <row r="48" spans="1:15" x14ac:dyDescent="0.3">
      <c r="M48" s="17">
        <v>7235053630</v>
      </c>
      <c r="N48" s="17" t="s">
        <v>1295</v>
      </c>
      <c r="O48" s="17" t="s">
        <v>847</v>
      </c>
    </row>
    <row r="49" spans="13:15" x14ac:dyDescent="0.3">
      <c r="M49" s="59">
        <v>7247760930</v>
      </c>
      <c r="N49" s="59" t="s">
        <v>1342</v>
      </c>
      <c r="O49" s="59" t="s">
        <v>936</v>
      </c>
    </row>
    <row r="50" spans="13:15" x14ac:dyDescent="0.3">
      <c r="M50" s="17" t="s">
        <v>656</v>
      </c>
      <c r="N50" s="17" t="s">
        <v>1279</v>
      </c>
      <c r="O50" s="17" t="s">
        <v>156</v>
      </c>
    </row>
    <row r="51" spans="13:15" x14ac:dyDescent="0.3">
      <c r="M51" s="59">
        <v>71782472</v>
      </c>
      <c r="N51" s="59" t="s">
        <v>1708</v>
      </c>
      <c r="O51" s="59" t="s">
        <v>986</v>
      </c>
    </row>
    <row r="52" spans="13:15" x14ac:dyDescent="0.3">
      <c r="M52" s="17">
        <v>7252815130</v>
      </c>
      <c r="N52" s="17" t="s">
        <v>1292</v>
      </c>
      <c r="O52" s="17" t="s">
        <v>191</v>
      </c>
    </row>
    <row r="53" spans="13:15" x14ac:dyDescent="0.3">
      <c r="M53" s="59">
        <v>7271007230</v>
      </c>
      <c r="N53" s="59" t="s">
        <v>1710</v>
      </c>
      <c r="O53" s="59" t="s">
        <v>126</v>
      </c>
    </row>
    <row r="54" spans="13:15" x14ac:dyDescent="0.3">
      <c r="M54" s="17" t="s">
        <v>239</v>
      </c>
      <c r="N54" s="17" t="s">
        <v>1711</v>
      </c>
      <c r="O54" s="17" t="s">
        <v>140</v>
      </c>
    </row>
    <row r="55" spans="13:15" x14ac:dyDescent="0.3">
      <c r="M55" s="59" t="s">
        <v>240</v>
      </c>
      <c r="N55" s="59" t="s">
        <v>1272</v>
      </c>
      <c r="O55" s="59" t="s">
        <v>141</v>
      </c>
    </row>
    <row r="56" spans="13:15" x14ac:dyDescent="0.3">
      <c r="M56" s="17">
        <v>7247781230</v>
      </c>
      <c r="N56" s="17" t="s">
        <v>1343</v>
      </c>
      <c r="O56" s="17" t="s">
        <v>945</v>
      </c>
    </row>
    <row r="57" spans="13:15" x14ac:dyDescent="0.3">
      <c r="M57" s="59" t="s">
        <v>602</v>
      </c>
      <c r="N57" s="59" t="s">
        <v>1300</v>
      </c>
      <c r="O57" s="59" t="s">
        <v>855</v>
      </c>
    </row>
    <row r="58" spans="13:15" x14ac:dyDescent="0.3">
      <c r="M58" s="17">
        <v>7198916130</v>
      </c>
      <c r="N58" s="17" t="s">
        <v>1712</v>
      </c>
      <c r="O58" s="17" t="s">
        <v>121</v>
      </c>
    </row>
    <row r="59" spans="13:15" x14ac:dyDescent="0.3">
      <c r="M59" s="59">
        <v>7035990930</v>
      </c>
      <c r="N59" s="59" t="s">
        <v>1290</v>
      </c>
      <c r="O59" s="59" t="s">
        <v>967</v>
      </c>
    </row>
    <row r="60" spans="13:15" x14ac:dyDescent="0.3">
      <c r="M60" s="17">
        <v>7252726530</v>
      </c>
      <c r="N60" s="17" t="s">
        <v>1285</v>
      </c>
      <c r="O60" s="17" t="s">
        <v>190</v>
      </c>
    </row>
    <row r="61" spans="13:15" x14ac:dyDescent="0.3">
      <c r="M61" s="59">
        <v>7252809330</v>
      </c>
      <c r="N61" s="59" t="s">
        <v>1345</v>
      </c>
      <c r="O61" s="59" t="s">
        <v>978</v>
      </c>
    </row>
    <row r="62" spans="13:15" x14ac:dyDescent="0.3">
      <c r="M62" s="17">
        <v>71196401</v>
      </c>
      <c r="N62" s="17" t="s">
        <v>1253</v>
      </c>
      <c r="O62" s="17" t="s">
        <v>91</v>
      </c>
    </row>
    <row r="63" spans="13:15" x14ac:dyDescent="0.3">
      <c r="M63" s="59">
        <v>7118670020</v>
      </c>
      <c r="N63" s="59" t="s">
        <v>1248</v>
      </c>
      <c r="O63" s="59" t="s">
        <v>81</v>
      </c>
    </row>
    <row r="64" spans="13:15" x14ac:dyDescent="0.3">
      <c r="M64" s="17">
        <v>7119131530</v>
      </c>
      <c r="N64" s="17" t="s">
        <v>1250</v>
      </c>
      <c r="O64" s="17" t="s">
        <v>84</v>
      </c>
    </row>
    <row r="65" spans="13:15" x14ac:dyDescent="0.3">
      <c r="M65" s="59">
        <v>7252779130</v>
      </c>
      <c r="N65" s="59" t="s">
        <v>1334</v>
      </c>
      <c r="O65" s="59" t="s">
        <v>942</v>
      </c>
    </row>
    <row r="66" spans="13:15" x14ac:dyDescent="0.3">
      <c r="M66" s="17">
        <v>71989162</v>
      </c>
      <c r="N66" s="17" t="s">
        <v>1262</v>
      </c>
      <c r="O66" s="17" t="s">
        <v>122</v>
      </c>
    </row>
    <row r="67" spans="13:15" x14ac:dyDescent="0.3">
      <c r="M67" s="59" t="s">
        <v>626</v>
      </c>
      <c r="N67" s="59" t="s">
        <v>1280</v>
      </c>
      <c r="O67" s="59" t="s">
        <v>169</v>
      </c>
    </row>
    <row r="68" spans="13:15" x14ac:dyDescent="0.3">
      <c r="M68" s="17">
        <v>7075231930</v>
      </c>
      <c r="N68" s="17" t="s">
        <v>1245</v>
      </c>
      <c r="O68" s="17" t="s">
        <v>75</v>
      </c>
    </row>
    <row r="69" spans="13:15" x14ac:dyDescent="0.3">
      <c r="M69" s="59">
        <v>7247781730</v>
      </c>
      <c r="N69" s="59" t="s">
        <v>1283</v>
      </c>
      <c r="O69" s="59" t="s">
        <v>187</v>
      </c>
    </row>
    <row r="70" spans="13:15" x14ac:dyDescent="0.3">
      <c r="M70" s="17">
        <v>71186354</v>
      </c>
      <c r="N70" s="17" t="s">
        <v>1246</v>
      </c>
      <c r="O70" s="17" t="s">
        <v>78</v>
      </c>
    </row>
    <row r="71" spans="13:15" x14ac:dyDescent="0.3">
      <c r="M71" s="59" t="s">
        <v>595</v>
      </c>
      <c r="N71" s="59" t="s">
        <v>1714</v>
      </c>
      <c r="O71" s="59" t="s">
        <v>161</v>
      </c>
    </row>
    <row r="72" spans="13:15" x14ac:dyDescent="0.3">
      <c r="M72" s="17">
        <v>7047052330</v>
      </c>
      <c r="N72" s="17" t="s">
        <v>1338</v>
      </c>
      <c r="O72" s="17" t="s">
        <v>981</v>
      </c>
    </row>
    <row r="73" spans="13:15" x14ac:dyDescent="0.3">
      <c r="M73" s="59">
        <v>71191993</v>
      </c>
      <c r="N73" s="59" t="s">
        <v>1252</v>
      </c>
      <c r="O73" s="59" t="s">
        <v>87</v>
      </c>
    </row>
    <row r="74" spans="13:15" x14ac:dyDescent="0.3">
      <c r="M74" s="17">
        <v>7289896430</v>
      </c>
      <c r="N74" s="17" t="s">
        <v>1715</v>
      </c>
      <c r="O74" s="17" t="s">
        <v>132</v>
      </c>
    </row>
    <row r="75" spans="13:15" x14ac:dyDescent="0.3">
      <c r="M75" s="59">
        <v>7289982670</v>
      </c>
      <c r="N75" s="59" t="s">
        <v>1717</v>
      </c>
      <c r="O75" s="59" t="s">
        <v>969</v>
      </c>
    </row>
    <row r="76" spans="13:15" x14ac:dyDescent="0.3">
      <c r="M76" s="17" t="s">
        <v>238</v>
      </c>
      <c r="N76" s="17" t="s">
        <v>1719</v>
      </c>
      <c r="O76" s="17" t="s">
        <v>139</v>
      </c>
    </row>
    <row r="77" spans="13:15" x14ac:dyDescent="0.3">
      <c r="M77" s="59">
        <v>71196714</v>
      </c>
      <c r="N77" s="59" t="s">
        <v>1720</v>
      </c>
      <c r="O77" s="59" t="s">
        <v>97</v>
      </c>
    </row>
    <row r="78" spans="13:15" x14ac:dyDescent="0.3">
      <c r="M78" s="17">
        <v>71988082</v>
      </c>
      <c r="N78" s="17" t="s">
        <v>1260</v>
      </c>
      <c r="O78" s="17" t="s">
        <v>118</v>
      </c>
    </row>
    <row r="79" spans="13:15" x14ac:dyDescent="0.3">
      <c r="M79" s="59" t="s">
        <v>221</v>
      </c>
      <c r="N79" s="59" t="s">
        <v>1255</v>
      </c>
      <c r="O79" s="59" t="s">
        <v>103</v>
      </c>
    </row>
    <row r="80" spans="13:15" x14ac:dyDescent="0.3">
      <c r="M80" s="17" t="s">
        <v>598</v>
      </c>
      <c r="N80" s="17" t="s">
        <v>1298</v>
      </c>
      <c r="O80" s="17" t="s">
        <v>288</v>
      </c>
    </row>
    <row r="81" spans="13:15" x14ac:dyDescent="0.3">
      <c r="M81" s="59">
        <v>7252779130</v>
      </c>
      <c r="N81" s="59" t="s">
        <v>1296</v>
      </c>
      <c r="O81" s="59" t="s">
        <v>287</v>
      </c>
    </row>
    <row r="82" spans="13:15" x14ac:dyDescent="0.3">
      <c r="M82" s="17">
        <v>71986562</v>
      </c>
      <c r="N82" s="17" t="s">
        <v>1721</v>
      </c>
      <c r="O82" s="17" t="s">
        <v>744</v>
      </c>
    </row>
    <row r="83" spans="13:15" x14ac:dyDescent="0.3">
      <c r="M83" s="59">
        <v>7297944190</v>
      </c>
      <c r="N83" s="59" t="s">
        <v>1268</v>
      </c>
      <c r="O83" s="59" t="s">
        <v>134</v>
      </c>
    </row>
    <row r="84" spans="13:15" x14ac:dyDescent="0.3">
      <c r="M84" s="17" t="s">
        <v>246</v>
      </c>
      <c r="N84" s="17" t="s">
        <v>1722</v>
      </c>
      <c r="O84" s="17" t="s">
        <v>150</v>
      </c>
    </row>
    <row r="85" spans="13:15" x14ac:dyDescent="0.3">
      <c r="M85" s="59">
        <v>7252785330</v>
      </c>
      <c r="N85" s="59" t="s">
        <v>1333</v>
      </c>
      <c r="O85" s="59" t="s">
        <v>953</v>
      </c>
    </row>
    <row r="86" spans="13:15" x14ac:dyDescent="0.3">
      <c r="M86" s="17">
        <v>7075181330</v>
      </c>
      <c r="N86" s="17" t="s">
        <v>1723</v>
      </c>
      <c r="O86" s="17" t="s">
        <v>963</v>
      </c>
    </row>
    <row r="87" spans="13:15" x14ac:dyDescent="0.3">
      <c r="M87" s="59" t="s">
        <v>260</v>
      </c>
      <c r="N87" s="59" t="s">
        <v>1725</v>
      </c>
      <c r="O87" s="59" t="s">
        <v>170</v>
      </c>
    </row>
    <row r="88" spans="13:15" x14ac:dyDescent="0.3">
      <c r="M88" s="17">
        <v>7035990430</v>
      </c>
      <c r="N88" s="17" t="s">
        <v>1299</v>
      </c>
      <c r="O88" s="17" t="s">
        <v>831</v>
      </c>
    </row>
    <row r="89" spans="13:15" x14ac:dyDescent="0.3">
      <c r="M89" s="59">
        <v>7047186030</v>
      </c>
      <c r="N89" s="59" t="s">
        <v>1281</v>
      </c>
      <c r="O89" s="59" t="s">
        <v>172</v>
      </c>
    </row>
    <row r="90" spans="13:15" x14ac:dyDescent="0.3">
      <c r="M90" s="17">
        <v>7198796290</v>
      </c>
      <c r="N90" s="17" t="s">
        <v>1258</v>
      </c>
      <c r="O90" s="17" t="s">
        <v>117</v>
      </c>
    </row>
    <row r="91" spans="13:15" x14ac:dyDescent="0.3">
      <c r="M91" s="59">
        <v>7052161430</v>
      </c>
      <c r="N91" s="59" t="s">
        <v>1337</v>
      </c>
      <c r="O91" s="59" t="s">
        <v>972</v>
      </c>
    </row>
    <row r="92" spans="13:15" x14ac:dyDescent="0.3">
      <c r="M92" s="17" t="s">
        <v>241</v>
      </c>
      <c r="N92" s="17" t="s">
        <v>1274</v>
      </c>
      <c r="O92" s="17" t="s">
        <v>143</v>
      </c>
    </row>
    <row r="93" spans="13:15" x14ac:dyDescent="0.3">
      <c r="M93" s="59">
        <v>7287547130</v>
      </c>
      <c r="N93" s="59" t="s">
        <v>1726</v>
      </c>
      <c r="O93" s="59" t="s">
        <v>985</v>
      </c>
    </row>
    <row r="94" spans="13:15" x14ac:dyDescent="0.3">
      <c r="M94" s="17">
        <v>7003756102</v>
      </c>
      <c r="N94" s="17" t="s">
        <v>1301</v>
      </c>
      <c r="O94" s="17" t="s">
        <v>856</v>
      </c>
    </row>
    <row r="95" spans="13:15" x14ac:dyDescent="0.3">
      <c r="M95" s="59" t="s">
        <v>608</v>
      </c>
      <c r="N95" s="59" t="s">
        <v>1728</v>
      </c>
      <c r="O95" s="59" t="s">
        <v>1354</v>
      </c>
    </row>
    <row r="96" spans="13:15" x14ac:dyDescent="0.3">
      <c r="M96" s="17" t="s">
        <v>1232</v>
      </c>
      <c r="N96" s="17" t="s">
        <v>1270</v>
      </c>
      <c r="O96" s="17" t="s">
        <v>137</v>
      </c>
    </row>
    <row r="97" spans="13:15" x14ac:dyDescent="0.3">
      <c r="M97">
        <v>7235053630</v>
      </c>
      <c r="N97" t="s">
        <v>1293</v>
      </c>
      <c r="O97" t="s">
        <v>849</v>
      </c>
    </row>
    <row r="98" spans="13:15" x14ac:dyDescent="0.3">
      <c r="M98">
        <v>7198599230</v>
      </c>
      <c r="N98" t="s">
        <v>1729</v>
      </c>
      <c r="O98" t="s">
        <v>1197</v>
      </c>
    </row>
    <row r="99" spans="13:15" x14ac:dyDescent="0.3">
      <c r="M99">
        <v>7119639830</v>
      </c>
      <c r="N99" t="s">
        <v>1731</v>
      </c>
      <c r="O99" t="s">
        <v>90</v>
      </c>
    </row>
    <row r="100" spans="13:15" x14ac:dyDescent="0.3">
      <c r="M100">
        <v>7047186030</v>
      </c>
      <c r="N100" t="s">
        <v>1336</v>
      </c>
      <c r="O100" t="s">
        <v>864</v>
      </c>
    </row>
    <row r="101" spans="13:15" x14ac:dyDescent="0.3">
      <c r="M101">
        <v>72478572</v>
      </c>
      <c r="N101" t="s">
        <v>1341</v>
      </c>
      <c r="O101" t="s">
        <v>1003</v>
      </c>
    </row>
    <row r="102" spans="13:15" x14ac:dyDescent="0.3">
      <c r="M102" t="s">
        <v>844</v>
      </c>
      <c r="N102" t="s">
        <v>1273</v>
      </c>
      <c r="O102" t="s">
        <v>142</v>
      </c>
    </row>
    <row r="103" spans="13:15" x14ac:dyDescent="0.3">
      <c r="M103">
        <v>7183753630</v>
      </c>
      <c r="N103" t="s">
        <v>1732</v>
      </c>
      <c r="O103" t="s">
        <v>203</v>
      </c>
    </row>
    <row r="104" spans="13:15" x14ac:dyDescent="0.3">
      <c r="M104">
        <v>7147882430</v>
      </c>
      <c r="N104" t="s">
        <v>1282</v>
      </c>
      <c r="O104" t="s">
        <v>177</v>
      </c>
    </row>
    <row r="105" spans="13:15" x14ac:dyDescent="0.3">
      <c r="M105">
        <v>7189663170</v>
      </c>
      <c r="N105" t="s">
        <v>1734</v>
      </c>
      <c r="O105" t="s">
        <v>106</v>
      </c>
    </row>
    <row r="106" spans="13:15" x14ac:dyDescent="0.3">
      <c r="M106">
        <v>7247761330</v>
      </c>
      <c r="N106" t="s">
        <v>1340</v>
      </c>
      <c r="O106" t="s">
        <v>939</v>
      </c>
    </row>
    <row r="107" spans="13:15" x14ac:dyDescent="0.3">
      <c r="M107">
        <v>7198948560</v>
      </c>
      <c r="N107" t="s">
        <v>1264</v>
      </c>
      <c r="O107" t="s">
        <v>123</v>
      </c>
    </row>
    <row r="108" spans="13:15" x14ac:dyDescent="0.3">
      <c r="M108" t="s">
        <v>591</v>
      </c>
      <c r="N108" t="s">
        <v>1271</v>
      </c>
      <c r="O108" t="s">
        <v>138</v>
      </c>
    </row>
    <row r="109" spans="13:15" x14ac:dyDescent="0.3">
      <c r="M109" t="s">
        <v>243</v>
      </c>
      <c r="N109" t="s">
        <v>1277</v>
      </c>
      <c r="O109" t="s">
        <v>147</v>
      </c>
    </row>
    <row r="110" spans="13:15" x14ac:dyDescent="0.3">
      <c r="M110">
        <v>71897277</v>
      </c>
      <c r="N110" t="s">
        <v>1297</v>
      </c>
      <c r="O110" t="s">
        <v>964</v>
      </c>
    </row>
    <row r="111" spans="13:15" x14ac:dyDescent="0.3">
      <c r="M111">
        <v>71899503</v>
      </c>
      <c r="N111" t="s">
        <v>1256</v>
      </c>
      <c r="O111" t="s">
        <v>107</v>
      </c>
    </row>
    <row r="112" spans="13:15" x14ac:dyDescent="0.3">
      <c r="M112">
        <v>7189982830</v>
      </c>
      <c r="N112" t="s">
        <v>1736</v>
      </c>
      <c r="O112" t="s">
        <v>108</v>
      </c>
    </row>
    <row r="113" spans="13:15" x14ac:dyDescent="0.3">
      <c r="M113" t="s">
        <v>251</v>
      </c>
      <c r="N113" t="s">
        <v>1738</v>
      </c>
      <c r="O113" t="s">
        <v>155</v>
      </c>
    </row>
    <row r="114" spans="13:15" x14ac:dyDescent="0.3">
      <c r="M114">
        <v>7271007030</v>
      </c>
      <c r="N114" t="s">
        <v>1266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1275</v>
      </c>
      <c r="O116" t="s">
        <v>144</v>
      </c>
    </row>
    <row r="117" spans="13:15" x14ac:dyDescent="0.3">
      <c r="M117">
        <v>7047135830</v>
      </c>
      <c r="N117" t="s">
        <v>1335</v>
      </c>
      <c r="O117" t="s">
        <v>860</v>
      </c>
    </row>
    <row r="118" spans="13:15" x14ac:dyDescent="0.3">
      <c r="M118">
        <v>71781227</v>
      </c>
      <c r="N118" t="s">
        <v>1740</v>
      </c>
      <c r="O118" t="s">
        <v>201</v>
      </c>
    </row>
    <row r="119" spans="13:15" x14ac:dyDescent="0.3">
      <c r="M119" t="s">
        <v>291</v>
      </c>
      <c r="N119" t="s">
        <v>1742</v>
      </c>
      <c r="O119" t="s">
        <v>296</v>
      </c>
    </row>
    <row r="120" spans="13:15" x14ac:dyDescent="0.3">
      <c r="M120" t="s">
        <v>245</v>
      </c>
      <c r="N120" t="s">
        <v>1278</v>
      </c>
      <c r="O120" t="s">
        <v>149</v>
      </c>
    </row>
    <row r="121" spans="13:15" x14ac:dyDescent="0.3">
      <c r="M121" t="s">
        <v>266</v>
      </c>
      <c r="N121" t="s">
        <v>1743</v>
      </c>
      <c r="O121" t="s">
        <v>207</v>
      </c>
    </row>
    <row r="122" spans="13:15" x14ac:dyDescent="0.3">
      <c r="M122">
        <v>7147882430</v>
      </c>
      <c r="N122" t="s">
        <v>1344</v>
      </c>
      <c r="O122" t="s">
        <v>874</v>
      </c>
    </row>
  </sheetData>
  <mergeCells count="1">
    <mergeCell ref="A1:G1"/>
  </mergeCell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11"/>
  <sheetViews>
    <sheetView workbookViewId="0">
      <selection activeCell="E24" sqref="E24"/>
    </sheetView>
  </sheetViews>
  <sheetFormatPr defaultRowHeight="14.4" x14ac:dyDescent="0.3"/>
  <cols>
    <col min="1" max="1" width="9.109375" bestFit="1" customWidth="1"/>
    <col min="2" max="2" width="42.33203125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67" t="s">
        <v>1876</v>
      </c>
      <c r="B1" s="67" t="s">
        <v>1877</v>
      </c>
      <c r="C1" s="67" t="s">
        <v>1878</v>
      </c>
      <c r="D1" s="67" t="s">
        <v>1879</v>
      </c>
      <c r="E1" s="67" t="s">
        <v>1880</v>
      </c>
      <c r="F1" s="67" t="s">
        <v>1881</v>
      </c>
    </row>
    <row r="2" spans="1:6" ht="16.2" thickBot="1" x14ac:dyDescent="0.35">
      <c r="A2" s="66">
        <v>1</v>
      </c>
      <c r="B2" s="64" t="s">
        <v>588</v>
      </c>
      <c r="C2" s="63" t="s">
        <v>2183</v>
      </c>
      <c r="D2" s="68"/>
      <c r="E2" s="65" t="s">
        <v>784</v>
      </c>
      <c r="F2" s="65">
        <v>32</v>
      </c>
    </row>
    <row r="3" spans="1:6" ht="16.2" thickBot="1" x14ac:dyDescent="0.35">
      <c r="A3" s="66">
        <v>2</v>
      </c>
      <c r="B3" s="64" t="s">
        <v>655</v>
      </c>
      <c r="C3" s="63" t="s">
        <v>2183</v>
      </c>
      <c r="D3" s="65"/>
      <c r="E3" s="65" t="s">
        <v>785</v>
      </c>
      <c r="F3" s="65">
        <v>16</v>
      </c>
    </row>
    <row r="4" spans="1:6" ht="16.2" thickBot="1" x14ac:dyDescent="0.35">
      <c r="A4" s="66">
        <v>3</v>
      </c>
      <c r="B4" s="64" t="s">
        <v>2083</v>
      </c>
      <c r="C4" s="63" t="s">
        <v>2183</v>
      </c>
      <c r="D4" s="65"/>
      <c r="E4" s="65" t="s">
        <v>755</v>
      </c>
      <c r="F4" s="65">
        <v>16</v>
      </c>
    </row>
    <row r="5" spans="1:6" ht="16.2" thickBot="1" x14ac:dyDescent="0.35">
      <c r="A5" s="66">
        <v>4</v>
      </c>
      <c r="B5" s="64" t="s">
        <v>2085</v>
      </c>
      <c r="C5" s="63" t="s">
        <v>2183</v>
      </c>
      <c r="D5" s="65"/>
      <c r="E5" s="65" t="s">
        <v>756</v>
      </c>
      <c r="F5" s="65">
        <v>16</v>
      </c>
    </row>
    <row r="6" spans="1:6" ht="16.2" thickBot="1" x14ac:dyDescent="0.35">
      <c r="A6" s="66">
        <v>5</v>
      </c>
      <c r="B6" s="64" t="s">
        <v>2087</v>
      </c>
      <c r="C6" s="63" t="s">
        <v>2183</v>
      </c>
      <c r="D6" s="65"/>
      <c r="E6" s="65" t="s">
        <v>761</v>
      </c>
      <c r="F6" s="65">
        <v>32</v>
      </c>
    </row>
    <row r="7" spans="1:6" ht="16.2" thickBot="1" x14ac:dyDescent="0.35">
      <c r="A7" s="66">
        <v>6</v>
      </c>
      <c r="B7" s="64" t="s">
        <v>2089</v>
      </c>
      <c r="C7" s="63" t="s">
        <v>2183</v>
      </c>
      <c r="D7" s="65"/>
      <c r="E7" s="65" t="s">
        <v>763</v>
      </c>
      <c r="F7" s="65">
        <v>16</v>
      </c>
    </row>
    <row r="8" spans="1:6" ht="16.2" thickBot="1" x14ac:dyDescent="0.35">
      <c r="A8" s="66">
        <v>7</v>
      </c>
      <c r="B8" s="64" t="s">
        <v>2092</v>
      </c>
      <c r="C8" s="63" t="s">
        <v>2183</v>
      </c>
      <c r="D8" s="65"/>
      <c r="E8" s="65" t="s">
        <v>2069</v>
      </c>
      <c r="F8" s="65">
        <v>36</v>
      </c>
    </row>
    <row r="9" spans="1:6" ht="16.2" thickBot="1" x14ac:dyDescent="0.35">
      <c r="A9" s="66">
        <v>8</v>
      </c>
      <c r="B9" s="64" t="s">
        <v>2094</v>
      </c>
      <c r="C9" s="63" t="s">
        <v>2183</v>
      </c>
      <c r="D9" s="65"/>
      <c r="E9" s="65" t="s">
        <v>2068</v>
      </c>
      <c r="F9" s="65">
        <v>36</v>
      </c>
    </row>
    <row r="10" spans="1:6" ht="16.2" thickBot="1" x14ac:dyDescent="0.35">
      <c r="A10" s="87">
        <v>9</v>
      </c>
      <c r="B10" s="88" t="s">
        <v>2097</v>
      </c>
      <c r="C10" s="63" t="s">
        <v>2183</v>
      </c>
      <c r="D10" s="89"/>
      <c r="E10" s="89" t="s">
        <v>2072</v>
      </c>
      <c r="F10" s="89">
        <v>18</v>
      </c>
    </row>
    <row r="11" spans="1:6" ht="16.2" thickBot="1" x14ac:dyDescent="0.35">
      <c r="A11" s="87">
        <v>10</v>
      </c>
      <c r="B11" s="88" t="s">
        <v>2085</v>
      </c>
      <c r="C11" s="63" t="s">
        <v>2183</v>
      </c>
      <c r="D11" s="89"/>
      <c r="E11" s="89" t="s">
        <v>2073</v>
      </c>
      <c r="F11" s="89">
        <v>18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278</v>
      </c>
      <c r="B2" t="s">
        <v>19</v>
      </c>
    </row>
    <row r="3" spans="1:6" x14ac:dyDescent="0.3">
      <c r="A3" t="s">
        <v>279</v>
      </c>
      <c r="B3" t="s">
        <v>20</v>
      </c>
    </row>
    <row r="4" spans="1:6" x14ac:dyDescent="0.3">
      <c r="A4" t="s">
        <v>280</v>
      </c>
      <c r="B4" t="s">
        <v>21</v>
      </c>
    </row>
    <row r="5" spans="1:6" x14ac:dyDescent="0.3">
      <c r="A5" t="s">
        <v>281</v>
      </c>
      <c r="B5" t="s">
        <v>282</v>
      </c>
    </row>
    <row r="6" spans="1:6" x14ac:dyDescent="0.3">
      <c r="A6" t="s">
        <v>1186</v>
      </c>
      <c r="B6" t="s">
        <v>1187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118" t="s">
        <v>1986</v>
      </c>
      <c r="G10" s="118"/>
      <c r="H10" s="118"/>
      <c r="I10" s="118" t="s">
        <v>1987</v>
      </c>
      <c r="J10" s="118"/>
      <c r="K10" s="118"/>
      <c r="L10" s="118" t="s">
        <v>1988</v>
      </c>
      <c r="M10" s="118"/>
      <c r="N10" s="118"/>
    </row>
    <row r="11" spans="6:14" x14ac:dyDescent="0.3">
      <c r="F11" s="49" t="s">
        <v>1204</v>
      </c>
      <c r="G11" s="49">
        <v>6</v>
      </c>
      <c r="H11" s="49">
        <f>G11*16</f>
        <v>96</v>
      </c>
      <c r="I11" s="49" t="s">
        <v>1989</v>
      </c>
      <c r="J11" s="49">
        <v>14</v>
      </c>
      <c r="K11" s="49">
        <f>J11*28</f>
        <v>392</v>
      </c>
      <c r="L11" s="69" t="s">
        <v>1989</v>
      </c>
      <c r="M11" s="49">
        <v>12</v>
      </c>
      <c r="N11" s="49">
        <f>M11*17</f>
        <v>204</v>
      </c>
    </row>
    <row r="12" spans="6:14" x14ac:dyDescent="0.3">
      <c r="F12" s="49" t="s">
        <v>1985</v>
      </c>
      <c r="G12" s="49">
        <v>15</v>
      </c>
      <c r="H12" s="49">
        <f>G12*16</f>
        <v>240</v>
      </c>
      <c r="I12" s="49" t="s">
        <v>1990</v>
      </c>
      <c r="J12" s="49">
        <v>2</v>
      </c>
      <c r="K12" s="49">
        <f>J12*28</f>
        <v>56</v>
      </c>
      <c r="L12" s="69" t="s">
        <v>1990</v>
      </c>
      <c r="M12" s="49">
        <v>2</v>
      </c>
      <c r="N12" s="49">
        <f>M12*17</f>
        <v>34</v>
      </c>
    </row>
    <row r="13" spans="6:14" x14ac:dyDescent="0.3">
      <c r="F13" s="49"/>
      <c r="G13" s="49"/>
      <c r="H13" s="49"/>
      <c r="I13" s="49" t="s">
        <v>1204</v>
      </c>
      <c r="J13" s="49">
        <v>4</v>
      </c>
      <c r="K13" s="49">
        <f>J13*28</f>
        <v>112</v>
      </c>
      <c r="L13" s="69" t="s">
        <v>1204</v>
      </c>
      <c r="M13" s="49">
        <v>5</v>
      </c>
      <c r="N13" s="49">
        <f>M13*17</f>
        <v>85</v>
      </c>
    </row>
    <row r="14" spans="6:14" x14ac:dyDescent="0.3">
      <c r="F14" s="49"/>
      <c r="G14" s="49"/>
      <c r="H14" s="49"/>
      <c r="I14" s="49" t="s">
        <v>1985</v>
      </c>
      <c r="J14" s="49">
        <v>2</v>
      </c>
      <c r="K14" s="49">
        <f>J14*28</f>
        <v>56</v>
      </c>
      <c r="L14" s="69" t="s">
        <v>1985</v>
      </c>
      <c r="M14" s="49">
        <v>2</v>
      </c>
      <c r="N14" s="49">
        <f>M14*17</f>
        <v>34</v>
      </c>
    </row>
    <row r="17" spans="7:8" x14ac:dyDescent="0.3">
      <c r="G17" s="70" t="s">
        <v>1991</v>
      </c>
    </row>
    <row r="18" spans="7:8" x14ac:dyDescent="0.3">
      <c r="G18" s="49" t="s">
        <v>1989</v>
      </c>
      <c r="H18" s="49">
        <v>596</v>
      </c>
    </row>
    <row r="19" spans="7:8" x14ac:dyDescent="0.3">
      <c r="G19" s="49" t="s">
        <v>1204</v>
      </c>
      <c r="H19" s="49">
        <v>293</v>
      </c>
    </row>
    <row r="20" spans="7:8" x14ac:dyDescent="0.3">
      <c r="G20" s="49" t="s">
        <v>1985</v>
      </c>
      <c r="H20" s="49">
        <v>330</v>
      </c>
    </row>
    <row r="21" spans="7:8" x14ac:dyDescent="0.3">
      <c r="G21" s="49" t="s">
        <v>1990</v>
      </c>
      <c r="H21" s="49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4098-180D-4367-A44F-10D0394D5E51}">
  <dimension ref="F2:S27"/>
  <sheetViews>
    <sheetView workbookViewId="0">
      <selection activeCell="B29" sqref="B29"/>
    </sheetView>
  </sheetViews>
  <sheetFormatPr defaultRowHeight="14.4" x14ac:dyDescent="0.3"/>
  <cols>
    <col min="6" max="6" width="12.21875" customWidth="1"/>
    <col min="7" max="7" width="5.88671875" customWidth="1"/>
    <col min="8" max="8" width="13.6640625" bestFit="1" customWidth="1"/>
    <col min="9" max="9" width="12.33203125" bestFit="1" customWidth="1"/>
    <col min="12" max="12" width="5.44140625" customWidth="1"/>
    <col min="13" max="13" width="4.109375" customWidth="1"/>
    <col min="14" max="14" width="8.88671875" customWidth="1"/>
    <col min="15" max="15" width="10.6640625" customWidth="1"/>
    <col min="16" max="16" width="13.21875" customWidth="1"/>
    <col min="19" max="19" width="8.88671875" customWidth="1"/>
  </cols>
  <sheetData>
    <row r="2" spans="6:19" ht="15" thickBot="1" x14ac:dyDescent="0.35">
      <c r="G2" s="103"/>
    </row>
    <row r="3" spans="6:19" ht="15" customHeight="1" thickTop="1" x14ac:dyDescent="0.3">
      <c r="F3" s="101"/>
      <c r="G3" s="143" t="s">
        <v>2359</v>
      </c>
      <c r="H3" s="144"/>
      <c r="I3" s="144"/>
      <c r="J3" s="144"/>
      <c r="K3" s="144"/>
      <c r="L3" s="145"/>
      <c r="N3" s="143" t="s">
        <v>2359</v>
      </c>
      <c r="O3" s="144"/>
      <c r="P3" s="144"/>
      <c r="Q3" s="144"/>
      <c r="R3" s="144"/>
      <c r="S3" s="145"/>
    </row>
    <row r="4" spans="6:19" ht="15" customHeight="1" thickBot="1" x14ac:dyDescent="0.35">
      <c r="G4" s="146"/>
      <c r="H4" s="147"/>
      <c r="I4" s="147"/>
      <c r="J4" s="147"/>
      <c r="K4" s="147"/>
      <c r="L4" s="148"/>
      <c r="N4" s="146"/>
      <c r="O4" s="147"/>
      <c r="P4" s="147"/>
      <c r="Q4" s="147"/>
      <c r="R4" s="147"/>
      <c r="S4" s="148"/>
    </row>
    <row r="5" spans="6:19" ht="15.6" customHeight="1" thickTop="1" x14ac:dyDescent="0.3">
      <c r="G5" s="100"/>
      <c r="L5" s="101"/>
      <c r="N5" s="100"/>
      <c r="S5" s="101"/>
    </row>
    <row r="6" spans="6:19" ht="25.8" x14ac:dyDescent="0.5">
      <c r="G6" s="100"/>
      <c r="H6" s="149" t="s">
        <v>2348</v>
      </c>
      <c r="I6" s="150"/>
      <c r="J6" s="150"/>
      <c r="K6" s="151"/>
      <c r="L6" s="101"/>
      <c r="N6" s="100"/>
      <c r="O6" s="149" t="s">
        <v>2348</v>
      </c>
      <c r="P6" s="150"/>
      <c r="Q6" s="150"/>
      <c r="R6" s="151"/>
      <c r="S6" s="101"/>
    </row>
    <row r="7" spans="6:19" ht="15.6" customHeight="1" x14ac:dyDescent="0.3">
      <c r="G7" s="100"/>
      <c r="H7" s="126" t="s">
        <v>2365</v>
      </c>
      <c r="I7" s="126"/>
      <c r="J7" s="127" t="s">
        <v>2366</v>
      </c>
      <c r="K7" s="128"/>
      <c r="L7" s="101"/>
      <c r="N7" s="100"/>
      <c r="O7" s="126" t="s">
        <v>2365</v>
      </c>
      <c r="P7" s="126"/>
      <c r="Q7" s="127" t="s">
        <v>2366</v>
      </c>
      <c r="R7" s="128"/>
      <c r="S7" s="101"/>
    </row>
    <row r="8" spans="6:19" ht="15.6" customHeight="1" thickBot="1" x14ac:dyDescent="0.35">
      <c r="G8" s="100"/>
      <c r="H8" s="152" t="s">
        <v>2350</v>
      </c>
      <c r="I8" s="153"/>
      <c r="J8" s="124" t="s">
        <v>2360</v>
      </c>
      <c r="K8" s="125"/>
      <c r="L8" s="101"/>
      <c r="N8" s="100"/>
      <c r="O8" s="152" t="s">
        <v>2350</v>
      </c>
      <c r="P8" s="153"/>
      <c r="Q8" s="124" t="s">
        <v>2360</v>
      </c>
      <c r="R8" s="125"/>
      <c r="S8" s="101"/>
    </row>
    <row r="9" spans="6:19" ht="15.6" thickTop="1" thickBot="1" x14ac:dyDescent="0.35">
      <c r="G9" s="100"/>
      <c r="H9" s="139" t="s">
        <v>2351</v>
      </c>
      <c r="I9" s="140"/>
      <c r="J9" s="124" t="s">
        <v>2362</v>
      </c>
      <c r="K9" s="125"/>
      <c r="L9" s="101"/>
      <c r="N9" s="100"/>
      <c r="O9" s="139" t="s">
        <v>2351</v>
      </c>
      <c r="P9" s="140"/>
      <c r="Q9" s="124" t="s">
        <v>2362</v>
      </c>
      <c r="R9" s="125"/>
      <c r="S9" s="101"/>
    </row>
    <row r="10" spans="6:19" ht="15.6" thickTop="1" thickBot="1" x14ac:dyDescent="0.35">
      <c r="G10" s="100"/>
      <c r="H10" s="141" t="s">
        <v>2352</v>
      </c>
      <c r="I10" s="142"/>
      <c r="J10" s="124" t="s">
        <v>2361</v>
      </c>
      <c r="K10" s="125"/>
      <c r="L10" s="101"/>
      <c r="N10" s="100"/>
      <c r="O10" s="141" t="s">
        <v>2352</v>
      </c>
      <c r="P10" s="142"/>
      <c r="Q10" s="124" t="s">
        <v>2361</v>
      </c>
      <c r="R10" s="125"/>
      <c r="S10" s="101"/>
    </row>
    <row r="11" spans="6:19" ht="15.6" thickTop="1" thickBot="1" x14ac:dyDescent="0.35">
      <c r="G11" s="100"/>
      <c r="H11" s="137" t="s">
        <v>2353</v>
      </c>
      <c r="I11" s="138"/>
      <c r="J11" s="124" t="s">
        <v>2363</v>
      </c>
      <c r="K11" s="125"/>
      <c r="L11" s="101"/>
      <c r="N11" s="100"/>
      <c r="O11" s="137" t="s">
        <v>2353</v>
      </c>
      <c r="P11" s="138"/>
      <c r="Q11" s="124" t="s">
        <v>2363</v>
      </c>
      <c r="R11" s="125"/>
      <c r="S11" s="101"/>
    </row>
    <row r="12" spans="6:19" ht="15" thickTop="1" x14ac:dyDescent="0.3">
      <c r="G12" s="100"/>
      <c r="H12" s="122" t="s">
        <v>2354</v>
      </c>
      <c r="I12" s="123"/>
      <c r="J12" s="124" t="s">
        <v>2364</v>
      </c>
      <c r="K12" s="125"/>
      <c r="L12" s="101"/>
      <c r="N12" s="100"/>
      <c r="O12" s="122" t="s">
        <v>2354</v>
      </c>
      <c r="P12" s="123"/>
      <c r="Q12" s="124" t="s">
        <v>2364</v>
      </c>
      <c r="R12" s="125"/>
      <c r="S12" s="101"/>
    </row>
    <row r="13" spans="6:19" x14ac:dyDescent="0.3">
      <c r="G13" s="100"/>
      <c r="L13" s="101"/>
      <c r="N13" s="100"/>
      <c r="S13" s="101"/>
    </row>
    <row r="14" spans="6:19" ht="25.8" x14ac:dyDescent="0.5">
      <c r="G14" s="100"/>
      <c r="H14" s="115" t="s">
        <v>2349</v>
      </c>
      <c r="I14" s="115"/>
      <c r="J14" s="115"/>
      <c r="K14" s="115"/>
      <c r="L14" s="101"/>
      <c r="N14" s="100"/>
      <c r="O14" s="115" t="s">
        <v>2349</v>
      </c>
      <c r="P14" s="115"/>
      <c r="Q14" s="115"/>
      <c r="R14" s="115"/>
      <c r="S14" s="101"/>
    </row>
    <row r="15" spans="6:19" x14ac:dyDescent="0.3">
      <c r="G15" s="100"/>
      <c r="H15" s="126" t="s">
        <v>2365</v>
      </c>
      <c r="I15" s="126"/>
      <c r="J15" s="127" t="s">
        <v>2366</v>
      </c>
      <c r="K15" s="128"/>
      <c r="L15" s="101"/>
      <c r="N15" s="100"/>
      <c r="O15" s="126" t="s">
        <v>2365</v>
      </c>
      <c r="P15" s="126"/>
      <c r="Q15" s="127" t="s">
        <v>2366</v>
      </c>
      <c r="R15" s="128"/>
      <c r="S15" s="101"/>
    </row>
    <row r="16" spans="6:19" x14ac:dyDescent="0.3">
      <c r="G16" s="100"/>
      <c r="H16" s="129" t="s">
        <v>2355</v>
      </c>
      <c r="I16" s="129"/>
      <c r="J16" s="130" t="s">
        <v>2367</v>
      </c>
      <c r="K16" s="131"/>
      <c r="L16" s="101"/>
      <c r="N16" s="100"/>
      <c r="O16" s="129" t="s">
        <v>2355</v>
      </c>
      <c r="P16" s="129"/>
      <c r="Q16" s="130" t="s">
        <v>2367</v>
      </c>
      <c r="R16" s="131"/>
      <c r="S16" s="101"/>
    </row>
    <row r="17" spans="7:19" x14ac:dyDescent="0.3">
      <c r="G17" s="100"/>
      <c r="H17" s="134" t="s">
        <v>2356</v>
      </c>
      <c r="I17" s="134"/>
      <c r="J17" s="132"/>
      <c r="K17" s="133"/>
      <c r="L17" s="101"/>
      <c r="N17" s="100"/>
      <c r="O17" s="134" t="s">
        <v>2356</v>
      </c>
      <c r="P17" s="134"/>
      <c r="Q17" s="132"/>
      <c r="R17" s="133"/>
      <c r="S17" s="101"/>
    </row>
    <row r="18" spans="7:19" x14ac:dyDescent="0.3">
      <c r="G18" s="100"/>
      <c r="H18" s="135" t="s">
        <v>2357</v>
      </c>
      <c r="I18" s="135"/>
      <c r="J18" s="130" t="s">
        <v>2368</v>
      </c>
      <c r="K18" s="131"/>
      <c r="L18" s="101"/>
      <c r="N18" s="100"/>
      <c r="O18" s="135" t="s">
        <v>2357</v>
      </c>
      <c r="P18" s="135"/>
      <c r="Q18" s="130" t="s">
        <v>2368</v>
      </c>
      <c r="R18" s="131"/>
      <c r="S18" s="101"/>
    </row>
    <row r="19" spans="7:19" x14ac:dyDescent="0.3">
      <c r="G19" s="100"/>
      <c r="H19" s="136" t="s">
        <v>2358</v>
      </c>
      <c r="I19" s="136"/>
      <c r="J19" s="132"/>
      <c r="K19" s="133"/>
      <c r="L19" s="101"/>
      <c r="N19" s="100"/>
      <c r="O19" s="136" t="s">
        <v>2358</v>
      </c>
      <c r="P19" s="136"/>
      <c r="Q19" s="132"/>
      <c r="R19" s="133"/>
      <c r="S19" s="101"/>
    </row>
    <row r="20" spans="7:19" x14ac:dyDescent="0.3">
      <c r="G20" s="100"/>
      <c r="H20" s="107" t="s">
        <v>2350</v>
      </c>
      <c r="I20" s="105" t="s">
        <v>2351</v>
      </c>
      <c r="J20" s="130" t="s">
        <v>2369</v>
      </c>
      <c r="K20" s="131"/>
      <c r="L20" s="101"/>
      <c r="N20" s="100"/>
      <c r="O20" s="107" t="s">
        <v>2350</v>
      </c>
      <c r="P20" s="105" t="s">
        <v>2351</v>
      </c>
      <c r="Q20" s="130" t="s">
        <v>2369</v>
      </c>
      <c r="R20" s="131"/>
      <c r="S20" s="101"/>
    </row>
    <row r="21" spans="7:19" x14ac:dyDescent="0.3">
      <c r="G21" s="100"/>
      <c r="H21" s="108" t="s">
        <v>2350</v>
      </c>
      <c r="I21" s="106" t="s">
        <v>2352</v>
      </c>
      <c r="J21" s="132"/>
      <c r="K21" s="133"/>
      <c r="L21" s="101"/>
      <c r="N21" s="100"/>
      <c r="O21" s="108" t="s">
        <v>2350</v>
      </c>
      <c r="P21" s="106" t="s">
        <v>2352</v>
      </c>
      <c r="Q21" s="132"/>
      <c r="R21" s="133"/>
      <c r="S21" s="101"/>
    </row>
    <row r="22" spans="7:19" x14ac:dyDescent="0.3">
      <c r="G22" s="100"/>
      <c r="H22" s="109" t="s">
        <v>2350</v>
      </c>
      <c r="I22" s="98" t="s">
        <v>2353</v>
      </c>
      <c r="J22" s="130" t="s">
        <v>2370</v>
      </c>
      <c r="K22" s="131"/>
      <c r="L22" s="101"/>
      <c r="N22" s="100"/>
      <c r="O22" s="109" t="s">
        <v>2350</v>
      </c>
      <c r="P22" s="98" t="s">
        <v>2353</v>
      </c>
      <c r="Q22" s="130" t="s">
        <v>2370</v>
      </c>
      <c r="R22" s="131"/>
      <c r="S22" s="101"/>
    </row>
    <row r="23" spans="7:19" x14ac:dyDescent="0.3">
      <c r="G23" s="100"/>
      <c r="H23" s="110" t="s">
        <v>2350</v>
      </c>
      <c r="I23" s="99" t="s">
        <v>2354</v>
      </c>
      <c r="J23" s="132"/>
      <c r="K23" s="133"/>
      <c r="L23" s="101"/>
      <c r="N23" s="100"/>
      <c r="O23" s="110" t="s">
        <v>2350</v>
      </c>
      <c r="P23" s="99" t="s">
        <v>2354</v>
      </c>
      <c r="Q23" s="132"/>
      <c r="R23" s="133"/>
      <c r="S23" s="101"/>
    </row>
    <row r="24" spans="7:19" x14ac:dyDescent="0.3">
      <c r="G24" s="100"/>
      <c r="H24" s="111"/>
      <c r="L24" s="101"/>
      <c r="N24" s="100"/>
      <c r="O24" s="111"/>
      <c r="S24" s="101"/>
    </row>
    <row r="25" spans="7:19" x14ac:dyDescent="0.3">
      <c r="G25" s="114"/>
      <c r="H25" s="119" t="s">
        <v>2371</v>
      </c>
      <c r="I25" s="120"/>
      <c r="J25" s="120"/>
      <c r="K25" s="121"/>
      <c r="L25" s="112"/>
      <c r="N25" s="114"/>
      <c r="O25" s="119" t="s">
        <v>2371</v>
      </c>
      <c r="P25" s="120"/>
      <c r="Q25" s="120"/>
      <c r="R25" s="121"/>
      <c r="S25" s="112"/>
    </row>
    <row r="26" spans="7:19" ht="15" thickBot="1" x14ac:dyDescent="0.35">
      <c r="G26" s="102"/>
      <c r="H26" s="113"/>
      <c r="I26" s="113"/>
      <c r="J26" s="113"/>
      <c r="K26" s="113"/>
      <c r="L26" s="104"/>
      <c r="N26" s="102"/>
      <c r="O26" s="113"/>
      <c r="P26" s="113"/>
      <c r="Q26" s="113"/>
      <c r="R26" s="113"/>
      <c r="S26" s="104"/>
    </row>
    <row r="27" spans="7:19" ht="15" thickTop="1" x14ac:dyDescent="0.3"/>
  </sheetData>
  <mergeCells count="52">
    <mergeCell ref="G3:L4"/>
    <mergeCell ref="H6:K6"/>
    <mergeCell ref="J8:K8"/>
    <mergeCell ref="J9:K9"/>
    <mergeCell ref="J10:K10"/>
    <mergeCell ref="H8:I8"/>
    <mergeCell ref="H9:I9"/>
    <mergeCell ref="H10:I10"/>
    <mergeCell ref="H25:K25"/>
    <mergeCell ref="N3:S4"/>
    <mergeCell ref="O6:R6"/>
    <mergeCell ref="O7:P7"/>
    <mergeCell ref="Q7:R7"/>
    <mergeCell ref="O8:P8"/>
    <mergeCell ref="J16:K17"/>
    <mergeCell ref="J18:K19"/>
    <mergeCell ref="J20:K21"/>
    <mergeCell ref="J22:K23"/>
    <mergeCell ref="J12:K12"/>
    <mergeCell ref="H14:K14"/>
    <mergeCell ref="H16:I16"/>
    <mergeCell ref="H17:I17"/>
    <mergeCell ref="H18:I18"/>
    <mergeCell ref="H19:I19"/>
    <mergeCell ref="O11:P11"/>
    <mergeCell ref="Q11:R11"/>
    <mergeCell ref="H15:I15"/>
    <mergeCell ref="J15:K15"/>
    <mergeCell ref="H7:I7"/>
    <mergeCell ref="J7:K7"/>
    <mergeCell ref="J11:K11"/>
    <mergeCell ref="H11:I11"/>
    <mergeCell ref="H12:I12"/>
    <mergeCell ref="Q8:R8"/>
    <mergeCell ref="O9:P9"/>
    <mergeCell ref="Q9:R9"/>
    <mergeCell ref="O10:P10"/>
    <mergeCell ref="Q10:R10"/>
    <mergeCell ref="O25:R25"/>
    <mergeCell ref="O12:P12"/>
    <mergeCell ref="Q12:R12"/>
    <mergeCell ref="O14:R14"/>
    <mergeCell ref="O15:P15"/>
    <mergeCell ref="Q15:R15"/>
    <mergeCell ref="O16:P16"/>
    <mergeCell ref="Q16:R17"/>
    <mergeCell ref="O17:P17"/>
    <mergeCell ref="O18:P18"/>
    <mergeCell ref="Q18:R19"/>
    <mergeCell ref="O19:P19"/>
    <mergeCell ref="Q20:R21"/>
    <mergeCell ref="Q22:R23"/>
  </mergeCells>
  <phoneticPr fontId="1" type="noConversion"/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11"/>
  <sheetViews>
    <sheetView workbookViewId="0">
      <selection activeCell="A11" sqref="A11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268</v>
      </c>
    </row>
    <row r="3" spans="1:4" x14ac:dyDescent="0.3">
      <c r="A3" t="s">
        <v>752</v>
      </c>
    </row>
    <row r="4" spans="1:4" x14ac:dyDescent="0.3">
      <c r="A4" t="s">
        <v>1287</v>
      </c>
    </row>
    <row r="5" spans="1:4" x14ac:dyDescent="0.3">
      <c r="A5" t="s">
        <v>1288</v>
      </c>
    </row>
    <row r="6" spans="1:4" x14ac:dyDescent="0.3">
      <c r="A6" t="s">
        <v>1701</v>
      </c>
    </row>
    <row r="7" spans="1:4" x14ac:dyDescent="0.3">
      <c r="A7" t="s">
        <v>1753</v>
      </c>
    </row>
    <row r="8" spans="1:4" x14ac:dyDescent="0.3">
      <c r="A8" t="s">
        <v>2299</v>
      </c>
    </row>
    <row r="9" spans="1:4" x14ac:dyDescent="0.3">
      <c r="A9" t="s">
        <v>2300</v>
      </c>
    </row>
    <row r="10" spans="1:4" x14ac:dyDescent="0.3">
      <c r="A10" t="s">
        <v>2305</v>
      </c>
    </row>
    <row r="11" spans="1:4" x14ac:dyDescent="0.3">
      <c r="A11" t="s">
        <v>2377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1011</v>
      </c>
      <c r="B9" t="s">
        <v>1012</v>
      </c>
      <c r="C9" t="s">
        <v>1013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415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H4" sqref="H4"/>
    </sheetView>
  </sheetViews>
  <sheetFormatPr defaultRowHeight="14.4" x14ac:dyDescent="0.3"/>
  <cols>
    <col min="2" max="2" width="8.88671875" style="14"/>
    <col min="3" max="3" width="53.44140625" style="14" bestFit="1" customWidth="1"/>
  </cols>
  <sheetData>
    <row r="1" spans="2:8" ht="67.8" x14ac:dyDescent="0.3">
      <c r="B1" s="14">
        <v>0</v>
      </c>
      <c r="C1" s="16" t="str">
        <f t="shared" ref="C1:C66" si="0">"*"&amp;B1&amp;"*"</f>
        <v>*0*</v>
      </c>
    </row>
    <row r="2" spans="2:8" ht="67.8" x14ac:dyDescent="0.4">
      <c r="B2" s="15">
        <v>261493</v>
      </c>
      <c r="C2" s="16" t="str">
        <f t="shared" si="0"/>
        <v>*261493*</v>
      </c>
      <c r="H2" s="13"/>
    </row>
    <row r="3" spans="2:8" ht="67.8" x14ac:dyDescent="0.3">
      <c r="B3" s="15">
        <v>261494</v>
      </c>
      <c r="C3" s="16" t="str">
        <f t="shared" si="0"/>
        <v>*261494*</v>
      </c>
    </row>
    <row r="4" spans="2:8" ht="67.8" x14ac:dyDescent="0.3">
      <c r="B4" s="15" t="s">
        <v>311</v>
      </c>
      <c r="C4" s="16" t="str">
        <f t="shared" si="0"/>
        <v>*261495*</v>
      </c>
    </row>
    <row r="5" spans="2:8" ht="67.8" x14ac:dyDescent="0.3">
      <c r="B5" s="15" t="s">
        <v>312</v>
      </c>
      <c r="C5" s="16" t="str">
        <f t="shared" si="0"/>
        <v>*261496*</v>
      </c>
    </row>
    <row r="6" spans="2:8" ht="67.8" x14ac:dyDescent="0.3">
      <c r="B6" s="15" t="s">
        <v>313</v>
      </c>
      <c r="C6" s="16" t="str">
        <f t="shared" si="0"/>
        <v>*261497*</v>
      </c>
    </row>
    <row r="7" spans="2:8" ht="67.8" x14ac:dyDescent="0.3">
      <c r="B7" s="15" t="s">
        <v>314</v>
      </c>
      <c r="C7" s="16" t="str">
        <f t="shared" si="0"/>
        <v>*261498*</v>
      </c>
    </row>
    <row r="8" spans="2:8" ht="67.8" x14ac:dyDescent="0.3">
      <c r="B8" s="15" t="s">
        <v>315</v>
      </c>
      <c r="C8" s="16" t="str">
        <f t="shared" si="0"/>
        <v>*261499*</v>
      </c>
    </row>
    <row r="9" spans="2:8" ht="67.8" x14ac:dyDescent="0.3">
      <c r="B9" s="15" t="s">
        <v>316</v>
      </c>
      <c r="C9" s="16" t="str">
        <f t="shared" si="0"/>
        <v>*261500*</v>
      </c>
    </row>
    <row r="10" spans="2:8" ht="67.8" x14ac:dyDescent="0.3">
      <c r="B10" s="15" t="s">
        <v>318</v>
      </c>
      <c r="C10" s="16" t="str">
        <f t="shared" si="0"/>
        <v>*261501*</v>
      </c>
    </row>
    <row r="11" spans="2:8" ht="67.8" x14ac:dyDescent="0.3">
      <c r="B11" s="15" t="s">
        <v>319</v>
      </c>
      <c r="C11" s="16" t="str">
        <f t="shared" si="0"/>
        <v>*261502*</v>
      </c>
    </row>
    <row r="12" spans="2:8" ht="67.8" x14ac:dyDescent="0.3">
      <c r="B12" s="15" t="s">
        <v>320</v>
      </c>
      <c r="C12" s="16" t="str">
        <f t="shared" si="0"/>
        <v>*261503*</v>
      </c>
    </row>
    <row r="13" spans="2:8" ht="67.8" x14ac:dyDescent="0.3">
      <c r="B13" s="15" t="s">
        <v>321</v>
      </c>
      <c r="C13" s="16" t="str">
        <f t="shared" si="0"/>
        <v>*261504*</v>
      </c>
    </row>
    <row r="14" spans="2:8" ht="67.8" x14ac:dyDescent="0.3">
      <c r="B14" s="15" t="s">
        <v>323</v>
      </c>
      <c r="C14" s="16" t="str">
        <f t="shared" si="0"/>
        <v>*261505*</v>
      </c>
    </row>
    <row r="15" spans="2:8" ht="67.8" x14ac:dyDescent="0.3">
      <c r="B15" s="15" t="s">
        <v>324</v>
      </c>
      <c r="C15" s="16" t="str">
        <f t="shared" si="0"/>
        <v>*261506*</v>
      </c>
    </row>
    <row r="16" spans="2:8" ht="67.8" x14ac:dyDescent="0.3">
      <c r="B16" s="15" t="s">
        <v>325</v>
      </c>
      <c r="C16" s="16" t="str">
        <f t="shared" si="0"/>
        <v>*261507*</v>
      </c>
    </row>
    <row r="17" spans="2:3" ht="67.8" x14ac:dyDescent="0.3">
      <c r="B17" s="15" t="s">
        <v>326</v>
      </c>
      <c r="C17" s="16" t="str">
        <f t="shared" si="0"/>
        <v>*261508*</v>
      </c>
    </row>
    <row r="18" spans="2:3" ht="67.8" x14ac:dyDescent="0.3">
      <c r="B18" s="15" t="s">
        <v>327</v>
      </c>
      <c r="C18" s="16" t="str">
        <f t="shared" si="0"/>
        <v>*261509*</v>
      </c>
    </row>
    <row r="19" spans="2:3" ht="67.8" x14ac:dyDescent="0.3">
      <c r="B19" s="15" t="s">
        <v>328</v>
      </c>
      <c r="C19" s="16" t="str">
        <f t="shared" si="0"/>
        <v>*261510*</v>
      </c>
    </row>
    <row r="20" spans="2:3" ht="67.8" x14ac:dyDescent="0.3">
      <c r="B20" s="15" t="s">
        <v>329</v>
      </c>
      <c r="C20" s="16" t="str">
        <f t="shared" si="0"/>
        <v>*261511*</v>
      </c>
    </row>
    <row r="21" spans="2:3" ht="67.8" x14ac:dyDescent="0.3">
      <c r="B21" s="15" t="s">
        <v>330</v>
      </c>
      <c r="C21" s="16" t="str">
        <f t="shared" si="0"/>
        <v>*261512*</v>
      </c>
    </row>
    <row r="22" spans="2:3" ht="67.8" x14ac:dyDescent="0.3">
      <c r="B22" s="15" t="s">
        <v>331</v>
      </c>
      <c r="C22" s="16" t="str">
        <f t="shared" si="0"/>
        <v>*261513*</v>
      </c>
    </row>
    <row r="23" spans="2:3" ht="67.8" x14ac:dyDescent="0.3">
      <c r="B23" s="15" t="s">
        <v>332</v>
      </c>
      <c r="C23" s="16" t="str">
        <f t="shared" si="0"/>
        <v>*261514*</v>
      </c>
    </row>
    <row r="24" spans="2:3" ht="67.8" x14ac:dyDescent="0.3">
      <c r="B24" s="15" t="s">
        <v>333</v>
      </c>
      <c r="C24" s="16" t="str">
        <f t="shared" si="0"/>
        <v>*261515*</v>
      </c>
    </row>
    <row r="25" spans="2:3" ht="67.8" x14ac:dyDescent="0.3">
      <c r="B25" s="15" t="s">
        <v>335</v>
      </c>
      <c r="C25" s="16" t="str">
        <f t="shared" si="0"/>
        <v>*261516*</v>
      </c>
    </row>
    <row r="26" spans="2:3" ht="67.8" x14ac:dyDescent="0.3">
      <c r="B26" s="15" t="s">
        <v>336</v>
      </c>
      <c r="C26" s="16" t="str">
        <f t="shared" si="0"/>
        <v>*261517*</v>
      </c>
    </row>
    <row r="27" spans="2:3" ht="67.8" x14ac:dyDescent="0.3">
      <c r="B27" s="15" t="s">
        <v>337</v>
      </c>
      <c r="C27" s="16" t="str">
        <f t="shared" si="0"/>
        <v>*261518*</v>
      </c>
    </row>
    <row r="28" spans="2:3" ht="67.8" x14ac:dyDescent="0.3">
      <c r="B28" s="15" t="s">
        <v>338</v>
      </c>
      <c r="C28" s="16" t="str">
        <f t="shared" si="0"/>
        <v>*261519*</v>
      </c>
    </row>
    <row r="29" spans="2:3" ht="67.8" x14ac:dyDescent="0.3">
      <c r="B29" s="15" t="s">
        <v>339</v>
      </c>
      <c r="C29" s="16" t="str">
        <f t="shared" si="0"/>
        <v>*261520*</v>
      </c>
    </row>
    <row r="30" spans="2:3" ht="67.8" x14ac:dyDescent="0.3">
      <c r="B30" s="15" t="s">
        <v>340</v>
      </c>
      <c r="C30" s="16" t="str">
        <f t="shared" si="0"/>
        <v>*261521*</v>
      </c>
    </row>
    <row r="31" spans="2:3" ht="67.8" x14ac:dyDescent="0.3">
      <c r="B31" s="15" t="s">
        <v>342</v>
      </c>
      <c r="C31" s="16" t="str">
        <f t="shared" si="0"/>
        <v>*261522*</v>
      </c>
    </row>
    <row r="32" spans="2:3" ht="67.8" x14ac:dyDescent="0.3">
      <c r="B32" s="15" t="s">
        <v>343</v>
      </c>
      <c r="C32" s="16" t="str">
        <f t="shared" si="0"/>
        <v>*261523*</v>
      </c>
    </row>
    <row r="33" spans="2:3" ht="67.8" x14ac:dyDescent="0.3">
      <c r="B33" s="15" t="s">
        <v>344</v>
      </c>
      <c r="C33" s="16" t="str">
        <f t="shared" si="0"/>
        <v>*261524*</v>
      </c>
    </row>
    <row r="34" spans="2:3" ht="67.8" x14ac:dyDescent="0.3">
      <c r="B34" s="15" t="s">
        <v>345</v>
      </c>
      <c r="C34" s="16" t="str">
        <f t="shared" si="0"/>
        <v>*261525*</v>
      </c>
    </row>
    <row r="35" spans="2:3" ht="67.8" x14ac:dyDescent="0.3">
      <c r="B35" s="15" t="s">
        <v>346</v>
      </c>
      <c r="C35" s="16" t="str">
        <f t="shared" si="0"/>
        <v>*261526*</v>
      </c>
    </row>
    <row r="36" spans="2:3" ht="67.8" x14ac:dyDescent="0.3">
      <c r="B36" s="15" t="s">
        <v>347</v>
      </c>
      <c r="C36" s="16" t="str">
        <f t="shared" si="0"/>
        <v>*261527*</v>
      </c>
    </row>
    <row r="37" spans="2:3" ht="67.8" x14ac:dyDescent="0.3">
      <c r="B37" s="15" t="s">
        <v>348</v>
      </c>
      <c r="C37" s="16" t="str">
        <f t="shared" si="0"/>
        <v>*261528*</v>
      </c>
    </row>
    <row r="38" spans="2:3" ht="67.8" x14ac:dyDescent="0.3">
      <c r="B38" s="15" t="s">
        <v>349</v>
      </c>
      <c r="C38" s="16" t="str">
        <f t="shared" si="0"/>
        <v>*261529*</v>
      </c>
    </row>
    <row r="39" spans="2:3" ht="67.8" x14ac:dyDescent="0.3">
      <c r="B39" s="15" t="s">
        <v>350</v>
      </c>
      <c r="C39" s="16" t="str">
        <f t="shared" si="0"/>
        <v>*261530*</v>
      </c>
    </row>
    <row r="40" spans="2:3" ht="67.8" x14ac:dyDescent="0.3">
      <c r="B40" s="15" t="s">
        <v>351</v>
      </c>
      <c r="C40" s="16" t="str">
        <f t="shared" si="0"/>
        <v>*261531*</v>
      </c>
    </row>
    <row r="41" spans="2:3" ht="67.8" x14ac:dyDescent="0.3">
      <c r="B41" s="15" t="s">
        <v>352</v>
      </c>
      <c r="C41" s="16" t="str">
        <f t="shared" si="0"/>
        <v>*261532*</v>
      </c>
    </row>
    <row r="42" spans="2:3" ht="67.8" x14ac:dyDescent="0.3">
      <c r="B42" s="15" t="s">
        <v>353</v>
      </c>
      <c r="C42" s="16" t="str">
        <f t="shared" si="0"/>
        <v>*261533*</v>
      </c>
    </row>
    <row r="43" spans="2:3" ht="67.8" x14ac:dyDescent="0.3">
      <c r="B43" s="15" t="s">
        <v>354</v>
      </c>
      <c r="C43" s="16" t="str">
        <f t="shared" si="0"/>
        <v>*261534*</v>
      </c>
    </row>
    <row r="44" spans="2:3" ht="67.8" x14ac:dyDescent="0.3">
      <c r="B44" s="15" t="s">
        <v>355</v>
      </c>
      <c r="C44" s="16" t="str">
        <f t="shared" si="0"/>
        <v>*261535*</v>
      </c>
    </row>
    <row r="45" spans="2:3" ht="67.8" x14ac:dyDescent="0.3">
      <c r="B45" s="15" t="s">
        <v>356</v>
      </c>
      <c r="C45" s="16" t="str">
        <f t="shared" si="0"/>
        <v>*261536*</v>
      </c>
    </row>
    <row r="46" spans="2:3" ht="67.8" x14ac:dyDescent="0.3">
      <c r="B46" s="15" t="s">
        <v>357</v>
      </c>
      <c r="C46" s="16" t="str">
        <f t="shared" si="0"/>
        <v>*261537*</v>
      </c>
    </row>
    <row r="47" spans="2:3" ht="67.8" x14ac:dyDescent="0.3">
      <c r="B47" s="15" t="s">
        <v>358</v>
      </c>
      <c r="C47" s="16" t="str">
        <f t="shared" si="0"/>
        <v>*261538*</v>
      </c>
    </row>
    <row r="48" spans="2:3" ht="67.8" x14ac:dyDescent="0.3">
      <c r="B48" s="15" t="s">
        <v>359</v>
      </c>
      <c r="C48" s="16" t="str">
        <f t="shared" si="0"/>
        <v>*261539*</v>
      </c>
    </row>
    <row r="49" spans="2:3" ht="67.8" x14ac:dyDescent="0.3">
      <c r="B49" s="15" t="s">
        <v>360</v>
      </c>
      <c r="C49" s="16" t="str">
        <f t="shared" si="0"/>
        <v>*261540*</v>
      </c>
    </row>
    <row r="50" spans="2:3" ht="67.8" x14ac:dyDescent="0.3">
      <c r="B50" s="15" t="s">
        <v>361</v>
      </c>
      <c r="C50" s="16" t="str">
        <f t="shared" si="0"/>
        <v>*261541*</v>
      </c>
    </row>
    <row r="51" spans="2:3" ht="67.8" x14ac:dyDescent="0.3">
      <c r="B51" s="15" t="s">
        <v>362</v>
      </c>
      <c r="C51" s="16" t="str">
        <f t="shared" si="0"/>
        <v>*261542*</v>
      </c>
    </row>
    <row r="52" spans="2:3" ht="67.8" x14ac:dyDescent="0.3">
      <c r="B52" s="15" t="s">
        <v>364</v>
      </c>
      <c r="C52" s="16" t="str">
        <f t="shared" si="0"/>
        <v>*261543*</v>
      </c>
    </row>
    <row r="53" spans="2:3" ht="67.8" x14ac:dyDescent="0.3">
      <c r="B53" s="15" t="s">
        <v>366</v>
      </c>
      <c r="C53" s="16" t="str">
        <f t="shared" si="0"/>
        <v>*261544*</v>
      </c>
    </row>
    <row r="54" spans="2:3" ht="67.8" x14ac:dyDescent="0.3">
      <c r="B54" s="15" t="s">
        <v>367</v>
      </c>
      <c r="C54" s="16" t="str">
        <f t="shared" si="0"/>
        <v>*261545*</v>
      </c>
    </row>
    <row r="55" spans="2:3" ht="67.8" x14ac:dyDescent="0.3">
      <c r="B55" s="15" t="s">
        <v>368</v>
      </c>
      <c r="C55" s="16" t="str">
        <f t="shared" si="0"/>
        <v>*261546*</v>
      </c>
    </row>
    <row r="56" spans="2:3" ht="67.8" x14ac:dyDescent="0.3">
      <c r="B56" s="15" t="s">
        <v>370</v>
      </c>
      <c r="C56" s="16" t="str">
        <f t="shared" si="0"/>
        <v>*261547*</v>
      </c>
    </row>
    <row r="57" spans="2:3" ht="67.8" x14ac:dyDescent="0.3">
      <c r="B57" s="15" t="s">
        <v>371</v>
      </c>
      <c r="C57" s="16" t="str">
        <f t="shared" si="0"/>
        <v>*261548*</v>
      </c>
    </row>
    <row r="58" spans="2:3" ht="67.8" x14ac:dyDescent="0.3">
      <c r="B58" s="15" t="s">
        <v>373</v>
      </c>
      <c r="C58" s="16" t="str">
        <f t="shared" si="0"/>
        <v>*261549*</v>
      </c>
    </row>
    <row r="59" spans="2:3" ht="67.8" x14ac:dyDescent="0.3">
      <c r="B59" s="15" t="s">
        <v>374</v>
      </c>
      <c r="C59" s="16" t="str">
        <f t="shared" si="0"/>
        <v>*261550*</v>
      </c>
    </row>
    <row r="60" spans="2:3" ht="67.8" x14ac:dyDescent="0.3">
      <c r="B60" s="15" t="s">
        <v>375</v>
      </c>
      <c r="C60" s="16" t="str">
        <f t="shared" si="0"/>
        <v>*261551*</v>
      </c>
    </row>
    <row r="61" spans="2:3" ht="67.8" x14ac:dyDescent="0.3">
      <c r="B61" s="15" t="s">
        <v>376</v>
      </c>
      <c r="C61" s="16" t="str">
        <f t="shared" si="0"/>
        <v>*261552*</v>
      </c>
    </row>
    <row r="62" spans="2:3" ht="67.8" x14ac:dyDescent="0.3">
      <c r="B62" s="15" t="s">
        <v>377</v>
      </c>
      <c r="C62" s="16" t="str">
        <f t="shared" si="0"/>
        <v>*261553*</v>
      </c>
    </row>
    <row r="63" spans="2:3" ht="67.8" x14ac:dyDescent="0.3">
      <c r="B63" s="15" t="s">
        <v>379</v>
      </c>
      <c r="C63" s="16" t="str">
        <f t="shared" si="0"/>
        <v>*261554*</v>
      </c>
    </row>
    <row r="64" spans="2:3" ht="67.8" x14ac:dyDescent="0.3">
      <c r="B64" s="15" t="s">
        <v>381</v>
      </c>
      <c r="C64" s="16" t="str">
        <f t="shared" si="0"/>
        <v>*261555*</v>
      </c>
    </row>
    <row r="65" spans="2:3" ht="67.8" x14ac:dyDescent="0.3">
      <c r="B65" s="15" t="s">
        <v>382</v>
      </c>
      <c r="C65" s="16" t="str">
        <f t="shared" si="0"/>
        <v>*261556*</v>
      </c>
    </row>
    <row r="66" spans="2:3" ht="67.8" x14ac:dyDescent="0.3">
      <c r="B66" s="15" t="s">
        <v>384</v>
      </c>
      <c r="C66" s="16" t="str">
        <f t="shared" si="0"/>
        <v>*261557*</v>
      </c>
    </row>
    <row r="67" spans="2:3" ht="67.8" x14ac:dyDescent="0.3">
      <c r="B67" s="15" t="s">
        <v>386</v>
      </c>
      <c r="C67" s="16" t="str">
        <f t="shared" ref="C67:C97" si="1">"*"&amp;B67&amp;"*"</f>
        <v>*261558*</v>
      </c>
    </row>
    <row r="68" spans="2:3" ht="67.8" x14ac:dyDescent="0.3">
      <c r="B68" s="15" t="s">
        <v>387</v>
      </c>
      <c r="C68" s="16" t="str">
        <f t="shared" si="1"/>
        <v>*261559*</v>
      </c>
    </row>
    <row r="69" spans="2:3" ht="67.8" x14ac:dyDescent="0.3">
      <c r="B69" s="15" t="s">
        <v>389</v>
      </c>
      <c r="C69" s="16" t="str">
        <f t="shared" si="1"/>
        <v>*261560*</v>
      </c>
    </row>
    <row r="70" spans="2:3" ht="67.8" x14ac:dyDescent="0.3">
      <c r="B70" s="15" t="s">
        <v>391</v>
      </c>
      <c r="C70" s="16" t="str">
        <f t="shared" si="1"/>
        <v>*261561*</v>
      </c>
    </row>
    <row r="71" spans="2:3" ht="67.8" x14ac:dyDescent="0.3">
      <c r="B71" s="15" t="s">
        <v>393</v>
      </c>
      <c r="C71" s="16" t="str">
        <f t="shared" si="1"/>
        <v>*261562*</v>
      </c>
    </row>
    <row r="72" spans="2:3" ht="67.8" x14ac:dyDescent="0.3">
      <c r="B72" s="15" t="s">
        <v>395</v>
      </c>
      <c r="C72" s="16" t="str">
        <f t="shared" si="1"/>
        <v>*261563*</v>
      </c>
    </row>
    <row r="73" spans="2:3" ht="67.8" x14ac:dyDescent="0.3">
      <c r="B73" s="15" t="s">
        <v>397</v>
      </c>
      <c r="C73" s="16" t="str">
        <f t="shared" si="1"/>
        <v>*261564*</v>
      </c>
    </row>
    <row r="74" spans="2:3" ht="67.8" x14ac:dyDescent="0.3">
      <c r="B74" s="15" t="s">
        <v>399</v>
      </c>
      <c r="C74" s="16" t="str">
        <f t="shared" si="1"/>
        <v>*261565*</v>
      </c>
    </row>
    <row r="75" spans="2:3" ht="67.8" x14ac:dyDescent="0.3">
      <c r="B75" s="15" t="s">
        <v>400</v>
      </c>
      <c r="C75" s="16" t="str">
        <f t="shared" si="1"/>
        <v>*261566*</v>
      </c>
    </row>
    <row r="76" spans="2:3" ht="67.8" x14ac:dyDescent="0.3">
      <c r="B76" s="15" t="s">
        <v>401</v>
      </c>
      <c r="C76" s="16" t="str">
        <f t="shared" si="1"/>
        <v>*261567*</v>
      </c>
    </row>
    <row r="77" spans="2:3" ht="67.8" x14ac:dyDescent="0.3">
      <c r="B77" s="15" t="s">
        <v>402</v>
      </c>
      <c r="C77" s="16" t="str">
        <f t="shared" si="1"/>
        <v>*261568*</v>
      </c>
    </row>
    <row r="78" spans="2:3" ht="67.8" x14ac:dyDescent="0.3">
      <c r="B78" s="15" t="s">
        <v>403</v>
      </c>
      <c r="C78" s="16" t="str">
        <f t="shared" si="1"/>
        <v>*261569*</v>
      </c>
    </row>
    <row r="79" spans="2:3" ht="67.8" x14ac:dyDescent="0.3">
      <c r="B79" s="15" t="s">
        <v>404</v>
      </c>
      <c r="C79" s="16" t="str">
        <f t="shared" si="1"/>
        <v>*261570*</v>
      </c>
    </row>
    <row r="80" spans="2:3" ht="67.8" x14ac:dyDescent="0.3">
      <c r="B80" s="15" t="s">
        <v>405</v>
      </c>
      <c r="C80" s="16" t="str">
        <f t="shared" si="1"/>
        <v>*261571*</v>
      </c>
    </row>
    <row r="81" spans="2:3" ht="67.8" x14ac:dyDescent="0.3">
      <c r="B81" s="15" t="s">
        <v>406</v>
      </c>
      <c r="C81" s="16" t="str">
        <f t="shared" si="1"/>
        <v>*261572*</v>
      </c>
    </row>
    <row r="82" spans="2:3" ht="67.8" x14ac:dyDescent="0.3">
      <c r="B82" s="15" t="s">
        <v>407</v>
      </c>
      <c r="C82" s="16" t="str">
        <f t="shared" si="1"/>
        <v>*261573*</v>
      </c>
    </row>
    <row r="83" spans="2:3" ht="67.8" x14ac:dyDescent="0.3">
      <c r="B83" s="15" t="s">
        <v>408</v>
      </c>
      <c r="C83" s="16" t="str">
        <f t="shared" si="1"/>
        <v>*261574*</v>
      </c>
    </row>
    <row r="84" spans="2:3" ht="67.8" x14ac:dyDescent="0.3">
      <c r="B84" s="15" t="s">
        <v>409</v>
      </c>
      <c r="C84" s="16" t="str">
        <f t="shared" si="1"/>
        <v>*261575*</v>
      </c>
    </row>
    <row r="85" spans="2:3" ht="67.8" x14ac:dyDescent="0.3">
      <c r="B85" s="15" t="s">
        <v>410</v>
      </c>
      <c r="C85" s="16" t="str">
        <f t="shared" si="1"/>
        <v>*261576*</v>
      </c>
    </row>
    <row r="86" spans="2:3" ht="67.8" x14ac:dyDescent="0.3">
      <c r="B86" s="15" t="s">
        <v>411</v>
      </c>
      <c r="C86" s="16" t="str">
        <f t="shared" si="1"/>
        <v>*261577*</v>
      </c>
    </row>
    <row r="87" spans="2:3" ht="67.8" x14ac:dyDescent="0.3">
      <c r="B87" s="15" t="s">
        <v>412</v>
      </c>
      <c r="C87" s="16" t="str">
        <f t="shared" si="1"/>
        <v>*261578*</v>
      </c>
    </row>
    <row r="88" spans="2:3" ht="67.8" x14ac:dyDescent="0.3">
      <c r="B88" s="15" t="s">
        <v>413</v>
      </c>
      <c r="C88" s="16" t="str">
        <f t="shared" si="1"/>
        <v>*261579*</v>
      </c>
    </row>
    <row r="89" spans="2:3" ht="67.8" x14ac:dyDescent="0.3">
      <c r="B89" s="15" t="s">
        <v>814</v>
      </c>
      <c r="C89" s="16" t="str">
        <f t="shared" si="1"/>
        <v>*261580*</v>
      </c>
    </row>
    <row r="90" spans="2:3" ht="67.8" x14ac:dyDescent="0.3">
      <c r="B90" s="15" t="s">
        <v>815</v>
      </c>
      <c r="C90" s="16" t="str">
        <f t="shared" si="1"/>
        <v>*261581*</v>
      </c>
    </row>
    <row r="91" spans="2:3" ht="67.8" x14ac:dyDescent="0.3">
      <c r="B91" s="15" t="s">
        <v>816</v>
      </c>
      <c r="C91" s="16" t="str">
        <f t="shared" si="1"/>
        <v>*261582*</v>
      </c>
    </row>
    <row r="92" spans="2:3" ht="67.8" x14ac:dyDescent="0.3">
      <c r="B92" s="15" t="s">
        <v>817</v>
      </c>
      <c r="C92" s="16" t="str">
        <f t="shared" si="1"/>
        <v>*261583*</v>
      </c>
    </row>
    <row r="93" spans="2:3" ht="67.8" x14ac:dyDescent="0.3">
      <c r="B93" s="15" t="s">
        <v>818</v>
      </c>
      <c r="C93" s="16" t="str">
        <f t="shared" si="1"/>
        <v>*261584*</v>
      </c>
    </row>
    <row r="94" spans="2:3" ht="67.8" x14ac:dyDescent="0.3">
      <c r="B94" s="15" t="s">
        <v>819</v>
      </c>
      <c r="C94" s="16" t="str">
        <f t="shared" si="1"/>
        <v>*261585*</v>
      </c>
    </row>
    <row r="95" spans="2:3" ht="67.8" x14ac:dyDescent="0.3">
      <c r="B95" s="15" t="s">
        <v>820</v>
      </c>
      <c r="C95" s="16" t="str">
        <f t="shared" si="1"/>
        <v>*261586*</v>
      </c>
    </row>
    <row r="96" spans="2:3" ht="67.8" x14ac:dyDescent="0.3">
      <c r="B96" s="15" t="s">
        <v>821</v>
      </c>
      <c r="C96" s="16" t="str">
        <f t="shared" si="1"/>
        <v>*261587*</v>
      </c>
    </row>
    <row r="97" spans="2:3" ht="67.8" x14ac:dyDescent="0.3">
      <c r="B97" s="15" t="s">
        <v>822</v>
      </c>
      <c r="C97" s="16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884</v>
      </c>
      <c r="B1" s="45">
        <f>J9+J10*2+J12</f>
        <v>63</v>
      </c>
    </row>
    <row r="2" spans="1:35" x14ac:dyDescent="0.3">
      <c r="A2" t="s">
        <v>885</v>
      </c>
      <c r="B2" s="45">
        <f>J9+J11*2+J10*2+J13</f>
        <v>79</v>
      </c>
    </row>
    <row r="3" spans="1:35" x14ac:dyDescent="0.3">
      <c r="A3" t="s">
        <v>886</v>
      </c>
      <c r="B3" s="45">
        <f>J14+J15+J16</f>
        <v>65</v>
      </c>
    </row>
    <row r="4" spans="1:35" x14ac:dyDescent="0.3">
      <c r="A4" t="s">
        <v>895</v>
      </c>
      <c r="B4">
        <f>B1*B2*B3/1000</f>
        <v>323.505</v>
      </c>
    </row>
    <row r="5" spans="1:35" ht="25.05" customHeight="1" x14ac:dyDescent="0.3"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25.05" customHeight="1" thickBot="1" x14ac:dyDescent="0.35"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4"/>
      <c r="L7" s="14"/>
      <c r="M7" s="20"/>
      <c r="N7" s="21"/>
      <c r="O7" s="21"/>
      <c r="P7" s="21"/>
      <c r="Q7" s="21"/>
      <c r="R7" s="21"/>
      <c r="S7" s="21"/>
      <c r="T7" s="21" t="s">
        <v>880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2"/>
      <c r="AG7" s="14"/>
      <c r="AH7" s="14"/>
      <c r="AI7" s="14"/>
    </row>
    <row r="8" spans="1:35" ht="25.05" customHeight="1" x14ac:dyDescent="0.3">
      <c r="E8" t="str">
        <f>IF(J14&lt;15, "SIMPLE", IF(J14&lt;30, "MEDIUM", "COMPLEX"))</f>
        <v>COMPLEX</v>
      </c>
      <c r="K8" s="14"/>
      <c r="L8" s="14"/>
      <c r="M8" s="23"/>
      <c r="N8" s="24"/>
      <c r="O8" s="25"/>
      <c r="P8" s="24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6"/>
      <c r="AD8" s="25"/>
      <c r="AE8" s="26"/>
      <c r="AF8" s="27"/>
      <c r="AG8" s="14"/>
      <c r="AH8" s="14"/>
      <c r="AI8" s="14"/>
    </row>
    <row r="9" spans="1:35" ht="25.05" customHeight="1" x14ac:dyDescent="0.3">
      <c r="E9" s="48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888</v>
      </c>
      <c r="J9">
        <v>5</v>
      </c>
      <c r="K9" s="14"/>
      <c r="L9" s="14"/>
      <c r="M9" s="23" t="s">
        <v>880</v>
      </c>
      <c r="N9" s="28" t="s">
        <v>882</v>
      </c>
      <c r="O9" s="29"/>
      <c r="P9" s="28"/>
      <c r="Q9" s="29"/>
      <c r="R9" s="29"/>
      <c r="S9" s="29"/>
      <c r="T9" s="46"/>
      <c r="U9" s="29"/>
      <c r="V9" s="29"/>
      <c r="W9" s="29"/>
      <c r="X9" s="29"/>
      <c r="Y9" s="29"/>
      <c r="Z9" s="29"/>
      <c r="AA9" s="29"/>
      <c r="AB9" s="29"/>
      <c r="AC9" s="19"/>
      <c r="AD9" s="29"/>
      <c r="AE9" s="19" t="s">
        <v>882</v>
      </c>
      <c r="AF9" s="27" t="s">
        <v>880</v>
      </c>
      <c r="AG9" s="14"/>
      <c r="AH9" s="14"/>
      <c r="AI9" s="14"/>
    </row>
    <row r="10" spans="1:35" ht="25.05" customHeight="1" thickBot="1" x14ac:dyDescent="0.35">
      <c r="I10" t="s">
        <v>889</v>
      </c>
      <c r="J10">
        <v>9</v>
      </c>
      <c r="K10" s="14"/>
      <c r="L10" s="14"/>
      <c r="M10" s="23"/>
      <c r="N10" s="28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19"/>
      <c r="AD10" s="29"/>
      <c r="AE10" s="19"/>
      <c r="AF10" s="27"/>
      <c r="AG10" s="14"/>
      <c r="AH10" s="14"/>
      <c r="AI10" s="14"/>
    </row>
    <row r="11" spans="1:35" ht="25.05" customHeight="1" x14ac:dyDescent="0.3">
      <c r="I11" t="s">
        <v>890</v>
      </c>
      <c r="J11">
        <v>13</v>
      </c>
      <c r="K11" s="14"/>
      <c r="L11" s="14"/>
      <c r="M11" s="23"/>
      <c r="N11" s="28"/>
      <c r="O11" s="29"/>
      <c r="P11" s="28"/>
      <c r="Q11" s="29"/>
      <c r="R11" s="29"/>
      <c r="S11" s="30"/>
      <c r="T11" s="31"/>
      <c r="U11" s="31"/>
      <c r="V11" s="31"/>
      <c r="W11" s="31"/>
      <c r="X11" s="31"/>
      <c r="Y11" s="31"/>
      <c r="Z11" s="32"/>
      <c r="AA11" s="29"/>
      <c r="AB11" s="29"/>
      <c r="AC11" s="19"/>
      <c r="AD11" s="29"/>
      <c r="AE11" s="19"/>
      <c r="AF11" s="27"/>
      <c r="AG11" s="14"/>
      <c r="AH11" s="14"/>
      <c r="AI11" s="14"/>
    </row>
    <row r="12" spans="1:35" ht="25.05" customHeight="1" x14ac:dyDescent="0.3">
      <c r="I12" t="s">
        <v>891</v>
      </c>
      <c r="J12" s="17">
        <v>40</v>
      </c>
      <c r="K12" s="14"/>
      <c r="L12" s="14"/>
      <c r="M12" s="23"/>
      <c r="N12" s="28"/>
      <c r="O12" s="29"/>
      <c r="P12" s="28"/>
      <c r="Q12" s="29"/>
      <c r="R12" s="29"/>
      <c r="S12" s="33"/>
      <c r="T12" s="34"/>
      <c r="U12" s="34"/>
      <c r="V12" s="34"/>
      <c r="W12" s="34"/>
      <c r="X12" s="34"/>
      <c r="Y12" s="34"/>
      <c r="Z12" s="35"/>
      <c r="AA12" s="29"/>
      <c r="AB12" s="29"/>
      <c r="AC12" s="19"/>
      <c r="AD12" s="29"/>
      <c r="AE12" s="19"/>
      <c r="AF12" s="27"/>
      <c r="AG12" s="14"/>
      <c r="AH12" s="14"/>
      <c r="AI12" s="14"/>
    </row>
    <row r="13" spans="1:35" ht="25.05" customHeight="1" x14ac:dyDescent="0.3">
      <c r="I13" t="s">
        <v>892</v>
      </c>
      <c r="J13" s="17">
        <v>30</v>
      </c>
      <c r="K13" s="14"/>
      <c r="L13" s="14"/>
      <c r="M13" s="23"/>
      <c r="N13" s="28"/>
      <c r="O13" s="29"/>
      <c r="P13" s="28"/>
      <c r="Q13" s="29"/>
      <c r="R13" s="29"/>
      <c r="S13" s="33"/>
      <c r="T13" s="34"/>
      <c r="U13" s="34"/>
      <c r="V13" s="34"/>
      <c r="W13" s="34"/>
      <c r="X13" s="34"/>
      <c r="Y13" s="34"/>
      <c r="Z13" s="35"/>
      <c r="AA13" s="28"/>
      <c r="AB13" s="47" t="s">
        <v>889</v>
      </c>
      <c r="AC13" s="19"/>
      <c r="AD13" s="29"/>
      <c r="AE13" s="19"/>
      <c r="AF13" s="27"/>
      <c r="AG13" s="14"/>
      <c r="AH13" s="14"/>
      <c r="AI13" s="14"/>
    </row>
    <row r="14" spans="1:35" ht="25.05" customHeight="1" x14ac:dyDescent="0.3">
      <c r="I14" t="s">
        <v>893</v>
      </c>
      <c r="J14" s="17">
        <v>30</v>
      </c>
      <c r="K14" s="14"/>
      <c r="L14" s="14"/>
      <c r="M14" s="23"/>
      <c r="N14" s="28"/>
      <c r="O14" s="29"/>
      <c r="P14" s="28"/>
      <c r="Q14" s="29"/>
      <c r="R14" s="29"/>
      <c r="S14" s="33"/>
      <c r="T14" s="34"/>
      <c r="U14" s="34"/>
      <c r="V14" s="34"/>
      <c r="W14" s="34"/>
      <c r="X14" s="34"/>
      <c r="Y14" s="34"/>
      <c r="Z14" s="35"/>
      <c r="AA14" s="29"/>
      <c r="AB14" s="29"/>
      <c r="AC14" s="19"/>
      <c r="AD14" s="29"/>
      <c r="AE14" s="19"/>
      <c r="AF14" s="27"/>
      <c r="AG14" s="14"/>
      <c r="AH14" s="14"/>
      <c r="AI14" s="14"/>
    </row>
    <row r="15" spans="1:35" ht="25.05" customHeight="1" x14ac:dyDescent="0.3">
      <c r="I15" t="s">
        <v>887</v>
      </c>
      <c r="J15">
        <v>10</v>
      </c>
      <c r="K15" s="14"/>
      <c r="L15" s="14"/>
      <c r="M15" s="23"/>
      <c r="N15" s="28"/>
      <c r="O15" s="29"/>
      <c r="P15" s="28"/>
      <c r="Q15" s="29"/>
      <c r="R15" s="29"/>
      <c r="S15" s="33"/>
      <c r="T15" s="34"/>
      <c r="U15" s="34"/>
      <c r="V15" s="34"/>
      <c r="W15" s="34"/>
      <c r="X15" s="34"/>
      <c r="Y15" s="34"/>
      <c r="Z15" s="35"/>
      <c r="AA15" s="29"/>
      <c r="AB15" s="29"/>
      <c r="AC15" s="19"/>
      <c r="AD15" s="29"/>
      <c r="AE15" s="19"/>
      <c r="AF15" s="27"/>
      <c r="AG15" s="14"/>
      <c r="AH15" s="14"/>
      <c r="AI15" s="14"/>
    </row>
    <row r="16" spans="1:35" ht="25.05" customHeight="1" thickBot="1" x14ac:dyDescent="0.35">
      <c r="I16" t="s">
        <v>894</v>
      </c>
      <c r="J16">
        <v>25</v>
      </c>
      <c r="K16" s="14"/>
      <c r="L16" s="14"/>
      <c r="M16" s="23"/>
      <c r="N16" s="28"/>
      <c r="O16" s="29"/>
      <c r="P16" s="28"/>
      <c r="Q16" s="29"/>
      <c r="R16" s="29"/>
      <c r="S16" s="36"/>
      <c r="T16" s="37"/>
      <c r="U16" s="37"/>
      <c r="V16" s="37" t="s">
        <v>881</v>
      </c>
      <c r="W16" s="37"/>
      <c r="X16" s="37"/>
      <c r="Y16" s="37"/>
      <c r="Z16" s="38"/>
      <c r="AA16" s="29"/>
      <c r="AB16" s="29"/>
      <c r="AC16" s="19"/>
      <c r="AD16" s="29"/>
      <c r="AE16" s="19"/>
      <c r="AF16" s="27"/>
      <c r="AG16" s="14"/>
      <c r="AH16" s="14"/>
      <c r="AI16" s="14"/>
    </row>
    <row r="17" spans="1:50" ht="25.05" customHeight="1" x14ac:dyDescent="0.3">
      <c r="K17" s="14"/>
      <c r="L17" s="14"/>
      <c r="M17" s="23"/>
      <c r="N17" s="28"/>
      <c r="O17" s="29"/>
      <c r="P17" s="28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19"/>
      <c r="AD17" s="29"/>
      <c r="AE17" s="19"/>
      <c r="AF17" s="27"/>
      <c r="AG17" s="14"/>
      <c r="AH17" s="14"/>
      <c r="AI17" s="14"/>
    </row>
    <row r="18" spans="1:50" ht="25.05" customHeight="1" x14ac:dyDescent="0.3">
      <c r="A18" t="s">
        <v>920</v>
      </c>
      <c r="B18" t="s">
        <v>921</v>
      </c>
      <c r="C18" t="s">
        <v>924</v>
      </c>
      <c r="K18" s="14"/>
      <c r="L18" s="14"/>
      <c r="M18" s="23"/>
      <c r="N18" s="28"/>
      <c r="O18" s="29"/>
      <c r="P18" s="28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19"/>
      <c r="AD18" s="29"/>
      <c r="AE18" s="19"/>
      <c r="AF18" s="27"/>
      <c r="AG18" s="14"/>
      <c r="AH18" s="14"/>
      <c r="AI18" s="14"/>
    </row>
    <row r="19" spans="1:50" ht="25.05" customHeight="1" thickBot="1" x14ac:dyDescent="0.35">
      <c r="A19">
        <v>7289724330</v>
      </c>
      <c r="B19" t="s">
        <v>911</v>
      </c>
      <c r="C19" t="s">
        <v>930</v>
      </c>
      <c r="K19" s="14"/>
      <c r="L19" s="14"/>
      <c r="M19" s="23"/>
      <c r="N19" s="39"/>
      <c r="O19" s="40"/>
      <c r="P19" s="39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1"/>
      <c r="AD19" s="40"/>
      <c r="AE19" s="41"/>
      <c r="AF19" s="27"/>
      <c r="AG19" s="14"/>
      <c r="AH19" s="14"/>
      <c r="AI19" s="14"/>
    </row>
    <row r="20" spans="1:50" ht="25.05" customHeight="1" thickBot="1" x14ac:dyDescent="0.35">
      <c r="A20">
        <v>7298186930</v>
      </c>
      <c r="B20" t="s">
        <v>911</v>
      </c>
      <c r="C20" t="s">
        <v>929</v>
      </c>
      <c r="H20" s="18"/>
      <c r="K20" s="14"/>
      <c r="L20" s="14"/>
      <c r="M20" s="42"/>
      <c r="N20" s="43"/>
      <c r="O20" s="43"/>
      <c r="P20" s="43"/>
      <c r="Q20" s="43"/>
      <c r="R20" s="43"/>
      <c r="S20" s="43"/>
      <c r="T20" s="43" t="s">
        <v>880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4"/>
      <c r="AG20" s="14"/>
      <c r="AH20" s="14"/>
      <c r="AI20" s="14"/>
    </row>
    <row r="21" spans="1:50" ht="25.05" customHeight="1" x14ac:dyDescent="0.3">
      <c r="A21">
        <v>72888941</v>
      </c>
      <c r="B21" t="s">
        <v>911</v>
      </c>
      <c r="C21" t="s">
        <v>883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spans="1:50" ht="25.05" customHeight="1" x14ac:dyDescent="0.3">
      <c r="A22">
        <v>7278442030</v>
      </c>
      <c r="B22" t="s">
        <v>911</v>
      </c>
      <c r="C22" t="s">
        <v>929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spans="1:50" ht="25.05" customHeight="1" x14ac:dyDescent="0.3">
      <c r="A23">
        <v>72985208</v>
      </c>
      <c r="B23" t="s">
        <v>911</v>
      </c>
      <c r="C23" t="s">
        <v>930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t="s">
        <v>896</v>
      </c>
      <c r="AJ23" t="s">
        <v>897</v>
      </c>
      <c r="AK23" t="s">
        <v>898</v>
      </c>
      <c r="AL23" t="s">
        <v>899</v>
      </c>
      <c r="AM23" t="s">
        <v>900</v>
      </c>
      <c r="AO23" t="s">
        <v>901</v>
      </c>
      <c r="AP23" t="s">
        <v>902</v>
      </c>
      <c r="AQ23" t="s">
        <v>903</v>
      </c>
      <c r="AR23" t="s">
        <v>904</v>
      </c>
      <c r="AS23" t="s">
        <v>905</v>
      </c>
      <c r="AT23" t="s">
        <v>906</v>
      </c>
      <c r="AU23" t="s">
        <v>907</v>
      </c>
      <c r="AV23" t="s">
        <v>908</v>
      </c>
      <c r="AW23" t="s">
        <v>909</v>
      </c>
      <c r="AX23" t="s">
        <v>910</v>
      </c>
    </row>
    <row r="24" spans="1:50" ht="25.05" customHeight="1" x14ac:dyDescent="0.3">
      <c r="A24">
        <v>7298150830</v>
      </c>
      <c r="B24" t="s">
        <v>911</v>
      </c>
      <c r="C24" t="s">
        <v>930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spans="1:50" ht="25.05" customHeight="1" x14ac:dyDescent="0.3">
      <c r="A25">
        <v>7198460730</v>
      </c>
      <c r="B25" t="s">
        <v>911</v>
      </c>
      <c r="C25" t="s">
        <v>929</v>
      </c>
    </row>
    <row r="26" spans="1:50" ht="25.05" customHeight="1" x14ac:dyDescent="0.3">
      <c r="A26">
        <v>7298108030</v>
      </c>
      <c r="B26" t="s">
        <v>911</v>
      </c>
      <c r="C26" t="s">
        <v>930</v>
      </c>
    </row>
    <row r="27" spans="1:50" ht="25.05" customHeight="1" x14ac:dyDescent="0.3">
      <c r="A27">
        <v>7298154930</v>
      </c>
      <c r="B27" t="s">
        <v>911</v>
      </c>
      <c r="C27" t="s">
        <v>883</v>
      </c>
    </row>
    <row r="28" spans="1:50" ht="25.05" customHeight="1" x14ac:dyDescent="0.3">
      <c r="B28" t="s">
        <v>911</v>
      </c>
    </row>
    <row r="29" spans="1:50" ht="25.05" customHeight="1" x14ac:dyDescent="0.3">
      <c r="A29">
        <v>7289724330</v>
      </c>
      <c r="B29" t="s">
        <v>911</v>
      </c>
      <c r="C29" t="s">
        <v>930</v>
      </c>
    </row>
    <row r="30" spans="1:50" ht="25.05" customHeight="1" x14ac:dyDescent="0.3">
      <c r="A30">
        <v>7278271940</v>
      </c>
      <c r="B30" t="s">
        <v>911</v>
      </c>
      <c r="C30" t="s">
        <v>930</v>
      </c>
    </row>
    <row r="31" spans="1:50" ht="25.05" customHeight="1" x14ac:dyDescent="0.3">
      <c r="A31">
        <v>7298186930</v>
      </c>
      <c r="B31" t="s">
        <v>911</v>
      </c>
      <c r="C31" t="s">
        <v>929</v>
      </c>
    </row>
    <row r="32" spans="1:50" x14ac:dyDescent="0.3">
      <c r="A32">
        <v>72888941</v>
      </c>
      <c r="B32" t="s">
        <v>911</v>
      </c>
      <c r="C32" t="s">
        <v>883</v>
      </c>
    </row>
    <row r="33" spans="1:3" x14ac:dyDescent="0.3">
      <c r="A33">
        <v>7278442030</v>
      </c>
      <c r="B33" t="s">
        <v>911</v>
      </c>
      <c r="C33" t="s">
        <v>929</v>
      </c>
    </row>
    <row r="34" spans="1:3" x14ac:dyDescent="0.3">
      <c r="A34">
        <v>72985208</v>
      </c>
      <c r="B34" t="s">
        <v>911</v>
      </c>
      <c r="C34" t="s">
        <v>930</v>
      </c>
    </row>
    <row r="35" spans="1:3" x14ac:dyDescent="0.3">
      <c r="A35">
        <v>7298108030</v>
      </c>
      <c r="B35" t="s">
        <v>911</v>
      </c>
      <c r="C35" t="s">
        <v>930</v>
      </c>
    </row>
    <row r="36" spans="1:3" x14ac:dyDescent="0.3">
      <c r="A36">
        <v>7198460730</v>
      </c>
      <c r="B36" t="s">
        <v>911</v>
      </c>
      <c r="C36" t="s">
        <v>929</v>
      </c>
    </row>
    <row r="37" spans="1:3" x14ac:dyDescent="0.3">
      <c r="A37">
        <v>7298154930</v>
      </c>
      <c r="B37" t="s">
        <v>911</v>
      </c>
      <c r="C37" t="s">
        <v>883</v>
      </c>
    </row>
    <row r="38" spans="1:3" x14ac:dyDescent="0.3">
      <c r="A38">
        <v>7298150830</v>
      </c>
      <c r="B38" t="s">
        <v>911</v>
      </c>
      <c r="C38" t="s">
        <v>930</v>
      </c>
    </row>
    <row r="39" spans="1:3" x14ac:dyDescent="0.3">
      <c r="A39">
        <v>71191147</v>
      </c>
      <c r="B39" t="s">
        <v>911</v>
      </c>
      <c r="C39" t="s">
        <v>930</v>
      </c>
    </row>
    <row r="40" spans="1:3" x14ac:dyDescent="0.3">
      <c r="B40" t="s">
        <v>911</v>
      </c>
    </row>
    <row r="41" spans="1:3" x14ac:dyDescent="0.3">
      <c r="A41">
        <v>7187090590</v>
      </c>
      <c r="B41" t="s">
        <v>911</v>
      </c>
      <c r="C41" t="s">
        <v>930</v>
      </c>
    </row>
    <row r="42" spans="1:3" x14ac:dyDescent="0.3">
      <c r="A42">
        <v>7277015590</v>
      </c>
      <c r="B42" t="s">
        <v>911</v>
      </c>
      <c r="C42" t="s">
        <v>928</v>
      </c>
    </row>
    <row r="43" spans="1:3" x14ac:dyDescent="0.3">
      <c r="A43">
        <v>7187090560</v>
      </c>
      <c r="B43" t="s">
        <v>911</v>
      </c>
      <c r="C43" t="s">
        <v>930</v>
      </c>
    </row>
    <row r="44" spans="1:3" x14ac:dyDescent="0.3">
      <c r="A44">
        <v>71870905</v>
      </c>
      <c r="B44" t="s">
        <v>911</v>
      </c>
      <c r="C44" t="s">
        <v>930</v>
      </c>
    </row>
    <row r="45" spans="1:3" x14ac:dyDescent="0.3">
      <c r="A45">
        <v>71983904</v>
      </c>
      <c r="B45" t="s">
        <v>911</v>
      </c>
      <c r="C45" t="s">
        <v>929</v>
      </c>
    </row>
    <row r="46" spans="1:3" x14ac:dyDescent="0.3">
      <c r="A46">
        <v>7287741830</v>
      </c>
      <c r="B46" t="s">
        <v>911</v>
      </c>
      <c r="C46" t="s">
        <v>928</v>
      </c>
    </row>
    <row r="47" spans="1:3" x14ac:dyDescent="0.3">
      <c r="A47">
        <v>7288907230</v>
      </c>
      <c r="B47" t="s">
        <v>911</v>
      </c>
      <c r="C47" t="s">
        <v>927</v>
      </c>
    </row>
    <row r="48" spans="1:3" x14ac:dyDescent="0.3">
      <c r="A48">
        <v>7298227830</v>
      </c>
      <c r="B48" t="s">
        <v>911</v>
      </c>
      <c r="C48" t="s">
        <v>930</v>
      </c>
    </row>
    <row r="49" spans="1:3" x14ac:dyDescent="0.3">
      <c r="A49">
        <v>7298227830</v>
      </c>
      <c r="B49" t="s">
        <v>911</v>
      </c>
      <c r="C49" t="s">
        <v>930</v>
      </c>
    </row>
    <row r="50" spans="1:3" x14ac:dyDescent="0.3">
      <c r="A50">
        <v>7298593130</v>
      </c>
      <c r="B50" t="s">
        <v>911</v>
      </c>
      <c r="C50" t="s">
        <v>928</v>
      </c>
    </row>
    <row r="51" spans="1:3" x14ac:dyDescent="0.3">
      <c r="A51">
        <v>7298593130</v>
      </c>
      <c r="B51" t="s">
        <v>911</v>
      </c>
      <c r="C51" t="s">
        <v>928</v>
      </c>
    </row>
    <row r="52" spans="1:3" x14ac:dyDescent="0.3">
      <c r="A52">
        <v>7285207290</v>
      </c>
      <c r="B52" t="s">
        <v>911</v>
      </c>
      <c r="C52" t="s">
        <v>928</v>
      </c>
    </row>
    <row r="53" spans="1:3" x14ac:dyDescent="0.3">
      <c r="A53">
        <v>7287720230</v>
      </c>
      <c r="B53" t="s">
        <v>911</v>
      </c>
      <c r="C53" t="s">
        <v>928</v>
      </c>
    </row>
    <row r="54" spans="1:3" x14ac:dyDescent="0.3">
      <c r="A54">
        <v>71870905</v>
      </c>
      <c r="B54" t="s">
        <v>911</v>
      </c>
      <c r="C54" t="s">
        <v>930</v>
      </c>
    </row>
    <row r="55" spans="1:3" x14ac:dyDescent="0.3">
      <c r="B55" t="s">
        <v>911</v>
      </c>
    </row>
    <row r="56" spans="1:3" x14ac:dyDescent="0.3">
      <c r="A56">
        <v>7298228030</v>
      </c>
      <c r="B56" t="s">
        <v>911</v>
      </c>
      <c r="C56" t="s">
        <v>930</v>
      </c>
    </row>
    <row r="57" spans="1:3" x14ac:dyDescent="0.3">
      <c r="A57">
        <v>7288907230</v>
      </c>
      <c r="B57" t="s">
        <v>911</v>
      </c>
      <c r="C57" t="s">
        <v>927</v>
      </c>
    </row>
    <row r="58" spans="1:3" x14ac:dyDescent="0.3">
      <c r="A58">
        <v>7298228030</v>
      </c>
      <c r="B58" t="s">
        <v>911</v>
      </c>
      <c r="C58" t="s">
        <v>930</v>
      </c>
    </row>
    <row r="59" spans="1:3" x14ac:dyDescent="0.3">
      <c r="A59">
        <v>7298593130</v>
      </c>
      <c r="B59" t="s">
        <v>911</v>
      </c>
      <c r="C59" t="s">
        <v>928</v>
      </c>
    </row>
    <row r="60" spans="1:3" x14ac:dyDescent="0.3">
      <c r="A60">
        <v>7298250730</v>
      </c>
      <c r="B60" t="s">
        <v>911</v>
      </c>
      <c r="C60" t="s">
        <v>930</v>
      </c>
    </row>
    <row r="61" spans="1:3" x14ac:dyDescent="0.3">
      <c r="A61">
        <v>7283368530</v>
      </c>
      <c r="B61" t="s">
        <v>911</v>
      </c>
      <c r="C61" t="s">
        <v>930</v>
      </c>
    </row>
    <row r="62" spans="1:3" x14ac:dyDescent="0.3">
      <c r="A62">
        <v>7287720230</v>
      </c>
      <c r="B62" t="s">
        <v>911</v>
      </c>
      <c r="C62" t="s">
        <v>928</v>
      </c>
    </row>
    <row r="63" spans="1:3" x14ac:dyDescent="0.3">
      <c r="A63">
        <v>7278121430</v>
      </c>
      <c r="B63" t="s">
        <v>911</v>
      </c>
      <c r="C63" t="s">
        <v>930</v>
      </c>
    </row>
    <row r="64" spans="1:3" x14ac:dyDescent="0.3">
      <c r="A64">
        <v>7298186530</v>
      </c>
      <c r="B64" t="s">
        <v>911</v>
      </c>
      <c r="C64" t="s">
        <v>930</v>
      </c>
    </row>
    <row r="65" spans="1:3" x14ac:dyDescent="0.3">
      <c r="A65">
        <v>7298186930</v>
      </c>
      <c r="B65" t="s">
        <v>911</v>
      </c>
      <c r="C65" t="s">
        <v>929</v>
      </c>
    </row>
    <row r="66" spans="1:3" x14ac:dyDescent="0.3">
      <c r="A66">
        <v>7222740630</v>
      </c>
      <c r="B66" t="s">
        <v>911</v>
      </c>
      <c r="C66" t="s">
        <v>928</v>
      </c>
    </row>
    <row r="67" spans="1:3" x14ac:dyDescent="0.3">
      <c r="A67">
        <v>7187090560</v>
      </c>
      <c r="B67" t="s">
        <v>911</v>
      </c>
      <c r="C67" t="s">
        <v>930</v>
      </c>
    </row>
    <row r="68" spans="1:3" x14ac:dyDescent="0.3">
      <c r="A68">
        <v>7298593130</v>
      </c>
      <c r="B68" t="s">
        <v>911</v>
      </c>
      <c r="C68" t="s">
        <v>928</v>
      </c>
    </row>
    <row r="69" spans="1:3" x14ac:dyDescent="0.3">
      <c r="A69">
        <v>7219176430</v>
      </c>
      <c r="B69" t="s">
        <v>912</v>
      </c>
      <c r="C69" t="s">
        <v>930</v>
      </c>
    </row>
    <row r="70" spans="1:3" x14ac:dyDescent="0.3">
      <c r="A70">
        <v>7286738630</v>
      </c>
      <c r="B70" t="s">
        <v>912</v>
      </c>
      <c r="C70" t="s">
        <v>928</v>
      </c>
    </row>
    <row r="71" spans="1:3" x14ac:dyDescent="0.3">
      <c r="A71">
        <v>7298173030</v>
      </c>
      <c r="B71" t="s">
        <v>912</v>
      </c>
      <c r="C71" t="s">
        <v>930</v>
      </c>
    </row>
    <row r="72" spans="1:3" x14ac:dyDescent="0.3">
      <c r="A72">
        <v>7278239430</v>
      </c>
      <c r="B72" t="s">
        <v>912</v>
      </c>
      <c r="C72" t="s">
        <v>930</v>
      </c>
    </row>
    <row r="73" spans="1:3" x14ac:dyDescent="0.3">
      <c r="A73">
        <v>7278197840</v>
      </c>
      <c r="B73" t="s">
        <v>912</v>
      </c>
      <c r="C73" t="s">
        <v>930</v>
      </c>
    </row>
    <row r="74" spans="1:3" x14ac:dyDescent="0.3">
      <c r="A74">
        <v>7298171330</v>
      </c>
      <c r="B74" t="s">
        <v>912</v>
      </c>
      <c r="C74" t="s">
        <v>930</v>
      </c>
    </row>
    <row r="75" spans="1:3" x14ac:dyDescent="0.3">
      <c r="B75" t="s">
        <v>912</v>
      </c>
    </row>
    <row r="76" spans="1:3" x14ac:dyDescent="0.3">
      <c r="A76">
        <v>7298790330</v>
      </c>
      <c r="B76" t="s">
        <v>912</v>
      </c>
      <c r="C76" t="s">
        <v>930</v>
      </c>
    </row>
    <row r="77" spans="1:3" x14ac:dyDescent="0.3">
      <c r="A77">
        <v>7298790330</v>
      </c>
      <c r="B77" t="s">
        <v>912</v>
      </c>
      <c r="C77" t="s">
        <v>930</v>
      </c>
    </row>
    <row r="78" spans="1:3" x14ac:dyDescent="0.3">
      <c r="A78">
        <v>7298186930</v>
      </c>
      <c r="B78" t="s">
        <v>912</v>
      </c>
      <c r="C78" t="s">
        <v>929</v>
      </c>
    </row>
    <row r="79" spans="1:3" x14ac:dyDescent="0.3">
      <c r="A79">
        <v>7288907230</v>
      </c>
      <c r="B79" t="s">
        <v>912</v>
      </c>
      <c r="C79" t="s">
        <v>927</v>
      </c>
    </row>
    <row r="80" spans="1:3" x14ac:dyDescent="0.3">
      <c r="A80">
        <v>7298186530</v>
      </c>
      <c r="B80" t="s">
        <v>912</v>
      </c>
      <c r="C80" t="s">
        <v>930</v>
      </c>
    </row>
    <row r="81" spans="1:3" x14ac:dyDescent="0.3">
      <c r="A81">
        <v>7289508430</v>
      </c>
      <c r="B81" t="s">
        <v>912</v>
      </c>
      <c r="C81" t="s">
        <v>928</v>
      </c>
    </row>
    <row r="82" spans="1:3" x14ac:dyDescent="0.3">
      <c r="A82">
        <v>7298186930</v>
      </c>
      <c r="B82" t="s">
        <v>912</v>
      </c>
      <c r="C82" t="s">
        <v>929</v>
      </c>
    </row>
    <row r="83" spans="1:3" x14ac:dyDescent="0.3">
      <c r="A83">
        <v>7298790830</v>
      </c>
      <c r="B83" t="s">
        <v>912</v>
      </c>
      <c r="C83" t="s">
        <v>930</v>
      </c>
    </row>
    <row r="84" spans="1:3" x14ac:dyDescent="0.3">
      <c r="A84">
        <v>7289508430</v>
      </c>
      <c r="B84" t="s">
        <v>912</v>
      </c>
      <c r="C84" t="s">
        <v>928</v>
      </c>
    </row>
    <row r="85" spans="1:3" x14ac:dyDescent="0.3">
      <c r="A85">
        <v>7286139730</v>
      </c>
      <c r="B85" t="s">
        <v>912</v>
      </c>
      <c r="C85" t="s">
        <v>928</v>
      </c>
    </row>
    <row r="86" spans="1:3" x14ac:dyDescent="0.3">
      <c r="A86">
        <v>7287821130</v>
      </c>
      <c r="B86" t="s">
        <v>912</v>
      </c>
      <c r="C86" t="s">
        <v>928</v>
      </c>
    </row>
    <row r="87" spans="1:3" x14ac:dyDescent="0.3">
      <c r="A87">
        <v>7298186530</v>
      </c>
      <c r="B87" t="s">
        <v>912</v>
      </c>
      <c r="C87" t="s">
        <v>930</v>
      </c>
    </row>
    <row r="88" spans="1:3" x14ac:dyDescent="0.3">
      <c r="B88" t="s">
        <v>912</v>
      </c>
    </row>
    <row r="89" spans="1:3" x14ac:dyDescent="0.3">
      <c r="A89">
        <v>7119153830</v>
      </c>
      <c r="B89" t="s">
        <v>912</v>
      </c>
      <c r="C89" t="s">
        <v>930</v>
      </c>
    </row>
    <row r="90" spans="1:3" x14ac:dyDescent="0.3">
      <c r="A90">
        <v>7119689030</v>
      </c>
      <c r="B90" t="s">
        <v>912</v>
      </c>
      <c r="C90" t="s">
        <v>930</v>
      </c>
    </row>
    <row r="91" spans="1:3" x14ac:dyDescent="0.3">
      <c r="A91">
        <v>7286145630</v>
      </c>
      <c r="B91" t="s">
        <v>912</v>
      </c>
      <c r="C91" t="s">
        <v>883</v>
      </c>
    </row>
    <row r="92" spans="1:3" x14ac:dyDescent="0.3">
      <c r="A92">
        <v>7287180440</v>
      </c>
      <c r="B92" t="s">
        <v>912</v>
      </c>
      <c r="C92" t="s">
        <v>930</v>
      </c>
    </row>
    <row r="93" spans="1:3" x14ac:dyDescent="0.3">
      <c r="A93">
        <v>72980788</v>
      </c>
      <c r="B93" t="s">
        <v>912</v>
      </c>
      <c r="C93" t="s">
        <v>930</v>
      </c>
    </row>
    <row r="94" spans="1:3" x14ac:dyDescent="0.3">
      <c r="A94" t="s">
        <v>915</v>
      </c>
      <c r="B94" t="s">
        <v>912</v>
      </c>
      <c r="C94" t="s">
        <v>930</v>
      </c>
    </row>
    <row r="95" spans="1:3" x14ac:dyDescent="0.3">
      <c r="A95">
        <v>7298237430</v>
      </c>
      <c r="B95" t="s">
        <v>912</v>
      </c>
      <c r="C95" t="s">
        <v>930</v>
      </c>
    </row>
    <row r="96" spans="1:3" x14ac:dyDescent="0.3">
      <c r="A96">
        <v>7298237430</v>
      </c>
      <c r="B96" t="s">
        <v>912</v>
      </c>
      <c r="C96" t="s">
        <v>930</v>
      </c>
    </row>
    <row r="97" spans="1:3" x14ac:dyDescent="0.3">
      <c r="A97">
        <v>7298237430</v>
      </c>
      <c r="B97" t="s">
        <v>912</v>
      </c>
      <c r="C97" t="s">
        <v>930</v>
      </c>
    </row>
    <row r="98" spans="1:3" x14ac:dyDescent="0.3">
      <c r="A98">
        <v>7298237430</v>
      </c>
      <c r="B98" t="s">
        <v>912</v>
      </c>
      <c r="C98" t="s">
        <v>930</v>
      </c>
    </row>
    <row r="99" spans="1:3" x14ac:dyDescent="0.3">
      <c r="A99" t="s">
        <v>916</v>
      </c>
      <c r="B99" t="s">
        <v>912</v>
      </c>
    </row>
    <row r="100" spans="1:3" x14ac:dyDescent="0.3">
      <c r="A100" t="s">
        <v>916</v>
      </c>
      <c r="B100" t="s">
        <v>912</v>
      </c>
    </row>
    <row r="101" spans="1:3" x14ac:dyDescent="0.3">
      <c r="B101" t="s">
        <v>912</v>
      </c>
    </row>
    <row r="102" spans="1:3" x14ac:dyDescent="0.3">
      <c r="A102">
        <v>7298790130</v>
      </c>
      <c r="B102" t="s">
        <v>912</v>
      </c>
      <c r="C102" t="s">
        <v>930</v>
      </c>
    </row>
    <row r="103" spans="1:3" x14ac:dyDescent="0.3">
      <c r="A103">
        <v>7288907230</v>
      </c>
      <c r="B103" t="s">
        <v>912</v>
      </c>
      <c r="C103" t="s">
        <v>927</v>
      </c>
    </row>
    <row r="104" spans="1:3" x14ac:dyDescent="0.3">
      <c r="A104">
        <v>7288907230</v>
      </c>
      <c r="B104" t="s">
        <v>912</v>
      </c>
      <c r="C104" t="s">
        <v>927</v>
      </c>
    </row>
    <row r="105" spans="1:3" x14ac:dyDescent="0.3">
      <c r="A105">
        <v>7282559510</v>
      </c>
      <c r="B105" t="s">
        <v>912</v>
      </c>
      <c r="C105" t="s">
        <v>928</v>
      </c>
    </row>
    <row r="106" spans="1:3" x14ac:dyDescent="0.3">
      <c r="A106">
        <v>7278451130</v>
      </c>
      <c r="B106" t="s">
        <v>912</v>
      </c>
      <c r="C106" t="s">
        <v>928</v>
      </c>
    </row>
    <row r="107" spans="1:3" x14ac:dyDescent="0.3">
      <c r="A107">
        <v>7298237430</v>
      </c>
      <c r="B107" t="s">
        <v>912</v>
      </c>
      <c r="C107" t="s">
        <v>930</v>
      </c>
    </row>
    <row r="108" spans="1:3" x14ac:dyDescent="0.3">
      <c r="A108">
        <v>7298237430</v>
      </c>
      <c r="B108" t="s">
        <v>912</v>
      </c>
      <c r="C108" t="s">
        <v>930</v>
      </c>
    </row>
    <row r="109" spans="1:3" x14ac:dyDescent="0.3">
      <c r="A109">
        <v>7298228210</v>
      </c>
      <c r="B109" t="s">
        <v>912</v>
      </c>
      <c r="C109" t="s">
        <v>930</v>
      </c>
    </row>
    <row r="110" spans="1:3" x14ac:dyDescent="0.3">
      <c r="A110">
        <v>7219631630</v>
      </c>
      <c r="B110" t="s">
        <v>913</v>
      </c>
      <c r="C110" t="s">
        <v>930</v>
      </c>
    </row>
    <row r="111" spans="1:3" x14ac:dyDescent="0.3">
      <c r="A111">
        <v>7219631630</v>
      </c>
      <c r="B111" t="s">
        <v>913</v>
      </c>
      <c r="C111" t="s">
        <v>930</v>
      </c>
    </row>
    <row r="112" spans="1:3" x14ac:dyDescent="0.3">
      <c r="A112">
        <v>7219631630</v>
      </c>
      <c r="B112" t="s">
        <v>913</v>
      </c>
      <c r="C112" t="s">
        <v>930</v>
      </c>
    </row>
    <row r="113" spans="1:3" x14ac:dyDescent="0.3">
      <c r="A113">
        <v>7219631630</v>
      </c>
      <c r="B113" t="s">
        <v>913</v>
      </c>
      <c r="C113" t="s">
        <v>930</v>
      </c>
    </row>
    <row r="114" spans="1:3" x14ac:dyDescent="0.3">
      <c r="A114">
        <v>7288907230</v>
      </c>
      <c r="B114" t="s">
        <v>913</v>
      </c>
      <c r="C114" t="s">
        <v>927</v>
      </c>
    </row>
    <row r="115" spans="1:3" x14ac:dyDescent="0.3">
      <c r="A115">
        <v>7298186530</v>
      </c>
      <c r="B115" t="s">
        <v>913</v>
      </c>
      <c r="C115" t="s">
        <v>930</v>
      </c>
    </row>
    <row r="116" spans="1:3" x14ac:dyDescent="0.3">
      <c r="A116">
        <v>7186066580</v>
      </c>
      <c r="B116" t="s">
        <v>913</v>
      </c>
      <c r="C116" t="s">
        <v>930</v>
      </c>
    </row>
    <row r="117" spans="1:3" x14ac:dyDescent="0.3">
      <c r="A117">
        <v>7283464030</v>
      </c>
      <c r="B117" t="s">
        <v>913</v>
      </c>
      <c r="C117" t="s">
        <v>928</v>
      </c>
    </row>
    <row r="118" spans="1:3" x14ac:dyDescent="0.3">
      <c r="A118">
        <v>71860665</v>
      </c>
      <c r="B118" t="s">
        <v>913</v>
      </c>
      <c r="C118" t="s">
        <v>930</v>
      </c>
    </row>
    <row r="119" spans="1:3" x14ac:dyDescent="0.3">
      <c r="A119">
        <v>7289567230</v>
      </c>
      <c r="B119" t="s">
        <v>913</v>
      </c>
      <c r="C119" t="s">
        <v>928</v>
      </c>
    </row>
    <row r="120" spans="1:3" x14ac:dyDescent="0.3">
      <c r="A120">
        <v>7186066560</v>
      </c>
      <c r="B120" t="s">
        <v>913</v>
      </c>
      <c r="C120" t="s">
        <v>930</v>
      </c>
    </row>
    <row r="121" spans="1:3" x14ac:dyDescent="0.3">
      <c r="A121">
        <v>7186066590</v>
      </c>
      <c r="B121" t="s">
        <v>913</v>
      </c>
      <c r="C121" t="s">
        <v>930</v>
      </c>
    </row>
    <row r="122" spans="1:3" x14ac:dyDescent="0.3">
      <c r="A122">
        <v>7298079230</v>
      </c>
      <c r="B122" t="s">
        <v>913</v>
      </c>
      <c r="C122" t="s">
        <v>928</v>
      </c>
    </row>
    <row r="123" spans="1:3" x14ac:dyDescent="0.3">
      <c r="A123">
        <v>72975392</v>
      </c>
      <c r="B123" t="s">
        <v>913</v>
      </c>
      <c r="C123" t="s">
        <v>925</v>
      </c>
    </row>
    <row r="124" spans="1:3" x14ac:dyDescent="0.3">
      <c r="A124">
        <v>7287149830</v>
      </c>
      <c r="B124" t="s">
        <v>913</v>
      </c>
      <c r="C124" t="s">
        <v>883</v>
      </c>
    </row>
    <row r="125" spans="1:3" x14ac:dyDescent="0.3">
      <c r="A125">
        <v>7171192330</v>
      </c>
      <c r="B125" t="s">
        <v>913</v>
      </c>
      <c r="C125" t="s">
        <v>930</v>
      </c>
    </row>
    <row r="126" spans="1:3" x14ac:dyDescent="0.3">
      <c r="A126">
        <v>7171297430</v>
      </c>
      <c r="B126" t="s">
        <v>913</v>
      </c>
      <c r="C126" t="s">
        <v>928</v>
      </c>
    </row>
    <row r="127" spans="1:3" x14ac:dyDescent="0.3">
      <c r="A127">
        <v>7171297430</v>
      </c>
      <c r="B127" t="s">
        <v>913</v>
      </c>
      <c r="C127" t="s">
        <v>928</v>
      </c>
    </row>
    <row r="128" spans="1:3" x14ac:dyDescent="0.3">
      <c r="A128">
        <v>7171297430</v>
      </c>
      <c r="B128" t="s">
        <v>913</v>
      </c>
      <c r="C128" t="s">
        <v>928</v>
      </c>
    </row>
    <row r="129" spans="1:3" x14ac:dyDescent="0.3">
      <c r="A129">
        <v>7298980540</v>
      </c>
      <c r="B129" t="s">
        <v>913</v>
      </c>
      <c r="C129" t="s">
        <v>929</v>
      </c>
    </row>
    <row r="130" spans="1:3" x14ac:dyDescent="0.3">
      <c r="A130">
        <v>7154058630</v>
      </c>
      <c r="B130" t="s">
        <v>913</v>
      </c>
      <c r="C130" t="s">
        <v>928</v>
      </c>
    </row>
    <row r="131" spans="1:3" x14ac:dyDescent="0.3">
      <c r="A131">
        <v>7171192330</v>
      </c>
      <c r="B131" t="s">
        <v>913</v>
      </c>
      <c r="C131" t="s">
        <v>930</v>
      </c>
    </row>
    <row r="132" spans="1:3" x14ac:dyDescent="0.3">
      <c r="A132">
        <v>7287150380</v>
      </c>
      <c r="B132" t="s">
        <v>913</v>
      </c>
      <c r="C132" t="s">
        <v>883</v>
      </c>
    </row>
    <row r="133" spans="1:3" x14ac:dyDescent="0.3">
      <c r="A133">
        <v>7171297430</v>
      </c>
      <c r="B133" t="s">
        <v>913</v>
      </c>
      <c r="C133" t="s">
        <v>928</v>
      </c>
    </row>
    <row r="134" spans="1:3" x14ac:dyDescent="0.3">
      <c r="A134">
        <v>7171297430</v>
      </c>
      <c r="B134" t="s">
        <v>913</v>
      </c>
      <c r="C134" t="s">
        <v>928</v>
      </c>
    </row>
    <row r="135" spans="1:3" x14ac:dyDescent="0.3">
      <c r="A135">
        <v>7298170230</v>
      </c>
      <c r="B135" t="s">
        <v>913</v>
      </c>
      <c r="C135" t="s">
        <v>928</v>
      </c>
    </row>
    <row r="136" spans="1:3" x14ac:dyDescent="0.3">
      <c r="A136">
        <v>7298186530</v>
      </c>
      <c r="B136" t="s">
        <v>913</v>
      </c>
      <c r="C136" t="s">
        <v>930</v>
      </c>
    </row>
    <row r="137" spans="1:3" x14ac:dyDescent="0.3">
      <c r="A137">
        <v>7287018730</v>
      </c>
      <c r="B137" t="s">
        <v>913</v>
      </c>
      <c r="C137" t="s">
        <v>930</v>
      </c>
    </row>
    <row r="138" spans="1:3" x14ac:dyDescent="0.3">
      <c r="A138">
        <v>7219631630</v>
      </c>
      <c r="B138" t="s">
        <v>913</v>
      </c>
      <c r="C138" t="s">
        <v>930</v>
      </c>
    </row>
    <row r="139" spans="1:3" x14ac:dyDescent="0.3">
      <c r="A139">
        <v>7298227830</v>
      </c>
      <c r="B139" t="s">
        <v>913</v>
      </c>
      <c r="C139" t="s">
        <v>930</v>
      </c>
    </row>
    <row r="140" spans="1:3" x14ac:dyDescent="0.3">
      <c r="A140">
        <v>7278451130</v>
      </c>
      <c r="B140" t="s">
        <v>913</v>
      </c>
      <c r="C140" t="s">
        <v>928</v>
      </c>
    </row>
    <row r="141" spans="1:3" x14ac:dyDescent="0.3">
      <c r="A141">
        <v>7288907230</v>
      </c>
      <c r="B141" t="s">
        <v>913</v>
      </c>
      <c r="C141" t="s">
        <v>927</v>
      </c>
    </row>
    <row r="142" spans="1:3" x14ac:dyDescent="0.3">
      <c r="A142">
        <v>7298186530</v>
      </c>
      <c r="B142" t="s">
        <v>913</v>
      </c>
      <c r="C142" t="s">
        <v>930</v>
      </c>
    </row>
    <row r="143" spans="1:3" x14ac:dyDescent="0.3">
      <c r="A143">
        <v>72987902</v>
      </c>
      <c r="B143" t="s">
        <v>913</v>
      </c>
      <c r="C143" t="s">
        <v>930</v>
      </c>
    </row>
    <row r="144" spans="1:3" x14ac:dyDescent="0.3">
      <c r="A144">
        <v>7289909030</v>
      </c>
      <c r="B144" t="s">
        <v>913</v>
      </c>
      <c r="C144" t="s">
        <v>928</v>
      </c>
    </row>
    <row r="145" spans="1:3" x14ac:dyDescent="0.3">
      <c r="A145">
        <v>7298593130</v>
      </c>
      <c r="B145" t="s">
        <v>913</v>
      </c>
      <c r="C145" t="s">
        <v>928</v>
      </c>
    </row>
    <row r="146" spans="1:3" x14ac:dyDescent="0.3">
      <c r="A146">
        <v>7298079230</v>
      </c>
      <c r="B146" t="s">
        <v>913</v>
      </c>
      <c r="C146" t="s">
        <v>928</v>
      </c>
    </row>
    <row r="147" spans="1:3" x14ac:dyDescent="0.3">
      <c r="A147">
        <v>7271295130</v>
      </c>
      <c r="B147" t="s">
        <v>913</v>
      </c>
      <c r="C147" t="s">
        <v>931</v>
      </c>
    </row>
    <row r="148" spans="1:3" x14ac:dyDescent="0.3">
      <c r="A148">
        <v>7287801830</v>
      </c>
      <c r="B148" t="s">
        <v>913</v>
      </c>
      <c r="C148" t="s">
        <v>925</v>
      </c>
    </row>
    <row r="149" spans="1:3" x14ac:dyDescent="0.3">
      <c r="A149">
        <v>7223160530</v>
      </c>
      <c r="B149" t="s">
        <v>913</v>
      </c>
      <c r="C149" t="s">
        <v>928</v>
      </c>
    </row>
    <row r="150" spans="1:3" x14ac:dyDescent="0.3">
      <c r="A150">
        <v>7283464030</v>
      </c>
      <c r="B150" t="s">
        <v>913</v>
      </c>
      <c r="C150" t="s">
        <v>928</v>
      </c>
    </row>
    <row r="151" spans="1:3" x14ac:dyDescent="0.3">
      <c r="A151">
        <v>7219113440</v>
      </c>
      <c r="B151" t="s">
        <v>913</v>
      </c>
      <c r="C151" t="s">
        <v>930</v>
      </c>
    </row>
    <row r="152" spans="1:3" x14ac:dyDescent="0.3">
      <c r="A152">
        <v>7298593130</v>
      </c>
      <c r="B152" t="s">
        <v>913</v>
      </c>
      <c r="C152" t="s">
        <v>928</v>
      </c>
    </row>
    <row r="153" spans="1:3" x14ac:dyDescent="0.3">
      <c r="A153">
        <v>72781797</v>
      </c>
      <c r="B153" t="s">
        <v>913</v>
      </c>
      <c r="C153" t="s">
        <v>929</v>
      </c>
    </row>
    <row r="154" spans="1:3" x14ac:dyDescent="0.3">
      <c r="A154">
        <v>7298237430</v>
      </c>
      <c r="B154" t="s">
        <v>913</v>
      </c>
      <c r="C154" t="s">
        <v>930</v>
      </c>
    </row>
    <row r="155" spans="1:3" x14ac:dyDescent="0.3">
      <c r="A155">
        <v>7298790830</v>
      </c>
      <c r="B155" t="s">
        <v>913</v>
      </c>
      <c r="C155" t="s">
        <v>930</v>
      </c>
    </row>
    <row r="156" spans="1:3" x14ac:dyDescent="0.3">
      <c r="A156">
        <v>7298790830</v>
      </c>
      <c r="B156" t="s">
        <v>913</v>
      </c>
      <c r="C156" t="s">
        <v>930</v>
      </c>
    </row>
    <row r="157" spans="1:3" x14ac:dyDescent="0.3">
      <c r="A157">
        <v>7298186930</v>
      </c>
      <c r="B157" t="s">
        <v>913</v>
      </c>
      <c r="C157" t="s">
        <v>929</v>
      </c>
    </row>
    <row r="158" spans="1:3" x14ac:dyDescent="0.3">
      <c r="A158">
        <v>7298790130</v>
      </c>
      <c r="B158" t="s">
        <v>913</v>
      </c>
      <c r="C158" t="s">
        <v>930</v>
      </c>
    </row>
    <row r="159" spans="1:3" x14ac:dyDescent="0.3">
      <c r="A159">
        <v>7298186530</v>
      </c>
      <c r="B159" t="s">
        <v>913</v>
      </c>
      <c r="C159" t="s">
        <v>930</v>
      </c>
    </row>
    <row r="160" spans="1:3" x14ac:dyDescent="0.3">
      <c r="A160">
        <v>7298186530</v>
      </c>
      <c r="B160" t="s">
        <v>913</v>
      </c>
      <c r="C160" t="s">
        <v>930</v>
      </c>
    </row>
    <row r="161" spans="1:3" x14ac:dyDescent="0.3">
      <c r="A161">
        <v>7298237430</v>
      </c>
      <c r="B161" t="s">
        <v>913</v>
      </c>
      <c r="C161" t="s">
        <v>930</v>
      </c>
    </row>
    <row r="162" spans="1:3" x14ac:dyDescent="0.3">
      <c r="A162">
        <v>7287150380</v>
      </c>
      <c r="B162" t="s">
        <v>913</v>
      </c>
      <c r="C162" t="s">
        <v>883</v>
      </c>
    </row>
    <row r="163" spans="1:3" x14ac:dyDescent="0.3">
      <c r="A163">
        <v>7278121240</v>
      </c>
      <c r="B163" t="s">
        <v>913</v>
      </c>
      <c r="C163" t="s">
        <v>930</v>
      </c>
    </row>
    <row r="164" spans="1:3" x14ac:dyDescent="0.3">
      <c r="A164">
        <v>72897496</v>
      </c>
      <c r="B164" t="s">
        <v>913</v>
      </c>
      <c r="C164" t="s">
        <v>883</v>
      </c>
    </row>
    <row r="165" spans="1:3" x14ac:dyDescent="0.3">
      <c r="A165">
        <v>7298108030</v>
      </c>
      <c r="B165" t="s">
        <v>913</v>
      </c>
      <c r="C165" t="s">
        <v>930</v>
      </c>
    </row>
    <row r="166" spans="1:3" x14ac:dyDescent="0.3">
      <c r="A166">
        <v>7298108030</v>
      </c>
      <c r="B166" t="s">
        <v>913</v>
      </c>
      <c r="C166" t="s">
        <v>930</v>
      </c>
    </row>
    <row r="167" spans="1:3" x14ac:dyDescent="0.3">
      <c r="A167">
        <v>7154075530</v>
      </c>
      <c r="B167" t="s">
        <v>913</v>
      </c>
      <c r="C167" t="s">
        <v>922</v>
      </c>
    </row>
    <row r="168" spans="1:3" x14ac:dyDescent="0.3">
      <c r="A168">
        <v>7154058630</v>
      </c>
      <c r="B168" t="s">
        <v>913</v>
      </c>
      <c r="C168" t="s">
        <v>928</v>
      </c>
    </row>
    <row r="169" spans="1:3" x14ac:dyDescent="0.3">
      <c r="A169">
        <v>7171297430</v>
      </c>
      <c r="B169" t="s">
        <v>913</v>
      </c>
      <c r="C169" t="s">
        <v>928</v>
      </c>
    </row>
    <row r="170" spans="1:3" x14ac:dyDescent="0.3">
      <c r="A170">
        <v>7154026130</v>
      </c>
      <c r="B170" t="s">
        <v>913</v>
      </c>
      <c r="C170" t="s">
        <v>883</v>
      </c>
    </row>
    <row r="171" spans="1:3" x14ac:dyDescent="0.3">
      <c r="A171">
        <v>7004128702</v>
      </c>
      <c r="B171" t="s">
        <v>913</v>
      </c>
      <c r="C171" t="s">
        <v>926</v>
      </c>
    </row>
    <row r="172" spans="1:3" x14ac:dyDescent="0.3">
      <c r="A172">
        <v>7004128702</v>
      </c>
      <c r="B172" t="s">
        <v>913</v>
      </c>
      <c r="C172" t="s">
        <v>926</v>
      </c>
    </row>
    <row r="173" spans="1:3" x14ac:dyDescent="0.3">
      <c r="A173">
        <v>7004128702</v>
      </c>
      <c r="B173" t="s">
        <v>913</v>
      </c>
      <c r="C173" t="s">
        <v>926</v>
      </c>
    </row>
    <row r="174" spans="1:3" x14ac:dyDescent="0.3">
      <c r="A174">
        <v>7004128702</v>
      </c>
      <c r="B174" t="s">
        <v>913</v>
      </c>
      <c r="C174" t="s">
        <v>926</v>
      </c>
    </row>
    <row r="175" spans="1:3" x14ac:dyDescent="0.3">
      <c r="A175">
        <v>7274349370</v>
      </c>
      <c r="B175" t="s">
        <v>914</v>
      </c>
      <c r="C175" t="s">
        <v>922</v>
      </c>
    </row>
    <row r="176" spans="1:3" x14ac:dyDescent="0.3">
      <c r="A176">
        <v>7075218330</v>
      </c>
      <c r="B176" t="s">
        <v>914</v>
      </c>
      <c r="C176" t="s">
        <v>923</v>
      </c>
    </row>
    <row r="177" spans="1:3" x14ac:dyDescent="0.3">
      <c r="A177">
        <v>72975207</v>
      </c>
      <c r="B177" t="s">
        <v>914</v>
      </c>
      <c r="C177" t="s">
        <v>930</v>
      </c>
    </row>
    <row r="178" spans="1:3" x14ac:dyDescent="0.3">
      <c r="A178">
        <v>7234488830</v>
      </c>
      <c r="B178" t="s">
        <v>914</v>
      </c>
      <c r="C178" t="s">
        <v>922</v>
      </c>
    </row>
    <row r="179" spans="1:3" x14ac:dyDescent="0.3">
      <c r="A179">
        <v>71983904</v>
      </c>
      <c r="B179" t="s">
        <v>914</v>
      </c>
      <c r="C179" t="s">
        <v>929</v>
      </c>
    </row>
    <row r="180" spans="1:3" x14ac:dyDescent="0.3">
      <c r="A180">
        <v>7187090580</v>
      </c>
      <c r="B180" t="s">
        <v>914</v>
      </c>
      <c r="C180" t="s">
        <v>930</v>
      </c>
    </row>
    <row r="181" spans="1:3" x14ac:dyDescent="0.3">
      <c r="A181">
        <v>7187090590</v>
      </c>
      <c r="B181" t="s">
        <v>914</v>
      </c>
      <c r="C181" t="s">
        <v>930</v>
      </c>
    </row>
    <row r="182" spans="1:3" x14ac:dyDescent="0.3">
      <c r="A182">
        <v>71870905</v>
      </c>
      <c r="B182" t="s">
        <v>914</v>
      </c>
      <c r="C182" t="s">
        <v>930</v>
      </c>
    </row>
    <row r="183" spans="1:3" x14ac:dyDescent="0.3">
      <c r="A183">
        <v>7187090560</v>
      </c>
      <c r="B183" t="s">
        <v>914</v>
      </c>
      <c r="C183" t="s">
        <v>930</v>
      </c>
    </row>
    <row r="184" spans="1:3" x14ac:dyDescent="0.3">
      <c r="A184" t="s">
        <v>917</v>
      </c>
      <c r="B184" t="s">
        <v>914</v>
      </c>
      <c r="C184" t="s">
        <v>929</v>
      </c>
    </row>
    <row r="185" spans="1:3" x14ac:dyDescent="0.3">
      <c r="A185">
        <v>7289773340</v>
      </c>
      <c r="B185" t="s">
        <v>914</v>
      </c>
      <c r="C185" t="s">
        <v>928</v>
      </c>
    </row>
    <row r="186" spans="1:3" x14ac:dyDescent="0.3">
      <c r="A186" t="s">
        <v>917</v>
      </c>
      <c r="B186" t="s">
        <v>914</v>
      </c>
      <c r="C186" t="s">
        <v>929</v>
      </c>
    </row>
    <row r="187" spans="1:3" x14ac:dyDescent="0.3">
      <c r="A187">
        <v>7154041130</v>
      </c>
      <c r="B187" t="s">
        <v>914</v>
      </c>
      <c r="C187" t="s">
        <v>928</v>
      </c>
    </row>
    <row r="188" spans="1:3" x14ac:dyDescent="0.3">
      <c r="A188">
        <v>7119674430</v>
      </c>
      <c r="B188" t="s">
        <v>914</v>
      </c>
      <c r="C188" t="s">
        <v>930</v>
      </c>
    </row>
    <row r="189" spans="1:3" x14ac:dyDescent="0.3">
      <c r="A189">
        <v>7282374040</v>
      </c>
      <c r="B189" t="s">
        <v>914</v>
      </c>
      <c r="C189" t="s">
        <v>928</v>
      </c>
    </row>
    <row r="190" spans="1:3" x14ac:dyDescent="0.3">
      <c r="A190">
        <v>7186066590</v>
      </c>
      <c r="B190" t="s">
        <v>914</v>
      </c>
      <c r="C190" t="s">
        <v>930</v>
      </c>
    </row>
    <row r="191" spans="1:3" x14ac:dyDescent="0.3">
      <c r="A191">
        <v>71860665</v>
      </c>
      <c r="B191" t="s">
        <v>914</v>
      </c>
      <c r="C191" t="s">
        <v>930</v>
      </c>
    </row>
    <row r="192" spans="1:3" x14ac:dyDescent="0.3">
      <c r="A192">
        <v>7186066560</v>
      </c>
      <c r="B192" t="s">
        <v>914</v>
      </c>
      <c r="C192" t="s">
        <v>930</v>
      </c>
    </row>
    <row r="193" spans="1:3" x14ac:dyDescent="0.3">
      <c r="A193">
        <v>72975392</v>
      </c>
      <c r="B193" t="s">
        <v>914</v>
      </c>
      <c r="C193" t="s">
        <v>925</v>
      </c>
    </row>
    <row r="194" spans="1:3" x14ac:dyDescent="0.3">
      <c r="A194">
        <v>7288907230</v>
      </c>
      <c r="B194" t="s">
        <v>914</v>
      </c>
      <c r="C194" t="s">
        <v>927</v>
      </c>
    </row>
    <row r="195" spans="1:3" x14ac:dyDescent="0.3">
      <c r="A195">
        <v>7119679430</v>
      </c>
      <c r="B195" t="s">
        <v>914</v>
      </c>
      <c r="C195" t="s">
        <v>930</v>
      </c>
    </row>
    <row r="196" spans="1:3" x14ac:dyDescent="0.3">
      <c r="A196">
        <v>7297565530</v>
      </c>
      <c r="B196" t="s">
        <v>914</v>
      </c>
      <c r="C196" t="s">
        <v>925</v>
      </c>
    </row>
    <row r="197" spans="1:3" x14ac:dyDescent="0.3">
      <c r="A197">
        <v>72899966</v>
      </c>
      <c r="B197" t="s">
        <v>914</v>
      </c>
      <c r="C197" t="s">
        <v>929</v>
      </c>
    </row>
    <row r="198" spans="1:3" x14ac:dyDescent="0.3">
      <c r="A198">
        <v>7298200830</v>
      </c>
      <c r="B198" t="s">
        <v>914</v>
      </c>
      <c r="C198" t="s">
        <v>883</v>
      </c>
    </row>
    <row r="199" spans="1:3" x14ac:dyDescent="0.3">
      <c r="A199">
        <v>72780597</v>
      </c>
      <c r="B199" t="s">
        <v>914</v>
      </c>
      <c r="C199" t="s">
        <v>930</v>
      </c>
    </row>
    <row r="200" spans="1:3" x14ac:dyDescent="0.3">
      <c r="A200">
        <v>71196834</v>
      </c>
      <c r="B200" t="s">
        <v>914</v>
      </c>
      <c r="C200" t="s">
        <v>930</v>
      </c>
    </row>
    <row r="201" spans="1:3" x14ac:dyDescent="0.3">
      <c r="A201">
        <v>7119683530</v>
      </c>
      <c r="B201" t="s">
        <v>914</v>
      </c>
      <c r="C201" t="s">
        <v>930</v>
      </c>
    </row>
    <row r="202" spans="1:3" x14ac:dyDescent="0.3">
      <c r="A202">
        <v>7287766270</v>
      </c>
      <c r="B202" t="s">
        <v>914</v>
      </c>
      <c r="C202" t="s">
        <v>930</v>
      </c>
    </row>
    <row r="203" spans="1:3" x14ac:dyDescent="0.3">
      <c r="A203">
        <v>7298150830</v>
      </c>
      <c r="B203" t="s">
        <v>914</v>
      </c>
      <c r="C203" t="s">
        <v>930</v>
      </c>
    </row>
    <row r="204" spans="1:3" x14ac:dyDescent="0.3">
      <c r="A204">
        <v>7223160530</v>
      </c>
      <c r="B204" t="s">
        <v>914</v>
      </c>
      <c r="C204" t="s">
        <v>928</v>
      </c>
    </row>
    <row r="205" spans="1:3" x14ac:dyDescent="0.3">
      <c r="A205">
        <v>7119679830</v>
      </c>
      <c r="B205" t="s">
        <v>914</v>
      </c>
      <c r="C205" t="s">
        <v>929</v>
      </c>
    </row>
    <row r="206" spans="1:3" x14ac:dyDescent="0.3">
      <c r="A206">
        <v>7287143930</v>
      </c>
      <c r="B206" t="s">
        <v>914</v>
      </c>
      <c r="C206" t="s">
        <v>928</v>
      </c>
    </row>
    <row r="207" spans="1:3" x14ac:dyDescent="0.3">
      <c r="A207">
        <v>7219683340</v>
      </c>
      <c r="B207" t="s">
        <v>914</v>
      </c>
      <c r="C207" t="s">
        <v>922</v>
      </c>
    </row>
    <row r="208" spans="1:3" x14ac:dyDescent="0.3">
      <c r="A208">
        <v>7287476780</v>
      </c>
      <c r="B208" t="s">
        <v>914</v>
      </c>
      <c r="C208" t="s">
        <v>930</v>
      </c>
    </row>
    <row r="209" spans="1:3" x14ac:dyDescent="0.3">
      <c r="A209">
        <v>7289862080</v>
      </c>
      <c r="B209" t="s">
        <v>914</v>
      </c>
      <c r="C209" t="s">
        <v>929</v>
      </c>
    </row>
    <row r="210" spans="1:3" x14ac:dyDescent="0.3">
      <c r="A210">
        <v>72782561</v>
      </c>
      <c r="B210" t="s">
        <v>914</v>
      </c>
      <c r="C210" t="s">
        <v>930</v>
      </c>
    </row>
    <row r="211" spans="1:3" x14ac:dyDescent="0.3">
      <c r="A211">
        <v>72975392</v>
      </c>
      <c r="B211" t="s">
        <v>914</v>
      </c>
      <c r="C211" t="s">
        <v>925</v>
      </c>
    </row>
    <row r="212" spans="1:3" x14ac:dyDescent="0.3">
      <c r="A212">
        <v>7222740630</v>
      </c>
      <c r="B212" t="s">
        <v>914</v>
      </c>
      <c r="C212" t="s">
        <v>928</v>
      </c>
    </row>
    <row r="213" spans="1:3" x14ac:dyDescent="0.3">
      <c r="A213">
        <v>7119185330</v>
      </c>
      <c r="B213" t="s">
        <v>914</v>
      </c>
      <c r="C213" t="s">
        <v>930</v>
      </c>
    </row>
    <row r="214" spans="1:3" x14ac:dyDescent="0.3">
      <c r="A214">
        <v>7119185640</v>
      </c>
      <c r="B214" t="s">
        <v>914</v>
      </c>
      <c r="C214" t="s">
        <v>930</v>
      </c>
    </row>
    <row r="215" spans="1:3" x14ac:dyDescent="0.3">
      <c r="A215">
        <v>71781755</v>
      </c>
      <c r="B215" t="s">
        <v>914</v>
      </c>
      <c r="C215" t="s">
        <v>930</v>
      </c>
    </row>
    <row r="216" spans="1:3" x14ac:dyDescent="0.3">
      <c r="A216">
        <v>7178170830</v>
      </c>
      <c r="B216" t="s">
        <v>914</v>
      </c>
      <c r="C216" t="s">
        <v>930</v>
      </c>
    </row>
    <row r="217" spans="1:3" x14ac:dyDescent="0.3">
      <c r="A217">
        <v>7186066560</v>
      </c>
      <c r="B217" t="s">
        <v>914</v>
      </c>
      <c r="C217" t="s">
        <v>930</v>
      </c>
    </row>
    <row r="218" spans="1:3" x14ac:dyDescent="0.3">
      <c r="A218">
        <v>71860665</v>
      </c>
      <c r="B218" t="s">
        <v>914</v>
      </c>
      <c r="C218" t="s">
        <v>930</v>
      </c>
    </row>
    <row r="219" spans="1:3" x14ac:dyDescent="0.3">
      <c r="A219">
        <v>72888940</v>
      </c>
      <c r="B219" t="s">
        <v>914</v>
      </c>
      <c r="C219" t="s">
        <v>928</v>
      </c>
    </row>
    <row r="220" spans="1:3" x14ac:dyDescent="0.3">
      <c r="A220">
        <v>7278197730</v>
      </c>
      <c r="B220" t="s">
        <v>914</v>
      </c>
      <c r="C220" t="s">
        <v>930</v>
      </c>
    </row>
    <row r="221" spans="1:3" x14ac:dyDescent="0.3">
      <c r="A221">
        <v>7289778240</v>
      </c>
      <c r="B221" t="s">
        <v>914</v>
      </c>
      <c r="C221" t="s">
        <v>930</v>
      </c>
    </row>
    <row r="222" spans="1:3" x14ac:dyDescent="0.3">
      <c r="A222">
        <v>7154041130</v>
      </c>
      <c r="B222" t="s">
        <v>914</v>
      </c>
      <c r="C222" t="s">
        <v>928</v>
      </c>
    </row>
    <row r="223" spans="1:3" x14ac:dyDescent="0.3">
      <c r="A223">
        <v>7154075530</v>
      </c>
      <c r="B223" t="s">
        <v>914</v>
      </c>
      <c r="C223" t="s">
        <v>922</v>
      </c>
    </row>
    <row r="224" spans="1:3" x14ac:dyDescent="0.3">
      <c r="A224">
        <v>7298186530</v>
      </c>
      <c r="B224" t="s">
        <v>914</v>
      </c>
      <c r="C224" t="s">
        <v>930</v>
      </c>
    </row>
    <row r="225" spans="1:3" x14ac:dyDescent="0.3">
      <c r="A225" t="s">
        <v>918</v>
      </c>
      <c r="B225" t="s">
        <v>914</v>
      </c>
      <c r="C225" t="s">
        <v>929</v>
      </c>
    </row>
    <row r="226" spans="1:3" x14ac:dyDescent="0.3">
      <c r="A226">
        <v>7278197730</v>
      </c>
      <c r="B226" t="s">
        <v>914</v>
      </c>
      <c r="C226" t="s">
        <v>930</v>
      </c>
    </row>
    <row r="227" spans="1:3" x14ac:dyDescent="0.3">
      <c r="A227">
        <v>7287011790</v>
      </c>
      <c r="B227" t="s">
        <v>914</v>
      </c>
      <c r="C227" t="s">
        <v>883</v>
      </c>
    </row>
    <row r="228" spans="1:3" x14ac:dyDescent="0.3">
      <c r="A228">
        <v>72780597</v>
      </c>
      <c r="B228" t="s">
        <v>914</v>
      </c>
      <c r="C228" t="s">
        <v>930</v>
      </c>
    </row>
    <row r="229" spans="1:3" x14ac:dyDescent="0.3">
      <c r="A229" t="s">
        <v>919</v>
      </c>
      <c r="B229" t="s">
        <v>914</v>
      </c>
    </row>
    <row r="230" spans="1:3" x14ac:dyDescent="0.3">
      <c r="A230">
        <v>7278179230</v>
      </c>
      <c r="B230" t="s">
        <v>914</v>
      </c>
      <c r="C230" t="s">
        <v>930</v>
      </c>
    </row>
    <row r="231" spans="1:3" x14ac:dyDescent="0.3">
      <c r="A231">
        <v>7287782930</v>
      </c>
      <c r="B231" t="s">
        <v>914</v>
      </c>
      <c r="C231" t="s">
        <v>930</v>
      </c>
    </row>
    <row r="232" spans="1:3" x14ac:dyDescent="0.3">
      <c r="A232">
        <v>72780597</v>
      </c>
      <c r="B232" t="s">
        <v>914</v>
      </c>
      <c r="C232" t="s">
        <v>930</v>
      </c>
    </row>
    <row r="233" spans="1:3" x14ac:dyDescent="0.3">
      <c r="A233">
        <v>7219116640</v>
      </c>
      <c r="B233" t="s">
        <v>914</v>
      </c>
      <c r="C233" t="s">
        <v>930</v>
      </c>
    </row>
    <row r="234" spans="1:3" x14ac:dyDescent="0.3">
      <c r="A234">
        <v>7119675830</v>
      </c>
      <c r="B234" t="s">
        <v>914</v>
      </c>
      <c r="C234" t="s">
        <v>930</v>
      </c>
    </row>
    <row r="235" spans="1:3" x14ac:dyDescent="0.3">
      <c r="A235">
        <v>71837758</v>
      </c>
      <c r="B235" t="s">
        <v>914</v>
      </c>
      <c r="C235" t="s">
        <v>930</v>
      </c>
    </row>
    <row r="236" spans="1:3" x14ac:dyDescent="0.3">
      <c r="A236">
        <v>7283907630</v>
      </c>
      <c r="B236" t="s">
        <v>914</v>
      </c>
      <c r="C236" t="s">
        <v>930</v>
      </c>
    </row>
    <row r="237" spans="1:3" x14ac:dyDescent="0.3">
      <c r="A237">
        <v>71837758</v>
      </c>
      <c r="B237" t="s">
        <v>914</v>
      </c>
      <c r="C237" t="s">
        <v>930</v>
      </c>
    </row>
    <row r="238" spans="1:3" x14ac:dyDescent="0.3">
      <c r="A238">
        <v>72878592</v>
      </c>
      <c r="B238" t="s">
        <v>914</v>
      </c>
      <c r="C238" t="s">
        <v>930</v>
      </c>
    </row>
    <row r="239" spans="1:3" x14ac:dyDescent="0.3">
      <c r="A239">
        <v>71191147</v>
      </c>
      <c r="B239" t="s">
        <v>914</v>
      </c>
      <c r="C239" t="s">
        <v>930</v>
      </c>
    </row>
    <row r="240" spans="1:3" x14ac:dyDescent="0.3">
      <c r="A240">
        <v>7274333840</v>
      </c>
      <c r="B240" t="s">
        <v>914</v>
      </c>
      <c r="C240" t="s">
        <v>922</v>
      </c>
    </row>
    <row r="241" spans="1:3" x14ac:dyDescent="0.3">
      <c r="A241">
        <v>7154075530</v>
      </c>
      <c r="B241" t="s">
        <v>914</v>
      </c>
      <c r="C241" t="s">
        <v>922</v>
      </c>
    </row>
    <row r="242" spans="1:3" x14ac:dyDescent="0.3">
      <c r="A242">
        <v>71237437</v>
      </c>
      <c r="B242" t="s">
        <v>914</v>
      </c>
      <c r="C242" t="s">
        <v>930</v>
      </c>
    </row>
    <row r="243" spans="1:3" x14ac:dyDescent="0.3">
      <c r="A243">
        <v>7278179230</v>
      </c>
      <c r="B243" t="s">
        <v>914</v>
      </c>
      <c r="C243" t="s">
        <v>930</v>
      </c>
    </row>
    <row r="244" spans="1:3" x14ac:dyDescent="0.3">
      <c r="A244">
        <v>7178170830</v>
      </c>
      <c r="B244" t="s">
        <v>914</v>
      </c>
      <c r="C244" t="s">
        <v>930</v>
      </c>
    </row>
    <row r="245" spans="1:3" x14ac:dyDescent="0.3">
      <c r="A245">
        <v>71781755</v>
      </c>
      <c r="B245" t="s">
        <v>914</v>
      </c>
      <c r="C245" t="s">
        <v>930</v>
      </c>
    </row>
    <row r="246" spans="1:3" x14ac:dyDescent="0.3">
      <c r="A246">
        <v>7278121430</v>
      </c>
      <c r="B246" t="s">
        <v>914</v>
      </c>
      <c r="C246" t="s">
        <v>930</v>
      </c>
    </row>
    <row r="247" spans="1:3" x14ac:dyDescent="0.3">
      <c r="A247">
        <v>7283220130</v>
      </c>
      <c r="B247" t="s">
        <v>914</v>
      </c>
      <c r="C247" t="s">
        <v>930</v>
      </c>
    </row>
    <row r="248" spans="1:3" x14ac:dyDescent="0.3">
      <c r="A248">
        <v>72894030</v>
      </c>
      <c r="B248" t="s">
        <v>914</v>
      </c>
      <c r="C248" t="s">
        <v>930</v>
      </c>
    </row>
    <row r="249" spans="1:3" x14ac:dyDescent="0.3">
      <c r="A249">
        <v>7278121430</v>
      </c>
      <c r="B249" t="s">
        <v>914</v>
      </c>
      <c r="C249" t="s">
        <v>930</v>
      </c>
    </row>
    <row r="250" spans="1:3" x14ac:dyDescent="0.3">
      <c r="A250">
        <v>7278059630</v>
      </c>
      <c r="B250" t="s">
        <v>914</v>
      </c>
      <c r="C250" t="s">
        <v>930</v>
      </c>
    </row>
    <row r="251" spans="1:3" x14ac:dyDescent="0.3">
      <c r="A251">
        <v>72781797</v>
      </c>
      <c r="B251" t="s">
        <v>914</v>
      </c>
      <c r="C251" t="s">
        <v>929</v>
      </c>
    </row>
    <row r="252" spans="1:3" x14ac:dyDescent="0.3">
      <c r="A252">
        <v>7219176430</v>
      </c>
      <c r="B252" t="s">
        <v>914</v>
      </c>
      <c r="C252" t="s">
        <v>930</v>
      </c>
    </row>
    <row r="253" spans="1:3" x14ac:dyDescent="0.3">
      <c r="A253">
        <v>7277186830</v>
      </c>
      <c r="B253" t="s">
        <v>914</v>
      </c>
      <c r="C253" t="s">
        <v>928</v>
      </c>
    </row>
    <row r="254" spans="1:3" x14ac:dyDescent="0.3">
      <c r="A254">
        <v>7283220090</v>
      </c>
      <c r="B254" t="s">
        <v>914</v>
      </c>
      <c r="C254" t="s">
        <v>922</v>
      </c>
    </row>
    <row r="255" spans="1:3" x14ac:dyDescent="0.3">
      <c r="A255">
        <v>7178197530</v>
      </c>
      <c r="B255" t="s">
        <v>914</v>
      </c>
      <c r="C255" t="s">
        <v>930</v>
      </c>
    </row>
    <row r="256" spans="1:3" x14ac:dyDescent="0.3">
      <c r="A256">
        <v>7297565530</v>
      </c>
      <c r="B256" t="s">
        <v>914</v>
      </c>
      <c r="C256" t="s">
        <v>925</v>
      </c>
    </row>
    <row r="257" spans="1:3" x14ac:dyDescent="0.3">
      <c r="A257">
        <v>72975207</v>
      </c>
      <c r="B257" t="s">
        <v>914</v>
      </c>
      <c r="C257" t="s">
        <v>930</v>
      </c>
    </row>
    <row r="258" spans="1:3" x14ac:dyDescent="0.3">
      <c r="A258">
        <v>7183384830</v>
      </c>
      <c r="B258" t="s">
        <v>914</v>
      </c>
      <c r="C258" t="s">
        <v>930</v>
      </c>
    </row>
    <row r="259" spans="1:3" x14ac:dyDescent="0.3">
      <c r="A259">
        <v>72782146</v>
      </c>
      <c r="B259" t="s">
        <v>914</v>
      </c>
      <c r="C259" t="s">
        <v>929</v>
      </c>
    </row>
    <row r="260" spans="1:3" x14ac:dyDescent="0.3">
      <c r="A260">
        <v>72838660</v>
      </c>
      <c r="B260" t="s">
        <v>914</v>
      </c>
      <c r="C260" t="s">
        <v>930</v>
      </c>
    </row>
    <row r="261" spans="1:3" x14ac:dyDescent="0.3">
      <c r="A261">
        <v>7298250930</v>
      </c>
      <c r="B261" t="s">
        <v>914</v>
      </c>
      <c r="C261" t="s">
        <v>930</v>
      </c>
    </row>
    <row r="262" spans="1:3" x14ac:dyDescent="0.3">
      <c r="A262">
        <v>72894030</v>
      </c>
      <c r="B262" t="s">
        <v>914</v>
      </c>
      <c r="C262" t="s">
        <v>930</v>
      </c>
    </row>
    <row r="263" spans="1:3" x14ac:dyDescent="0.3">
      <c r="A263">
        <v>72897732</v>
      </c>
      <c r="B263" t="s">
        <v>914</v>
      </c>
      <c r="C263" t="s">
        <v>929</v>
      </c>
    </row>
    <row r="264" spans="1:3" x14ac:dyDescent="0.3">
      <c r="A264">
        <v>71837758</v>
      </c>
      <c r="B264" t="s">
        <v>914</v>
      </c>
      <c r="C264" t="s">
        <v>930</v>
      </c>
    </row>
    <row r="265" spans="1:3" x14ac:dyDescent="0.3">
      <c r="A265">
        <v>77183384830</v>
      </c>
      <c r="B265" t="s">
        <v>914</v>
      </c>
      <c r="C265" t="s">
        <v>930</v>
      </c>
    </row>
    <row r="266" spans="1:3" x14ac:dyDescent="0.3">
      <c r="A266">
        <v>7278179230</v>
      </c>
      <c r="B266" t="s">
        <v>914</v>
      </c>
      <c r="C266" t="s">
        <v>930</v>
      </c>
    </row>
    <row r="267" spans="1:3" x14ac:dyDescent="0.3">
      <c r="A267">
        <v>72781797</v>
      </c>
      <c r="B267" t="s">
        <v>914</v>
      </c>
      <c r="C267" t="s">
        <v>929</v>
      </c>
    </row>
    <row r="268" spans="1:3" x14ac:dyDescent="0.3">
      <c r="A268">
        <v>7075218330</v>
      </c>
      <c r="B268" t="s">
        <v>914</v>
      </c>
      <c r="C268" t="s">
        <v>923</v>
      </c>
    </row>
    <row r="269" spans="1:3" x14ac:dyDescent="0.3">
      <c r="A269">
        <v>7298108030</v>
      </c>
      <c r="B269" t="s">
        <v>914</v>
      </c>
      <c r="C269" t="s">
        <v>930</v>
      </c>
    </row>
    <row r="270" spans="1:3" x14ac:dyDescent="0.3">
      <c r="A270">
        <v>7298108030</v>
      </c>
      <c r="B270" t="s">
        <v>914</v>
      </c>
      <c r="C270" t="s">
        <v>930</v>
      </c>
    </row>
    <row r="271" spans="1:3" x14ac:dyDescent="0.3">
      <c r="A271">
        <v>7289749530</v>
      </c>
      <c r="B271" t="s">
        <v>914</v>
      </c>
      <c r="C271" t="s">
        <v>883</v>
      </c>
    </row>
    <row r="272" spans="1:3" x14ac:dyDescent="0.3">
      <c r="A272">
        <v>7278059630</v>
      </c>
      <c r="B272" t="s">
        <v>914</v>
      </c>
      <c r="C272" t="s">
        <v>930</v>
      </c>
    </row>
    <row r="273" spans="1:3" x14ac:dyDescent="0.3">
      <c r="A273" t="s">
        <v>919</v>
      </c>
      <c r="B273" t="s">
        <v>914</v>
      </c>
    </row>
    <row r="274" spans="1:3" x14ac:dyDescent="0.3">
      <c r="A274" t="s">
        <v>919</v>
      </c>
      <c r="B274" t="s">
        <v>914</v>
      </c>
    </row>
    <row r="275" spans="1:3" x14ac:dyDescent="0.3">
      <c r="A275">
        <v>74752895</v>
      </c>
      <c r="B275" t="s">
        <v>914</v>
      </c>
      <c r="C275" t="s">
        <v>928</v>
      </c>
    </row>
    <row r="276" spans="1:3" x14ac:dyDescent="0.3">
      <c r="A276">
        <v>74752895</v>
      </c>
      <c r="B276" t="s">
        <v>914</v>
      </c>
      <c r="C276" t="s">
        <v>928</v>
      </c>
    </row>
    <row r="277" spans="1:3" x14ac:dyDescent="0.3">
      <c r="A277" t="s">
        <v>919</v>
      </c>
      <c r="B277" t="s">
        <v>914</v>
      </c>
    </row>
    <row r="278" spans="1:3" x14ac:dyDescent="0.3">
      <c r="A278">
        <v>7278121430</v>
      </c>
      <c r="B278" t="s">
        <v>914</v>
      </c>
      <c r="C278" t="s">
        <v>930</v>
      </c>
    </row>
    <row r="279" spans="1:3" x14ac:dyDescent="0.3">
      <c r="A279">
        <v>7289909030</v>
      </c>
      <c r="B279" t="s">
        <v>914</v>
      </c>
      <c r="C279" t="s">
        <v>928</v>
      </c>
    </row>
    <row r="280" spans="1:3" x14ac:dyDescent="0.3">
      <c r="A280">
        <v>7219192930</v>
      </c>
      <c r="B280" t="s">
        <v>914</v>
      </c>
      <c r="C280" t="s">
        <v>930</v>
      </c>
    </row>
    <row r="281" spans="1:3" x14ac:dyDescent="0.3">
      <c r="A281">
        <v>7219192930</v>
      </c>
      <c r="B281" t="s">
        <v>914</v>
      </c>
      <c r="C281" t="s">
        <v>930</v>
      </c>
    </row>
    <row r="282" spans="1:3" x14ac:dyDescent="0.3">
      <c r="A282">
        <v>72980784</v>
      </c>
      <c r="B282" t="s">
        <v>914</v>
      </c>
      <c r="C282" t="s">
        <v>930</v>
      </c>
    </row>
    <row r="283" spans="1:3" x14ac:dyDescent="0.3">
      <c r="A283" t="s">
        <v>919</v>
      </c>
      <c r="B283" t="s">
        <v>914</v>
      </c>
    </row>
    <row r="284" spans="1:3" x14ac:dyDescent="0.3">
      <c r="A284" t="s">
        <v>919</v>
      </c>
      <c r="B284" t="s">
        <v>914</v>
      </c>
    </row>
    <row r="285" spans="1:3" x14ac:dyDescent="0.3">
      <c r="A285">
        <v>72868813</v>
      </c>
      <c r="B285" t="s">
        <v>914</v>
      </c>
      <c r="C285" t="s">
        <v>928</v>
      </c>
    </row>
    <row r="286" spans="1:3" x14ac:dyDescent="0.3">
      <c r="A286">
        <v>7219176430</v>
      </c>
      <c r="B286" t="s">
        <v>933</v>
      </c>
      <c r="C286" t="s">
        <v>930</v>
      </c>
    </row>
    <row r="287" spans="1:3" x14ac:dyDescent="0.3">
      <c r="A287">
        <v>7219176430</v>
      </c>
      <c r="B287" t="s">
        <v>933</v>
      </c>
      <c r="C287" t="s">
        <v>930</v>
      </c>
    </row>
    <row r="288" spans="1:3" x14ac:dyDescent="0.3">
      <c r="A288">
        <v>7298593130</v>
      </c>
      <c r="B288" t="s">
        <v>933</v>
      </c>
      <c r="C288" t="s">
        <v>928</v>
      </c>
    </row>
    <row r="289" spans="1:3" x14ac:dyDescent="0.3">
      <c r="A289">
        <v>7298593130</v>
      </c>
      <c r="B289" t="s">
        <v>933</v>
      </c>
      <c r="C289" t="s">
        <v>928</v>
      </c>
    </row>
    <row r="290" spans="1:3" x14ac:dyDescent="0.3">
      <c r="A290">
        <v>7289401730</v>
      </c>
      <c r="B290" t="s">
        <v>933</v>
      </c>
      <c r="C290" t="s">
        <v>930</v>
      </c>
    </row>
    <row r="291" spans="1:3" x14ac:dyDescent="0.3">
      <c r="A291">
        <v>7298228030</v>
      </c>
      <c r="B291" t="s">
        <v>933</v>
      </c>
      <c r="C291" t="s">
        <v>930</v>
      </c>
    </row>
    <row r="292" spans="1:3" x14ac:dyDescent="0.3">
      <c r="A292">
        <v>7183755830</v>
      </c>
      <c r="B292" t="s">
        <v>933</v>
      </c>
      <c r="C292" t="s">
        <v>930</v>
      </c>
    </row>
    <row r="293" spans="1:3" x14ac:dyDescent="0.3">
      <c r="A293">
        <v>7278261830</v>
      </c>
      <c r="B293" t="s">
        <v>933</v>
      </c>
      <c r="C293" t="s">
        <v>930</v>
      </c>
    </row>
    <row r="294" spans="1:3" x14ac:dyDescent="0.3">
      <c r="A294">
        <v>7298228030</v>
      </c>
      <c r="B294" t="s">
        <v>933</v>
      </c>
      <c r="C294" t="s">
        <v>930</v>
      </c>
    </row>
    <row r="295" spans="1:3" x14ac:dyDescent="0.3">
      <c r="A295">
        <v>7298790330</v>
      </c>
      <c r="B295" t="s">
        <v>933</v>
      </c>
      <c r="C295" t="s">
        <v>930</v>
      </c>
    </row>
    <row r="296" spans="1:3" x14ac:dyDescent="0.3">
      <c r="A296">
        <v>7298790330</v>
      </c>
      <c r="B296" t="s">
        <v>933</v>
      </c>
      <c r="C296" t="s">
        <v>930</v>
      </c>
    </row>
    <row r="297" spans="1:3" x14ac:dyDescent="0.3">
      <c r="A297">
        <v>7298790330</v>
      </c>
      <c r="B297" t="s">
        <v>933</v>
      </c>
      <c r="C297" t="s">
        <v>930</v>
      </c>
    </row>
    <row r="298" spans="1:3" x14ac:dyDescent="0.3">
      <c r="A298">
        <v>7298790330</v>
      </c>
      <c r="B298" t="s">
        <v>933</v>
      </c>
      <c r="C298" t="s">
        <v>930</v>
      </c>
    </row>
    <row r="299" spans="1:3" x14ac:dyDescent="0.3">
      <c r="A299">
        <v>7298790330</v>
      </c>
      <c r="B299" t="s">
        <v>933</v>
      </c>
      <c r="C299" t="s">
        <v>930</v>
      </c>
    </row>
    <row r="300" spans="1:3" x14ac:dyDescent="0.3">
      <c r="A300">
        <v>7298790330</v>
      </c>
      <c r="B300" t="s">
        <v>933</v>
      </c>
      <c r="C300" t="s">
        <v>930</v>
      </c>
    </row>
    <row r="301" spans="1:3" x14ac:dyDescent="0.3">
      <c r="A301">
        <v>7287149830</v>
      </c>
      <c r="B301" t="s">
        <v>933</v>
      </c>
      <c r="C301" t="s">
        <v>883</v>
      </c>
    </row>
    <row r="302" spans="1:3" x14ac:dyDescent="0.3">
      <c r="A302">
        <v>7278261830</v>
      </c>
      <c r="B302" t="s">
        <v>933</v>
      </c>
      <c r="C302" t="s">
        <v>930</v>
      </c>
    </row>
    <row r="303" spans="1:3" x14ac:dyDescent="0.3">
      <c r="B303" t="s">
        <v>933</v>
      </c>
    </row>
    <row r="304" spans="1:3" x14ac:dyDescent="0.3">
      <c r="A304">
        <v>7298593130</v>
      </c>
      <c r="B304" t="s">
        <v>933</v>
      </c>
      <c r="C304" t="s">
        <v>928</v>
      </c>
    </row>
    <row r="305" spans="1:3" x14ac:dyDescent="0.3">
      <c r="A305">
        <v>7278261830</v>
      </c>
      <c r="B305" t="s">
        <v>933</v>
      </c>
      <c r="C305" t="s">
        <v>930</v>
      </c>
    </row>
    <row r="306" spans="1:3" x14ac:dyDescent="0.3">
      <c r="A306">
        <v>7298790330</v>
      </c>
      <c r="B306" t="s">
        <v>933</v>
      </c>
      <c r="C306" t="s">
        <v>930</v>
      </c>
    </row>
    <row r="307" spans="1:3" x14ac:dyDescent="0.3">
      <c r="A307">
        <v>7298790330</v>
      </c>
      <c r="B307" t="s">
        <v>933</v>
      </c>
      <c r="C307" t="s">
        <v>930</v>
      </c>
    </row>
    <row r="308" spans="1:3" x14ac:dyDescent="0.3">
      <c r="A308">
        <v>7298790330</v>
      </c>
      <c r="B308" t="s">
        <v>933</v>
      </c>
      <c r="C308" t="s">
        <v>930</v>
      </c>
    </row>
    <row r="309" spans="1:3" x14ac:dyDescent="0.3">
      <c r="A309">
        <v>7298790330</v>
      </c>
      <c r="B309" t="s">
        <v>933</v>
      </c>
      <c r="C309" t="s">
        <v>930</v>
      </c>
    </row>
    <row r="310" spans="1:3" x14ac:dyDescent="0.3">
      <c r="A310">
        <v>7278261830</v>
      </c>
      <c r="B310" t="s">
        <v>933</v>
      </c>
      <c r="C310" t="s">
        <v>930</v>
      </c>
    </row>
    <row r="311" spans="1:3" x14ac:dyDescent="0.3">
      <c r="A311">
        <v>7283526130</v>
      </c>
      <c r="B311" t="s">
        <v>933</v>
      </c>
      <c r="C311" t="s">
        <v>930</v>
      </c>
    </row>
    <row r="312" spans="1:3" x14ac:dyDescent="0.3">
      <c r="A312">
        <v>7298593130</v>
      </c>
      <c r="B312" t="s">
        <v>933</v>
      </c>
      <c r="C312" t="s">
        <v>928</v>
      </c>
    </row>
    <row r="313" spans="1:3" x14ac:dyDescent="0.3">
      <c r="A313">
        <v>7219176430</v>
      </c>
      <c r="B313" t="s">
        <v>933</v>
      </c>
      <c r="C313" t="s">
        <v>930</v>
      </c>
    </row>
    <row r="314" spans="1:3" x14ac:dyDescent="0.3">
      <c r="A314">
        <v>7219176430</v>
      </c>
      <c r="B314" t="s">
        <v>933</v>
      </c>
      <c r="C314" t="s">
        <v>930</v>
      </c>
    </row>
    <row r="315" spans="1:3" x14ac:dyDescent="0.3">
      <c r="A315">
        <v>7298186930</v>
      </c>
      <c r="B315" t="s">
        <v>933</v>
      </c>
      <c r="C315" t="s">
        <v>929</v>
      </c>
    </row>
    <row r="316" spans="1:3" x14ac:dyDescent="0.3">
      <c r="A316">
        <v>7298186530</v>
      </c>
      <c r="B316" t="s">
        <v>933</v>
      </c>
      <c r="C316" t="s">
        <v>930</v>
      </c>
    </row>
    <row r="317" spans="1:3" x14ac:dyDescent="0.3">
      <c r="A317">
        <v>7298186530</v>
      </c>
      <c r="B317" t="s">
        <v>933</v>
      </c>
      <c r="C317" t="s">
        <v>930</v>
      </c>
    </row>
    <row r="318" spans="1:3" x14ac:dyDescent="0.3">
      <c r="A318">
        <v>7298790830</v>
      </c>
      <c r="B318" t="s">
        <v>933</v>
      </c>
      <c r="C318" t="s">
        <v>930</v>
      </c>
    </row>
    <row r="319" spans="1:3" x14ac:dyDescent="0.3">
      <c r="A319">
        <v>7298790330</v>
      </c>
      <c r="B319" t="s">
        <v>933</v>
      </c>
      <c r="C319" t="s">
        <v>930</v>
      </c>
    </row>
    <row r="320" spans="1:3" x14ac:dyDescent="0.3">
      <c r="A320">
        <v>7298790330</v>
      </c>
      <c r="B320" t="s">
        <v>933</v>
      </c>
      <c r="C320" t="s">
        <v>930</v>
      </c>
    </row>
  </sheetData>
  <conditionalFormatting sqref="A18:A320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920</v>
      </c>
      <c r="B1" t="s">
        <v>921</v>
      </c>
      <c r="C1" t="s">
        <v>924</v>
      </c>
      <c r="D1" t="s">
        <v>872</v>
      </c>
    </row>
    <row r="2" spans="1:4" x14ac:dyDescent="0.3">
      <c r="A2">
        <v>7289724330</v>
      </c>
      <c r="B2" t="s">
        <v>911</v>
      </c>
    </row>
    <row r="3" spans="1:4" x14ac:dyDescent="0.3">
      <c r="A3">
        <v>7298186930</v>
      </c>
      <c r="B3" t="s">
        <v>911</v>
      </c>
    </row>
    <row r="4" spans="1:4" x14ac:dyDescent="0.3">
      <c r="A4">
        <v>72888941</v>
      </c>
      <c r="B4" t="s">
        <v>911</v>
      </c>
    </row>
    <row r="5" spans="1:4" x14ac:dyDescent="0.3">
      <c r="A5">
        <v>7278442030</v>
      </c>
      <c r="B5" t="s">
        <v>911</v>
      </c>
    </row>
    <row r="6" spans="1:4" x14ac:dyDescent="0.3">
      <c r="A6">
        <v>72985208</v>
      </c>
      <c r="B6" t="s">
        <v>911</v>
      </c>
    </row>
    <row r="7" spans="1:4" x14ac:dyDescent="0.3">
      <c r="A7">
        <v>7298150830</v>
      </c>
      <c r="B7" t="s">
        <v>911</v>
      </c>
    </row>
    <row r="8" spans="1:4" x14ac:dyDescent="0.3">
      <c r="A8">
        <v>7198460730</v>
      </c>
      <c r="B8" t="s">
        <v>911</v>
      </c>
    </row>
    <row r="9" spans="1:4" x14ac:dyDescent="0.3">
      <c r="A9">
        <v>7298108030</v>
      </c>
      <c r="B9" t="s">
        <v>911</v>
      </c>
    </row>
    <row r="10" spans="1:4" x14ac:dyDescent="0.3">
      <c r="A10">
        <v>7298154930</v>
      </c>
      <c r="B10" t="s">
        <v>911</v>
      </c>
    </row>
    <row r="11" spans="1:4" x14ac:dyDescent="0.3">
      <c r="B11" t="s">
        <v>911</v>
      </c>
    </row>
    <row r="12" spans="1:4" x14ac:dyDescent="0.3">
      <c r="A12">
        <v>7289724330</v>
      </c>
      <c r="B12" t="s">
        <v>911</v>
      </c>
    </row>
    <row r="13" spans="1:4" x14ac:dyDescent="0.3">
      <c r="A13">
        <v>7278271940</v>
      </c>
      <c r="B13" t="s">
        <v>911</v>
      </c>
    </row>
    <row r="14" spans="1:4" x14ac:dyDescent="0.3">
      <c r="A14">
        <v>7298186930</v>
      </c>
      <c r="B14" t="s">
        <v>911</v>
      </c>
    </row>
    <row r="15" spans="1:4" x14ac:dyDescent="0.3">
      <c r="A15">
        <v>72888941</v>
      </c>
      <c r="B15" t="s">
        <v>911</v>
      </c>
    </row>
    <row r="16" spans="1:4" x14ac:dyDescent="0.3">
      <c r="A16">
        <v>7278442030</v>
      </c>
      <c r="B16" t="s">
        <v>911</v>
      </c>
    </row>
    <row r="17" spans="1:2" x14ac:dyDescent="0.3">
      <c r="A17">
        <v>72985208</v>
      </c>
      <c r="B17" t="s">
        <v>911</v>
      </c>
    </row>
    <row r="18" spans="1:2" x14ac:dyDescent="0.3">
      <c r="A18">
        <v>7298108030</v>
      </c>
      <c r="B18" t="s">
        <v>911</v>
      </c>
    </row>
    <row r="19" spans="1:2" x14ac:dyDescent="0.3">
      <c r="A19">
        <v>7198460730</v>
      </c>
      <c r="B19" t="s">
        <v>911</v>
      </c>
    </row>
    <row r="20" spans="1:2" x14ac:dyDescent="0.3">
      <c r="A20">
        <v>7298154930</v>
      </c>
      <c r="B20" t="s">
        <v>911</v>
      </c>
    </row>
    <row r="21" spans="1:2" x14ac:dyDescent="0.3">
      <c r="A21">
        <v>7298150830</v>
      </c>
      <c r="B21" t="s">
        <v>911</v>
      </c>
    </row>
    <row r="22" spans="1:2" x14ac:dyDescent="0.3">
      <c r="A22">
        <v>71191147</v>
      </c>
      <c r="B22" t="s">
        <v>911</v>
      </c>
    </row>
    <row r="23" spans="1:2" x14ac:dyDescent="0.3">
      <c r="B23" t="s">
        <v>911</v>
      </c>
    </row>
    <row r="24" spans="1:2" x14ac:dyDescent="0.3">
      <c r="A24">
        <v>7187090590</v>
      </c>
      <c r="B24" t="s">
        <v>911</v>
      </c>
    </row>
    <row r="25" spans="1:2" x14ac:dyDescent="0.3">
      <c r="A25">
        <v>7277015590</v>
      </c>
      <c r="B25" t="s">
        <v>911</v>
      </c>
    </row>
    <row r="26" spans="1:2" x14ac:dyDescent="0.3">
      <c r="A26">
        <v>7187090560</v>
      </c>
      <c r="B26" t="s">
        <v>911</v>
      </c>
    </row>
    <row r="27" spans="1:2" x14ac:dyDescent="0.3">
      <c r="A27">
        <v>71870905</v>
      </c>
      <c r="B27" t="s">
        <v>911</v>
      </c>
    </row>
    <row r="28" spans="1:2" x14ac:dyDescent="0.3">
      <c r="A28">
        <v>71983904</v>
      </c>
      <c r="B28" t="s">
        <v>911</v>
      </c>
    </row>
    <row r="29" spans="1:2" x14ac:dyDescent="0.3">
      <c r="A29">
        <v>7287741830</v>
      </c>
      <c r="B29" t="s">
        <v>911</v>
      </c>
    </row>
    <row r="30" spans="1:2" x14ac:dyDescent="0.3">
      <c r="A30">
        <v>7288907230</v>
      </c>
      <c r="B30" t="s">
        <v>911</v>
      </c>
    </row>
    <row r="31" spans="1:2" x14ac:dyDescent="0.3">
      <c r="A31">
        <v>7298227830</v>
      </c>
      <c r="B31" t="s">
        <v>911</v>
      </c>
    </row>
    <row r="32" spans="1:2" x14ac:dyDescent="0.3">
      <c r="A32">
        <v>7298227830</v>
      </c>
      <c r="B32" t="s">
        <v>911</v>
      </c>
    </row>
    <row r="33" spans="1:2" x14ac:dyDescent="0.3">
      <c r="A33">
        <v>7298593130</v>
      </c>
      <c r="B33" t="s">
        <v>911</v>
      </c>
    </row>
    <row r="34" spans="1:2" x14ac:dyDescent="0.3">
      <c r="A34">
        <v>7298593130</v>
      </c>
      <c r="B34" t="s">
        <v>911</v>
      </c>
    </row>
    <row r="35" spans="1:2" x14ac:dyDescent="0.3">
      <c r="A35">
        <v>7285207290</v>
      </c>
      <c r="B35" t="s">
        <v>911</v>
      </c>
    </row>
    <row r="36" spans="1:2" x14ac:dyDescent="0.3">
      <c r="A36">
        <v>7287720230</v>
      </c>
      <c r="B36" t="s">
        <v>911</v>
      </c>
    </row>
    <row r="37" spans="1:2" x14ac:dyDescent="0.3">
      <c r="A37">
        <v>71870905</v>
      </c>
      <c r="B37" t="s">
        <v>911</v>
      </c>
    </row>
    <row r="38" spans="1:2" x14ac:dyDescent="0.3">
      <c r="B38" t="s">
        <v>911</v>
      </c>
    </row>
    <row r="39" spans="1:2" x14ac:dyDescent="0.3">
      <c r="A39">
        <v>7298228030</v>
      </c>
      <c r="B39" t="s">
        <v>911</v>
      </c>
    </row>
    <row r="40" spans="1:2" x14ac:dyDescent="0.3">
      <c r="A40">
        <v>7288907230</v>
      </c>
      <c r="B40" t="s">
        <v>911</v>
      </c>
    </row>
    <row r="41" spans="1:2" x14ac:dyDescent="0.3">
      <c r="A41">
        <v>7298228030</v>
      </c>
      <c r="B41" t="s">
        <v>911</v>
      </c>
    </row>
    <row r="42" spans="1:2" x14ac:dyDescent="0.3">
      <c r="A42">
        <v>7298593130</v>
      </c>
      <c r="B42" t="s">
        <v>911</v>
      </c>
    </row>
    <row r="43" spans="1:2" x14ac:dyDescent="0.3">
      <c r="A43">
        <v>7298250730</v>
      </c>
      <c r="B43" t="s">
        <v>911</v>
      </c>
    </row>
    <row r="44" spans="1:2" x14ac:dyDescent="0.3">
      <c r="A44">
        <v>7283368530</v>
      </c>
      <c r="B44" t="s">
        <v>911</v>
      </c>
    </row>
    <row r="45" spans="1:2" x14ac:dyDescent="0.3">
      <c r="A45">
        <v>7287720230</v>
      </c>
      <c r="B45" t="s">
        <v>911</v>
      </c>
    </row>
    <row r="46" spans="1:2" x14ac:dyDescent="0.3">
      <c r="A46">
        <v>7278121430</v>
      </c>
      <c r="B46" t="s">
        <v>911</v>
      </c>
    </row>
    <row r="47" spans="1:2" x14ac:dyDescent="0.3">
      <c r="A47">
        <v>7298186530</v>
      </c>
      <c r="B47" t="s">
        <v>911</v>
      </c>
    </row>
    <row r="48" spans="1:2" x14ac:dyDescent="0.3">
      <c r="A48">
        <v>7298186930</v>
      </c>
      <c r="B48" t="s">
        <v>911</v>
      </c>
    </row>
    <row r="49" spans="1:2" x14ac:dyDescent="0.3">
      <c r="A49">
        <v>7222740630</v>
      </c>
      <c r="B49" t="s">
        <v>911</v>
      </c>
    </row>
    <row r="50" spans="1:2" x14ac:dyDescent="0.3">
      <c r="A50">
        <v>7187090560</v>
      </c>
      <c r="B50" t="s">
        <v>911</v>
      </c>
    </row>
    <row r="51" spans="1:2" x14ac:dyDescent="0.3">
      <c r="A51">
        <v>7298593130</v>
      </c>
      <c r="B51" t="s">
        <v>911</v>
      </c>
    </row>
    <row r="52" spans="1:2" x14ac:dyDescent="0.3">
      <c r="A52">
        <v>7219176430</v>
      </c>
      <c r="B52" t="s">
        <v>912</v>
      </c>
    </row>
    <row r="53" spans="1:2" x14ac:dyDescent="0.3">
      <c r="A53">
        <v>7286738630</v>
      </c>
      <c r="B53" t="s">
        <v>912</v>
      </c>
    </row>
    <row r="54" spans="1:2" x14ac:dyDescent="0.3">
      <c r="A54">
        <v>7298173030</v>
      </c>
      <c r="B54" t="s">
        <v>912</v>
      </c>
    </row>
    <row r="55" spans="1:2" x14ac:dyDescent="0.3">
      <c r="A55">
        <v>7278239430</v>
      </c>
      <c r="B55" t="s">
        <v>912</v>
      </c>
    </row>
    <row r="56" spans="1:2" x14ac:dyDescent="0.3">
      <c r="A56">
        <v>7278197840</v>
      </c>
      <c r="B56" t="s">
        <v>912</v>
      </c>
    </row>
    <row r="57" spans="1:2" x14ac:dyDescent="0.3">
      <c r="A57">
        <v>7298171330</v>
      </c>
      <c r="B57" t="s">
        <v>912</v>
      </c>
    </row>
    <row r="58" spans="1:2" x14ac:dyDescent="0.3">
      <c r="B58" t="s">
        <v>912</v>
      </c>
    </row>
    <row r="59" spans="1:2" x14ac:dyDescent="0.3">
      <c r="A59">
        <v>7298790330</v>
      </c>
      <c r="B59" t="s">
        <v>912</v>
      </c>
    </row>
    <row r="60" spans="1:2" x14ac:dyDescent="0.3">
      <c r="A60">
        <v>7298790330</v>
      </c>
      <c r="B60" t="s">
        <v>912</v>
      </c>
    </row>
    <row r="61" spans="1:2" x14ac:dyDescent="0.3">
      <c r="A61">
        <v>7298186930</v>
      </c>
      <c r="B61" t="s">
        <v>912</v>
      </c>
    </row>
    <row r="62" spans="1:2" x14ac:dyDescent="0.3">
      <c r="A62">
        <v>7288907230</v>
      </c>
      <c r="B62" t="s">
        <v>912</v>
      </c>
    </row>
    <row r="63" spans="1:2" x14ac:dyDescent="0.3">
      <c r="A63">
        <v>7298186530</v>
      </c>
      <c r="B63" t="s">
        <v>912</v>
      </c>
    </row>
    <row r="64" spans="1:2" x14ac:dyDescent="0.3">
      <c r="A64">
        <v>7289508430</v>
      </c>
      <c r="B64" t="s">
        <v>912</v>
      </c>
    </row>
    <row r="65" spans="1:2" x14ac:dyDescent="0.3">
      <c r="A65">
        <v>7298186930</v>
      </c>
      <c r="B65" t="s">
        <v>912</v>
      </c>
    </row>
    <row r="66" spans="1:2" x14ac:dyDescent="0.3">
      <c r="A66">
        <v>7298790830</v>
      </c>
      <c r="B66" t="s">
        <v>912</v>
      </c>
    </row>
    <row r="67" spans="1:2" x14ac:dyDescent="0.3">
      <c r="A67">
        <v>7289508430</v>
      </c>
      <c r="B67" t="s">
        <v>912</v>
      </c>
    </row>
    <row r="68" spans="1:2" x14ac:dyDescent="0.3">
      <c r="A68">
        <v>7286139730</v>
      </c>
      <c r="B68" t="s">
        <v>912</v>
      </c>
    </row>
    <row r="69" spans="1:2" x14ac:dyDescent="0.3">
      <c r="A69">
        <v>7287821130</v>
      </c>
      <c r="B69" t="s">
        <v>912</v>
      </c>
    </row>
    <row r="70" spans="1:2" x14ac:dyDescent="0.3">
      <c r="A70">
        <v>7298186530</v>
      </c>
      <c r="B70" t="s">
        <v>912</v>
      </c>
    </row>
    <row r="71" spans="1:2" x14ac:dyDescent="0.3">
      <c r="B71" t="s">
        <v>912</v>
      </c>
    </row>
    <row r="72" spans="1:2" x14ac:dyDescent="0.3">
      <c r="A72">
        <v>7119153830</v>
      </c>
      <c r="B72" t="s">
        <v>912</v>
      </c>
    </row>
    <row r="73" spans="1:2" x14ac:dyDescent="0.3">
      <c r="A73">
        <v>7119689030</v>
      </c>
      <c r="B73" t="s">
        <v>912</v>
      </c>
    </row>
    <row r="74" spans="1:2" x14ac:dyDescent="0.3">
      <c r="A74">
        <v>7286145630</v>
      </c>
      <c r="B74" t="s">
        <v>912</v>
      </c>
    </row>
    <row r="75" spans="1:2" x14ac:dyDescent="0.3">
      <c r="A75">
        <v>7287180440</v>
      </c>
      <c r="B75" t="s">
        <v>912</v>
      </c>
    </row>
    <row r="76" spans="1:2" x14ac:dyDescent="0.3">
      <c r="A76">
        <v>72980788</v>
      </c>
      <c r="B76" t="s">
        <v>912</v>
      </c>
    </row>
    <row r="77" spans="1:2" x14ac:dyDescent="0.3">
      <c r="A77" t="s">
        <v>915</v>
      </c>
      <c r="B77" t="s">
        <v>912</v>
      </c>
    </row>
    <row r="78" spans="1:2" x14ac:dyDescent="0.3">
      <c r="A78">
        <v>7298237430</v>
      </c>
      <c r="B78" t="s">
        <v>912</v>
      </c>
    </row>
    <row r="79" spans="1:2" x14ac:dyDescent="0.3">
      <c r="A79">
        <v>7298237430</v>
      </c>
      <c r="B79" t="s">
        <v>912</v>
      </c>
    </row>
    <row r="80" spans="1:2" x14ac:dyDescent="0.3">
      <c r="A80">
        <v>7298237430</v>
      </c>
      <c r="B80" t="s">
        <v>912</v>
      </c>
    </row>
    <row r="81" spans="1:2" x14ac:dyDescent="0.3">
      <c r="A81">
        <v>7298237430</v>
      </c>
      <c r="B81" t="s">
        <v>912</v>
      </c>
    </row>
    <row r="82" spans="1:2" x14ac:dyDescent="0.3">
      <c r="A82" t="s">
        <v>916</v>
      </c>
      <c r="B82" t="s">
        <v>912</v>
      </c>
    </row>
    <row r="83" spans="1:2" x14ac:dyDescent="0.3">
      <c r="A83" t="s">
        <v>916</v>
      </c>
      <c r="B83" t="s">
        <v>912</v>
      </c>
    </row>
    <row r="84" spans="1:2" x14ac:dyDescent="0.3">
      <c r="B84" t="s">
        <v>912</v>
      </c>
    </row>
    <row r="85" spans="1:2" x14ac:dyDescent="0.3">
      <c r="A85">
        <v>7298790130</v>
      </c>
      <c r="B85" t="s">
        <v>912</v>
      </c>
    </row>
    <row r="86" spans="1:2" x14ac:dyDescent="0.3">
      <c r="A86">
        <v>7288907230</v>
      </c>
      <c r="B86" t="s">
        <v>912</v>
      </c>
    </row>
    <row r="87" spans="1:2" x14ac:dyDescent="0.3">
      <c r="A87">
        <v>7288907230</v>
      </c>
      <c r="B87" t="s">
        <v>912</v>
      </c>
    </row>
    <row r="88" spans="1:2" x14ac:dyDescent="0.3">
      <c r="A88">
        <v>7282559510</v>
      </c>
      <c r="B88" t="s">
        <v>912</v>
      </c>
    </row>
    <row r="89" spans="1:2" x14ac:dyDescent="0.3">
      <c r="A89">
        <v>7278451130</v>
      </c>
      <c r="B89" t="s">
        <v>912</v>
      </c>
    </row>
    <row r="90" spans="1:2" x14ac:dyDescent="0.3">
      <c r="A90">
        <v>7298237430</v>
      </c>
      <c r="B90" t="s">
        <v>912</v>
      </c>
    </row>
    <row r="91" spans="1:2" x14ac:dyDescent="0.3">
      <c r="A91">
        <v>7298237430</v>
      </c>
      <c r="B91" t="s">
        <v>912</v>
      </c>
    </row>
    <row r="92" spans="1:2" x14ac:dyDescent="0.3">
      <c r="A92">
        <v>7298228210</v>
      </c>
      <c r="B92" t="s">
        <v>912</v>
      </c>
    </row>
    <row r="93" spans="1:2" x14ac:dyDescent="0.3">
      <c r="A93">
        <v>7219631630</v>
      </c>
      <c r="B93" t="s">
        <v>913</v>
      </c>
    </row>
    <row r="94" spans="1:2" x14ac:dyDescent="0.3">
      <c r="A94">
        <v>7219631630</v>
      </c>
      <c r="B94" t="s">
        <v>913</v>
      </c>
    </row>
    <row r="95" spans="1:2" x14ac:dyDescent="0.3">
      <c r="A95">
        <v>7219631630</v>
      </c>
      <c r="B95" t="s">
        <v>913</v>
      </c>
    </row>
    <row r="96" spans="1:2" x14ac:dyDescent="0.3">
      <c r="A96">
        <v>7219631630</v>
      </c>
      <c r="B96" t="s">
        <v>913</v>
      </c>
    </row>
    <row r="97" spans="1:2" x14ac:dyDescent="0.3">
      <c r="A97">
        <v>7288907230</v>
      </c>
      <c r="B97" t="s">
        <v>913</v>
      </c>
    </row>
    <row r="98" spans="1:2" x14ac:dyDescent="0.3">
      <c r="A98">
        <v>7298186530</v>
      </c>
      <c r="B98" t="s">
        <v>913</v>
      </c>
    </row>
    <row r="99" spans="1:2" x14ac:dyDescent="0.3">
      <c r="A99">
        <v>7186066580</v>
      </c>
      <c r="B99" t="s">
        <v>913</v>
      </c>
    </row>
    <row r="100" spans="1:2" x14ac:dyDescent="0.3">
      <c r="A100">
        <v>7283464030</v>
      </c>
      <c r="B100" t="s">
        <v>913</v>
      </c>
    </row>
    <row r="101" spans="1:2" x14ac:dyDescent="0.3">
      <c r="A101">
        <v>71860665</v>
      </c>
      <c r="B101" t="s">
        <v>913</v>
      </c>
    </row>
    <row r="102" spans="1:2" x14ac:dyDescent="0.3">
      <c r="A102">
        <v>7289567230</v>
      </c>
      <c r="B102" t="s">
        <v>913</v>
      </c>
    </row>
    <row r="103" spans="1:2" x14ac:dyDescent="0.3">
      <c r="A103">
        <v>7186066560</v>
      </c>
      <c r="B103" t="s">
        <v>913</v>
      </c>
    </row>
    <row r="104" spans="1:2" x14ac:dyDescent="0.3">
      <c r="A104">
        <v>7186066590</v>
      </c>
      <c r="B104" t="s">
        <v>913</v>
      </c>
    </row>
    <row r="105" spans="1:2" x14ac:dyDescent="0.3">
      <c r="A105">
        <v>7298079230</v>
      </c>
      <c r="B105" t="s">
        <v>913</v>
      </c>
    </row>
    <row r="106" spans="1:2" x14ac:dyDescent="0.3">
      <c r="A106">
        <v>72975392</v>
      </c>
      <c r="B106" t="s">
        <v>913</v>
      </c>
    </row>
    <row r="107" spans="1:2" x14ac:dyDescent="0.3">
      <c r="A107">
        <v>7287149830</v>
      </c>
      <c r="B107" t="s">
        <v>913</v>
      </c>
    </row>
    <row r="108" spans="1:2" x14ac:dyDescent="0.3">
      <c r="A108">
        <v>7171192330</v>
      </c>
      <c r="B108" t="s">
        <v>913</v>
      </c>
    </row>
    <row r="109" spans="1:2" x14ac:dyDescent="0.3">
      <c r="A109">
        <v>7171297430</v>
      </c>
      <c r="B109" t="s">
        <v>913</v>
      </c>
    </row>
    <row r="110" spans="1:2" x14ac:dyDescent="0.3">
      <c r="A110">
        <v>7171297430</v>
      </c>
      <c r="B110" t="s">
        <v>913</v>
      </c>
    </row>
    <row r="111" spans="1:2" x14ac:dyDescent="0.3">
      <c r="A111">
        <v>7171297430</v>
      </c>
      <c r="B111" t="s">
        <v>913</v>
      </c>
    </row>
    <row r="112" spans="1:2" x14ac:dyDescent="0.3">
      <c r="A112">
        <v>7298980540</v>
      </c>
      <c r="B112" t="s">
        <v>913</v>
      </c>
    </row>
    <row r="113" spans="1:2" x14ac:dyDescent="0.3">
      <c r="A113">
        <v>7154058630</v>
      </c>
      <c r="B113" t="s">
        <v>913</v>
      </c>
    </row>
    <row r="114" spans="1:2" x14ac:dyDescent="0.3">
      <c r="A114">
        <v>7171192330</v>
      </c>
      <c r="B114" t="s">
        <v>913</v>
      </c>
    </row>
    <row r="115" spans="1:2" x14ac:dyDescent="0.3">
      <c r="A115">
        <v>7287150380</v>
      </c>
      <c r="B115" t="s">
        <v>913</v>
      </c>
    </row>
    <row r="116" spans="1:2" x14ac:dyDescent="0.3">
      <c r="A116">
        <v>7171297430</v>
      </c>
      <c r="B116" t="s">
        <v>913</v>
      </c>
    </row>
    <row r="117" spans="1:2" x14ac:dyDescent="0.3">
      <c r="A117">
        <v>7171297430</v>
      </c>
      <c r="B117" t="s">
        <v>913</v>
      </c>
    </row>
    <row r="118" spans="1:2" x14ac:dyDescent="0.3">
      <c r="A118">
        <v>7298170230</v>
      </c>
      <c r="B118" t="s">
        <v>913</v>
      </c>
    </row>
    <row r="119" spans="1:2" x14ac:dyDescent="0.3">
      <c r="A119">
        <v>7298186530</v>
      </c>
      <c r="B119" t="s">
        <v>913</v>
      </c>
    </row>
    <row r="120" spans="1:2" x14ac:dyDescent="0.3">
      <c r="A120">
        <v>7287018730</v>
      </c>
      <c r="B120" t="s">
        <v>913</v>
      </c>
    </row>
    <row r="121" spans="1:2" x14ac:dyDescent="0.3">
      <c r="A121">
        <v>7219631630</v>
      </c>
      <c r="B121" t="s">
        <v>913</v>
      </c>
    </row>
    <row r="122" spans="1:2" x14ac:dyDescent="0.3">
      <c r="A122">
        <v>7298227830</v>
      </c>
      <c r="B122" t="s">
        <v>913</v>
      </c>
    </row>
    <row r="123" spans="1:2" x14ac:dyDescent="0.3">
      <c r="A123">
        <v>7278451130</v>
      </c>
      <c r="B123" t="s">
        <v>913</v>
      </c>
    </row>
    <row r="124" spans="1:2" x14ac:dyDescent="0.3">
      <c r="A124">
        <v>7288907230</v>
      </c>
      <c r="B124" t="s">
        <v>913</v>
      </c>
    </row>
    <row r="125" spans="1:2" x14ac:dyDescent="0.3">
      <c r="A125">
        <v>7298186530</v>
      </c>
      <c r="B125" t="s">
        <v>913</v>
      </c>
    </row>
    <row r="126" spans="1:2" x14ac:dyDescent="0.3">
      <c r="A126">
        <v>72987902</v>
      </c>
      <c r="B126" t="s">
        <v>913</v>
      </c>
    </row>
    <row r="127" spans="1:2" x14ac:dyDescent="0.3">
      <c r="A127">
        <v>7289909030</v>
      </c>
      <c r="B127" t="s">
        <v>913</v>
      </c>
    </row>
    <row r="128" spans="1:2" x14ac:dyDescent="0.3">
      <c r="A128">
        <v>7298593130</v>
      </c>
      <c r="B128" t="s">
        <v>913</v>
      </c>
    </row>
    <row r="129" spans="1:2" x14ac:dyDescent="0.3">
      <c r="A129">
        <v>7298079230</v>
      </c>
      <c r="B129" t="s">
        <v>913</v>
      </c>
    </row>
    <row r="130" spans="1:2" x14ac:dyDescent="0.3">
      <c r="A130">
        <v>7271295130</v>
      </c>
      <c r="B130" t="s">
        <v>913</v>
      </c>
    </row>
    <row r="131" spans="1:2" x14ac:dyDescent="0.3">
      <c r="A131">
        <v>7287801830</v>
      </c>
      <c r="B131" t="s">
        <v>913</v>
      </c>
    </row>
    <row r="132" spans="1:2" x14ac:dyDescent="0.3">
      <c r="A132">
        <v>7223160530</v>
      </c>
      <c r="B132" t="s">
        <v>913</v>
      </c>
    </row>
    <row r="133" spans="1:2" x14ac:dyDescent="0.3">
      <c r="A133">
        <v>7283464030</v>
      </c>
      <c r="B133" t="s">
        <v>913</v>
      </c>
    </row>
    <row r="134" spans="1:2" x14ac:dyDescent="0.3">
      <c r="A134">
        <v>7219113440</v>
      </c>
      <c r="B134" t="s">
        <v>913</v>
      </c>
    </row>
    <row r="135" spans="1:2" x14ac:dyDescent="0.3">
      <c r="A135">
        <v>7298593130</v>
      </c>
      <c r="B135" t="s">
        <v>913</v>
      </c>
    </row>
    <row r="136" spans="1:2" x14ac:dyDescent="0.3">
      <c r="A136">
        <v>72781797</v>
      </c>
      <c r="B136" t="s">
        <v>913</v>
      </c>
    </row>
    <row r="137" spans="1:2" x14ac:dyDescent="0.3">
      <c r="A137">
        <v>7298237430</v>
      </c>
      <c r="B137" t="s">
        <v>913</v>
      </c>
    </row>
    <row r="138" spans="1:2" x14ac:dyDescent="0.3">
      <c r="A138">
        <v>7298790830</v>
      </c>
      <c r="B138" t="s">
        <v>913</v>
      </c>
    </row>
    <row r="139" spans="1:2" x14ac:dyDescent="0.3">
      <c r="A139">
        <v>7298790830</v>
      </c>
      <c r="B139" t="s">
        <v>913</v>
      </c>
    </row>
    <row r="140" spans="1:2" x14ac:dyDescent="0.3">
      <c r="A140">
        <v>7298186930</v>
      </c>
      <c r="B140" t="s">
        <v>913</v>
      </c>
    </row>
    <row r="141" spans="1:2" x14ac:dyDescent="0.3">
      <c r="A141">
        <v>7298790130</v>
      </c>
      <c r="B141" t="s">
        <v>913</v>
      </c>
    </row>
    <row r="142" spans="1:2" x14ac:dyDescent="0.3">
      <c r="A142">
        <v>7298186530</v>
      </c>
      <c r="B142" t="s">
        <v>913</v>
      </c>
    </row>
    <row r="143" spans="1:2" x14ac:dyDescent="0.3">
      <c r="A143">
        <v>7298186530</v>
      </c>
      <c r="B143" t="s">
        <v>913</v>
      </c>
    </row>
    <row r="144" spans="1:2" x14ac:dyDescent="0.3">
      <c r="A144">
        <v>7298237430</v>
      </c>
      <c r="B144" t="s">
        <v>913</v>
      </c>
    </row>
    <row r="145" spans="1:2" x14ac:dyDescent="0.3">
      <c r="A145">
        <v>7287150380</v>
      </c>
      <c r="B145" t="s">
        <v>913</v>
      </c>
    </row>
    <row r="146" spans="1:2" x14ac:dyDescent="0.3">
      <c r="A146">
        <v>7278121240</v>
      </c>
      <c r="B146" t="s">
        <v>913</v>
      </c>
    </row>
    <row r="147" spans="1:2" x14ac:dyDescent="0.3">
      <c r="A147">
        <v>72897496</v>
      </c>
      <c r="B147" t="s">
        <v>913</v>
      </c>
    </row>
    <row r="148" spans="1:2" x14ac:dyDescent="0.3">
      <c r="A148">
        <v>7298108030</v>
      </c>
      <c r="B148" t="s">
        <v>913</v>
      </c>
    </row>
    <row r="149" spans="1:2" x14ac:dyDescent="0.3">
      <c r="A149">
        <v>7298108030</v>
      </c>
      <c r="B149" t="s">
        <v>913</v>
      </c>
    </row>
    <row r="150" spans="1:2" x14ac:dyDescent="0.3">
      <c r="A150">
        <v>7154075530</v>
      </c>
      <c r="B150" t="s">
        <v>913</v>
      </c>
    </row>
    <row r="151" spans="1:2" x14ac:dyDescent="0.3">
      <c r="A151">
        <v>7154058630</v>
      </c>
      <c r="B151" t="s">
        <v>913</v>
      </c>
    </row>
    <row r="152" spans="1:2" x14ac:dyDescent="0.3">
      <c r="A152">
        <v>7171297430</v>
      </c>
      <c r="B152" t="s">
        <v>913</v>
      </c>
    </row>
    <row r="153" spans="1:2" x14ac:dyDescent="0.3">
      <c r="A153">
        <v>7154026130</v>
      </c>
      <c r="B153" t="s">
        <v>913</v>
      </c>
    </row>
    <row r="154" spans="1:2" x14ac:dyDescent="0.3">
      <c r="A154">
        <v>7004128702</v>
      </c>
      <c r="B154" t="s">
        <v>913</v>
      </c>
    </row>
    <row r="155" spans="1:2" x14ac:dyDescent="0.3">
      <c r="A155">
        <v>7004128702</v>
      </c>
      <c r="B155" t="s">
        <v>913</v>
      </c>
    </row>
    <row r="156" spans="1:2" x14ac:dyDescent="0.3">
      <c r="A156">
        <v>7004128702</v>
      </c>
      <c r="B156" t="s">
        <v>913</v>
      </c>
    </row>
    <row r="157" spans="1:2" x14ac:dyDescent="0.3">
      <c r="A157">
        <v>7004128702</v>
      </c>
      <c r="B157" t="s">
        <v>913</v>
      </c>
    </row>
    <row r="158" spans="1:2" x14ac:dyDescent="0.3">
      <c r="A158">
        <v>7274349370</v>
      </c>
      <c r="B158" t="s">
        <v>914</v>
      </c>
    </row>
    <row r="159" spans="1:2" x14ac:dyDescent="0.3">
      <c r="A159">
        <v>7075218330</v>
      </c>
      <c r="B159" t="s">
        <v>914</v>
      </c>
    </row>
    <row r="160" spans="1:2" x14ac:dyDescent="0.3">
      <c r="A160">
        <v>72975207</v>
      </c>
      <c r="B160" t="s">
        <v>914</v>
      </c>
    </row>
    <row r="161" spans="1:2" x14ac:dyDescent="0.3">
      <c r="A161">
        <v>7234488830</v>
      </c>
      <c r="B161" t="s">
        <v>914</v>
      </c>
    </row>
    <row r="162" spans="1:2" x14ac:dyDescent="0.3">
      <c r="A162">
        <v>71983904</v>
      </c>
      <c r="B162" t="s">
        <v>914</v>
      </c>
    </row>
    <row r="163" spans="1:2" x14ac:dyDescent="0.3">
      <c r="A163">
        <v>7187090580</v>
      </c>
      <c r="B163" t="s">
        <v>914</v>
      </c>
    </row>
    <row r="164" spans="1:2" x14ac:dyDescent="0.3">
      <c r="A164">
        <v>7187090590</v>
      </c>
      <c r="B164" t="s">
        <v>914</v>
      </c>
    </row>
    <row r="165" spans="1:2" x14ac:dyDescent="0.3">
      <c r="A165">
        <v>71870905</v>
      </c>
      <c r="B165" t="s">
        <v>914</v>
      </c>
    </row>
    <row r="166" spans="1:2" x14ac:dyDescent="0.3">
      <c r="A166">
        <v>7187090560</v>
      </c>
      <c r="B166" t="s">
        <v>914</v>
      </c>
    </row>
    <row r="167" spans="1:2" x14ac:dyDescent="0.3">
      <c r="A167" t="s">
        <v>917</v>
      </c>
      <c r="B167" t="s">
        <v>914</v>
      </c>
    </row>
    <row r="168" spans="1:2" x14ac:dyDescent="0.3">
      <c r="A168">
        <v>7289773340</v>
      </c>
      <c r="B168" t="s">
        <v>914</v>
      </c>
    </row>
    <row r="169" spans="1:2" x14ac:dyDescent="0.3">
      <c r="A169" t="s">
        <v>917</v>
      </c>
      <c r="B169" t="s">
        <v>914</v>
      </c>
    </row>
    <row r="170" spans="1:2" x14ac:dyDescent="0.3">
      <c r="A170">
        <v>7154041130</v>
      </c>
      <c r="B170" t="s">
        <v>914</v>
      </c>
    </row>
    <row r="171" spans="1:2" x14ac:dyDescent="0.3">
      <c r="A171">
        <v>7119674430</v>
      </c>
      <c r="B171" t="s">
        <v>914</v>
      </c>
    </row>
    <row r="172" spans="1:2" x14ac:dyDescent="0.3">
      <c r="A172">
        <v>7282374040</v>
      </c>
      <c r="B172" t="s">
        <v>914</v>
      </c>
    </row>
    <row r="173" spans="1:2" x14ac:dyDescent="0.3">
      <c r="A173">
        <v>7186066590</v>
      </c>
      <c r="B173" t="s">
        <v>914</v>
      </c>
    </row>
    <row r="174" spans="1:2" x14ac:dyDescent="0.3">
      <c r="A174">
        <v>71860665</v>
      </c>
      <c r="B174" t="s">
        <v>914</v>
      </c>
    </row>
    <row r="175" spans="1:2" x14ac:dyDescent="0.3">
      <c r="A175">
        <v>7186066560</v>
      </c>
      <c r="B175" t="s">
        <v>914</v>
      </c>
    </row>
    <row r="176" spans="1:2" x14ac:dyDescent="0.3">
      <c r="A176">
        <v>72975392</v>
      </c>
      <c r="B176" t="s">
        <v>914</v>
      </c>
    </row>
    <row r="177" spans="1:2" x14ac:dyDescent="0.3">
      <c r="A177">
        <v>7288907230</v>
      </c>
      <c r="B177" t="s">
        <v>914</v>
      </c>
    </row>
    <row r="178" spans="1:2" x14ac:dyDescent="0.3">
      <c r="A178">
        <v>7119679430</v>
      </c>
      <c r="B178" t="s">
        <v>914</v>
      </c>
    </row>
    <row r="179" spans="1:2" x14ac:dyDescent="0.3">
      <c r="A179">
        <v>7297565530</v>
      </c>
      <c r="B179" t="s">
        <v>914</v>
      </c>
    </row>
    <row r="180" spans="1:2" x14ac:dyDescent="0.3">
      <c r="A180">
        <v>72899966</v>
      </c>
      <c r="B180" t="s">
        <v>914</v>
      </c>
    </row>
    <row r="181" spans="1:2" x14ac:dyDescent="0.3">
      <c r="A181">
        <v>7298200830</v>
      </c>
      <c r="B181" t="s">
        <v>914</v>
      </c>
    </row>
    <row r="182" spans="1:2" x14ac:dyDescent="0.3">
      <c r="A182">
        <v>72780597</v>
      </c>
      <c r="B182" t="s">
        <v>914</v>
      </c>
    </row>
    <row r="183" spans="1:2" x14ac:dyDescent="0.3">
      <c r="A183">
        <v>71196834</v>
      </c>
      <c r="B183" t="s">
        <v>914</v>
      </c>
    </row>
    <row r="184" spans="1:2" x14ac:dyDescent="0.3">
      <c r="A184">
        <v>7119683530</v>
      </c>
      <c r="B184" t="s">
        <v>914</v>
      </c>
    </row>
    <row r="185" spans="1:2" x14ac:dyDescent="0.3">
      <c r="A185">
        <v>7287766270</v>
      </c>
      <c r="B185" t="s">
        <v>914</v>
      </c>
    </row>
    <row r="186" spans="1:2" x14ac:dyDescent="0.3">
      <c r="A186">
        <v>7298150830</v>
      </c>
      <c r="B186" t="s">
        <v>914</v>
      </c>
    </row>
    <row r="187" spans="1:2" x14ac:dyDescent="0.3">
      <c r="A187">
        <v>7223160530</v>
      </c>
      <c r="B187" t="s">
        <v>914</v>
      </c>
    </row>
    <row r="188" spans="1:2" x14ac:dyDescent="0.3">
      <c r="A188">
        <v>7119679830</v>
      </c>
      <c r="B188" t="s">
        <v>914</v>
      </c>
    </row>
    <row r="189" spans="1:2" x14ac:dyDescent="0.3">
      <c r="A189">
        <v>7287143930</v>
      </c>
      <c r="B189" t="s">
        <v>914</v>
      </c>
    </row>
    <row r="190" spans="1:2" x14ac:dyDescent="0.3">
      <c r="A190">
        <v>7219683340</v>
      </c>
      <c r="B190" t="s">
        <v>914</v>
      </c>
    </row>
    <row r="191" spans="1:2" x14ac:dyDescent="0.3">
      <c r="A191">
        <v>7287476780</v>
      </c>
      <c r="B191" t="s">
        <v>914</v>
      </c>
    </row>
    <row r="192" spans="1:2" x14ac:dyDescent="0.3">
      <c r="A192">
        <v>7289862080</v>
      </c>
      <c r="B192" t="s">
        <v>914</v>
      </c>
    </row>
    <row r="193" spans="1:2" x14ac:dyDescent="0.3">
      <c r="A193">
        <v>72782561</v>
      </c>
      <c r="B193" t="s">
        <v>914</v>
      </c>
    </row>
    <row r="194" spans="1:2" x14ac:dyDescent="0.3">
      <c r="A194">
        <v>72975392</v>
      </c>
      <c r="B194" t="s">
        <v>914</v>
      </c>
    </row>
    <row r="195" spans="1:2" x14ac:dyDescent="0.3">
      <c r="A195">
        <v>7222740630</v>
      </c>
      <c r="B195" t="s">
        <v>914</v>
      </c>
    </row>
    <row r="196" spans="1:2" x14ac:dyDescent="0.3">
      <c r="A196">
        <v>7119185330</v>
      </c>
      <c r="B196" t="s">
        <v>914</v>
      </c>
    </row>
    <row r="197" spans="1:2" x14ac:dyDescent="0.3">
      <c r="A197">
        <v>7119185640</v>
      </c>
      <c r="B197" t="s">
        <v>914</v>
      </c>
    </row>
    <row r="198" spans="1:2" x14ac:dyDescent="0.3">
      <c r="A198">
        <v>71781755</v>
      </c>
      <c r="B198" t="s">
        <v>914</v>
      </c>
    </row>
    <row r="199" spans="1:2" x14ac:dyDescent="0.3">
      <c r="A199">
        <v>7178170830</v>
      </c>
      <c r="B199" t="s">
        <v>914</v>
      </c>
    </row>
    <row r="200" spans="1:2" x14ac:dyDescent="0.3">
      <c r="A200">
        <v>7186066560</v>
      </c>
      <c r="B200" t="s">
        <v>914</v>
      </c>
    </row>
    <row r="201" spans="1:2" x14ac:dyDescent="0.3">
      <c r="A201">
        <v>71860665</v>
      </c>
      <c r="B201" t="s">
        <v>914</v>
      </c>
    </row>
    <row r="202" spans="1:2" x14ac:dyDescent="0.3">
      <c r="A202">
        <v>72888940</v>
      </c>
      <c r="B202" t="s">
        <v>914</v>
      </c>
    </row>
    <row r="203" spans="1:2" x14ac:dyDescent="0.3">
      <c r="A203">
        <v>7278197730</v>
      </c>
      <c r="B203" t="s">
        <v>914</v>
      </c>
    </row>
    <row r="204" spans="1:2" x14ac:dyDescent="0.3">
      <c r="A204">
        <v>7289778240</v>
      </c>
      <c r="B204" t="s">
        <v>914</v>
      </c>
    </row>
    <row r="205" spans="1:2" x14ac:dyDescent="0.3">
      <c r="A205">
        <v>7154041130</v>
      </c>
      <c r="B205" t="s">
        <v>914</v>
      </c>
    </row>
    <row r="206" spans="1:2" x14ac:dyDescent="0.3">
      <c r="A206">
        <v>7154075530</v>
      </c>
      <c r="B206" t="s">
        <v>914</v>
      </c>
    </row>
    <row r="207" spans="1:2" x14ac:dyDescent="0.3">
      <c r="A207">
        <v>7298186530</v>
      </c>
      <c r="B207" t="s">
        <v>914</v>
      </c>
    </row>
    <row r="208" spans="1:2" x14ac:dyDescent="0.3">
      <c r="A208" t="s">
        <v>918</v>
      </c>
      <c r="B208" t="s">
        <v>914</v>
      </c>
    </row>
    <row r="209" spans="1:2" x14ac:dyDescent="0.3">
      <c r="A209">
        <v>7278197730</v>
      </c>
      <c r="B209" t="s">
        <v>914</v>
      </c>
    </row>
    <row r="210" spans="1:2" x14ac:dyDescent="0.3">
      <c r="A210">
        <v>7287011790</v>
      </c>
      <c r="B210" t="s">
        <v>914</v>
      </c>
    </row>
    <row r="211" spans="1:2" x14ac:dyDescent="0.3">
      <c r="A211">
        <v>72780597</v>
      </c>
      <c r="B211" t="s">
        <v>914</v>
      </c>
    </row>
    <row r="212" spans="1:2" x14ac:dyDescent="0.3">
      <c r="A212" t="s">
        <v>919</v>
      </c>
      <c r="B212" t="s">
        <v>914</v>
      </c>
    </row>
    <row r="213" spans="1:2" x14ac:dyDescent="0.3">
      <c r="A213">
        <v>7278179230</v>
      </c>
      <c r="B213" t="s">
        <v>914</v>
      </c>
    </row>
    <row r="214" spans="1:2" x14ac:dyDescent="0.3">
      <c r="A214">
        <v>7287782930</v>
      </c>
      <c r="B214" t="s">
        <v>914</v>
      </c>
    </row>
    <row r="215" spans="1:2" x14ac:dyDescent="0.3">
      <c r="A215">
        <v>72780597</v>
      </c>
      <c r="B215" t="s">
        <v>914</v>
      </c>
    </row>
    <row r="216" spans="1:2" x14ac:dyDescent="0.3">
      <c r="A216">
        <v>7219116640</v>
      </c>
      <c r="B216" t="s">
        <v>914</v>
      </c>
    </row>
    <row r="217" spans="1:2" x14ac:dyDescent="0.3">
      <c r="A217">
        <v>7119675830</v>
      </c>
      <c r="B217" t="s">
        <v>914</v>
      </c>
    </row>
    <row r="218" spans="1:2" x14ac:dyDescent="0.3">
      <c r="A218">
        <v>71837758</v>
      </c>
      <c r="B218" t="s">
        <v>914</v>
      </c>
    </row>
    <row r="219" spans="1:2" x14ac:dyDescent="0.3">
      <c r="A219">
        <v>7283907630</v>
      </c>
      <c r="B219" t="s">
        <v>914</v>
      </c>
    </row>
    <row r="220" spans="1:2" x14ac:dyDescent="0.3">
      <c r="A220">
        <v>71837758</v>
      </c>
      <c r="B220" t="s">
        <v>914</v>
      </c>
    </row>
    <row r="221" spans="1:2" x14ac:dyDescent="0.3">
      <c r="A221">
        <v>72878592</v>
      </c>
      <c r="B221" t="s">
        <v>914</v>
      </c>
    </row>
    <row r="222" spans="1:2" x14ac:dyDescent="0.3">
      <c r="A222">
        <v>71191147</v>
      </c>
      <c r="B222" t="s">
        <v>914</v>
      </c>
    </row>
    <row r="223" spans="1:2" x14ac:dyDescent="0.3">
      <c r="A223">
        <v>7274333840</v>
      </c>
      <c r="B223" t="s">
        <v>914</v>
      </c>
    </row>
    <row r="224" spans="1:2" x14ac:dyDescent="0.3">
      <c r="A224">
        <v>7154075530</v>
      </c>
      <c r="B224" t="s">
        <v>914</v>
      </c>
    </row>
    <row r="225" spans="1:2" x14ac:dyDescent="0.3">
      <c r="A225">
        <v>71237437</v>
      </c>
      <c r="B225" t="s">
        <v>914</v>
      </c>
    </row>
    <row r="226" spans="1:2" x14ac:dyDescent="0.3">
      <c r="A226">
        <v>7278179230</v>
      </c>
      <c r="B226" t="s">
        <v>914</v>
      </c>
    </row>
    <row r="227" spans="1:2" x14ac:dyDescent="0.3">
      <c r="A227">
        <v>7178170830</v>
      </c>
      <c r="B227" t="s">
        <v>914</v>
      </c>
    </row>
    <row r="228" spans="1:2" x14ac:dyDescent="0.3">
      <c r="A228">
        <v>71781755</v>
      </c>
      <c r="B228" t="s">
        <v>914</v>
      </c>
    </row>
    <row r="229" spans="1:2" x14ac:dyDescent="0.3">
      <c r="A229">
        <v>7278121430</v>
      </c>
      <c r="B229" t="s">
        <v>914</v>
      </c>
    </row>
    <row r="230" spans="1:2" x14ac:dyDescent="0.3">
      <c r="A230">
        <v>7283220130</v>
      </c>
      <c r="B230" t="s">
        <v>914</v>
      </c>
    </row>
    <row r="231" spans="1:2" x14ac:dyDescent="0.3">
      <c r="A231">
        <v>72894030</v>
      </c>
      <c r="B231" t="s">
        <v>914</v>
      </c>
    </row>
    <row r="232" spans="1:2" x14ac:dyDescent="0.3">
      <c r="A232">
        <v>7278121430</v>
      </c>
      <c r="B232" t="s">
        <v>914</v>
      </c>
    </row>
    <row r="233" spans="1:2" x14ac:dyDescent="0.3">
      <c r="A233">
        <v>7278059630</v>
      </c>
      <c r="B233" t="s">
        <v>914</v>
      </c>
    </row>
    <row r="234" spans="1:2" x14ac:dyDescent="0.3">
      <c r="A234">
        <v>72781797</v>
      </c>
      <c r="B234" t="s">
        <v>914</v>
      </c>
    </row>
    <row r="235" spans="1:2" x14ac:dyDescent="0.3">
      <c r="A235">
        <v>7219176430</v>
      </c>
      <c r="B235" t="s">
        <v>914</v>
      </c>
    </row>
    <row r="236" spans="1:2" x14ac:dyDescent="0.3">
      <c r="A236">
        <v>7277186830</v>
      </c>
      <c r="B236" t="s">
        <v>914</v>
      </c>
    </row>
    <row r="237" spans="1:2" x14ac:dyDescent="0.3">
      <c r="A237">
        <v>7283220090</v>
      </c>
      <c r="B237" t="s">
        <v>914</v>
      </c>
    </row>
    <row r="238" spans="1:2" x14ac:dyDescent="0.3">
      <c r="A238">
        <v>7178197530</v>
      </c>
      <c r="B238" t="s">
        <v>914</v>
      </c>
    </row>
    <row r="239" spans="1:2" x14ac:dyDescent="0.3">
      <c r="A239">
        <v>7297565530</v>
      </c>
      <c r="B239" t="s">
        <v>914</v>
      </c>
    </row>
    <row r="240" spans="1:2" x14ac:dyDescent="0.3">
      <c r="A240">
        <v>72975207</v>
      </c>
      <c r="B240" t="s">
        <v>914</v>
      </c>
    </row>
    <row r="241" spans="1:2" x14ac:dyDescent="0.3">
      <c r="A241">
        <v>7183384830</v>
      </c>
      <c r="B241" t="s">
        <v>914</v>
      </c>
    </row>
    <row r="242" spans="1:2" x14ac:dyDescent="0.3">
      <c r="A242">
        <v>72782146</v>
      </c>
      <c r="B242" t="s">
        <v>914</v>
      </c>
    </row>
    <row r="243" spans="1:2" x14ac:dyDescent="0.3">
      <c r="A243">
        <v>72838660</v>
      </c>
      <c r="B243" t="s">
        <v>914</v>
      </c>
    </row>
    <row r="244" spans="1:2" x14ac:dyDescent="0.3">
      <c r="A244">
        <v>7298250930</v>
      </c>
      <c r="B244" t="s">
        <v>914</v>
      </c>
    </row>
    <row r="245" spans="1:2" x14ac:dyDescent="0.3">
      <c r="A245">
        <v>72894030</v>
      </c>
      <c r="B245" t="s">
        <v>914</v>
      </c>
    </row>
    <row r="246" spans="1:2" x14ac:dyDescent="0.3">
      <c r="A246">
        <v>72897732</v>
      </c>
      <c r="B246" t="s">
        <v>914</v>
      </c>
    </row>
    <row r="247" spans="1:2" x14ac:dyDescent="0.3">
      <c r="A247">
        <v>71837758</v>
      </c>
      <c r="B247" t="s">
        <v>914</v>
      </c>
    </row>
    <row r="248" spans="1:2" x14ac:dyDescent="0.3">
      <c r="A248">
        <v>77183384830</v>
      </c>
      <c r="B248" t="s">
        <v>914</v>
      </c>
    </row>
    <row r="249" spans="1:2" x14ac:dyDescent="0.3">
      <c r="A249">
        <v>7278179230</v>
      </c>
      <c r="B249" t="s">
        <v>914</v>
      </c>
    </row>
    <row r="250" spans="1:2" x14ac:dyDescent="0.3">
      <c r="A250">
        <v>72781797</v>
      </c>
      <c r="B250" t="s">
        <v>914</v>
      </c>
    </row>
    <row r="251" spans="1:2" x14ac:dyDescent="0.3">
      <c r="A251">
        <v>7075218330</v>
      </c>
      <c r="B251" t="s">
        <v>914</v>
      </c>
    </row>
    <row r="252" spans="1:2" x14ac:dyDescent="0.3">
      <c r="A252">
        <v>7298108030</v>
      </c>
      <c r="B252" t="s">
        <v>914</v>
      </c>
    </row>
    <row r="253" spans="1:2" x14ac:dyDescent="0.3">
      <c r="A253">
        <v>7298108030</v>
      </c>
      <c r="B253" t="s">
        <v>914</v>
      </c>
    </row>
    <row r="254" spans="1:2" x14ac:dyDescent="0.3">
      <c r="A254">
        <v>7289749530</v>
      </c>
      <c r="B254" t="s">
        <v>914</v>
      </c>
    </row>
    <row r="255" spans="1:2" x14ac:dyDescent="0.3">
      <c r="A255">
        <v>7278059630</v>
      </c>
      <c r="B255" t="s">
        <v>914</v>
      </c>
    </row>
    <row r="256" spans="1:2" x14ac:dyDescent="0.3">
      <c r="A256" t="s">
        <v>919</v>
      </c>
      <c r="B256" t="s">
        <v>914</v>
      </c>
    </row>
    <row r="257" spans="1:2" x14ac:dyDescent="0.3">
      <c r="A257" t="s">
        <v>919</v>
      </c>
      <c r="B257" t="s">
        <v>914</v>
      </c>
    </row>
    <row r="258" spans="1:2" x14ac:dyDescent="0.3">
      <c r="A258">
        <v>74752895</v>
      </c>
      <c r="B258" t="s">
        <v>914</v>
      </c>
    </row>
    <row r="259" spans="1:2" x14ac:dyDescent="0.3">
      <c r="A259">
        <v>74752895</v>
      </c>
      <c r="B259" t="s">
        <v>914</v>
      </c>
    </row>
    <row r="260" spans="1:2" x14ac:dyDescent="0.3">
      <c r="A260" t="s">
        <v>919</v>
      </c>
      <c r="B260" t="s">
        <v>914</v>
      </c>
    </row>
    <row r="261" spans="1:2" x14ac:dyDescent="0.3">
      <c r="A261">
        <v>7278121430</v>
      </c>
      <c r="B261" t="s">
        <v>914</v>
      </c>
    </row>
    <row r="262" spans="1:2" x14ac:dyDescent="0.3">
      <c r="A262">
        <v>7289909030</v>
      </c>
      <c r="B262" t="s">
        <v>914</v>
      </c>
    </row>
    <row r="263" spans="1:2" x14ac:dyDescent="0.3">
      <c r="A263">
        <v>7219192930</v>
      </c>
      <c r="B263" t="s">
        <v>914</v>
      </c>
    </row>
    <row r="264" spans="1:2" x14ac:dyDescent="0.3">
      <c r="A264">
        <v>7219192930</v>
      </c>
      <c r="B264" t="s">
        <v>914</v>
      </c>
    </row>
    <row r="265" spans="1:2" x14ac:dyDescent="0.3">
      <c r="A265">
        <v>72980784</v>
      </c>
      <c r="B265" t="s">
        <v>914</v>
      </c>
    </row>
    <row r="266" spans="1:2" x14ac:dyDescent="0.3">
      <c r="A266" t="s">
        <v>919</v>
      </c>
      <c r="B266" t="s">
        <v>914</v>
      </c>
    </row>
    <row r="267" spans="1:2" x14ac:dyDescent="0.3">
      <c r="A267" t="s">
        <v>919</v>
      </c>
      <c r="B267" t="s">
        <v>914</v>
      </c>
    </row>
    <row r="268" spans="1:2" x14ac:dyDescent="0.3">
      <c r="A268">
        <v>72868813</v>
      </c>
      <c r="B268" t="s">
        <v>914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421</v>
      </c>
      <c r="B1" s="8" t="s">
        <v>735</v>
      </c>
      <c r="C1" s="8" t="s">
        <v>737</v>
      </c>
      <c r="D1" s="8" t="s">
        <v>736</v>
      </c>
      <c r="E1" s="8" t="s">
        <v>273</v>
      </c>
      <c r="F1" t="s">
        <v>738</v>
      </c>
      <c r="G1" t="s">
        <v>950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670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422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423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424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425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426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427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428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429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430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431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432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433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434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435</v>
      </c>
      <c r="G16" s="4" t="s">
        <v>739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436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437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438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439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700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440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441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442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443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670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670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670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444</v>
      </c>
      <c r="G29" s="4" t="s">
        <v>1008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670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670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670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445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446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447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448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449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450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451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452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453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454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455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456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457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458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459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460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461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462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463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464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465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466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467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468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469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670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1009</v>
      </c>
      <c r="G60" s="4" t="s">
        <v>1008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670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670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470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670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471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670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670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670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670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670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670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670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670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670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302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472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473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699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474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475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476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477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478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479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480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481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482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483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484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485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486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487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488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489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490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491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492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493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494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495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496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497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498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499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500</v>
      </c>
      <c r="G105" s="4"/>
    </row>
    <row r="106" spans="1:7" ht="14.4" x14ac:dyDescent="0.3">
      <c r="A106" s="4" t="s">
        <v>501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502</v>
      </c>
      <c r="G106" s="4"/>
    </row>
    <row r="107" spans="1:7" ht="14.4" x14ac:dyDescent="0.3">
      <c r="A107" s="4" t="s">
        <v>503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504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505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506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507</v>
      </c>
      <c r="G110" s="4"/>
    </row>
    <row r="111" spans="1:7" ht="14.4" x14ac:dyDescent="0.3">
      <c r="A111" s="4" t="s">
        <v>252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508</v>
      </c>
      <c r="G111" s="4"/>
    </row>
    <row r="112" spans="1:7" ht="14.4" x14ac:dyDescent="0.3">
      <c r="A112" s="4" t="s">
        <v>509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510</v>
      </c>
      <c r="G112" s="4"/>
    </row>
    <row r="113" spans="1:7" ht="14.4" x14ac:dyDescent="0.3">
      <c r="A113" s="4" t="s">
        <v>511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512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513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740</v>
      </c>
      <c r="G115" s="4"/>
    </row>
    <row r="116" spans="1:7" ht="14.4" x14ac:dyDescent="0.3">
      <c r="A116" s="4" t="s">
        <v>514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515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516</v>
      </c>
      <c r="G117" s="4"/>
    </row>
    <row r="118" spans="1:7" ht="14.4" x14ac:dyDescent="0.3">
      <c r="A118" s="4" t="s">
        <v>518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519</v>
      </c>
      <c r="G118" s="4"/>
    </row>
    <row r="119" spans="1:7" ht="14.4" x14ac:dyDescent="0.3">
      <c r="A119" s="4" t="s">
        <v>520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521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522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524</v>
      </c>
      <c r="G121" s="4"/>
    </row>
    <row r="122" spans="1:7" ht="14.4" x14ac:dyDescent="0.3">
      <c r="A122" s="4" t="s">
        <v>525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526</v>
      </c>
      <c r="G122" s="4"/>
    </row>
    <row r="123" spans="1:7" ht="14.4" x14ac:dyDescent="0.3">
      <c r="A123" s="4" t="s">
        <v>528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529</v>
      </c>
      <c r="G123" s="4"/>
    </row>
    <row r="124" spans="1:7" ht="14.4" x14ac:dyDescent="0.3">
      <c r="A124" s="4" t="s">
        <v>530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531</v>
      </c>
      <c r="G124" s="4"/>
    </row>
    <row r="125" spans="1:7" ht="14.4" x14ac:dyDescent="0.3">
      <c r="A125" s="4" t="s">
        <v>532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533</v>
      </c>
      <c r="G125" s="4"/>
    </row>
    <row r="126" spans="1:7" ht="14.4" x14ac:dyDescent="0.3">
      <c r="A126" s="4" t="s">
        <v>534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535</v>
      </c>
      <c r="G126" s="4"/>
    </row>
    <row r="127" spans="1:7" ht="14.4" x14ac:dyDescent="0.3">
      <c r="A127" s="4" t="s">
        <v>536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537</v>
      </c>
      <c r="G127" s="4"/>
    </row>
    <row r="128" spans="1:7" ht="14.4" x14ac:dyDescent="0.3">
      <c r="A128" s="4" t="s">
        <v>538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539</v>
      </c>
      <c r="G128" s="4"/>
    </row>
    <row r="129" spans="1:7" ht="14.4" x14ac:dyDescent="0.3">
      <c r="A129" s="4" t="s">
        <v>540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541</v>
      </c>
      <c r="G129" s="4"/>
    </row>
    <row r="130" spans="1:7" ht="14.4" x14ac:dyDescent="0.3">
      <c r="A130" s="4" t="s">
        <v>542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543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544</v>
      </c>
      <c r="G131" s="4"/>
    </row>
    <row r="132" spans="1:7" ht="14.4" x14ac:dyDescent="0.3">
      <c r="A132" s="4" t="s">
        <v>265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670</v>
      </c>
      <c r="G132" s="4"/>
    </row>
    <row r="133" spans="1:7" ht="14.4" x14ac:dyDescent="0.3">
      <c r="A133" s="4" t="s">
        <v>546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547</v>
      </c>
      <c r="G133" s="4"/>
    </row>
    <row r="134" spans="1:7" ht="14.4" x14ac:dyDescent="0.3">
      <c r="A134" s="4" t="s">
        <v>550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551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553</v>
      </c>
      <c r="G135" s="4"/>
    </row>
    <row r="136" spans="1:7" ht="14.4" x14ac:dyDescent="0.3">
      <c r="A136" s="4" t="s">
        <v>555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556</v>
      </c>
      <c r="G136" s="4"/>
    </row>
    <row r="137" spans="1:7" ht="14.4" x14ac:dyDescent="0.3">
      <c r="A137" s="4" t="s">
        <v>557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558</v>
      </c>
      <c r="G137" s="4" t="s">
        <v>739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561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562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301</v>
      </c>
      <c r="G140" s="4"/>
    </row>
    <row r="141" spans="1:7" ht="14.4" x14ac:dyDescent="0.3">
      <c r="A141" s="4" t="s">
        <v>563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670</v>
      </c>
      <c r="G141" s="4"/>
    </row>
    <row r="142" spans="1:7" ht="14.4" x14ac:dyDescent="0.3">
      <c r="A142" s="4" t="s">
        <v>564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565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566</v>
      </c>
      <c r="G143" s="4"/>
    </row>
    <row r="144" spans="1:7" ht="14.4" x14ac:dyDescent="0.3">
      <c r="A144" s="4" t="s">
        <v>567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568</v>
      </c>
      <c r="G144" s="4" t="s">
        <v>739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569</v>
      </c>
      <c r="G145" s="4"/>
    </row>
    <row r="146" spans="1:7" ht="14.4" x14ac:dyDescent="0.3">
      <c r="A146" s="4" t="s">
        <v>570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571</v>
      </c>
      <c r="G146" s="4"/>
    </row>
    <row r="147" spans="1:7" ht="14.4" x14ac:dyDescent="0.3">
      <c r="A147" s="4" t="s">
        <v>572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573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574</v>
      </c>
      <c r="G148" s="4"/>
    </row>
    <row r="149" spans="1:7" ht="14.4" x14ac:dyDescent="0.3">
      <c r="A149" s="4" t="s">
        <v>258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575</v>
      </c>
      <c r="G149" s="4"/>
    </row>
    <row r="150" spans="1:7" ht="14.4" x14ac:dyDescent="0.3">
      <c r="A150" s="4" t="s">
        <v>578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579</v>
      </c>
      <c r="G150" s="4"/>
    </row>
    <row r="151" spans="1:7" ht="14.4" x14ac:dyDescent="0.3">
      <c r="A151" s="4" t="s">
        <v>580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581</v>
      </c>
      <c r="G151" s="4" t="s">
        <v>739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303</v>
      </c>
      <c r="G152" s="4"/>
    </row>
    <row r="153" spans="1:7" ht="14.4" x14ac:dyDescent="0.3">
      <c r="A153" s="4" t="s">
        <v>290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582</v>
      </c>
      <c r="G153" s="4"/>
    </row>
    <row r="154" spans="1:7" ht="14.4" x14ac:dyDescent="0.3">
      <c r="A154" s="4" t="s">
        <v>583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670</v>
      </c>
      <c r="G154" s="4"/>
    </row>
    <row r="155" spans="1:7" ht="14.4" x14ac:dyDescent="0.3">
      <c r="A155" s="4" t="s">
        <v>584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585</v>
      </c>
      <c r="G155" s="4"/>
    </row>
    <row r="156" spans="1:7" ht="14.4" x14ac:dyDescent="0.3">
      <c r="A156" s="4" t="s">
        <v>586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670</v>
      </c>
      <c r="G156" s="4"/>
    </row>
    <row r="157" spans="1:7" ht="14.4" x14ac:dyDescent="0.3">
      <c r="A157" s="4" t="s">
        <v>587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670</v>
      </c>
      <c r="G157" s="4"/>
    </row>
    <row r="158" spans="1:7" ht="14.4" x14ac:dyDescent="0.3">
      <c r="A158" s="4" t="s">
        <v>588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589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590</v>
      </c>
      <c r="G159" s="4"/>
    </row>
    <row r="160" spans="1:7" ht="14.4" x14ac:dyDescent="0.3">
      <c r="A160" s="4" t="s">
        <v>591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592</v>
      </c>
      <c r="G160" s="4"/>
    </row>
    <row r="161" spans="1:7" ht="14.4" x14ac:dyDescent="0.3">
      <c r="A161" s="4" t="s">
        <v>593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594</v>
      </c>
      <c r="G161" s="4"/>
    </row>
    <row r="162" spans="1:7" ht="14.4" x14ac:dyDescent="0.3">
      <c r="A162" s="4" t="s">
        <v>595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596</v>
      </c>
      <c r="G162" s="4"/>
    </row>
    <row r="163" spans="1:7" ht="14.4" x14ac:dyDescent="0.3">
      <c r="A163" s="4" t="s">
        <v>259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597</v>
      </c>
      <c r="G163" s="4"/>
    </row>
    <row r="164" spans="1:7" ht="14.4" x14ac:dyDescent="0.3">
      <c r="A164" s="4" t="s">
        <v>598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599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600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601</v>
      </c>
      <c r="G166" s="4"/>
    </row>
    <row r="167" spans="1:7" ht="14.4" x14ac:dyDescent="0.3">
      <c r="A167" s="4" t="s">
        <v>602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603</v>
      </c>
      <c r="G167" s="4"/>
    </row>
    <row r="168" spans="1:7" ht="14.4" x14ac:dyDescent="0.3">
      <c r="A168" s="4" t="s">
        <v>604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605</v>
      </c>
      <c r="G168" s="4"/>
    </row>
    <row r="169" spans="1:7" ht="14.4" x14ac:dyDescent="0.3">
      <c r="A169" s="4" t="s">
        <v>606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607</v>
      </c>
      <c r="G169" s="4"/>
    </row>
    <row r="170" spans="1:7" ht="14.4" x14ac:dyDescent="0.3">
      <c r="A170" s="4" t="s">
        <v>608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609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1164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610</v>
      </c>
      <c r="G172" s="4"/>
    </row>
    <row r="173" spans="1:7" ht="14.4" x14ac:dyDescent="0.3">
      <c r="A173" s="4" t="s">
        <v>611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612</v>
      </c>
      <c r="G173" s="4"/>
    </row>
    <row r="174" spans="1:7" ht="14.4" x14ac:dyDescent="0.3">
      <c r="A174" s="4" t="s">
        <v>613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614</v>
      </c>
      <c r="G174" s="4"/>
    </row>
    <row r="175" spans="1:7" ht="14.4" x14ac:dyDescent="0.3">
      <c r="A175" s="4" t="s">
        <v>243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615</v>
      </c>
      <c r="G175" s="4"/>
    </row>
    <row r="176" spans="1:7" ht="14.4" x14ac:dyDescent="0.3">
      <c r="A176" s="4" t="s">
        <v>244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616</v>
      </c>
      <c r="G176" s="4"/>
    </row>
    <row r="177" spans="1:7" ht="14.4" x14ac:dyDescent="0.3">
      <c r="A177" s="4" t="s">
        <v>245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617</v>
      </c>
      <c r="G177" s="4"/>
    </row>
    <row r="178" spans="1:7" ht="14.4" x14ac:dyDescent="0.3">
      <c r="A178" s="4" t="s">
        <v>246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618</v>
      </c>
      <c r="G178" s="4"/>
    </row>
    <row r="179" spans="1:7" ht="14.4" x14ac:dyDescent="0.3">
      <c r="A179" s="4" t="s">
        <v>247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619</v>
      </c>
      <c r="G179" s="4"/>
    </row>
    <row r="180" spans="1:7" ht="14.4" x14ac:dyDescent="0.3">
      <c r="A180" s="4" t="s">
        <v>248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620</v>
      </c>
      <c r="G180" s="4"/>
    </row>
    <row r="181" spans="1:7" ht="14.4" x14ac:dyDescent="0.3">
      <c r="A181" s="4" t="s">
        <v>249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621</v>
      </c>
      <c r="G181" s="4"/>
    </row>
    <row r="182" spans="1:7" ht="14.4" x14ac:dyDescent="0.3">
      <c r="A182" s="4" t="s">
        <v>250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622</v>
      </c>
      <c r="G182" s="4"/>
    </row>
    <row r="183" spans="1:7" ht="14.4" x14ac:dyDescent="0.3">
      <c r="A183" s="4" t="s">
        <v>623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624</v>
      </c>
      <c r="G183" s="4"/>
    </row>
    <row r="184" spans="1:7" ht="14.4" x14ac:dyDescent="0.3">
      <c r="A184" s="4" t="s">
        <v>251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625</v>
      </c>
      <c r="G184" s="4"/>
    </row>
    <row r="185" spans="1:7" ht="14.4" x14ac:dyDescent="0.3">
      <c r="A185" s="4" t="s">
        <v>626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627</v>
      </c>
      <c r="G185" s="4"/>
    </row>
    <row r="186" spans="1:7" ht="14.4" x14ac:dyDescent="0.3">
      <c r="A186" s="4" t="s">
        <v>260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628</v>
      </c>
      <c r="G186" s="4"/>
    </row>
    <row r="187" spans="1:7" ht="14.4" x14ac:dyDescent="0.3">
      <c r="A187" s="4" t="s">
        <v>629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630</v>
      </c>
      <c r="G187" s="4"/>
    </row>
    <row r="188" spans="1:7" ht="14.4" x14ac:dyDescent="0.3">
      <c r="A188" s="4" t="s">
        <v>663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631</v>
      </c>
      <c r="G188" s="4"/>
    </row>
    <row r="189" spans="1:7" ht="14.4" x14ac:dyDescent="0.3">
      <c r="A189" s="4" t="s">
        <v>632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633</v>
      </c>
      <c r="G189" s="4"/>
    </row>
    <row r="190" spans="1:7" ht="14.4" x14ac:dyDescent="0.3">
      <c r="A190" s="4" t="s">
        <v>634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635</v>
      </c>
      <c r="G190" s="4"/>
    </row>
    <row r="191" spans="1:7" ht="14.4" x14ac:dyDescent="0.3">
      <c r="A191" s="4" t="s">
        <v>636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637</v>
      </c>
      <c r="G191" s="4"/>
    </row>
    <row r="192" spans="1:7" ht="14.4" x14ac:dyDescent="0.3">
      <c r="A192" s="4" t="s">
        <v>305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670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671</v>
      </c>
      <c r="G193" s="4" t="s">
        <v>1007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672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670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673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670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670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670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300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670</v>
      </c>
      <c r="G201" s="4"/>
    </row>
    <row r="202" spans="1:7" ht="14.4" x14ac:dyDescent="0.3">
      <c r="A202" s="4" t="s">
        <v>638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275</v>
      </c>
      <c r="G202" s="4"/>
    </row>
    <row r="203" spans="1:7" ht="14.4" x14ac:dyDescent="0.3">
      <c r="A203" s="4" t="s">
        <v>639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674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517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675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670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670</v>
      </c>
      <c r="G207" s="4"/>
    </row>
    <row r="208" spans="1:7" ht="14.4" x14ac:dyDescent="0.3">
      <c r="A208" s="4" t="s">
        <v>520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676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677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678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523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679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670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680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527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670</v>
      </c>
      <c r="G216" s="4"/>
    </row>
    <row r="217" spans="1:7" ht="14.4" x14ac:dyDescent="0.3">
      <c r="A217" s="4" t="s">
        <v>640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670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670</v>
      </c>
      <c r="G218" s="4"/>
    </row>
    <row r="219" spans="1:7" ht="14.4" x14ac:dyDescent="0.3">
      <c r="A219" s="4" t="s">
        <v>641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670</v>
      </c>
      <c r="G219" s="4"/>
    </row>
    <row r="220" spans="1:7" ht="14.4" x14ac:dyDescent="0.3">
      <c r="A220" s="4" t="s">
        <v>642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670</v>
      </c>
      <c r="G220" s="4"/>
    </row>
    <row r="221" spans="1:7" ht="14.4" x14ac:dyDescent="0.3">
      <c r="A221" s="4" t="s">
        <v>643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670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681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682</v>
      </c>
      <c r="G223" s="4"/>
    </row>
    <row r="224" spans="1:7" ht="14.4" x14ac:dyDescent="0.3">
      <c r="A224" s="4" t="s">
        <v>644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683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545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670</v>
      </c>
      <c r="G226" s="4"/>
    </row>
    <row r="227" spans="1:7" ht="14.4" x14ac:dyDescent="0.3">
      <c r="A227" s="4" t="s">
        <v>734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548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684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685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549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552</v>
      </c>
      <c r="G231" s="4"/>
    </row>
    <row r="232" spans="1:7" ht="14.4" x14ac:dyDescent="0.3">
      <c r="A232" s="4" t="s">
        <v>645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686</v>
      </c>
      <c r="G232" s="4"/>
    </row>
    <row r="233" spans="1:7" ht="14.4" x14ac:dyDescent="0.3">
      <c r="A233" s="4" t="s">
        <v>285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687</v>
      </c>
      <c r="G233" s="4"/>
    </row>
    <row r="234" spans="1:7" ht="14.4" x14ac:dyDescent="0.3">
      <c r="A234" s="4" t="s">
        <v>646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558</v>
      </c>
      <c r="G234" s="4" t="s">
        <v>739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559</v>
      </c>
      <c r="G235" s="4"/>
    </row>
    <row r="236" spans="1:7" ht="14.4" x14ac:dyDescent="0.3">
      <c r="A236" s="4" t="s">
        <v>647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688</v>
      </c>
      <c r="G236" s="4"/>
    </row>
    <row r="237" spans="1:7" ht="14.4" x14ac:dyDescent="0.3">
      <c r="A237" s="4" t="s">
        <v>267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560</v>
      </c>
      <c r="G237" s="4"/>
    </row>
    <row r="238" spans="1:7" ht="14.4" x14ac:dyDescent="0.3">
      <c r="A238" s="4" t="s">
        <v>284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670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689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690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691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692</v>
      </c>
      <c r="G242" s="4" t="s">
        <v>739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693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670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694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692</v>
      </c>
      <c r="G246" s="4" t="s">
        <v>739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695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670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696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697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698</v>
      </c>
      <c r="G251" s="4"/>
    </row>
    <row r="252" spans="1:7" ht="14.4" x14ac:dyDescent="0.3">
      <c r="A252" s="4" t="s">
        <v>648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568</v>
      </c>
      <c r="G252" s="4" t="s">
        <v>739</v>
      </c>
    </row>
    <row r="253" spans="1:7" ht="14.4" x14ac:dyDescent="0.3">
      <c r="A253" s="4" t="s">
        <v>649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670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701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576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577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702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703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704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302</v>
      </c>
      <c r="G260" s="4"/>
    </row>
    <row r="261" spans="1:7" ht="14.4" x14ac:dyDescent="0.3">
      <c r="A261" s="4" t="s">
        <v>650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581</v>
      </c>
      <c r="G261" s="4" t="s">
        <v>739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705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706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707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708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709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710</v>
      </c>
      <c r="G267" s="4"/>
    </row>
    <row r="268" spans="1:7" ht="14.4" x14ac:dyDescent="0.3">
      <c r="A268" s="4" t="s">
        <v>651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711</v>
      </c>
      <c r="G268" s="4"/>
    </row>
    <row r="269" spans="1:7" ht="14.4" x14ac:dyDescent="0.3">
      <c r="A269" s="4" t="s">
        <v>652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670</v>
      </c>
      <c r="G269" s="4"/>
    </row>
    <row r="270" spans="1:7" ht="14.4" x14ac:dyDescent="0.3">
      <c r="A270" s="4" t="s">
        <v>588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712</v>
      </c>
      <c r="G270" s="4"/>
    </row>
    <row r="271" spans="1:7" ht="14.4" x14ac:dyDescent="0.3">
      <c r="A271" s="4" t="s">
        <v>304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713</v>
      </c>
      <c r="G271" s="4"/>
    </row>
    <row r="272" spans="1:7" ht="14.4" x14ac:dyDescent="0.3">
      <c r="A272" s="4" t="s">
        <v>653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670</v>
      </c>
      <c r="G272" s="4"/>
    </row>
    <row r="273" spans="1:7" ht="14.4" x14ac:dyDescent="0.3">
      <c r="A273" s="4" t="s">
        <v>291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714</v>
      </c>
      <c r="G273" s="4"/>
    </row>
    <row r="274" spans="1:7" ht="14.4" x14ac:dyDescent="0.3">
      <c r="A274" s="4" t="s">
        <v>254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715</v>
      </c>
      <c r="G274" s="4"/>
    </row>
    <row r="275" spans="1:7" ht="14.4" x14ac:dyDescent="0.3">
      <c r="A275" s="4" t="s">
        <v>654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716</v>
      </c>
      <c r="G275" s="4"/>
    </row>
    <row r="276" spans="1:7" ht="14.4" x14ac:dyDescent="0.3">
      <c r="A276" s="4" t="s">
        <v>604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717</v>
      </c>
      <c r="G276" s="4"/>
    </row>
    <row r="277" spans="1:7" ht="14.4" x14ac:dyDescent="0.3">
      <c r="A277" s="4" t="s">
        <v>655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670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718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719</v>
      </c>
      <c r="G279" s="4"/>
    </row>
    <row r="280" spans="1:7" ht="14.4" x14ac:dyDescent="0.3">
      <c r="A280" s="4" t="s">
        <v>611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720</v>
      </c>
      <c r="G280" s="4"/>
    </row>
    <row r="281" spans="1:7" ht="14.4" x14ac:dyDescent="0.3">
      <c r="A281" s="4" t="s">
        <v>613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721</v>
      </c>
      <c r="G281" s="4"/>
    </row>
    <row r="282" spans="1:7" ht="14.4" x14ac:dyDescent="0.3">
      <c r="A282" s="4" t="s">
        <v>656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722</v>
      </c>
      <c r="G282" s="4"/>
    </row>
    <row r="283" spans="1:7" ht="14.4" x14ac:dyDescent="0.3">
      <c r="A283" s="4" t="s">
        <v>251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723</v>
      </c>
      <c r="G283" s="4"/>
    </row>
    <row r="284" spans="1:7" ht="14.4" x14ac:dyDescent="0.3">
      <c r="A284" s="4" t="s">
        <v>298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670</v>
      </c>
      <c r="G284" s="4"/>
    </row>
    <row r="285" spans="1:7" ht="14.4" x14ac:dyDescent="0.3">
      <c r="A285" s="4" t="s">
        <v>657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670</v>
      </c>
      <c r="G285" s="4"/>
    </row>
    <row r="286" spans="1:7" ht="14.4" x14ac:dyDescent="0.3">
      <c r="A286" s="4" t="s">
        <v>658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670</v>
      </c>
      <c r="G286" s="4"/>
    </row>
    <row r="287" spans="1:7" ht="14.4" x14ac:dyDescent="0.3">
      <c r="A287" s="4" t="s">
        <v>659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724</v>
      </c>
      <c r="G287" s="4"/>
    </row>
    <row r="288" spans="1:7" ht="14.4" x14ac:dyDescent="0.3">
      <c r="A288" s="4" t="s">
        <v>660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725</v>
      </c>
      <c r="G288" s="4"/>
    </row>
    <row r="289" spans="1:7" ht="14.4" x14ac:dyDescent="0.3">
      <c r="A289" s="4" t="s">
        <v>661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726</v>
      </c>
      <c r="G289" s="4"/>
    </row>
    <row r="290" spans="1:7" ht="14.4" x14ac:dyDescent="0.3">
      <c r="A290" s="4" t="s">
        <v>256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670</v>
      </c>
      <c r="G290" s="4"/>
    </row>
    <row r="291" spans="1:7" ht="14.4" x14ac:dyDescent="0.3">
      <c r="A291" s="4" t="s">
        <v>662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670</v>
      </c>
      <c r="G291" s="4"/>
    </row>
    <row r="292" spans="1:7" ht="14.4" x14ac:dyDescent="0.3">
      <c r="A292" s="4" t="s">
        <v>664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670</v>
      </c>
      <c r="G292" s="4"/>
    </row>
    <row r="293" spans="1:7" ht="14.4" x14ac:dyDescent="0.3">
      <c r="A293" s="4" t="s">
        <v>665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670</v>
      </c>
      <c r="G293" s="4"/>
    </row>
    <row r="294" spans="1:7" ht="14.4" x14ac:dyDescent="0.3">
      <c r="A294" s="4" t="s">
        <v>666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568</v>
      </c>
      <c r="G294" s="4" t="s">
        <v>739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727</v>
      </c>
      <c r="G295" s="4"/>
    </row>
    <row r="296" spans="1:7" ht="14.4" x14ac:dyDescent="0.3">
      <c r="A296" s="4" t="s">
        <v>667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728</v>
      </c>
      <c r="G296" s="4"/>
    </row>
    <row r="297" spans="1:7" ht="14.4" x14ac:dyDescent="0.3">
      <c r="A297" s="4" t="s">
        <v>668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729</v>
      </c>
      <c r="G297" s="4"/>
    </row>
    <row r="298" spans="1:7" ht="14.4" x14ac:dyDescent="0.3">
      <c r="A298" s="4" t="s">
        <v>669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730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554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731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732</v>
      </c>
      <c r="G301" s="4" t="s">
        <v>1008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733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987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988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1010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990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991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992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993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994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995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996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997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998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999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1000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1001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1002</v>
      </c>
      <c r="G318" s="4"/>
    </row>
    <row r="319" spans="1:7" ht="14.4" x14ac:dyDescent="0.3">
      <c r="A319" s="4" t="s">
        <v>1014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579</v>
      </c>
      <c r="G319" s="4"/>
    </row>
    <row r="320" spans="1:7" ht="14.4" x14ac:dyDescent="0.3">
      <c r="A320" s="4" t="s">
        <v>1015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1116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519</v>
      </c>
      <c r="G321" s="4"/>
    </row>
    <row r="322" spans="1:7" ht="14.4" x14ac:dyDescent="0.3">
      <c r="A322" s="4" t="s">
        <v>650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581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1117</v>
      </c>
      <c r="G323" s="4"/>
    </row>
    <row r="324" spans="1:7" ht="14.4" x14ac:dyDescent="0.3">
      <c r="A324" s="4" t="s">
        <v>1016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1118</v>
      </c>
      <c r="G324" s="4"/>
    </row>
    <row r="325" spans="1:7" ht="14.4" x14ac:dyDescent="0.3">
      <c r="A325" s="4" t="s">
        <v>1017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1119</v>
      </c>
      <c r="G325" s="4"/>
    </row>
    <row r="326" spans="1:7" ht="14.4" x14ac:dyDescent="0.3">
      <c r="A326" s="4" t="s">
        <v>1018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561</v>
      </c>
      <c r="G326" s="4"/>
    </row>
    <row r="327" spans="1:7" ht="14.4" x14ac:dyDescent="0.3">
      <c r="A327" s="4" t="s">
        <v>1019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1120</v>
      </c>
      <c r="G327" s="4"/>
    </row>
    <row r="328" spans="1:7" ht="14.4" x14ac:dyDescent="0.3">
      <c r="A328" s="4" t="s">
        <v>1020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1121</v>
      </c>
      <c r="G328" s="4"/>
    </row>
    <row r="329" spans="1:7" ht="14.4" x14ac:dyDescent="0.3">
      <c r="A329" s="4" t="s">
        <v>1021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1122</v>
      </c>
      <c r="G329" s="4"/>
    </row>
    <row r="330" spans="1:7" ht="14.4" x14ac:dyDescent="0.3">
      <c r="A330" s="4" t="s">
        <v>1022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1123</v>
      </c>
      <c r="G330" s="4"/>
    </row>
    <row r="331" spans="1:7" ht="14.4" x14ac:dyDescent="0.3">
      <c r="A331" s="4" t="s">
        <v>1023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1124</v>
      </c>
      <c r="G331" s="4"/>
    </row>
    <row r="332" spans="1:7" ht="14.4" x14ac:dyDescent="0.3">
      <c r="A332" s="4" t="s">
        <v>1024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1125</v>
      </c>
      <c r="G332" s="4"/>
    </row>
    <row r="333" spans="1:7" ht="14.4" x14ac:dyDescent="0.3">
      <c r="A333" s="4" t="s">
        <v>1025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1126</v>
      </c>
      <c r="G333" s="4"/>
    </row>
    <row r="334" spans="1:7" ht="14.4" x14ac:dyDescent="0.3">
      <c r="A334" s="4" t="s">
        <v>1026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1127</v>
      </c>
      <c r="G334" s="4"/>
    </row>
    <row r="335" spans="1:7" ht="14.4" x14ac:dyDescent="0.3">
      <c r="A335" s="4" t="s">
        <v>1027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1128</v>
      </c>
      <c r="G335" s="4"/>
    </row>
    <row r="336" spans="1:7" ht="14.4" x14ac:dyDescent="0.3">
      <c r="A336" s="4" t="s">
        <v>1028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1129</v>
      </c>
      <c r="G336" s="4"/>
    </row>
    <row r="337" spans="1:7" ht="14.4" x14ac:dyDescent="0.3">
      <c r="A337" s="4" t="s">
        <v>1029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1130</v>
      </c>
      <c r="G337" s="4"/>
    </row>
    <row r="338" spans="1:7" ht="14.4" x14ac:dyDescent="0.3">
      <c r="A338" s="4" t="s">
        <v>1030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1131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559</v>
      </c>
      <c r="G339" s="4"/>
    </row>
    <row r="340" spans="1:7" ht="14.4" x14ac:dyDescent="0.3">
      <c r="A340" s="4" t="s">
        <v>1031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556</v>
      </c>
      <c r="G340" s="4"/>
    </row>
    <row r="341" spans="1:7" ht="14.4" x14ac:dyDescent="0.3">
      <c r="A341" s="4" t="s">
        <v>267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1132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487</v>
      </c>
      <c r="G342" s="4"/>
    </row>
    <row r="343" spans="1:7" ht="14.4" x14ac:dyDescent="0.3">
      <c r="A343" s="4" t="s">
        <v>1032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1133</v>
      </c>
      <c r="G343" s="4"/>
    </row>
    <row r="344" spans="1:7" ht="14.4" x14ac:dyDescent="0.3">
      <c r="A344" s="4" t="s">
        <v>1033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709</v>
      </c>
      <c r="G344" s="4"/>
    </row>
    <row r="345" spans="1:7" ht="14.4" x14ac:dyDescent="0.3">
      <c r="A345" s="4" t="s">
        <v>1034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565</v>
      </c>
      <c r="G345" s="4"/>
    </row>
    <row r="346" spans="1:7" ht="14.4" x14ac:dyDescent="0.3">
      <c r="A346" s="4" t="s">
        <v>1035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573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480</v>
      </c>
      <c r="G347" s="4"/>
    </row>
    <row r="348" spans="1:7" ht="14.4" x14ac:dyDescent="0.3">
      <c r="A348" s="4" t="s">
        <v>1036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545</v>
      </c>
      <c r="G348" s="4"/>
    </row>
    <row r="349" spans="1:7" ht="14.4" x14ac:dyDescent="0.3">
      <c r="A349" s="4" t="s">
        <v>1037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568</v>
      </c>
      <c r="G349" s="4"/>
    </row>
    <row r="350" spans="1:7" ht="14.4" x14ac:dyDescent="0.3">
      <c r="A350" s="4" t="s">
        <v>1038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1039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576</v>
      </c>
      <c r="G351" s="4"/>
    </row>
    <row r="352" spans="1:7" ht="14.4" x14ac:dyDescent="0.3">
      <c r="A352" s="4" t="s">
        <v>1040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577</v>
      </c>
      <c r="G352" s="4"/>
    </row>
    <row r="353" spans="1:7" ht="14.4" x14ac:dyDescent="0.3">
      <c r="A353" s="4" t="s">
        <v>1041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526</v>
      </c>
      <c r="G353" s="4"/>
    </row>
    <row r="354" spans="1:7" x14ac:dyDescent="0.3">
      <c r="A354" s="7" t="s">
        <v>1042</v>
      </c>
      <c r="B354" s="52" t="str">
        <f>TRIM(Table4[[#This Row],[ypn]])</f>
        <v>71782472E</v>
      </c>
      <c r="C354" s="52" t="b">
        <f>Table4[[#This Row],[ypn]]=Table4[[#This Row],[trim]]</f>
        <v>1</v>
      </c>
      <c r="D354" s="52" t="e">
        <f>Table4[[#This Row],[ypn]]*1</f>
        <v>#VALUE!</v>
      </c>
      <c r="E354" s="52">
        <f>TYPE(Table4[[#This Row],[ypn]])</f>
        <v>2</v>
      </c>
      <c r="F354" t="s">
        <v>683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527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1134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547</v>
      </c>
      <c r="G357" s="4"/>
    </row>
    <row r="358" spans="1:7" ht="14.4" x14ac:dyDescent="0.3">
      <c r="A358" s="6" t="s">
        <v>1043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517</v>
      </c>
      <c r="G358" s="4"/>
    </row>
    <row r="359" spans="1:7" ht="14.4" x14ac:dyDescent="0.3">
      <c r="A359" s="6" t="s">
        <v>1044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447</v>
      </c>
      <c r="G359" s="4"/>
    </row>
    <row r="360" spans="1:7" ht="14.4" x14ac:dyDescent="0.3">
      <c r="A360" s="6" t="s">
        <v>1045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726</v>
      </c>
      <c r="G360" s="4"/>
    </row>
    <row r="361" spans="1:7" ht="14.4" x14ac:dyDescent="0.3">
      <c r="A361" s="6" t="s">
        <v>1046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455</v>
      </c>
      <c r="G361" s="4"/>
    </row>
    <row r="362" spans="1:7" ht="14.4" x14ac:dyDescent="0.3">
      <c r="A362" s="6" t="s">
        <v>1047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521</v>
      </c>
      <c r="G362" s="4"/>
    </row>
    <row r="363" spans="1:7" ht="14.4" x14ac:dyDescent="0.3">
      <c r="A363" s="6" t="s">
        <v>1048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1135</v>
      </c>
      <c r="G363" s="4"/>
    </row>
    <row r="364" spans="1:7" ht="14.4" x14ac:dyDescent="0.3">
      <c r="A364" s="6" t="s">
        <v>1049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554</v>
      </c>
      <c r="G364" s="4"/>
    </row>
    <row r="365" spans="1:7" ht="14.4" x14ac:dyDescent="0.3">
      <c r="A365" s="6" t="s">
        <v>1050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1136</v>
      </c>
      <c r="G365" s="4"/>
    </row>
    <row r="366" spans="1:7" ht="14.4" x14ac:dyDescent="0.3">
      <c r="A366" s="6" t="s">
        <v>1051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552</v>
      </c>
      <c r="G366" s="4"/>
    </row>
    <row r="367" spans="1:7" ht="14.4" x14ac:dyDescent="0.3">
      <c r="A367" s="6" t="s">
        <v>1052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1137</v>
      </c>
      <c r="G367" s="4"/>
    </row>
    <row r="368" spans="1:7" ht="14.4" x14ac:dyDescent="0.3">
      <c r="A368" s="6" t="s">
        <v>1053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1138</v>
      </c>
      <c r="G368" s="4"/>
    </row>
    <row r="369" spans="1:7" ht="14.4" x14ac:dyDescent="0.3">
      <c r="A369" s="6" t="s">
        <v>1054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1139</v>
      </c>
      <c r="G369" s="4"/>
    </row>
    <row r="370" spans="1:7" ht="14.4" x14ac:dyDescent="0.3">
      <c r="A370" s="6" t="s">
        <v>1055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463</v>
      </c>
      <c r="G370" s="4"/>
    </row>
    <row r="371" spans="1:7" ht="14.4" x14ac:dyDescent="0.3">
      <c r="A371" s="6" t="s">
        <v>1056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1140</v>
      </c>
      <c r="G371" s="4"/>
    </row>
    <row r="372" spans="1:7" ht="14.4" x14ac:dyDescent="0.3">
      <c r="A372" s="6" t="s">
        <v>1057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1141</v>
      </c>
      <c r="G372" s="4"/>
    </row>
    <row r="373" spans="1:7" ht="14.4" x14ac:dyDescent="0.3">
      <c r="A373" s="6" t="s">
        <v>1058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465</v>
      </c>
      <c r="G373" s="4"/>
    </row>
    <row r="374" spans="1:7" ht="14.4" x14ac:dyDescent="0.3">
      <c r="A374" s="6" t="s">
        <v>1059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1142</v>
      </c>
      <c r="G374" s="4"/>
    </row>
    <row r="375" spans="1:7" ht="14.4" x14ac:dyDescent="0.3">
      <c r="A375" s="6" t="s">
        <v>1060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1143</v>
      </c>
      <c r="G375" s="4"/>
    </row>
    <row r="376" spans="1:7" ht="14.4" x14ac:dyDescent="0.3">
      <c r="A376" s="6" t="s">
        <v>1061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1144</v>
      </c>
      <c r="G376" s="4"/>
    </row>
    <row r="377" spans="1:7" ht="14.4" x14ac:dyDescent="0.3">
      <c r="A377" s="6" t="s">
        <v>1062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1145</v>
      </c>
      <c r="G377" s="4"/>
    </row>
    <row r="378" spans="1:7" ht="14.4" x14ac:dyDescent="0.3">
      <c r="A378" s="6" t="s">
        <v>1063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704</v>
      </c>
      <c r="G378" s="4"/>
    </row>
    <row r="379" spans="1:7" ht="14.4" x14ac:dyDescent="0.3">
      <c r="A379" s="6" t="s">
        <v>1064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708</v>
      </c>
      <c r="G379" s="4"/>
    </row>
    <row r="380" spans="1:7" ht="14.4" x14ac:dyDescent="0.3">
      <c r="A380" s="6" t="s">
        <v>1065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1146</v>
      </c>
      <c r="G380" s="4"/>
    </row>
    <row r="381" spans="1:7" ht="14.4" x14ac:dyDescent="0.3">
      <c r="A381" s="6" t="s">
        <v>1066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1147</v>
      </c>
      <c r="G381" s="4"/>
    </row>
    <row r="382" spans="1:7" ht="14.4" x14ac:dyDescent="0.3">
      <c r="A382" s="6" t="s">
        <v>1067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707</v>
      </c>
      <c r="G382" s="4"/>
    </row>
    <row r="383" spans="1:7" ht="14.4" x14ac:dyDescent="0.3">
      <c r="A383" s="6" t="s">
        <v>1068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710</v>
      </c>
      <c r="G383" s="4"/>
    </row>
    <row r="384" spans="1:7" ht="14.4" x14ac:dyDescent="0.3">
      <c r="A384" s="6" t="s">
        <v>1069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1148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706</v>
      </c>
      <c r="G385" s="4"/>
    </row>
    <row r="386" spans="1:7" ht="14.4" x14ac:dyDescent="0.3">
      <c r="A386" s="6" t="s">
        <v>1070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1071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1149</v>
      </c>
      <c r="G387" s="4"/>
    </row>
    <row r="388" spans="1:7" ht="14.4" x14ac:dyDescent="0.3">
      <c r="A388" s="6" t="s">
        <v>667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728</v>
      </c>
      <c r="G388" s="4"/>
    </row>
    <row r="389" spans="1:7" ht="14.4" x14ac:dyDescent="0.3">
      <c r="A389" s="6" t="s">
        <v>1072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1150</v>
      </c>
      <c r="G389" s="4"/>
    </row>
    <row r="390" spans="1:7" ht="14.4" x14ac:dyDescent="0.3">
      <c r="A390" s="6" t="s">
        <v>668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729</v>
      </c>
      <c r="G390" s="4"/>
    </row>
    <row r="391" spans="1:7" ht="14.4" x14ac:dyDescent="0.3">
      <c r="A391" s="6" t="s">
        <v>669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730</v>
      </c>
      <c r="G391" s="4"/>
    </row>
    <row r="392" spans="1:7" ht="14.4" x14ac:dyDescent="0.3">
      <c r="A392" s="6" t="s">
        <v>1073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1151</v>
      </c>
      <c r="G392" s="4"/>
    </row>
    <row r="393" spans="1:7" ht="14.4" x14ac:dyDescent="0.3">
      <c r="A393" s="6" t="s">
        <v>659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724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1152</v>
      </c>
      <c r="G394" s="4"/>
    </row>
    <row r="395" spans="1:7" ht="14.4" x14ac:dyDescent="0.3">
      <c r="A395" s="6" t="s">
        <v>1074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1153</v>
      </c>
      <c r="G395" s="4"/>
    </row>
    <row r="396" spans="1:7" ht="14.4" x14ac:dyDescent="0.3">
      <c r="A396" s="6" t="s">
        <v>1075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1154</v>
      </c>
      <c r="G396" s="4"/>
    </row>
    <row r="397" spans="1:7" ht="14.4" x14ac:dyDescent="0.3">
      <c r="A397" s="6" t="s">
        <v>1076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1155</v>
      </c>
      <c r="G397" s="4"/>
    </row>
    <row r="398" spans="1:7" ht="14.4" x14ac:dyDescent="0.3">
      <c r="A398" s="6" t="s">
        <v>1077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1156</v>
      </c>
      <c r="G398" s="4"/>
    </row>
    <row r="399" spans="1:7" ht="14.4" x14ac:dyDescent="0.3">
      <c r="A399" s="6" t="s">
        <v>657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1157</v>
      </c>
      <c r="G399" s="4"/>
    </row>
    <row r="400" spans="1:7" ht="14.4" x14ac:dyDescent="0.3">
      <c r="A400" s="6" t="s">
        <v>658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1157</v>
      </c>
      <c r="G400" s="4"/>
    </row>
    <row r="401" spans="1:7" ht="14.4" x14ac:dyDescent="0.3">
      <c r="A401" s="6" t="s">
        <v>298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1157</v>
      </c>
      <c r="G401" s="4"/>
    </row>
    <row r="402" spans="1:7" ht="14.4" x14ac:dyDescent="0.3">
      <c r="A402" s="6" t="s">
        <v>249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1157</v>
      </c>
      <c r="G402" s="4"/>
    </row>
    <row r="403" spans="1:7" ht="14.4" x14ac:dyDescent="0.3">
      <c r="A403" s="6" t="s">
        <v>653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1158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523</v>
      </c>
      <c r="G404" s="4"/>
    </row>
    <row r="405" spans="1:7" ht="14.4" x14ac:dyDescent="0.3">
      <c r="A405" s="6" t="s">
        <v>646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558</v>
      </c>
      <c r="G405" s="4"/>
    </row>
    <row r="406" spans="1:7" ht="14.4" x14ac:dyDescent="0.3">
      <c r="A406" s="6" t="s">
        <v>284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1159</v>
      </c>
      <c r="G406" s="4"/>
    </row>
    <row r="407" spans="1:7" ht="14.4" x14ac:dyDescent="0.3">
      <c r="A407" s="6" t="s">
        <v>651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1078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1160</v>
      </c>
      <c r="G408" s="4"/>
    </row>
    <row r="409" spans="1:7" ht="14.4" x14ac:dyDescent="0.3">
      <c r="A409" s="6" t="s">
        <v>247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1161</v>
      </c>
      <c r="G409" s="4"/>
    </row>
    <row r="410" spans="1:7" ht="14.4" x14ac:dyDescent="0.3">
      <c r="A410" s="6" t="s">
        <v>250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1162</v>
      </c>
      <c r="G410" s="4"/>
    </row>
    <row r="411" spans="1:7" ht="14.4" x14ac:dyDescent="0.3">
      <c r="A411" s="6" t="s">
        <v>1079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714</v>
      </c>
      <c r="G411" s="4"/>
    </row>
    <row r="412" spans="1:7" ht="14.4" x14ac:dyDescent="0.3">
      <c r="A412" s="6" t="s">
        <v>1080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656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1163</v>
      </c>
      <c r="G413" s="4"/>
    </row>
    <row r="414" spans="1:7" x14ac:dyDescent="0.3">
      <c r="A414" s="7" t="s">
        <v>1081</v>
      </c>
      <c r="B414" s="52" t="str">
        <f>TRIM(Table4[[#This Row],[ypn]])</f>
        <v>ASSY_AMZ005DC0EE</v>
      </c>
      <c r="C414" s="52" t="b">
        <f>Table4[[#This Row],[ypn]]=Table4[[#This Row],[trim]]</f>
        <v>1</v>
      </c>
      <c r="D414" s="52" t="e">
        <f>Table4[[#This Row],[ypn]]*1</f>
        <v>#VALUE!</v>
      </c>
      <c r="E414" s="52">
        <f>TYPE(Table4[[#This Row],[ypn]])</f>
        <v>2</v>
      </c>
      <c r="F414" t="s">
        <v>1165</v>
      </c>
      <c r="G414" s="4"/>
    </row>
    <row r="415" spans="1:7" x14ac:dyDescent="0.3">
      <c r="A415" s="7" t="s">
        <v>1082</v>
      </c>
      <c r="B415" s="52" t="str">
        <f>TRIM(Table4[[#This Row],[ypn]])</f>
        <v>ASSY_AMZ005DC0FE</v>
      </c>
      <c r="C415" s="52" t="b">
        <f>Table4[[#This Row],[ypn]]=Table4[[#This Row],[trim]]</f>
        <v>1</v>
      </c>
      <c r="D415" s="52" t="e">
        <f>Table4[[#This Row],[ypn]]*1</f>
        <v>#VALUE!</v>
      </c>
      <c r="E415" s="52">
        <f>TYPE(Table4[[#This Row],[ypn]])</f>
        <v>2</v>
      </c>
      <c r="F415" t="s">
        <v>721</v>
      </c>
      <c r="G415" s="4"/>
    </row>
    <row r="416" spans="1:7" x14ac:dyDescent="0.3">
      <c r="A416" s="7" t="s">
        <v>1083</v>
      </c>
      <c r="B416" s="52" t="str">
        <f>TRIM(Table4[[#This Row],[ypn]])</f>
        <v>ASSY_AMZ005DC0DE</v>
      </c>
      <c r="C416" s="52" t="b">
        <f>Table4[[#This Row],[ypn]]=Table4[[#This Row],[trim]]</f>
        <v>1</v>
      </c>
      <c r="D416" s="52" t="e">
        <f>Table4[[#This Row],[ypn]]*1</f>
        <v>#VALUE!</v>
      </c>
      <c r="E416" s="52">
        <f>TYPE(Table4[[#This Row],[ypn]])</f>
        <v>2</v>
      </c>
      <c r="F416" t="s">
        <v>719</v>
      </c>
      <c r="G416" s="4"/>
    </row>
    <row r="417" spans="1:7" x14ac:dyDescent="0.3">
      <c r="A417" s="7" t="s">
        <v>1084</v>
      </c>
      <c r="B417" s="52" t="str">
        <f>TRIM(Table4[[#This Row],[ypn]])</f>
        <v>ASSY_118021051E</v>
      </c>
      <c r="C417" s="52" t="b">
        <f>Table4[[#This Row],[ypn]]=Table4[[#This Row],[trim]]</f>
        <v>1</v>
      </c>
      <c r="D417" s="52" t="e">
        <f>Table4[[#This Row],[ypn]]*1</f>
        <v>#VALUE!</v>
      </c>
      <c r="E417" s="52">
        <f>TYPE(Table4[[#This Row],[ypn]])</f>
        <v>2</v>
      </c>
      <c r="F417" t="s">
        <v>1166</v>
      </c>
      <c r="G417" s="4"/>
    </row>
    <row r="418" spans="1:7" x14ac:dyDescent="0.3">
      <c r="A418" s="7" t="s">
        <v>1085</v>
      </c>
      <c r="B418" s="52" t="str">
        <f>TRIM(Table4[[#This Row],[ypn]])</f>
        <v>ASSY_59Z145DC0FE</v>
      </c>
      <c r="C418" s="52" t="b">
        <f>Table4[[#This Row],[ypn]]=Table4[[#This Row],[trim]]</f>
        <v>1</v>
      </c>
      <c r="D418" s="52" t="e">
        <f>Table4[[#This Row],[ypn]]*1</f>
        <v>#VALUE!</v>
      </c>
      <c r="E418" s="52">
        <f>TYPE(Table4[[#This Row],[ypn]])</f>
        <v>2</v>
      </c>
      <c r="F418" t="s">
        <v>1167</v>
      </c>
      <c r="G418" s="4"/>
    </row>
    <row r="419" spans="1:7" x14ac:dyDescent="0.3">
      <c r="A419" s="7" t="s">
        <v>1086</v>
      </c>
      <c r="B419" s="52" t="str">
        <f>TRIM(Table4[[#This Row],[ypn]])</f>
        <v>ASSY_123024541E</v>
      </c>
      <c r="C419" s="52" t="b">
        <f>Table4[[#This Row],[ypn]]=Table4[[#This Row],[trim]]</f>
        <v>1</v>
      </c>
      <c r="D419" s="52" t="e">
        <f>Table4[[#This Row],[ypn]]*1</f>
        <v>#VALUE!</v>
      </c>
      <c r="E419" s="52">
        <f>TYPE(Table4[[#This Row],[ypn]])</f>
        <v>2</v>
      </c>
      <c r="F419" t="s">
        <v>1168</v>
      </c>
      <c r="G419" s="4"/>
    </row>
    <row r="420" spans="1:7" x14ac:dyDescent="0.3">
      <c r="A420" s="7" t="s">
        <v>304</v>
      </c>
      <c r="B420" s="52" t="str">
        <f>TRIM(Table4[[#This Row],[ypn]])</f>
        <v>ASSY_123024542+ASSY_23024521</v>
      </c>
      <c r="C420" s="52" t="b">
        <f>Table4[[#This Row],[ypn]]=Table4[[#This Row],[trim]]</f>
        <v>1</v>
      </c>
      <c r="D420" s="52" t="e">
        <f>Table4[[#This Row],[ypn]]*1</f>
        <v>#VALUE!</v>
      </c>
      <c r="E420" s="52">
        <f>TYPE(Table4[[#This Row],[ypn]])</f>
        <v>2</v>
      </c>
      <c r="F420" t="s">
        <v>713</v>
      </c>
      <c r="G420" s="4"/>
    </row>
    <row r="421" spans="1:7" x14ac:dyDescent="0.3">
      <c r="A421" s="7" t="s">
        <v>1087</v>
      </c>
      <c r="B421" s="52" t="str">
        <f>TRIM(Table4[[#This Row],[ypn]])</f>
        <v>ASSY_CA288A25199XXXE</v>
      </c>
      <c r="C421" s="52" t="b">
        <f>Table4[[#This Row],[ypn]]=Table4[[#This Row],[trim]]</f>
        <v>1</v>
      </c>
      <c r="D421" s="52" t="e">
        <f>Table4[[#This Row],[ypn]]*1</f>
        <v>#VALUE!</v>
      </c>
      <c r="E421" s="52">
        <f>TYPE(Table4[[#This Row],[ypn]])</f>
        <v>2</v>
      </c>
      <c r="F421" t="s">
        <v>1169</v>
      </c>
      <c r="G421" s="4"/>
    </row>
    <row r="422" spans="1:7" x14ac:dyDescent="0.3">
      <c r="A422" s="7" t="s">
        <v>1088</v>
      </c>
      <c r="B422" s="52" t="str">
        <f>TRIM(Table4[[#This Row],[ypn]])</f>
        <v>7119605590E</v>
      </c>
      <c r="C422" s="52" t="b">
        <f>Table4[[#This Row],[ypn]]=Table4[[#This Row],[trim]]</f>
        <v>1</v>
      </c>
      <c r="D422" s="52" t="e">
        <f>Table4[[#This Row],[ypn]]*1</f>
        <v>#VALUE!</v>
      </c>
      <c r="E422" s="52">
        <f>TYPE(Table4[[#This Row],[ypn]])</f>
        <v>2</v>
      </c>
      <c r="F422" t="s">
        <v>1170</v>
      </c>
      <c r="G422" s="4"/>
    </row>
    <row r="423" spans="1:7" x14ac:dyDescent="0.3">
      <c r="A423" s="7">
        <v>7119637880</v>
      </c>
      <c r="B423" s="52" t="str">
        <f>TRIM(Table4[[#This Row],[ypn]])</f>
        <v>7119637880</v>
      </c>
      <c r="C423" s="52" t="b">
        <f>Table4[[#This Row],[ypn]]=Table4[[#This Row],[trim]]</f>
        <v>0</v>
      </c>
      <c r="D423" s="52">
        <f>Table4[[#This Row],[ypn]]*1</f>
        <v>7119637880</v>
      </c>
      <c r="E423" s="52">
        <f>TYPE(Table4[[#This Row],[ypn]])</f>
        <v>1</v>
      </c>
      <c r="F423" t="s">
        <v>1171</v>
      </c>
      <c r="G423" s="4"/>
    </row>
    <row r="424" spans="1:7" x14ac:dyDescent="0.3">
      <c r="A424" s="7">
        <v>7119665630</v>
      </c>
      <c r="B424" s="52" t="str">
        <f>TRIM(Table4[[#This Row],[ypn]])</f>
        <v>7119665630</v>
      </c>
      <c r="C424" s="52" t="b">
        <f>Table4[[#This Row],[ypn]]=Table4[[#This Row],[trim]]</f>
        <v>0</v>
      </c>
      <c r="D424" s="52">
        <f>Table4[[#This Row],[ypn]]*1</f>
        <v>7119665630</v>
      </c>
      <c r="E424" s="52">
        <f>TYPE(Table4[[#This Row],[ypn]])</f>
        <v>1</v>
      </c>
      <c r="F424" t="s">
        <v>680</v>
      </c>
      <c r="G424" s="4"/>
    </row>
    <row r="425" spans="1:7" x14ac:dyDescent="0.3">
      <c r="A425" s="7" t="s">
        <v>1089</v>
      </c>
      <c r="B425" s="52" t="str">
        <f>TRIM(Table4[[#This Row],[ypn]])</f>
        <v>7187948430E</v>
      </c>
      <c r="C425" s="52" t="b">
        <f>Table4[[#This Row],[ypn]]=Table4[[#This Row],[trim]]</f>
        <v>1</v>
      </c>
      <c r="D425" s="52" t="e">
        <f>Table4[[#This Row],[ypn]]*1</f>
        <v>#VALUE!</v>
      </c>
      <c r="E425" s="52">
        <f>TYPE(Table4[[#This Row],[ypn]])</f>
        <v>2</v>
      </c>
      <c r="F425" t="s">
        <v>684</v>
      </c>
      <c r="G425" s="4"/>
    </row>
    <row r="426" spans="1:7" x14ac:dyDescent="0.3">
      <c r="A426" s="7">
        <v>7189486630</v>
      </c>
      <c r="B426" s="52" t="str">
        <f>TRIM(Table4[[#This Row],[ypn]])</f>
        <v>7189486630</v>
      </c>
      <c r="C426" s="52" t="b">
        <f>Table4[[#This Row],[ypn]]=Table4[[#This Row],[trim]]</f>
        <v>0</v>
      </c>
      <c r="D426" s="52">
        <f>Table4[[#This Row],[ypn]]*1</f>
        <v>7189486630</v>
      </c>
      <c r="E426" s="52">
        <f>TYPE(Table4[[#This Row],[ypn]])</f>
        <v>1</v>
      </c>
      <c r="F426" t="s">
        <v>685</v>
      </c>
      <c r="G426" s="4"/>
    </row>
    <row r="427" spans="1:7" x14ac:dyDescent="0.3">
      <c r="A427" s="7" t="s">
        <v>645</v>
      </c>
      <c r="B427" s="52" t="str">
        <f>TRIM(Table4[[#This Row],[ypn]])</f>
        <v>71979249+CLIP5110</v>
      </c>
      <c r="C427" s="52" t="b">
        <f>Table4[[#This Row],[ypn]]=Table4[[#This Row],[trim]]</f>
        <v>1</v>
      </c>
      <c r="D427" s="52" t="e">
        <f>Table4[[#This Row],[ypn]]*1</f>
        <v>#VALUE!</v>
      </c>
      <c r="E427" s="52">
        <f>TYPE(Table4[[#This Row],[ypn]])</f>
        <v>2</v>
      </c>
      <c r="F427" t="s">
        <v>1172</v>
      </c>
      <c r="G427" s="4"/>
    </row>
    <row r="428" spans="1:7" x14ac:dyDescent="0.3">
      <c r="A428" s="7">
        <v>7219682330</v>
      </c>
      <c r="B428" s="52" t="str">
        <f>TRIM(Table4[[#This Row],[ypn]])</f>
        <v>7219682330</v>
      </c>
      <c r="C428" s="52" t="b">
        <f>Table4[[#This Row],[ypn]]=Table4[[#This Row],[trim]]</f>
        <v>0</v>
      </c>
      <c r="D428" s="52">
        <f>Table4[[#This Row],[ypn]]*1</f>
        <v>7219682330</v>
      </c>
      <c r="E428" s="52">
        <f>TYPE(Table4[[#This Row],[ypn]])</f>
        <v>1</v>
      </c>
      <c r="F428" t="s">
        <v>690</v>
      </c>
      <c r="G428" s="4"/>
    </row>
    <row r="429" spans="1:7" x14ac:dyDescent="0.3">
      <c r="A429" s="7">
        <v>7278099530</v>
      </c>
      <c r="B429" s="52" t="str">
        <f>TRIM(Table4[[#This Row],[ypn]])</f>
        <v>7278099530</v>
      </c>
      <c r="C429" s="52" t="b">
        <f>Table4[[#This Row],[ypn]]=Table4[[#This Row],[trim]]</f>
        <v>0</v>
      </c>
      <c r="D429" s="52">
        <f>Table4[[#This Row],[ypn]]*1</f>
        <v>7278099530</v>
      </c>
      <c r="E429" s="52">
        <f>TYPE(Table4[[#This Row],[ypn]])</f>
        <v>1</v>
      </c>
      <c r="F429" t="s">
        <v>566</v>
      </c>
      <c r="G429" s="4"/>
    </row>
    <row r="430" spans="1:7" x14ac:dyDescent="0.3">
      <c r="A430" s="7">
        <v>7289063730</v>
      </c>
      <c r="B430" s="52" t="str">
        <f>TRIM(Table4[[#This Row],[ypn]])</f>
        <v>7289063730</v>
      </c>
      <c r="C430" s="52" t="b">
        <f>Table4[[#This Row],[ypn]]=Table4[[#This Row],[trim]]</f>
        <v>0</v>
      </c>
      <c r="D430" s="52">
        <f>Table4[[#This Row],[ypn]]*1</f>
        <v>7289063730</v>
      </c>
      <c r="E430" s="52">
        <f>TYPE(Table4[[#This Row],[ypn]])</f>
        <v>1</v>
      </c>
      <c r="F430" t="s">
        <v>477</v>
      </c>
      <c r="G430" s="4"/>
    </row>
    <row r="431" spans="1:7" x14ac:dyDescent="0.3">
      <c r="A431" s="7">
        <v>7289734390</v>
      </c>
      <c r="B431" s="52" t="str">
        <f>TRIM(Table4[[#This Row],[ypn]])</f>
        <v>7289734390</v>
      </c>
      <c r="C431" s="52" t="b">
        <f>Table4[[#This Row],[ypn]]=Table4[[#This Row],[trim]]</f>
        <v>0</v>
      </c>
      <c r="D431" s="52">
        <f>Table4[[#This Row],[ypn]]*1</f>
        <v>7289734390</v>
      </c>
      <c r="E431" s="52">
        <f>TYPE(Table4[[#This Row],[ypn]])</f>
        <v>1</v>
      </c>
      <c r="F431" t="s">
        <v>482</v>
      </c>
      <c r="G431" s="4"/>
    </row>
    <row r="432" spans="1:7" x14ac:dyDescent="0.3">
      <c r="A432" s="7">
        <v>7289886630</v>
      </c>
      <c r="B432" s="52" t="str">
        <f>TRIM(Table4[[#This Row],[ypn]])</f>
        <v>7289886630</v>
      </c>
      <c r="C432" s="52" t="b">
        <f>Table4[[#This Row],[ypn]]=Table4[[#This Row],[trim]]</f>
        <v>0</v>
      </c>
      <c r="D432" s="52">
        <f>Table4[[#This Row],[ypn]]*1</f>
        <v>7289886630</v>
      </c>
      <c r="E432" s="52">
        <f>TYPE(Table4[[#This Row],[ypn]])</f>
        <v>1</v>
      </c>
      <c r="F432" t="s">
        <v>1173</v>
      </c>
      <c r="G432" s="4"/>
    </row>
    <row r="433" spans="1:7" x14ac:dyDescent="0.3">
      <c r="A433" s="7">
        <v>7298196130</v>
      </c>
      <c r="B433" s="52" t="str">
        <f>TRIM(Table4[[#This Row],[ypn]])</f>
        <v>7298196130</v>
      </c>
      <c r="C433" s="52" t="b">
        <f>Table4[[#This Row],[ypn]]=Table4[[#This Row],[trim]]</f>
        <v>0</v>
      </c>
      <c r="D433" s="52">
        <f>Table4[[#This Row],[ypn]]*1</f>
        <v>7298196130</v>
      </c>
      <c r="E433" s="52">
        <f>TYPE(Table4[[#This Row],[ypn]])</f>
        <v>1</v>
      </c>
      <c r="F433" t="s">
        <v>302</v>
      </c>
      <c r="G433" s="4"/>
    </row>
    <row r="434" spans="1:7" x14ac:dyDescent="0.3">
      <c r="A434" s="7">
        <v>7298808730</v>
      </c>
      <c r="B434" s="52" t="str">
        <f>TRIM(Table4[[#This Row],[ypn]])</f>
        <v>7298808730</v>
      </c>
      <c r="C434" s="52" t="b">
        <f>Table4[[#This Row],[ypn]]=Table4[[#This Row],[trim]]</f>
        <v>0</v>
      </c>
      <c r="D434" s="52">
        <f>Table4[[#This Row],[ypn]]*1</f>
        <v>7298808730</v>
      </c>
      <c r="E434" s="52">
        <f>TYPE(Table4[[#This Row],[ypn]])</f>
        <v>1</v>
      </c>
      <c r="F434" t="s">
        <v>705</v>
      </c>
      <c r="G434" s="4"/>
    </row>
    <row r="435" spans="1:7" x14ac:dyDescent="0.3">
      <c r="A435" s="7">
        <v>7047052330</v>
      </c>
      <c r="B435" s="52" t="str">
        <f>TRIM(Table4[[#This Row],[ypn]])</f>
        <v>7047052330</v>
      </c>
      <c r="C435" s="52" t="b">
        <f>Table4[[#This Row],[ypn]]=Table4[[#This Row],[trim]]</f>
        <v>0</v>
      </c>
      <c r="D435" s="52">
        <f>Table4[[#This Row],[ypn]]*1</f>
        <v>7047052330</v>
      </c>
      <c r="E435" s="52">
        <f>TYPE(Table4[[#This Row],[ypn]])</f>
        <v>1</v>
      </c>
      <c r="F435" t="s">
        <v>1174</v>
      </c>
      <c r="G435" s="4"/>
    </row>
    <row r="436" spans="1:7" x14ac:dyDescent="0.3">
      <c r="A436" s="7">
        <v>7247374530</v>
      </c>
      <c r="B436" s="52" t="str">
        <f>TRIM(Table4[[#This Row],[ypn]])</f>
        <v>7247374530</v>
      </c>
      <c r="C436" s="52" t="b">
        <f>Table4[[#This Row],[ypn]]=Table4[[#This Row],[trim]]</f>
        <v>0</v>
      </c>
      <c r="D436" s="52">
        <f>Table4[[#This Row],[ypn]]*1</f>
        <v>7247374530</v>
      </c>
      <c r="E436" s="52">
        <f>TYPE(Table4[[#This Row],[ypn]])</f>
        <v>1</v>
      </c>
      <c r="G436" s="4"/>
    </row>
    <row r="437" spans="1:7" x14ac:dyDescent="0.3">
      <c r="A437" s="7">
        <v>7247374930</v>
      </c>
      <c r="B437" s="52" t="str">
        <f>TRIM(Table4[[#This Row],[ypn]])</f>
        <v>7247374930</v>
      </c>
      <c r="C437" s="52" t="b">
        <f>Table4[[#This Row],[ypn]]=Table4[[#This Row],[trim]]</f>
        <v>0</v>
      </c>
      <c r="D437" s="52">
        <f>Table4[[#This Row],[ypn]]*1</f>
        <v>7247374930</v>
      </c>
      <c r="E437" s="52">
        <f>TYPE(Table4[[#This Row],[ypn]])</f>
        <v>1</v>
      </c>
      <c r="G437" s="4"/>
    </row>
    <row r="438" spans="1:7" x14ac:dyDescent="0.3">
      <c r="A438" s="7">
        <v>7247761330</v>
      </c>
      <c r="B438" s="52" t="str">
        <f>TRIM(Table4[[#This Row],[ypn]])</f>
        <v>7247761330</v>
      </c>
      <c r="C438" s="52" t="b">
        <f>Table4[[#This Row],[ypn]]=Table4[[#This Row],[trim]]</f>
        <v>0</v>
      </c>
      <c r="D438" s="52">
        <f>Table4[[#This Row],[ypn]]*1</f>
        <v>7247761330</v>
      </c>
      <c r="E438" s="52">
        <f>TYPE(Table4[[#This Row],[ypn]])</f>
        <v>1</v>
      </c>
      <c r="F438" t="s">
        <v>987</v>
      </c>
      <c r="G438" s="4"/>
    </row>
    <row r="439" spans="1:7" x14ac:dyDescent="0.3">
      <c r="A439" s="7">
        <v>7247776330</v>
      </c>
      <c r="B439" s="52" t="str">
        <f>TRIM(Table4[[#This Row],[ypn]])</f>
        <v>7247776330</v>
      </c>
      <c r="C439" s="52" t="b">
        <f>Table4[[#This Row],[ypn]]=Table4[[#This Row],[trim]]</f>
        <v>0</v>
      </c>
      <c r="D439" s="52">
        <f>Table4[[#This Row],[ypn]]*1</f>
        <v>7247776330</v>
      </c>
      <c r="E439" s="52">
        <f>TYPE(Table4[[#This Row],[ypn]])</f>
        <v>1</v>
      </c>
      <c r="G439" s="4"/>
    </row>
    <row r="440" spans="1:7" x14ac:dyDescent="0.3">
      <c r="A440" s="7">
        <v>72478572</v>
      </c>
      <c r="B440" s="52" t="str">
        <f>TRIM(Table4[[#This Row],[ypn]])</f>
        <v>72478572</v>
      </c>
      <c r="C440" s="52" t="b">
        <f>Table4[[#This Row],[ypn]]=Table4[[#This Row],[trim]]</f>
        <v>0</v>
      </c>
      <c r="D440" s="52">
        <f>Table4[[#This Row],[ypn]]*1</f>
        <v>72478572</v>
      </c>
      <c r="E440" s="52">
        <f>TYPE(Table4[[#This Row],[ypn]])</f>
        <v>1</v>
      </c>
      <c r="F440" t="s">
        <v>988</v>
      </c>
      <c r="G440" s="4"/>
    </row>
    <row r="441" spans="1:7" x14ac:dyDescent="0.3">
      <c r="A441" s="7">
        <v>7147878930</v>
      </c>
      <c r="B441" s="52" t="str">
        <f>TRIM(Table4[[#This Row],[ypn]])</f>
        <v>7147878930</v>
      </c>
      <c r="C441" s="52" t="b">
        <f>Table4[[#This Row],[ypn]]=Table4[[#This Row],[trim]]</f>
        <v>0</v>
      </c>
      <c r="D441" s="52">
        <f>Table4[[#This Row],[ypn]]*1</f>
        <v>7147878930</v>
      </c>
      <c r="E441" s="52">
        <f>TYPE(Table4[[#This Row],[ypn]])</f>
        <v>1</v>
      </c>
      <c r="F441" t="s">
        <v>989</v>
      </c>
      <c r="G441" s="4"/>
    </row>
    <row r="442" spans="1:7" x14ac:dyDescent="0.3">
      <c r="A442" s="7">
        <v>7247787730</v>
      </c>
      <c r="B442" s="52" t="str">
        <f>TRIM(Table4[[#This Row],[ypn]])</f>
        <v>7247787730</v>
      </c>
      <c r="C442" s="52" t="b">
        <f>Table4[[#This Row],[ypn]]=Table4[[#This Row],[trim]]</f>
        <v>0</v>
      </c>
      <c r="D442" s="52">
        <f>Table4[[#This Row],[ypn]]*1</f>
        <v>7247787730</v>
      </c>
      <c r="E442" s="52">
        <f>TYPE(Table4[[#This Row],[ypn]])</f>
        <v>1</v>
      </c>
      <c r="F442" t="s">
        <v>990</v>
      </c>
      <c r="G442" s="4"/>
    </row>
    <row r="443" spans="1:7" x14ac:dyDescent="0.3">
      <c r="A443" s="7">
        <v>7247760930</v>
      </c>
      <c r="B443" s="52" t="str">
        <f>TRIM(Table4[[#This Row],[ypn]])</f>
        <v>7247760930</v>
      </c>
      <c r="C443" s="52" t="b">
        <f>Table4[[#This Row],[ypn]]=Table4[[#This Row],[trim]]</f>
        <v>0</v>
      </c>
      <c r="D443" s="52">
        <f>Table4[[#This Row],[ypn]]*1</f>
        <v>7247760930</v>
      </c>
      <c r="E443" s="52">
        <f>TYPE(Table4[[#This Row],[ypn]])</f>
        <v>1</v>
      </c>
      <c r="F443" t="s">
        <v>991</v>
      </c>
      <c r="G443" s="4"/>
    </row>
    <row r="444" spans="1:7" x14ac:dyDescent="0.3">
      <c r="A444" s="7">
        <v>7052161430</v>
      </c>
      <c r="B444" s="52" t="str">
        <f>TRIM(Table4[[#This Row],[ypn]])</f>
        <v>7052161430</v>
      </c>
      <c r="C444" s="52" t="b">
        <f>Table4[[#This Row],[ypn]]=Table4[[#This Row],[trim]]</f>
        <v>0</v>
      </c>
      <c r="D444" s="52">
        <f>Table4[[#This Row],[ypn]]*1</f>
        <v>7052161430</v>
      </c>
      <c r="E444" s="52">
        <f>TYPE(Table4[[#This Row],[ypn]])</f>
        <v>1</v>
      </c>
      <c r="G444" s="4"/>
    </row>
    <row r="445" spans="1:7" x14ac:dyDescent="0.3">
      <c r="A445" s="7">
        <v>7247760830</v>
      </c>
      <c r="B445" s="52" t="str">
        <f>TRIM(Table4[[#This Row],[ypn]])</f>
        <v>7247760830</v>
      </c>
      <c r="C445" s="52" t="b">
        <f>Table4[[#This Row],[ypn]]=Table4[[#This Row],[trim]]</f>
        <v>0</v>
      </c>
      <c r="D445" s="52">
        <f>Table4[[#This Row],[ypn]]*1</f>
        <v>7247760830</v>
      </c>
      <c r="E445" s="52">
        <f>TYPE(Table4[[#This Row],[ypn]])</f>
        <v>1</v>
      </c>
      <c r="F445" t="s">
        <v>992</v>
      </c>
      <c r="G445" s="4"/>
    </row>
    <row r="446" spans="1:7" x14ac:dyDescent="0.3">
      <c r="A446" s="7">
        <v>7247764130</v>
      </c>
      <c r="B446" s="52" t="str">
        <f>TRIM(Table4[[#This Row],[ypn]])</f>
        <v>7247764130</v>
      </c>
      <c r="C446" s="52" t="b">
        <f>Table4[[#This Row],[ypn]]=Table4[[#This Row],[trim]]</f>
        <v>0</v>
      </c>
      <c r="D446" s="52">
        <f>Table4[[#This Row],[ypn]]*1</f>
        <v>7247764130</v>
      </c>
      <c r="E446" s="52">
        <f>TYPE(Table4[[#This Row],[ypn]])</f>
        <v>1</v>
      </c>
      <c r="F446" t="s">
        <v>993</v>
      </c>
      <c r="G446" s="4"/>
    </row>
    <row r="447" spans="1:7" x14ac:dyDescent="0.3">
      <c r="A447" s="7">
        <v>7047009730</v>
      </c>
      <c r="B447" s="52" t="str">
        <f>TRIM(Table4[[#This Row],[ypn]])</f>
        <v>7047009730</v>
      </c>
      <c r="C447" s="52" t="b">
        <f>Table4[[#This Row],[ypn]]=Table4[[#This Row],[trim]]</f>
        <v>0</v>
      </c>
      <c r="D447" s="52">
        <f>Table4[[#This Row],[ypn]]*1</f>
        <v>7047009730</v>
      </c>
      <c r="E447" s="52">
        <f>TYPE(Table4[[#This Row],[ypn]])</f>
        <v>1</v>
      </c>
      <c r="G447" s="4"/>
    </row>
    <row r="448" spans="1:7" x14ac:dyDescent="0.3">
      <c r="A448" s="7">
        <v>7247781230</v>
      </c>
      <c r="B448" s="52" t="str">
        <f>TRIM(Table4[[#This Row],[ypn]])</f>
        <v>7247781230</v>
      </c>
      <c r="C448" s="52" t="b">
        <f>Table4[[#This Row],[ypn]]=Table4[[#This Row],[trim]]</f>
        <v>0</v>
      </c>
      <c r="D448" s="52">
        <f>Table4[[#This Row],[ypn]]*1</f>
        <v>7247781230</v>
      </c>
      <c r="E448" s="52">
        <f>TYPE(Table4[[#This Row],[ypn]])</f>
        <v>1</v>
      </c>
      <c r="F448" t="s">
        <v>994</v>
      </c>
      <c r="G448" s="4"/>
    </row>
    <row r="449" spans="1:7" x14ac:dyDescent="0.3">
      <c r="A449" s="7" t="s">
        <v>372</v>
      </c>
      <c r="B449" s="52" t="str">
        <f>TRIM(Table4[[#This Row],[ypn]])</f>
        <v>7147882430</v>
      </c>
      <c r="C449" s="52" t="b">
        <f>Table4[[#This Row],[ypn]]=Table4[[#This Row],[trim]]</f>
        <v>1</v>
      </c>
      <c r="D449" s="52">
        <f>Table4[[#This Row],[ypn]]*1</f>
        <v>7147882430</v>
      </c>
      <c r="E449" s="52">
        <f>TYPE(Table4[[#This Row],[ypn]])</f>
        <v>2</v>
      </c>
      <c r="G449" s="4"/>
    </row>
    <row r="450" spans="1:7" x14ac:dyDescent="0.3">
      <c r="A450" s="7">
        <v>7047273930</v>
      </c>
      <c r="B450" s="52" t="str">
        <f>TRIM(Table4[[#This Row],[ypn]])</f>
        <v>7047273930</v>
      </c>
      <c r="C450" s="52" t="b">
        <f>Table4[[#This Row],[ypn]]=Table4[[#This Row],[trim]]</f>
        <v>0</v>
      </c>
      <c r="D450" s="52">
        <f>Table4[[#This Row],[ypn]]*1</f>
        <v>7047273930</v>
      </c>
      <c r="E450" s="52">
        <f>TYPE(Table4[[#This Row],[ypn]])</f>
        <v>1</v>
      </c>
      <c r="F450" t="s">
        <v>995</v>
      </c>
      <c r="G450" s="4"/>
    </row>
    <row r="451" spans="1:7" x14ac:dyDescent="0.3">
      <c r="A451" s="7">
        <v>7047305630</v>
      </c>
      <c r="B451" s="52" t="str">
        <f>TRIM(Table4[[#This Row],[ypn]])</f>
        <v>7047305630</v>
      </c>
      <c r="C451" s="52" t="b">
        <f>Table4[[#This Row],[ypn]]=Table4[[#This Row],[trim]]</f>
        <v>0</v>
      </c>
      <c r="D451" s="52">
        <f>Table4[[#This Row],[ypn]]*1</f>
        <v>7047305630</v>
      </c>
      <c r="E451" s="52">
        <f>TYPE(Table4[[#This Row],[ypn]])</f>
        <v>1</v>
      </c>
      <c r="F451" t="s">
        <v>996</v>
      </c>
      <c r="G451" s="4"/>
    </row>
    <row r="452" spans="1:7" x14ac:dyDescent="0.3">
      <c r="A452" s="7">
        <v>7247781730</v>
      </c>
      <c r="B452" s="52" t="str">
        <f>TRIM(Table4[[#This Row],[ypn]])</f>
        <v>7247781730</v>
      </c>
      <c r="C452" s="52" t="b">
        <f>Table4[[#This Row],[ypn]]=Table4[[#This Row],[trim]]</f>
        <v>0</v>
      </c>
      <c r="D452" s="52">
        <f>Table4[[#This Row],[ypn]]*1</f>
        <v>7247781730</v>
      </c>
      <c r="E452" s="52">
        <f>TYPE(Table4[[#This Row],[ypn]])</f>
        <v>1</v>
      </c>
      <c r="F452" t="s">
        <v>997</v>
      </c>
      <c r="G452" s="4"/>
    </row>
    <row r="453" spans="1:7" x14ac:dyDescent="0.3">
      <c r="A453" s="7">
        <v>7047135830</v>
      </c>
      <c r="B453" s="52" t="str">
        <f>TRIM(Table4[[#This Row],[ypn]])</f>
        <v>7047135830</v>
      </c>
      <c r="C453" s="52" t="b">
        <f>Table4[[#This Row],[ypn]]=Table4[[#This Row],[trim]]</f>
        <v>0</v>
      </c>
      <c r="D453" s="52">
        <f>Table4[[#This Row],[ypn]]*1</f>
        <v>7047135830</v>
      </c>
      <c r="E453" s="52">
        <f>TYPE(Table4[[#This Row],[ypn]])</f>
        <v>1</v>
      </c>
      <c r="F453" t="s">
        <v>998</v>
      </c>
      <c r="G453" s="4"/>
    </row>
    <row r="454" spans="1:7" x14ac:dyDescent="0.3">
      <c r="A454" s="7">
        <v>7047178330</v>
      </c>
      <c r="B454" s="52" t="str">
        <f>TRIM(Table4[[#This Row],[ypn]])</f>
        <v>7047178330</v>
      </c>
      <c r="C454" s="52" t="b">
        <f>Table4[[#This Row],[ypn]]=Table4[[#This Row],[trim]]</f>
        <v>0</v>
      </c>
      <c r="D454" s="52">
        <f>Table4[[#This Row],[ypn]]*1</f>
        <v>7047178330</v>
      </c>
      <c r="E454" s="52">
        <f>TYPE(Table4[[#This Row],[ypn]])</f>
        <v>1</v>
      </c>
      <c r="G454" s="4"/>
    </row>
    <row r="455" spans="1:7" x14ac:dyDescent="0.3">
      <c r="A455" s="7">
        <v>7252726530</v>
      </c>
      <c r="B455" s="52" t="str">
        <f>TRIM(Table4[[#This Row],[ypn]])</f>
        <v>7252726530</v>
      </c>
      <c r="C455" s="52" t="b">
        <f>Table4[[#This Row],[ypn]]=Table4[[#This Row],[trim]]</f>
        <v>0</v>
      </c>
      <c r="D455" s="52">
        <f>Table4[[#This Row],[ypn]]*1</f>
        <v>7252726530</v>
      </c>
      <c r="E455" s="52">
        <f>TYPE(Table4[[#This Row],[ypn]])</f>
        <v>1</v>
      </c>
      <c r="F455" t="s">
        <v>999</v>
      </c>
      <c r="G455" s="4"/>
    </row>
    <row r="456" spans="1:7" x14ac:dyDescent="0.3">
      <c r="A456" s="7" t="s">
        <v>1090</v>
      </c>
      <c r="B456" s="52" t="str">
        <f>TRIM(Table4[[#This Row],[ypn]])</f>
        <v>70521459</v>
      </c>
      <c r="C456" s="52" t="b">
        <f>Table4[[#This Row],[ypn]]=Table4[[#This Row],[trim]]</f>
        <v>1</v>
      </c>
      <c r="D456" s="52">
        <f>Table4[[#This Row],[ypn]]*1</f>
        <v>70521459</v>
      </c>
      <c r="E456" s="52">
        <f>TYPE(Table4[[#This Row],[ypn]])</f>
        <v>2</v>
      </c>
      <c r="F456" t="s">
        <v>1000</v>
      </c>
      <c r="G456" s="4"/>
    </row>
    <row r="457" spans="1:7" x14ac:dyDescent="0.3">
      <c r="A457" s="7" t="s">
        <v>394</v>
      </c>
      <c r="B457" s="52" t="str">
        <f>TRIM(Table4[[#This Row],[ypn]])</f>
        <v>7252779130</v>
      </c>
      <c r="C457" s="52" t="b">
        <f>Table4[[#This Row],[ypn]]=Table4[[#This Row],[trim]]</f>
        <v>1</v>
      </c>
      <c r="D457" s="52">
        <f>Table4[[#This Row],[ypn]]*1</f>
        <v>7252779130</v>
      </c>
      <c r="E457" s="52">
        <f>TYPE(Table4[[#This Row],[ypn]])</f>
        <v>2</v>
      </c>
      <c r="G457" s="4"/>
    </row>
    <row r="458" spans="1:7" x14ac:dyDescent="0.3">
      <c r="A458" s="7" t="s">
        <v>392</v>
      </c>
      <c r="B458" s="52" t="str">
        <f>TRIM(Table4[[#This Row],[ypn]])</f>
        <v>7252735930</v>
      </c>
      <c r="C458" s="52" t="b">
        <f>Table4[[#This Row],[ypn]]=Table4[[#This Row],[trim]]</f>
        <v>1</v>
      </c>
      <c r="D458" s="52">
        <f>Table4[[#This Row],[ypn]]*1</f>
        <v>7252735930</v>
      </c>
      <c r="E458" s="52">
        <f>TYPE(Table4[[#This Row],[ypn]])</f>
        <v>2</v>
      </c>
      <c r="F458" t="s">
        <v>1001</v>
      </c>
      <c r="G458" s="4"/>
    </row>
    <row r="459" spans="1:7" x14ac:dyDescent="0.3">
      <c r="A459" s="7">
        <v>7252809330</v>
      </c>
      <c r="B459" s="52" t="str">
        <f>TRIM(Table4[[#This Row],[ypn]])</f>
        <v>7252809330</v>
      </c>
      <c r="C459" s="52" t="b">
        <f>Table4[[#This Row],[ypn]]=Table4[[#This Row],[trim]]</f>
        <v>0</v>
      </c>
      <c r="D459" s="52">
        <f>Table4[[#This Row],[ypn]]*1</f>
        <v>7252809330</v>
      </c>
      <c r="E459" s="52">
        <f>TYPE(Table4[[#This Row],[ypn]])</f>
        <v>1</v>
      </c>
      <c r="F459" t="s">
        <v>1002</v>
      </c>
      <c r="G459" s="4"/>
    </row>
    <row r="460" spans="1:7" x14ac:dyDescent="0.3">
      <c r="A460" s="7">
        <v>7252815130</v>
      </c>
      <c r="B460" s="52" t="str">
        <f>TRIM(Table4[[#This Row],[ypn]])</f>
        <v>7252815130</v>
      </c>
      <c r="C460" s="52" t="b">
        <f>Table4[[#This Row],[ypn]]=Table4[[#This Row],[trim]]</f>
        <v>0</v>
      </c>
      <c r="D460" s="52">
        <f>Table4[[#This Row],[ypn]]*1</f>
        <v>7252815130</v>
      </c>
      <c r="E460" s="52">
        <f>TYPE(Table4[[#This Row],[ypn]])</f>
        <v>1</v>
      </c>
      <c r="G460" s="4"/>
    </row>
    <row r="461" spans="1:7" x14ac:dyDescent="0.3">
      <c r="A461" s="7" t="s">
        <v>1091</v>
      </c>
      <c r="B461" s="52" t="str">
        <f>TRIM(Table4[[#This Row],[ypn]])</f>
        <v>7047251030U</v>
      </c>
      <c r="C461" s="52" t="b">
        <f>Table4[[#This Row],[ypn]]=Table4[[#This Row],[trim]]</f>
        <v>1</v>
      </c>
      <c r="D461" s="52" t="e">
        <f>Table4[[#This Row],[ypn]]*1</f>
        <v>#VALUE!</v>
      </c>
      <c r="E461" s="52">
        <f>TYPE(Table4[[#This Row],[ypn]])</f>
        <v>2</v>
      </c>
      <c r="F461" t="s">
        <v>1175</v>
      </c>
      <c r="G461" s="4"/>
    </row>
    <row r="462" spans="1:7" x14ac:dyDescent="0.3">
      <c r="A462" s="7" t="s">
        <v>1092</v>
      </c>
      <c r="B462" s="52" t="str">
        <f>TRIM(Table4[[#This Row],[ypn]])</f>
        <v>7047275330S</v>
      </c>
      <c r="C462" s="52" t="b">
        <f>Table4[[#This Row],[ypn]]=Table4[[#This Row],[trim]]</f>
        <v>1</v>
      </c>
      <c r="D462" s="52" t="e">
        <f>Table4[[#This Row],[ypn]]*1</f>
        <v>#VALUE!</v>
      </c>
      <c r="E462" s="52">
        <f>TYPE(Table4[[#This Row],[ypn]])</f>
        <v>2</v>
      </c>
      <c r="G462" s="4"/>
    </row>
    <row r="463" spans="1:7" x14ac:dyDescent="0.3">
      <c r="A463" s="7" t="s">
        <v>1093</v>
      </c>
      <c r="B463" s="52" t="str">
        <f>TRIM(Table4[[#This Row],[ypn]])</f>
        <v>70475017D</v>
      </c>
      <c r="C463" s="52" t="b">
        <f>Table4[[#This Row],[ypn]]=Table4[[#This Row],[trim]]</f>
        <v>1</v>
      </c>
      <c r="D463" s="52" t="e">
        <f>Table4[[#This Row],[ypn]]*1</f>
        <v>#VALUE!</v>
      </c>
      <c r="E463" s="52">
        <f>TYPE(Table4[[#This Row],[ypn]])</f>
        <v>2</v>
      </c>
      <c r="F463" t="s">
        <v>1176</v>
      </c>
      <c r="G463" s="4"/>
    </row>
    <row r="464" spans="1:7" x14ac:dyDescent="0.3">
      <c r="A464" s="7" t="s">
        <v>1094</v>
      </c>
      <c r="B464" s="52" t="str">
        <f>TRIM(Table4[[#This Row],[ypn]])</f>
        <v>7047798230S</v>
      </c>
      <c r="C464" s="52" t="b">
        <f>Table4[[#This Row],[ypn]]=Table4[[#This Row],[trim]]</f>
        <v>1</v>
      </c>
      <c r="D464" s="52" t="e">
        <f>Table4[[#This Row],[ypn]]*1</f>
        <v>#VALUE!</v>
      </c>
      <c r="E464" s="52">
        <f>TYPE(Table4[[#This Row],[ypn]])</f>
        <v>2</v>
      </c>
      <c r="G464" s="4"/>
    </row>
    <row r="465" spans="1:7" x14ac:dyDescent="0.3">
      <c r="A465" s="7" t="s">
        <v>1095</v>
      </c>
      <c r="B465" s="52" t="str">
        <f>TRIM(Table4[[#This Row],[ypn]])</f>
        <v>7047798330S</v>
      </c>
      <c r="C465" s="52" t="b">
        <f>Table4[[#This Row],[ypn]]=Table4[[#This Row],[trim]]</f>
        <v>1</v>
      </c>
      <c r="D465" s="52" t="e">
        <f>Table4[[#This Row],[ypn]]*1</f>
        <v>#VALUE!</v>
      </c>
      <c r="E465" s="52">
        <f>TYPE(Table4[[#This Row],[ypn]])</f>
        <v>2</v>
      </c>
      <c r="F465" t="s">
        <v>1177</v>
      </c>
      <c r="G465" s="4"/>
    </row>
    <row r="466" spans="1:7" x14ac:dyDescent="0.3">
      <c r="A466" s="7" t="s">
        <v>1096</v>
      </c>
      <c r="B466" s="52" t="str">
        <f>TRIM(Table4[[#This Row],[ypn]])</f>
        <v>7247001130S</v>
      </c>
      <c r="C466" s="52" t="b">
        <f>Table4[[#This Row],[ypn]]=Table4[[#This Row],[trim]]</f>
        <v>1</v>
      </c>
      <c r="D466" s="52" t="e">
        <f>Table4[[#This Row],[ypn]]*1</f>
        <v>#VALUE!</v>
      </c>
      <c r="E466" s="52">
        <f>TYPE(Table4[[#This Row],[ypn]])</f>
        <v>2</v>
      </c>
      <c r="G466" s="4"/>
    </row>
    <row r="467" spans="1:7" x14ac:dyDescent="0.3">
      <c r="A467" s="7" t="s">
        <v>1097</v>
      </c>
      <c r="B467" s="52" t="str">
        <f>TRIM(Table4[[#This Row],[ypn]])</f>
        <v>7247758130S</v>
      </c>
      <c r="C467" s="52" t="b">
        <f>Table4[[#This Row],[ypn]]=Table4[[#This Row],[trim]]</f>
        <v>1</v>
      </c>
      <c r="D467" s="52" t="e">
        <f>Table4[[#This Row],[ypn]]*1</f>
        <v>#VALUE!</v>
      </c>
      <c r="E467" s="52">
        <f>TYPE(Table4[[#This Row],[ypn]])</f>
        <v>2</v>
      </c>
      <c r="F467">
        <v>2137810</v>
      </c>
      <c r="G467" s="4"/>
    </row>
    <row r="468" spans="1:7" x14ac:dyDescent="0.3">
      <c r="A468" s="7" t="s">
        <v>1098</v>
      </c>
      <c r="B468" s="52" t="str">
        <f>TRIM(Table4[[#This Row],[ypn]])</f>
        <v>7247792930S</v>
      </c>
      <c r="C468" s="52" t="b">
        <f>Table4[[#This Row],[ypn]]=Table4[[#This Row],[trim]]</f>
        <v>1</v>
      </c>
      <c r="D468" s="52" t="e">
        <f>Table4[[#This Row],[ypn]]*1</f>
        <v>#VALUE!</v>
      </c>
      <c r="E468" s="52">
        <f>TYPE(Table4[[#This Row],[ypn]])</f>
        <v>2</v>
      </c>
      <c r="F468" t="s">
        <v>1178</v>
      </c>
      <c r="G468" s="4"/>
    </row>
    <row r="469" spans="1:7" x14ac:dyDescent="0.3">
      <c r="A469" s="7" t="s">
        <v>1099</v>
      </c>
      <c r="B469" s="52" t="str">
        <f>TRIM(Table4[[#This Row],[ypn]])</f>
        <v>7252803330S</v>
      </c>
      <c r="C469" s="52" t="b">
        <f>Table4[[#This Row],[ypn]]=Table4[[#This Row],[trim]]</f>
        <v>1</v>
      </c>
      <c r="D469" s="52" t="e">
        <f>Table4[[#This Row],[ypn]]*1</f>
        <v>#VALUE!</v>
      </c>
      <c r="E469" s="52">
        <f>TYPE(Table4[[#This Row],[ypn]])</f>
        <v>2</v>
      </c>
      <c r="G469" s="4"/>
    </row>
    <row r="470" spans="1:7" x14ac:dyDescent="0.3">
      <c r="A470" s="7" t="s">
        <v>1100</v>
      </c>
      <c r="B470" s="52" t="str">
        <f>TRIM(Table4[[#This Row],[ypn]])</f>
        <v>7176862930 (X1PO2407)</v>
      </c>
      <c r="C470" s="52" t="b">
        <f>Table4[[#This Row],[ypn]]=Table4[[#This Row],[trim]]</f>
        <v>1</v>
      </c>
      <c r="D470" s="52" t="e">
        <f>Table4[[#This Row],[ypn]]*1</f>
        <v>#VALUE!</v>
      </c>
      <c r="E470" s="52">
        <f>TYPE(Table4[[#This Row],[ypn]])</f>
        <v>2</v>
      </c>
      <c r="F470" t="s">
        <v>539</v>
      </c>
      <c r="G470" s="4"/>
    </row>
    <row r="471" spans="1:7" x14ac:dyDescent="0.3">
      <c r="A471" s="7" t="s">
        <v>1101</v>
      </c>
      <c r="B471" s="52" t="str">
        <f>TRIM(Table4[[#This Row],[ypn]])</f>
        <v>7176863030 (X1PO2408)</v>
      </c>
      <c r="C471" s="52" t="b">
        <f>Table4[[#This Row],[ypn]]=Table4[[#This Row],[trim]]</f>
        <v>1</v>
      </c>
      <c r="D471" s="52" t="e">
        <f>Table4[[#This Row],[ypn]]*1</f>
        <v>#VALUE!</v>
      </c>
      <c r="E471" s="52">
        <f>TYPE(Table4[[#This Row],[ypn]])</f>
        <v>2</v>
      </c>
      <c r="F471" t="s">
        <v>541</v>
      </c>
      <c r="G471" s="4"/>
    </row>
    <row r="472" spans="1:7" x14ac:dyDescent="0.3">
      <c r="A472" s="7" t="s">
        <v>1102</v>
      </c>
      <c r="B472" s="52" t="str">
        <f>TRIM(Table4[[#This Row],[ypn]])</f>
        <v>X1PO2562 -A1748211900</v>
      </c>
      <c r="C472" s="52" t="b">
        <f>Table4[[#This Row],[ypn]]=Table4[[#This Row],[trim]]</f>
        <v>1</v>
      </c>
      <c r="D472" s="52" t="e">
        <f>Table4[[#This Row],[ypn]]*1</f>
        <v>#VALUE!</v>
      </c>
      <c r="E472" s="52">
        <f>TYPE(Table4[[#This Row],[ypn]])</f>
        <v>2</v>
      </c>
      <c r="F472" t="s">
        <v>631</v>
      </c>
      <c r="G472" s="4"/>
    </row>
    <row r="473" spans="1:7" x14ac:dyDescent="0.3">
      <c r="A473" s="7" t="s">
        <v>1103</v>
      </c>
      <c r="B473" s="52" t="str">
        <f>TRIM(Table4[[#This Row],[ypn]])</f>
        <v>X1PO2578 - 7176 8619 30</v>
      </c>
      <c r="C473" s="52" t="b">
        <f>Table4[[#This Row],[ypn]]=Table4[[#This Row],[trim]]</f>
        <v>1</v>
      </c>
      <c r="D473" s="52" t="e">
        <f>Table4[[#This Row],[ypn]]*1</f>
        <v>#VALUE!</v>
      </c>
      <c r="E473" s="52">
        <f>TYPE(Table4[[#This Row],[ypn]])</f>
        <v>2</v>
      </c>
      <c r="F473" t="s">
        <v>529</v>
      </c>
      <c r="G473" s="4"/>
    </row>
    <row r="474" spans="1:7" x14ac:dyDescent="0.3">
      <c r="A474" s="7" t="s">
        <v>1104</v>
      </c>
      <c r="B474" s="52" t="str">
        <f>TRIM(Table4[[#This Row],[ypn]])</f>
        <v>X1PO2580 - 7176 8620 30</v>
      </c>
      <c r="C474" s="52" t="b">
        <f>Table4[[#This Row],[ypn]]=Table4[[#This Row],[trim]]</f>
        <v>1</v>
      </c>
      <c r="D474" s="52" t="e">
        <f>Table4[[#This Row],[ypn]]*1</f>
        <v>#VALUE!</v>
      </c>
      <c r="E474" s="52">
        <f>TYPE(Table4[[#This Row],[ypn]])</f>
        <v>2</v>
      </c>
      <c r="F474" t="s">
        <v>531</v>
      </c>
      <c r="G474" s="4"/>
    </row>
    <row r="475" spans="1:7" x14ac:dyDescent="0.3">
      <c r="A475" s="7" t="s">
        <v>1105</v>
      </c>
      <c r="B475" s="52" t="str">
        <f>TRIM(Table4[[#This Row],[ypn]])</f>
        <v>X1PO 2519</v>
      </c>
      <c r="C475" s="52" t="b">
        <f>Table4[[#This Row],[ypn]]=Table4[[#This Row],[trim]]</f>
        <v>1</v>
      </c>
      <c r="D475" s="52" t="e">
        <f>Table4[[#This Row],[ypn]]*1</f>
        <v>#VALUE!</v>
      </c>
      <c r="E475" s="52">
        <f>TYPE(Table4[[#This Row],[ypn]])</f>
        <v>2</v>
      </c>
      <c r="F475" t="s">
        <v>635</v>
      </c>
      <c r="G475" s="4"/>
    </row>
    <row r="476" spans="1:7" x14ac:dyDescent="0.3">
      <c r="A476" s="7" t="s">
        <v>1106</v>
      </c>
      <c r="B476" s="52" t="str">
        <f>TRIM(Table4[[#This Row],[ypn]])</f>
        <v>7176862130 - X1PO 2557</v>
      </c>
      <c r="C476" s="52" t="b">
        <f>Table4[[#This Row],[ypn]]=Table4[[#This Row],[trim]]</f>
        <v>1</v>
      </c>
      <c r="D476" s="52" t="e">
        <f>Table4[[#This Row],[ypn]]*1</f>
        <v>#VALUE!</v>
      </c>
      <c r="E476" s="52">
        <f>TYPE(Table4[[#This Row],[ypn]])</f>
        <v>2</v>
      </c>
      <c r="F476" t="s">
        <v>533</v>
      </c>
      <c r="G476" s="4"/>
    </row>
    <row r="477" spans="1:7" x14ac:dyDescent="0.3">
      <c r="A477" s="7" t="s">
        <v>1107</v>
      </c>
      <c r="B477" s="52" t="str">
        <f>TRIM(Table4[[#This Row],[ypn]])</f>
        <v>7176862330 - X1PO 2559</v>
      </c>
      <c r="C477" s="52" t="b">
        <f>Table4[[#This Row],[ypn]]=Table4[[#This Row],[trim]]</f>
        <v>1</v>
      </c>
      <c r="D477" s="52" t="e">
        <f>Table4[[#This Row],[ypn]]*1</f>
        <v>#VALUE!</v>
      </c>
      <c r="E477" s="52">
        <f>TYPE(Table4[[#This Row],[ypn]])</f>
        <v>2</v>
      </c>
      <c r="F477" t="s">
        <v>535</v>
      </c>
      <c r="G477" s="4"/>
    </row>
    <row r="478" spans="1:7" x14ac:dyDescent="0.3">
      <c r="A478" s="7" t="s">
        <v>1108</v>
      </c>
      <c r="B478" s="52" t="str">
        <f>TRIM(Table4[[#This Row],[ypn]])</f>
        <v>7176862730 - X1PO 2563</v>
      </c>
      <c r="C478" s="52" t="b">
        <f>Table4[[#This Row],[ypn]]=Table4[[#This Row],[trim]]</f>
        <v>1</v>
      </c>
      <c r="D478" s="52" t="e">
        <f>Table4[[#This Row],[ypn]]*1</f>
        <v>#VALUE!</v>
      </c>
      <c r="E478" s="52">
        <f>TYPE(Table4[[#This Row],[ypn]])</f>
        <v>2</v>
      </c>
      <c r="F478" t="s">
        <v>537</v>
      </c>
      <c r="G478" s="4"/>
    </row>
    <row r="479" spans="1:7" x14ac:dyDescent="0.3">
      <c r="A479" s="7" t="s">
        <v>1109</v>
      </c>
      <c r="B479" s="52" t="str">
        <f>TRIM(Table4[[#This Row],[ypn]])</f>
        <v>7176874730 - X1PO 2553</v>
      </c>
      <c r="C479" s="52" t="b">
        <f>Table4[[#This Row],[ypn]]=Table4[[#This Row],[trim]]</f>
        <v>1</v>
      </c>
      <c r="D479" s="52" t="e">
        <f>Table4[[#This Row],[ypn]]*1</f>
        <v>#VALUE!</v>
      </c>
      <c r="E479" s="52">
        <f>TYPE(Table4[[#This Row],[ypn]])</f>
        <v>2</v>
      </c>
      <c r="F479" t="s">
        <v>543</v>
      </c>
      <c r="G479" s="4"/>
    </row>
    <row r="480" spans="1:7" x14ac:dyDescent="0.3">
      <c r="A480" s="7" t="s">
        <v>1110</v>
      </c>
      <c r="B480" s="52" t="str">
        <f>TRIM(Table4[[#This Row],[ypn]])</f>
        <v>7075236930 - X1PO2363</v>
      </c>
      <c r="C480" s="52" t="b">
        <f>Table4[[#This Row],[ypn]]=Table4[[#This Row],[trim]]</f>
        <v>1</v>
      </c>
      <c r="D480" s="52" t="e">
        <f>Table4[[#This Row],[ypn]]*1</f>
        <v>#VALUE!</v>
      </c>
      <c r="E480" s="52">
        <f>TYPE(Table4[[#This Row],[ypn]])</f>
        <v>2</v>
      </c>
      <c r="F480" t="s">
        <v>513</v>
      </c>
      <c r="G480" s="4"/>
    </row>
    <row r="481" spans="1:7" x14ac:dyDescent="0.3">
      <c r="A481" s="7" t="s">
        <v>1111</v>
      </c>
      <c r="B481" s="52" t="str">
        <f>TRIM(Table4[[#This Row],[ypn]])</f>
        <v>7075226830(X1PP5350)</v>
      </c>
      <c r="C481" s="52" t="b">
        <f>Table4[[#This Row],[ypn]]=Table4[[#This Row],[trim]]</f>
        <v>1</v>
      </c>
      <c r="D481" s="52" t="e">
        <f>Table4[[#This Row],[ypn]]*1</f>
        <v>#VALUE!</v>
      </c>
      <c r="E481" s="52">
        <f>TYPE(Table4[[#This Row],[ypn]])</f>
        <v>2</v>
      </c>
      <c r="F481" t="s">
        <v>1179</v>
      </c>
      <c r="G481" s="4"/>
    </row>
    <row r="482" spans="1:7" x14ac:dyDescent="0.3">
      <c r="A482" s="7" t="s">
        <v>1112</v>
      </c>
      <c r="B482" s="52" t="str">
        <f>TRIM(Table4[[#This Row],[ypn]])</f>
        <v>7075231830 - X1PO 2395</v>
      </c>
      <c r="C482" s="52" t="b">
        <f>Table4[[#This Row],[ypn]]=Table4[[#This Row],[trim]]</f>
        <v>1</v>
      </c>
      <c r="D482" s="52" t="e">
        <f>Table4[[#This Row],[ypn]]*1</f>
        <v>#VALUE!</v>
      </c>
      <c r="E482" s="52">
        <f>TYPE(Table4[[#This Row],[ypn]])</f>
        <v>2</v>
      </c>
      <c r="F482" t="s">
        <v>1180</v>
      </c>
      <c r="G482" s="4"/>
    </row>
    <row r="483" spans="1:7" x14ac:dyDescent="0.3">
      <c r="A483" s="7" t="s">
        <v>1113</v>
      </c>
      <c r="B483" s="52" t="str">
        <f>TRIM(Table4[[#This Row],[ypn]])</f>
        <v>7177097330A RIGHT +HALFMOON</v>
      </c>
      <c r="C483" s="52" t="b">
        <f>Table4[[#This Row],[ypn]]=Table4[[#This Row],[trim]]</f>
        <v>0</v>
      </c>
      <c r="D483" s="52" t="e">
        <f>Table4[[#This Row],[ypn]]*1</f>
        <v>#VALUE!</v>
      </c>
      <c r="E483" s="52">
        <f>TYPE(Table4[[#This Row],[ypn]])</f>
        <v>2</v>
      </c>
      <c r="F483" t="s">
        <v>1181</v>
      </c>
      <c r="G483" s="4"/>
    </row>
    <row r="484" spans="1:7" x14ac:dyDescent="0.3">
      <c r="A484" s="7" t="s">
        <v>256</v>
      </c>
      <c r="B484" s="52" t="str">
        <f>TRIM(Table4[[#This Row],[ypn]])</f>
        <v>X1PO2539</v>
      </c>
      <c r="C484" s="52" t="b">
        <f>Table4[[#This Row],[ypn]]=Table4[[#This Row],[trim]]</f>
        <v>1</v>
      </c>
      <c r="D484" s="52" t="e">
        <f>Table4[[#This Row],[ypn]]*1</f>
        <v>#VALUE!</v>
      </c>
      <c r="E484" s="52">
        <f>TYPE(Table4[[#This Row],[ypn]])</f>
        <v>2</v>
      </c>
      <c r="F484" t="s">
        <v>1182</v>
      </c>
      <c r="G484" s="4"/>
    </row>
    <row r="485" spans="1:7" x14ac:dyDescent="0.3">
      <c r="A485" s="7" t="s">
        <v>1114</v>
      </c>
      <c r="B485" s="52" t="str">
        <f>TRIM(Table4[[#This Row],[ypn]])</f>
        <v>7075231930 IR33</v>
      </c>
      <c r="C485" s="52" t="b">
        <f>Table4[[#This Row],[ypn]]=Table4[[#This Row],[trim]]</f>
        <v>1</v>
      </c>
      <c r="D485" s="52" t="e">
        <f>Table4[[#This Row],[ypn]]*1</f>
        <v>#VALUE!</v>
      </c>
      <c r="E485" s="52">
        <f>TYPE(Table4[[#This Row],[ypn]])</f>
        <v>2</v>
      </c>
      <c r="F485" t="s">
        <v>1183</v>
      </c>
      <c r="G485" s="4"/>
    </row>
    <row r="486" spans="1:7" x14ac:dyDescent="0.3">
      <c r="A486" s="7" t="s">
        <v>224</v>
      </c>
      <c r="B486" s="52" t="str">
        <f>TRIM(Table4[[#This Row],[ypn]])</f>
        <v>7189668330+7274136090A</v>
      </c>
      <c r="C486" s="52" t="b">
        <f>Table4[[#This Row],[ypn]]=Table4[[#This Row],[trim]]</f>
        <v>1</v>
      </c>
      <c r="D486" s="52" t="e">
        <f>Table4[[#This Row],[ypn]]*1</f>
        <v>#VALUE!</v>
      </c>
      <c r="E486" s="52">
        <f>TYPE(Table4[[#This Row],[ypn]])</f>
        <v>2</v>
      </c>
      <c r="F486" t="s">
        <v>1184</v>
      </c>
      <c r="G486" s="4"/>
    </row>
    <row r="487" spans="1:7" x14ac:dyDescent="0.3">
      <c r="A487" s="7">
        <v>7252834130</v>
      </c>
      <c r="B487" s="52" t="str">
        <f>TRIM(Table4[[#This Row],[ypn]])</f>
        <v>7252834130</v>
      </c>
      <c r="C487" s="52" t="b">
        <f>Table4[[#This Row],[ypn]]=Table4[[#This Row],[trim]]</f>
        <v>0</v>
      </c>
      <c r="D487" s="52">
        <f>Table4[[#This Row],[ypn]]*1</f>
        <v>7252834130</v>
      </c>
      <c r="E487" s="52">
        <f>TYPE(Table4[[#This Row],[ypn]])</f>
        <v>1</v>
      </c>
      <c r="F487" t="s">
        <v>698</v>
      </c>
      <c r="G487" s="4"/>
    </row>
    <row r="488" spans="1:7" x14ac:dyDescent="0.3">
      <c r="A488" s="7">
        <v>7247781530</v>
      </c>
      <c r="B488" s="52" t="str">
        <f>TRIM(Table4[[#This Row],[ypn]])</f>
        <v>7247781530</v>
      </c>
      <c r="C488" s="52" t="b">
        <f>Table4[[#This Row],[ypn]]=Table4[[#This Row],[trim]]</f>
        <v>0</v>
      </c>
      <c r="D488" s="52">
        <f>Table4[[#This Row],[ypn]]*1</f>
        <v>7247781530</v>
      </c>
      <c r="E488" s="52">
        <f>TYPE(Table4[[#This Row],[ypn]])</f>
        <v>1</v>
      </c>
      <c r="F488" t="s">
        <v>1185</v>
      </c>
      <c r="G488" s="4"/>
    </row>
    <row r="489" spans="1:7" x14ac:dyDescent="0.3">
      <c r="A489" s="7" t="s">
        <v>1115</v>
      </c>
      <c r="B489" s="52" t="str">
        <f>TRIM(Table4[[#This Row],[ypn]])</f>
        <v>7289-4643-30E+COVER</v>
      </c>
      <c r="C489" s="52" t="b">
        <f>Table4[[#This Row],[ypn]]=Table4[[#This Row],[trim]]</f>
        <v>1</v>
      </c>
      <c r="D489" s="52" t="e">
        <f>Table4[[#This Row],[ypn]]*1</f>
        <v>#VALUE!</v>
      </c>
      <c r="E489" s="52">
        <f>TYPE(Table4[[#This Row],[ypn]])</f>
        <v>2</v>
      </c>
      <c r="F489" t="s">
        <v>727</v>
      </c>
      <c r="G489" s="4"/>
    </row>
  </sheetData>
  <phoneticPr fontId="1" type="noConversion"/>
  <conditionalFormatting sqref="A1:A1048576">
    <cfRule type="duplicateValues" dxfId="9" priority="2"/>
    <cfRule type="duplicateValues" dxfId="8" priority="3"/>
  </conditionalFormatting>
  <conditionalFormatting sqref="F1:F1048576">
    <cfRule type="duplicateValues" dxfId="7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L69"/>
  <sheetViews>
    <sheetView topLeftCell="B1" workbookViewId="0">
      <selection sqref="A1:L6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  <col min="12" max="12" width="10.77734375" bestFit="1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1754</v>
      </c>
    </row>
    <row r="2" spans="1:12" x14ac:dyDescent="0.3">
      <c r="A2">
        <v>1559</v>
      </c>
      <c r="B2" t="s">
        <v>1784</v>
      </c>
      <c r="C2" t="s">
        <v>1368</v>
      </c>
      <c r="D2" t="s">
        <v>363</v>
      </c>
      <c r="E2">
        <v>30</v>
      </c>
      <c r="F2">
        <v>21</v>
      </c>
      <c r="G2">
        <v>1</v>
      </c>
      <c r="H2" t="s">
        <v>840</v>
      </c>
      <c r="I2" t="s">
        <v>840</v>
      </c>
      <c r="J2" t="s">
        <v>840</v>
      </c>
      <c r="K2" t="s">
        <v>841</v>
      </c>
    </row>
    <row r="3" spans="1:12" x14ac:dyDescent="0.3">
      <c r="A3">
        <v>1607</v>
      </c>
      <c r="B3" t="s">
        <v>1785</v>
      </c>
      <c r="C3" t="s">
        <v>1615</v>
      </c>
      <c r="D3" t="s">
        <v>1616</v>
      </c>
      <c r="E3">
        <v>8</v>
      </c>
      <c r="F3">
        <v>21</v>
      </c>
      <c r="G3">
        <v>1</v>
      </c>
      <c r="H3" t="s">
        <v>840</v>
      </c>
      <c r="I3" t="s">
        <v>840</v>
      </c>
      <c r="J3" t="s">
        <v>840</v>
      </c>
      <c r="K3" t="s">
        <v>841</v>
      </c>
    </row>
    <row r="4" spans="1:12" x14ac:dyDescent="0.3">
      <c r="A4">
        <v>1556</v>
      </c>
      <c r="B4" t="s">
        <v>1786</v>
      </c>
      <c r="C4" t="s">
        <v>1357</v>
      </c>
      <c r="D4" t="s">
        <v>1769</v>
      </c>
      <c r="E4">
        <v>8</v>
      </c>
      <c r="F4">
        <v>21</v>
      </c>
      <c r="G4">
        <v>1</v>
      </c>
      <c r="H4" t="s">
        <v>840</v>
      </c>
      <c r="I4" t="s">
        <v>840</v>
      </c>
      <c r="J4" t="s">
        <v>840</v>
      </c>
      <c r="K4" t="s">
        <v>841</v>
      </c>
    </row>
    <row r="5" spans="1:12" x14ac:dyDescent="0.3">
      <c r="A5">
        <v>1622</v>
      </c>
      <c r="B5" t="s">
        <v>1787</v>
      </c>
      <c r="C5" t="s">
        <v>1698</v>
      </c>
      <c r="D5" t="s">
        <v>1291</v>
      </c>
      <c r="E5">
        <v>8</v>
      </c>
      <c r="F5">
        <v>21</v>
      </c>
      <c r="G5">
        <v>1</v>
      </c>
      <c r="H5" t="s">
        <v>840</v>
      </c>
      <c r="I5" t="s">
        <v>840</v>
      </c>
      <c r="J5" t="s">
        <v>840</v>
      </c>
      <c r="K5" t="s">
        <v>841</v>
      </c>
    </row>
    <row r="6" spans="1:12" x14ac:dyDescent="0.3">
      <c r="A6">
        <v>1599</v>
      </c>
      <c r="B6" t="s">
        <v>1788</v>
      </c>
      <c r="C6" t="s">
        <v>478</v>
      </c>
      <c r="D6" t="s">
        <v>1026</v>
      </c>
      <c r="E6">
        <v>8</v>
      </c>
      <c r="F6">
        <v>21</v>
      </c>
      <c r="G6">
        <v>1</v>
      </c>
      <c r="H6" t="s">
        <v>840</v>
      </c>
      <c r="I6" t="s">
        <v>840</v>
      </c>
      <c r="J6" t="s">
        <v>840</v>
      </c>
      <c r="K6" t="s">
        <v>841</v>
      </c>
    </row>
    <row r="7" spans="1:12" x14ac:dyDescent="0.3">
      <c r="A7">
        <v>1595</v>
      </c>
      <c r="B7" t="s">
        <v>1789</v>
      </c>
      <c r="C7" t="s">
        <v>1530</v>
      </c>
      <c r="D7" t="s">
        <v>1346</v>
      </c>
      <c r="E7">
        <v>30</v>
      </c>
      <c r="F7">
        <v>21</v>
      </c>
      <c r="G7">
        <v>3</v>
      </c>
      <c r="H7" t="s">
        <v>840</v>
      </c>
      <c r="I7" t="s">
        <v>840</v>
      </c>
      <c r="J7" t="s">
        <v>840</v>
      </c>
      <c r="K7" t="s">
        <v>841</v>
      </c>
    </row>
    <row r="8" spans="1:12" x14ac:dyDescent="0.3">
      <c r="A8">
        <v>1584</v>
      </c>
      <c r="B8" t="s">
        <v>1790</v>
      </c>
      <c r="C8" t="s">
        <v>468</v>
      </c>
      <c r="D8" t="s">
        <v>1495</v>
      </c>
      <c r="E8">
        <v>8</v>
      </c>
      <c r="F8">
        <v>21</v>
      </c>
      <c r="G8">
        <v>1</v>
      </c>
      <c r="H8" t="s">
        <v>840</v>
      </c>
      <c r="I8" t="s">
        <v>840</v>
      </c>
      <c r="J8" t="s">
        <v>840</v>
      </c>
      <c r="K8" t="s">
        <v>841</v>
      </c>
    </row>
    <row r="9" spans="1:12" x14ac:dyDescent="0.3">
      <c r="A9">
        <v>1610</v>
      </c>
      <c r="B9" t="s">
        <v>1791</v>
      </c>
      <c r="C9" t="s">
        <v>708</v>
      </c>
      <c r="D9" t="s">
        <v>1064</v>
      </c>
      <c r="E9">
        <v>8</v>
      </c>
      <c r="F9">
        <v>21</v>
      </c>
      <c r="G9">
        <v>1</v>
      </c>
      <c r="H9" t="s">
        <v>840</v>
      </c>
      <c r="I9" t="s">
        <v>840</v>
      </c>
      <c r="J9" t="s">
        <v>840</v>
      </c>
      <c r="K9" t="s">
        <v>841</v>
      </c>
    </row>
    <row r="10" spans="1:12" x14ac:dyDescent="0.3">
      <c r="A10">
        <v>1591</v>
      </c>
      <c r="B10" t="s">
        <v>1792</v>
      </c>
      <c r="C10" t="s">
        <v>1185</v>
      </c>
      <c r="D10" t="s">
        <v>1793</v>
      </c>
      <c r="E10">
        <v>30</v>
      </c>
      <c r="F10">
        <v>21</v>
      </c>
      <c r="G10">
        <v>1</v>
      </c>
      <c r="H10" t="s">
        <v>840</v>
      </c>
      <c r="I10" t="s">
        <v>840</v>
      </c>
      <c r="J10" t="s">
        <v>840</v>
      </c>
      <c r="K10" t="s">
        <v>841</v>
      </c>
    </row>
    <row r="11" spans="1:12" x14ac:dyDescent="0.3">
      <c r="A11">
        <v>1565</v>
      </c>
      <c r="B11" t="s">
        <v>1794</v>
      </c>
      <c r="C11" t="s">
        <v>1687</v>
      </c>
      <c r="D11" t="s">
        <v>1724</v>
      </c>
      <c r="E11">
        <v>8</v>
      </c>
      <c r="F11">
        <v>21</v>
      </c>
      <c r="G11">
        <v>1</v>
      </c>
      <c r="H11" t="s">
        <v>840</v>
      </c>
      <c r="I11" t="s">
        <v>840</v>
      </c>
      <c r="J11" t="s">
        <v>840</v>
      </c>
      <c r="K11" t="s">
        <v>841</v>
      </c>
    </row>
    <row r="12" spans="1:12" x14ac:dyDescent="0.3">
      <c r="A12">
        <v>1557</v>
      </c>
      <c r="B12" t="s">
        <v>1795</v>
      </c>
      <c r="C12" t="s">
        <v>1360</v>
      </c>
      <c r="D12" t="s">
        <v>1796</v>
      </c>
      <c r="E12">
        <v>30</v>
      </c>
      <c r="F12">
        <v>21</v>
      </c>
      <c r="G12">
        <v>1</v>
      </c>
      <c r="H12" t="s">
        <v>840</v>
      </c>
      <c r="I12" t="s">
        <v>840</v>
      </c>
      <c r="J12" t="s">
        <v>840</v>
      </c>
      <c r="K12" t="s">
        <v>841</v>
      </c>
    </row>
    <row r="13" spans="1:12" x14ac:dyDescent="0.3">
      <c r="A13">
        <v>1581</v>
      </c>
      <c r="B13" t="s">
        <v>1797</v>
      </c>
      <c r="C13" t="s">
        <v>462</v>
      </c>
      <c r="D13" t="s">
        <v>1056</v>
      </c>
      <c r="E13">
        <v>8</v>
      </c>
      <c r="F13">
        <v>21</v>
      </c>
      <c r="G13">
        <v>2</v>
      </c>
      <c r="H13" t="s">
        <v>840</v>
      </c>
      <c r="I13" t="s">
        <v>840</v>
      </c>
      <c r="J13" t="s">
        <v>840</v>
      </c>
      <c r="K13" t="s">
        <v>841</v>
      </c>
    </row>
    <row r="14" spans="1:12" x14ac:dyDescent="0.3">
      <c r="A14">
        <v>1570</v>
      </c>
      <c r="B14" t="s">
        <v>1798</v>
      </c>
      <c r="C14" t="s">
        <v>1120</v>
      </c>
      <c r="D14" t="s">
        <v>1019</v>
      </c>
      <c r="E14">
        <v>8</v>
      </c>
      <c r="F14">
        <v>21</v>
      </c>
      <c r="G14">
        <v>2</v>
      </c>
      <c r="H14" t="s">
        <v>840</v>
      </c>
      <c r="I14" t="s">
        <v>840</v>
      </c>
      <c r="J14" t="s">
        <v>840</v>
      </c>
      <c r="K14" t="s">
        <v>841</v>
      </c>
    </row>
    <row r="15" spans="1:12" x14ac:dyDescent="0.3">
      <c r="A15">
        <v>1604</v>
      </c>
      <c r="B15" t="s">
        <v>1799</v>
      </c>
      <c r="C15" t="s">
        <v>484</v>
      </c>
      <c r="D15" t="s">
        <v>1054</v>
      </c>
      <c r="E15">
        <v>8</v>
      </c>
      <c r="F15">
        <v>21</v>
      </c>
      <c r="G15">
        <v>1</v>
      </c>
      <c r="H15" t="s">
        <v>840</v>
      </c>
      <c r="I15" t="s">
        <v>840</v>
      </c>
      <c r="J15" t="s">
        <v>840</v>
      </c>
      <c r="K15" t="s">
        <v>841</v>
      </c>
    </row>
    <row r="16" spans="1:12" x14ac:dyDescent="0.3">
      <c r="A16">
        <v>1586</v>
      </c>
      <c r="B16" t="s">
        <v>1801</v>
      </c>
      <c r="C16" t="s">
        <v>1009</v>
      </c>
      <c r="D16" t="s">
        <v>1802</v>
      </c>
      <c r="E16">
        <v>30</v>
      </c>
      <c r="F16">
        <v>21</v>
      </c>
      <c r="G16">
        <v>2</v>
      </c>
      <c r="H16" t="s">
        <v>840</v>
      </c>
      <c r="I16" t="s">
        <v>840</v>
      </c>
      <c r="J16" t="s">
        <v>840</v>
      </c>
      <c r="K16" t="s">
        <v>841</v>
      </c>
      <c r="L16" t="s">
        <v>2058</v>
      </c>
    </row>
    <row r="17" spans="1:12" x14ac:dyDescent="0.3">
      <c r="A17">
        <v>1620</v>
      </c>
      <c r="B17" t="s">
        <v>1800</v>
      </c>
      <c r="C17" t="s">
        <v>1683</v>
      </c>
      <c r="D17" t="s">
        <v>1682</v>
      </c>
      <c r="E17">
        <v>8</v>
      </c>
      <c r="F17">
        <v>21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2" x14ac:dyDescent="0.3">
      <c r="A18">
        <v>1578</v>
      </c>
      <c r="B18" t="s">
        <v>1803</v>
      </c>
      <c r="C18" t="s">
        <v>1450</v>
      </c>
      <c r="D18" t="s">
        <v>1451</v>
      </c>
      <c r="E18">
        <v>8</v>
      </c>
      <c r="F18">
        <v>21</v>
      </c>
      <c r="G18">
        <v>1</v>
      </c>
      <c r="H18" t="s">
        <v>840</v>
      </c>
      <c r="I18" t="s">
        <v>840</v>
      </c>
      <c r="J18" t="s">
        <v>840</v>
      </c>
      <c r="K18" t="s">
        <v>841</v>
      </c>
    </row>
    <row r="19" spans="1:12" x14ac:dyDescent="0.3">
      <c r="A19">
        <v>1600</v>
      </c>
      <c r="B19" t="s">
        <v>1804</v>
      </c>
      <c r="C19" t="s">
        <v>479</v>
      </c>
      <c r="D19" t="s">
        <v>1020</v>
      </c>
      <c r="E19">
        <v>8</v>
      </c>
      <c r="F19">
        <v>21</v>
      </c>
      <c r="G19">
        <v>1</v>
      </c>
      <c r="H19" t="s">
        <v>840</v>
      </c>
      <c r="I19" t="s">
        <v>840</v>
      </c>
      <c r="J19" t="s">
        <v>840</v>
      </c>
      <c r="K19" t="s">
        <v>841</v>
      </c>
    </row>
    <row r="20" spans="1:12" x14ac:dyDescent="0.3">
      <c r="A20">
        <v>1567</v>
      </c>
      <c r="B20" t="s">
        <v>1805</v>
      </c>
      <c r="C20" t="s">
        <v>445</v>
      </c>
      <c r="D20" t="s">
        <v>1806</v>
      </c>
      <c r="E20">
        <v>8</v>
      </c>
      <c r="F20">
        <v>21</v>
      </c>
      <c r="G20">
        <v>1</v>
      </c>
      <c r="H20" t="s">
        <v>840</v>
      </c>
      <c r="I20" t="s">
        <v>840</v>
      </c>
      <c r="J20" t="s">
        <v>840</v>
      </c>
      <c r="K20" t="s">
        <v>841</v>
      </c>
    </row>
    <row r="21" spans="1:12" x14ac:dyDescent="0.3">
      <c r="A21">
        <v>1601</v>
      </c>
      <c r="B21" t="s">
        <v>1807</v>
      </c>
      <c r="C21" t="s">
        <v>480</v>
      </c>
      <c r="D21" t="s">
        <v>1571</v>
      </c>
      <c r="E21">
        <v>8</v>
      </c>
      <c r="F21">
        <v>21</v>
      </c>
      <c r="G21">
        <v>2</v>
      </c>
      <c r="H21" t="s">
        <v>840</v>
      </c>
      <c r="I21" t="s">
        <v>840</v>
      </c>
      <c r="J21" t="s">
        <v>840</v>
      </c>
      <c r="K21" t="s">
        <v>841</v>
      </c>
    </row>
    <row r="22" spans="1:12" x14ac:dyDescent="0.3">
      <c r="A22">
        <v>1573</v>
      </c>
      <c r="B22" t="s">
        <v>1808</v>
      </c>
      <c r="C22" t="s">
        <v>453</v>
      </c>
      <c r="D22" t="s">
        <v>1419</v>
      </c>
      <c r="E22">
        <v>8</v>
      </c>
      <c r="F22">
        <v>21</v>
      </c>
      <c r="G22">
        <v>1</v>
      </c>
      <c r="H22" t="s">
        <v>840</v>
      </c>
      <c r="I22" t="s">
        <v>840</v>
      </c>
      <c r="J22" t="s">
        <v>840</v>
      </c>
      <c r="K22" t="s">
        <v>841</v>
      </c>
    </row>
    <row r="23" spans="1:12" x14ac:dyDescent="0.3">
      <c r="A23">
        <v>1618</v>
      </c>
      <c r="B23" t="s">
        <v>1809</v>
      </c>
      <c r="C23" t="s">
        <v>601</v>
      </c>
      <c r="D23" t="s">
        <v>1077</v>
      </c>
      <c r="E23">
        <v>8</v>
      </c>
      <c r="F23">
        <v>21</v>
      </c>
      <c r="G23">
        <v>1</v>
      </c>
      <c r="H23" t="s">
        <v>840</v>
      </c>
      <c r="I23" t="s">
        <v>840</v>
      </c>
      <c r="J23" t="s">
        <v>840</v>
      </c>
      <c r="K23" t="s">
        <v>841</v>
      </c>
    </row>
    <row r="24" spans="1:12" x14ac:dyDescent="0.3">
      <c r="A24">
        <v>1611</v>
      </c>
      <c r="B24" t="s">
        <v>1810</v>
      </c>
      <c r="C24" t="s">
        <v>498</v>
      </c>
      <c r="D24" t="s">
        <v>1060</v>
      </c>
      <c r="E24">
        <v>8</v>
      </c>
      <c r="F24">
        <v>21</v>
      </c>
      <c r="G24">
        <v>1</v>
      </c>
      <c r="H24" t="s">
        <v>840</v>
      </c>
      <c r="I24" t="s">
        <v>840</v>
      </c>
      <c r="J24" t="s">
        <v>840</v>
      </c>
      <c r="K24" t="s">
        <v>841</v>
      </c>
    </row>
    <row r="25" spans="1:12" x14ac:dyDescent="0.3">
      <c r="A25">
        <v>1722</v>
      </c>
      <c r="B25" t="s">
        <v>1984</v>
      </c>
      <c r="C25" t="s">
        <v>1883</v>
      </c>
      <c r="D25" t="s">
        <v>1682</v>
      </c>
      <c r="E25">
        <v>8</v>
      </c>
      <c r="F25">
        <v>42</v>
      </c>
      <c r="G25">
        <v>1</v>
      </c>
      <c r="H25" t="s">
        <v>840</v>
      </c>
      <c r="I25" t="s">
        <v>840</v>
      </c>
      <c r="J25" t="s">
        <v>840</v>
      </c>
      <c r="K25" t="s">
        <v>841</v>
      </c>
      <c r="L25" t="s">
        <v>2058</v>
      </c>
    </row>
    <row r="26" spans="1:12" x14ac:dyDescent="0.3">
      <c r="A26">
        <v>1564</v>
      </c>
      <c r="B26" t="s">
        <v>1811</v>
      </c>
      <c r="C26" t="s">
        <v>732</v>
      </c>
      <c r="D26" t="s">
        <v>369</v>
      </c>
      <c r="E26">
        <v>30</v>
      </c>
      <c r="F26">
        <v>21</v>
      </c>
      <c r="G26">
        <v>1</v>
      </c>
      <c r="H26" t="s">
        <v>840</v>
      </c>
      <c r="I26" t="s">
        <v>840</v>
      </c>
      <c r="J26" t="s">
        <v>840</v>
      </c>
      <c r="K26" t="s">
        <v>841</v>
      </c>
    </row>
    <row r="27" spans="1:12" x14ac:dyDescent="0.3">
      <c r="A27">
        <v>1576</v>
      </c>
      <c r="B27" t="s">
        <v>1813</v>
      </c>
      <c r="C27" t="s">
        <v>724</v>
      </c>
      <c r="D27" t="s">
        <v>1432</v>
      </c>
      <c r="E27">
        <v>8</v>
      </c>
      <c r="F27">
        <v>21</v>
      </c>
      <c r="G27">
        <v>1</v>
      </c>
      <c r="H27" t="s">
        <v>840</v>
      </c>
      <c r="I27" t="s">
        <v>840</v>
      </c>
      <c r="J27" t="s">
        <v>840</v>
      </c>
      <c r="K27" t="s">
        <v>841</v>
      </c>
    </row>
    <row r="28" spans="1:12" x14ac:dyDescent="0.3">
      <c r="A28">
        <v>1589</v>
      </c>
      <c r="B28" t="s">
        <v>1812</v>
      </c>
      <c r="C28" t="s">
        <v>470</v>
      </c>
      <c r="D28" t="s">
        <v>380</v>
      </c>
      <c r="E28">
        <v>30</v>
      </c>
      <c r="F28">
        <v>21</v>
      </c>
      <c r="G28">
        <v>1</v>
      </c>
      <c r="H28" t="s">
        <v>840</v>
      </c>
      <c r="I28" t="s">
        <v>840</v>
      </c>
      <c r="J28" t="s">
        <v>840</v>
      </c>
      <c r="K28" t="s">
        <v>841</v>
      </c>
    </row>
    <row r="29" spans="1:12" x14ac:dyDescent="0.3">
      <c r="A29">
        <v>1602</v>
      </c>
      <c r="B29" t="s">
        <v>1814</v>
      </c>
      <c r="C29" t="s">
        <v>1578</v>
      </c>
      <c r="D29" t="s">
        <v>1579</v>
      </c>
      <c r="E29">
        <v>8</v>
      </c>
      <c r="F29">
        <v>21</v>
      </c>
      <c r="G29">
        <v>1</v>
      </c>
      <c r="H29" t="s">
        <v>840</v>
      </c>
      <c r="I29" t="s">
        <v>840</v>
      </c>
      <c r="J29" t="s">
        <v>840</v>
      </c>
      <c r="K29" t="s">
        <v>841</v>
      </c>
    </row>
    <row r="30" spans="1:12" x14ac:dyDescent="0.3">
      <c r="A30">
        <v>1572</v>
      </c>
      <c r="B30" t="s">
        <v>1815</v>
      </c>
      <c r="C30" t="s">
        <v>423</v>
      </c>
      <c r="D30" t="s">
        <v>1027</v>
      </c>
      <c r="E30">
        <v>8</v>
      </c>
      <c r="F30">
        <v>21</v>
      </c>
      <c r="G30">
        <v>1</v>
      </c>
      <c r="H30" t="s">
        <v>840</v>
      </c>
      <c r="I30" t="s">
        <v>840</v>
      </c>
      <c r="J30" t="s">
        <v>840</v>
      </c>
      <c r="K30" t="s">
        <v>841</v>
      </c>
    </row>
    <row r="31" spans="1:12" x14ac:dyDescent="0.3">
      <c r="A31">
        <v>1575</v>
      </c>
      <c r="B31" t="s">
        <v>1816</v>
      </c>
      <c r="C31" t="s">
        <v>1195</v>
      </c>
      <c r="D31" t="s">
        <v>372</v>
      </c>
      <c r="E31">
        <v>30</v>
      </c>
      <c r="F31">
        <v>21</v>
      </c>
      <c r="G31">
        <v>2</v>
      </c>
      <c r="H31" t="s">
        <v>840</v>
      </c>
      <c r="I31" t="s">
        <v>840</v>
      </c>
      <c r="J31" t="s">
        <v>840</v>
      </c>
      <c r="K31" t="s">
        <v>841</v>
      </c>
    </row>
    <row r="32" spans="1:12" x14ac:dyDescent="0.3">
      <c r="A32">
        <v>1562</v>
      </c>
      <c r="B32" t="s">
        <v>1817</v>
      </c>
      <c r="C32" t="s">
        <v>1696</v>
      </c>
      <c r="D32" t="s">
        <v>1818</v>
      </c>
      <c r="E32">
        <v>30</v>
      </c>
      <c r="F32">
        <v>21</v>
      </c>
      <c r="G32">
        <v>2</v>
      </c>
      <c r="H32" t="s">
        <v>840</v>
      </c>
      <c r="I32" t="s">
        <v>840</v>
      </c>
      <c r="J32" t="s">
        <v>840</v>
      </c>
      <c r="K32" t="s">
        <v>841</v>
      </c>
    </row>
    <row r="33" spans="1:11" x14ac:dyDescent="0.3">
      <c r="A33">
        <v>1568</v>
      </c>
      <c r="B33" t="s">
        <v>1819</v>
      </c>
      <c r="C33" t="s">
        <v>447</v>
      </c>
      <c r="D33" t="s">
        <v>1384</v>
      </c>
      <c r="E33">
        <v>8</v>
      </c>
      <c r="F33">
        <v>21</v>
      </c>
      <c r="G33">
        <v>1</v>
      </c>
      <c r="H33" t="s">
        <v>840</v>
      </c>
      <c r="I33" t="s">
        <v>840</v>
      </c>
      <c r="J33" t="s">
        <v>840</v>
      </c>
      <c r="K33" t="s">
        <v>841</v>
      </c>
    </row>
    <row r="34" spans="1:11" x14ac:dyDescent="0.3">
      <c r="A34">
        <v>1580</v>
      </c>
      <c r="B34" t="s">
        <v>1820</v>
      </c>
      <c r="C34" t="s">
        <v>560</v>
      </c>
      <c r="D34" t="s">
        <v>1465</v>
      </c>
      <c r="E34">
        <v>8</v>
      </c>
      <c r="F34">
        <v>21</v>
      </c>
      <c r="G34">
        <v>1</v>
      </c>
      <c r="H34" t="s">
        <v>840</v>
      </c>
      <c r="I34" t="s">
        <v>840</v>
      </c>
      <c r="J34" t="s">
        <v>840</v>
      </c>
      <c r="K34" t="s">
        <v>841</v>
      </c>
    </row>
    <row r="35" spans="1:11" x14ac:dyDescent="0.3">
      <c r="A35">
        <v>1617</v>
      </c>
      <c r="B35" t="s">
        <v>1821</v>
      </c>
      <c r="C35" t="s">
        <v>1662</v>
      </c>
      <c r="D35" t="s">
        <v>1663</v>
      </c>
      <c r="E35">
        <v>8</v>
      </c>
      <c r="F35">
        <v>21</v>
      </c>
      <c r="G35">
        <v>1</v>
      </c>
      <c r="H35" t="s">
        <v>840</v>
      </c>
      <c r="I35" t="s">
        <v>840</v>
      </c>
      <c r="J35" t="s">
        <v>840</v>
      </c>
      <c r="K35" t="s">
        <v>841</v>
      </c>
    </row>
    <row r="36" spans="1:11" x14ac:dyDescent="0.3">
      <c r="A36">
        <v>1560</v>
      </c>
      <c r="B36" t="s">
        <v>1822</v>
      </c>
      <c r="C36" t="s">
        <v>1373</v>
      </c>
      <c r="D36" t="s">
        <v>365</v>
      </c>
      <c r="E36">
        <v>30</v>
      </c>
      <c r="F36">
        <v>21</v>
      </c>
      <c r="G36">
        <v>15</v>
      </c>
      <c r="H36" t="s">
        <v>840</v>
      </c>
      <c r="I36" t="s">
        <v>840</v>
      </c>
      <c r="J36" t="s">
        <v>840</v>
      </c>
      <c r="K36" t="s">
        <v>841</v>
      </c>
    </row>
    <row r="37" spans="1:11" x14ac:dyDescent="0.3">
      <c r="A37">
        <v>1563</v>
      </c>
      <c r="B37" t="s">
        <v>1823</v>
      </c>
      <c r="C37" t="s">
        <v>1378</v>
      </c>
      <c r="D37" t="s">
        <v>1090</v>
      </c>
      <c r="E37">
        <v>30</v>
      </c>
      <c r="F37">
        <v>21</v>
      </c>
      <c r="G37">
        <v>1</v>
      </c>
      <c r="H37" t="s">
        <v>840</v>
      </c>
      <c r="I37" t="s">
        <v>840</v>
      </c>
      <c r="J37" t="s">
        <v>840</v>
      </c>
      <c r="K37" t="s">
        <v>841</v>
      </c>
    </row>
    <row r="38" spans="1:11" x14ac:dyDescent="0.3">
      <c r="A38">
        <v>1587</v>
      </c>
      <c r="B38" t="s">
        <v>1824</v>
      </c>
      <c r="C38" t="s">
        <v>1825</v>
      </c>
      <c r="D38" t="s">
        <v>1826</v>
      </c>
      <c r="E38">
        <v>30</v>
      </c>
      <c r="F38">
        <v>21</v>
      </c>
      <c r="G38">
        <v>5</v>
      </c>
      <c r="H38" t="s">
        <v>840</v>
      </c>
      <c r="I38" t="s">
        <v>840</v>
      </c>
      <c r="J38" t="s">
        <v>840</v>
      </c>
      <c r="K38" t="s">
        <v>841</v>
      </c>
    </row>
    <row r="39" spans="1:11" x14ac:dyDescent="0.3">
      <c r="A39">
        <v>1588</v>
      </c>
      <c r="B39" t="s">
        <v>1828</v>
      </c>
      <c r="C39" t="s">
        <v>1505</v>
      </c>
      <c r="D39" t="s">
        <v>378</v>
      </c>
      <c r="E39">
        <v>30</v>
      </c>
      <c r="F39">
        <v>21</v>
      </c>
      <c r="G39">
        <v>1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1612</v>
      </c>
      <c r="B40" t="s">
        <v>1827</v>
      </c>
      <c r="C40" t="s">
        <v>710</v>
      </c>
      <c r="D40" t="s">
        <v>1068</v>
      </c>
      <c r="E40">
        <v>8</v>
      </c>
      <c r="F40">
        <v>21</v>
      </c>
      <c r="G40">
        <v>1</v>
      </c>
      <c r="H40" t="s">
        <v>840</v>
      </c>
      <c r="I40" t="s">
        <v>840</v>
      </c>
      <c r="J40" t="s">
        <v>840</v>
      </c>
      <c r="K40" t="s">
        <v>841</v>
      </c>
    </row>
    <row r="41" spans="1:11" x14ac:dyDescent="0.3">
      <c r="A41">
        <v>1597</v>
      </c>
      <c r="B41" t="s">
        <v>1829</v>
      </c>
      <c r="C41" t="s">
        <v>476</v>
      </c>
      <c r="D41" t="s">
        <v>1016</v>
      </c>
      <c r="E41">
        <v>8</v>
      </c>
      <c r="F41">
        <v>21</v>
      </c>
      <c r="G41">
        <v>1</v>
      </c>
      <c r="H41" t="s">
        <v>840</v>
      </c>
      <c r="I41" t="s">
        <v>840</v>
      </c>
      <c r="J41" t="s">
        <v>840</v>
      </c>
      <c r="K41" t="s">
        <v>841</v>
      </c>
    </row>
    <row r="42" spans="1:11" x14ac:dyDescent="0.3">
      <c r="A42">
        <v>1657</v>
      </c>
      <c r="B42" t="s">
        <v>1875</v>
      </c>
      <c r="C42" t="s">
        <v>1870</v>
      </c>
      <c r="D42" t="s">
        <v>1294</v>
      </c>
      <c r="E42">
        <v>8</v>
      </c>
      <c r="F42">
        <v>41</v>
      </c>
      <c r="G42">
        <v>2</v>
      </c>
      <c r="H42" t="s">
        <v>840</v>
      </c>
      <c r="I42" t="s">
        <v>840</v>
      </c>
      <c r="J42" t="s">
        <v>840</v>
      </c>
      <c r="K42" t="s">
        <v>841</v>
      </c>
    </row>
    <row r="43" spans="1:11" x14ac:dyDescent="0.3">
      <c r="A43">
        <v>1585</v>
      </c>
      <c r="B43" t="s">
        <v>1830</v>
      </c>
      <c r="C43" t="s">
        <v>1693</v>
      </c>
      <c r="D43" t="s">
        <v>1294</v>
      </c>
      <c r="E43">
        <v>8</v>
      </c>
      <c r="F43">
        <v>21</v>
      </c>
      <c r="G43">
        <v>2</v>
      </c>
      <c r="H43" t="s">
        <v>840</v>
      </c>
      <c r="I43" t="s">
        <v>840</v>
      </c>
      <c r="J43" t="s">
        <v>840</v>
      </c>
      <c r="K43" t="s">
        <v>841</v>
      </c>
    </row>
    <row r="44" spans="1:11" x14ac:dyDescent="0.3">
      <c r="A44">
        <v>1577</v>
      </c>
      <c r="B44" t="s">
        <v>1831</v>
      </c>
      <c r="C44" t="s">
        <v>432</v>
      </c>
      <c r="D44" t="s">
        <v>1440</v>
      </c>
      <c r="E44">
        <v>8</v>
      </c>
      <c r="F44">
        <v>21</v>
      </c>
      <c r="G44">
        <v>1</v>
      </c>
      <c r="H44" t="s">
        <v>840</v>
      </c>
      <c r="I44" t="s">
        <v>840</v>
      </c>
      <c r="J44" t="s">
        <v>840</v>
      </c>
      <c r="K44" t="s">
        <v>841</v>
      </c>
    </row>
    <row r="45" spans="1:11" x14ac:dyDescent="0.3">
      <c r="A45">
        <v>1571</v>
      </c>
      <c r="B45" t="s">
        <v>1832</v>
      </c>
      <c r="C45" t="s">
        <v>449</v>
      </c>
      <c r="D45" t="s">
        <v>1406</v>
      </c>
      <c r="E45">
        <v>8</v>
      </c>
      <c r="F45">
        <v>21</v>
      </c>
      <c r="G45">
        <v>1</v>
      </c>
      <c r="H45" t="s">
        <v>840</v>
      </c>
      <c r="I45" t="s">
        <v>840</v>
      </c>
      <c r="J45" t="s">
        <v>840</v>
      </c>
      <c r="K45" t="s">
        <v>841</v>
      </c>
    </row>
    <row r="46" spans="1:11" x14ac:dyDescent="0.3">
      <c r="A46">
        <v>1590</v>
      </c>
      <c r="B46" t="s">
        <v>1833</v>
      </c>
      <c r="C46" t="s">
        <v>1514</v>
      </c>
      <c r="D46" t="s">
        <v>1834</v>
      </c>
      <c r="E46">
        <v>30</v>
      </c>
      <c r="F46">
        <v>21</v>
      </c>
      <c r="G46">
        <v>1</v>
      </c>
      <c r="H46" t="s">
        <v>840</v>
      </c>
      <c r="I46" t="s">
        <v>840</v>
      </c>
      <c r="J46" t="s">
        <v>840</v>
      </c>
      <c r="K46" t="s">
        <v>841</v>
      </c>
    </row>
    <row r="47" spans="1:11" x14ac:dyDescent="0.3">
      <c r="A47">
        <v>1569</v>
      </c>
      <c r="B47" t="s">
        <v>1835</v>
      </c>
      <c r="C47" t="s">
        <v>448</v>
      </c>
      <c r="D47" t="s">
        <v>1028</v>
      </c>
      <c r="E47">
        <v>8</v>
      </c>
      <c r="F47">
        <v>21</v>
      </c>
      <c r="G47">
        <v>2</v>
      </c>
      <c r="H47" t="s">
        <v>840</v>
      </c>
      <c r="I47" t="s">
        <v>840</v>
      </c>
      <c r="J47" t="s">
        <v>840</v>
      </c>
      <c r="K47" t="s">
        <v>841</v>
      </c>
    </row>
    <row r="48" spans="1:11" x14ac:dyDescent="0.3">
      <c r="A48">
        <v>1583</v>
      </c>
      <c r="B48" t="s">
        <v>1836</v>
      </c>
      <c r="C48" t="s">
        <v>466</v>
      </c>
      <c r="D48" t="s">
        <v>1052</v>
      </c>
      <c r="E48">
        <v>8</v>
      </c>
      <c r="F48">
        <v>21</v>
      </c>
      <c r="G48">
        <v>1</v>
      </c>
      <c r="H48" t="s">
        <v>840</v>
      </c>
      <c r="I48" t="s">
        <v>840</v>
      </c>
      <c r="J48" t="s">
        <v>840</v>
      </c>
      <c r="K48" t="s">
        <v>841</v>
      </c>
    </row>
    <row r="49" spans="1:11" x14ac:dyDescent="0.3">
      <c r="A49">
        <v>1566</v>
      </c>
      <c r="B49" t="s">
        <v>1837</v>
      </c>
      <c r="C49" t="s">
        <v>512</v>
      </c>
      <c r="D49" t="s">
        <v>1381</v>
      </c>
      <c r="E49">
        <v>8</v>
      </c>
      <c r="F49">
        <v>21</v>
      </c>
      <c r="G49">
        <v>1</v>
      </c>
      <c r="H49" t="s">
        <v>840</v>
      </c>
      <c r="I49" t="s">
        <v>840</v>
      </c>
      <c r="J49" t="s">
        <v>840</v>
      </c>
      <c r="K49" t="s">
        <v>841</v>
      </c>
    </row>
    <row r="50" spans="1:11" x14ac:dyDescent="0.3">
      <c r="A50">
        <v>1582</v>
      </c>
      <c r="B50" t="s">
        <v>1838</v>
      </c>
      <c r="C50" t="s">
        <v>464</v>
      </c>
      <c r="D50" t="s">
        <v>1021</v>
      </c>
      <c r="E50">
        <v>8</v>
      </c>
      <c r="F50">
        <v>21</v>
      </c>
      <c r="G50">
        <v>2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1598</v>
      </c>
      <c r="B51" t="s">
        <v>1839</v>
      </c>
      <c r="C51" t="s">
        <v>700</v>
      </c>
      <c r="D51" t="s">
        <v>1549</v>
      </c>
      <c r="E51">
        <v>8</v>
      </c>
      <c r="F51">
        <v>21</v>
      </c>
      <c r="G51">
        <v>1</v>
      </c>
      <c r="H51" t="s">
        <v>840</v>
      </c>
      <c r="I51" t="s">
        <v>840</v>
      </c>
      <c r="J51" t="s">
        <v>840</v>
      </c>
      <c r="K51" t="s">
        <v>841</v>
      </c>
    </row>
    <row r="52" spans="1:11" x14ac:dyDescent="0.3">
      <c r="A52">
        <v>1603</v>
      </c>
      <c r="B52" t="s">
        <v>1840</v>
      </c>
      <c r="C52" t="s">
        <v>481</v>
      </c>
      <c r="D52" t="s">
        <v>1050</v>
      </c>
      <c r="E52">
        <v>8</v>
      </c>
      <c r="F52">
        <v>21</v>
      </c>
      <c r="G52">
        <v>1</v>
      </c>
      <c r="H52" t="s">
        <v>840</v>
      </c>
      <c r="I52" t="s">
        <v>840</v>
      </c>
      <c r="J52" t="s">
        <v>840</v>
      </c>
      <c r="K52" t="s">
        <v>841</v>
      </c>
    </row>
    <row r="53" spans="1:11" x14ac:dyDescent="0.3">
      <c r="A53">
        <v>1619</v>
      </c>
      <c r="B53" t="s">
        <v>1841</v>
      </c>
      <c r="C53" t="s">
        <v>717</v>
      </c>
      <c r="D53" t="s">
        <v>1085</v>
      </c>
      <c r="E53">
        <v>8</v>
      </c>
      <c r="F53">
        <v>21</v>
      </c>
      <c r="G53">
        <v>1</v>
      </c>
      <c r="H53" t="s">
        <v>840</v>
      </c>
      <c r="I53" t="s">
        <v>840</v>
      </c>
      <c r="J53" t="s">
        <v>840</v>
      </c>
      <c r="K53" t="s">
        <v>841</v>
      </c>
    </row>
    <row r="54" spans="1:11" x14ac:dyDescent="0.3">
      <c r="A54">
        <v>1606</v>
      </c>
      <c r="B54" t="s">
        <v>1842</v>
      </c>
      <c r="C54" t="s">
        <v>704</v>
      </c>
      <c r="D54" t="s">
        <v>1063</v>
      </c>
      <c r="E54">
        <v>8</v>
      </c>
      <c r="F54">
        <v>21</v>
      </c>
      <c r="G54">
        <v>1</v>
      </c>
      <c r="H54" t="s">
        <v>840</v>
      </c>
      <c r="I54" t="s">
        <v>840</v>
      </c>
      <c r="J54" t="s">
        <v>840</v>
      </c>
      <c r="K54" t="s">
        <v>841</v>
      </c>
    </row>
    <row r="55" spans="1:11" x14ac:dyDescent="0.3">
      <c r="A55">
        <v>1579</v>
      </c>
      <c r="B55" t="s">
        <v>1843</v>
      </c>
      <c r="C55" t="s">
        <v>461</v>
      </c>
      <c r="D55" t="s">
        <v>1057</v>
      </c>
      <c r="E55">
        <v>8</v>
      </c>
      <c r="F55">
        <v>21</v>
      </c>
      <c r="G55">
        <v>1</v>
      </c>
      <c r="H55" t="s">
        <v>840</v>
      </c>
      <c r="I55" t="s">
        <v>840</v>
      </c>
      <c r="J55" t="s">
        <v>840</v>
      </c>
      <c r="K55" t="s">
        <v>841</v>
      </c>
    </row>
    <row r="56" spans="1:11" x14ac:dyDescent="0.3">
      <c r="A56">
        <v>1614</v>
      </c>
      <c r="B56" t="s">
        <v>1844</v>
      </c>
      <c r="C56" t="s">
        <v>1689</v>
      </c>
      <c r="D56" t="s">
        <v>1654</v>
      </c>
      <c r="E56">
        <v>8</v>
      </c>
      <c r="F56">
        <v>21</v>
      </c>
      <c r="G56">
        <v>1</v>
      </c>
      <c r="H56" t="s">
        <v>840</v>
      </c>
      <c r="I56" t="s">
        <v>840</v>
      </c>
      <c r="J56" t="s">
        <v>840</v>
      </c>
      <c r="K56" t="s">
        <v>841</v>
      </c>
    </row>
    <row r="57" spans="1:11" x14ac:dyDescent="0.3">
      <c r="A57">
        <v>1609</v>
      </c>
      <c r="B57" t="s">
        <v>1845</v>
      </c>
      <c r="C57" t="s">
        <v>492</v>
      </c>
      <c r="D57" t="s">
        <v>1630</v>
      </c>
      <c r="E57">
        <v>8</v>
      </c>
      <c r="F57">
        <v>21</v>
      </c>
      <c r="G57">
        <v>1</v>
      </c>
      <c r="H57" t="s">
        <v>840</v>
      </c>
      <c r="I57" t="s">
        <v>840</v>
      </c>
      <c r="J57" t="s">
        <v>840</v>
      </c>
      <c r="K57" t="s">
        <v>841</v>
      </c>
    </row>
    <row r="58" spans="1:11" x14ac:dyDescent="0.3">
      <c r="A58">
        <v>1613</v>
      </c>
      <c r="B58" t="s">
        <v>1846</v>
      </c>
      <c r="C58" t="s">
        <v>1188</v>
      </c>
      <c r="D58" t="s">
        <v>1189</v>
      </c>
      <c r="E58">
        <v>8</v>
      </c>
      <c r="F58">
        <v>21</v>
      </c>
      <c r="G58">
        <v>2</v>
      </c>
      <c r="H58" t="s">
        <v>840</v>
      </c>
      <c r="I58" t="s">
        <v>840</v>
      </c>
      <c r="J58" t="s">
        <v>840</v>
      </c>
      <c r="K58" t="s">
        <v>841</v>
      </c>
    </row>
    <row r="59" spans="1:11" x14ac:dyDescent="0.3">
      <c r="A59">
        <v>1593</v>
      </c>
      <c r="B59" t="s">
        <v>1847</v>
      </c>
      <c r="C59" t="s">
        <v>1527</v>
      </c>
      <c r="D59" t="s">
        <v>394</v>
      </c>
      <c r="E59">
        <v>30</v>
      </c>
      <c r="F59">
        <v>21</v>
      </c>
      <c r="G59">
        <v>18</v>
      </c>
      <c r="H59" t="s">
        <v>840</v>
      </c>
      <c r="I59" t="s">
        <v>840</v>
      </c>
      <c r="J59" t="s">
        <v>840</v>
      </c>
      <c r="K59" t="s">
        <v>841</v>
      </c>
    </row>
    <row r="60" spans="1:11" x14ac:dyDescent="0.3">
      <c r="A60">
        <v>1621</v>
      </c>
      <c r="B60" t="s">
        <v>1848</v>
      </c>
      <c r="C60" t="s">
        <v>1697</v>
      </c>
      <c r="D60" t="s">
        <v>833</v>
      </c>
      <c r="E60">
        <v>8</v>
      </c>
      <c r="F60">
        <v>21</v>
      </c>
      <c r="G60">
        <v>2</v>
      </c>
      <c r="H60" t="s">
        <v>840</v>
      </c>
      <c r="I60" t="s">
        <v>840</v>
      </c>
      <c r="J60" t="s">
        <v>840</v>
      </c>
      <c r="K60" t="s">
        <v>841</v>
      </c>
    </row>
    <row r="61" spans="1:11" x14ac:dyDescent="0.3">
      <c r="A61">
        <v>1596</v>
      </c>
      <c r="B61" t="s">
        <v>1849</v>
      </c>
      <c r="C61" t="s">
        <v>1533</v>
      </c>
      <c r="D61" t="s">
        <v>1534</v>
      </c>
      <c r="E61">
        <v>8</v>
      </c>
      <c r="F61">
        <v>21</v>
      </c>
      <c r="G61">
        <v>1</v>
      </c>
      <c r="H61" t="s">
        <v>840</v>
      </c>
      <c r="I61" t="s">
        <v>840</v>
      </c>
      <c r="J61" t="s">
        <v>840</v>
      </c>
      <c r="K61" t="s">
        <v>841</v>
      </c>
    </row>
    <row r="62" spans="1:11" x14ac:dyDescent="0.3">
      <c r="A62">
        <v>1574</v>
      </c>
      <c r="B62" t="s">
        <v>1850</v>
      </c>
      <c r="C62" t="s">
        <v>1010</v>
      </c>
      <c r="D62" t="s">
        <v>1851</v>
      </c>
      <c r="E62">
        <v>30</v>
      </c>
      <c r="F62">
        <v>21</v>
      </c>
      <c r="G62">
        <v>1</v>
      </c>
      <c r="H62" t="s">
        <v>840</v>
      </c>
      <c r="I62" t="s">
        <v>840</v>
      </c>
      <c r="J62" t="s">
        <v>840</v>
      </c>
      <c r="K62" t="s">
        <v>841</v>
      </c>
    </row>
    <row r="63" spans="1:11" x14ac:dyDescent="0.3">
      <c r="A63">
        <v>1592</v>
      </c>
      <c r="B63" t="s">
        <v>1852</v>
      </c>
      <c r="C63" t="s">
        <v>1524</v>
      </c>
      <c r="D63" t="s">
        <v>1853</v>
      </c>
      <c r="E63">
        <v>30</v>
      </c>
      <c r="F63">
        <v>21</v>
      </c>
      <c r="G63">
        <v>5</v>
      </c>
      <c r="H63" t="s">
        <v>840</v>
      </c>
      <c r="I63" t="s">
        <v>840</v>
      </c>
      <c r="J63" t="s">
        <v>840</v>
      </c>
      <c r="K63" t="s">
        <v>841</v>
      </c>
    </row>
    <row r="64" spans="1:11" x14ac:dyDescent="0.3">
      <c r="A64">
        <v>1615</v>
      </c>
      <c r="B64" t="s">
        <v>1855</v>
      </c>
      <c r="C64" t="s">
        <v>712</v>
      </c>
      <c r="D64" t="s">
        <v>1084</v>
      </c>
      <c r="E64">
        <v>8</v>
      </c>
      <c r="F64">
        <v>21</v>
      </c>
      <c r="G64">
        <v>2</v>
      </c>
      <c r="H64" t="s">
        <v>840</v>
      </c>
      <c r="I64" t="s">
        <v>840</v>
      </c>
      <c r="J64" t="s">
        <v>840</v>
      </c>
      <c r="K64" t="s">
        <v>841</v>
      </c>
    </row>
    <row r="65" spans="1:11" x14ac:dyDescent="0.3">
      <c r="A65">
        <v>1558</v>
      </c>
      <c r="B65" t="s">
        <v>1854</v>
      </c>
      <c r="C65" t="s">
        <v>672</v>
      </c>
      <c r="D65" t="s">
        <v>1339</v>
      </c>
      <c r="E65">
        <v>30</v>
      </c>
      <c r="F65">
        <v>21</v>
      </c>
      <c r="G65">
        <v>1</v>
      </c>
      <c r="H65" t="s">
        <v>840</v>
      </c>
      <c r="I65" t="s">
        <v>840</v>
      </c>
      <c r="J65" t="s">
        <v>840</v>
      </c>
      <c r="K65" t="s">
        <v>841</v>
      </c>
    </row>
    <row r="66" spans="1:11" x14ac:dyDescent="0.3">
      <c r="A66">
        <v>1561</v>
      </c>
      <c r="B66" t="s">
        <v>1856</v>
      </c>
      <c r="C66" t="s">
        <v>1375</v>
      </c>
      <c r="D66" t="s">
        <v>1857</v>
      </c>
      <c r="E66">
        <v>30</v>
      </c>
      <c r="F66">
        <v>21</v>
      </c>
      <c r="G66">
        <v>2</v>
      </c>
      <c r="H66" t="s">
        <v>840</v>
      </c>
      <c r="I66" t="s">
        <v>840</v>
      </c>
      <c r="J66" t="s">
        <v>840</v>
      </c>
      <c r="K66" t="s">
        <v>841</v>
      </c>
    </row>
    <row r="67" spans="1:11" x14ac:dyDescent="0.3">
      <c r="A67">
        <v>1594</v>
      </c>
      <c r="B67" t="s">
        <v>1858</v>
      </c>
      <c r="C67" t="s">
        <v>1529</v>
      </c>
      <c r="D67" t="s">
        <v>396</v>
      </c>
      <c r="E67">
        <v>30</v>
      </c>
      <c r="F67">
        <v>21</v>
      </c>
      <c r="G67">
        <v>47</v>
      </c>
      <c r="H67" t="s">
        <v>840</v>
      </c>
      <c r="I67" t="s">
        <v>840</v>
      </c>
      <c r="J67" t="s">
        <v>840</v>
      </c>
      <c r="K67" t="s">
        <v>841</v>
      </c>
    </row>
    <row r="68" spans="1:11" x14ac:dyDescent="0.3">
      <c r="A68">
        <v>1608</v>
      </c>
      <c r="B68" t="s">
        <v>1859</v>
      </c>
      <c r="C68" t="s">
        <v>491</v>
      </c>
      <c r="D68" t="s">
        <v>1059</v>
      </c>
      <c r="E68">
        <v>8</v>
      </c>
      <c r="F68">
        <v>21</v>
      </c>
      <c r="G68">
        <v>1</v>
      </c>
      <c r="H68" t="s">
        <v>840</v>
      </c>
      <c r="I68" t="s">
        <v>840</v>
      </c>
      <c r="J68" t="s">
        <v>840</v>
      </c>
      <c r="K68" t="s">
        <v>841</v>
      </c>
    </row>
    <row r="69" spans="1:11" x14ac:dyDescent="0.3">
      <c r="A69">
        <v>1605</v>
      </c>
      <c r="B69" t="s">
        <v>1860</v>
      </c>
      <c r="C69" t="s">
        <v>1600</v>
      </c>
      <c r="D69" t="s">
        <v>1601</v>
      </c>
      <c r="E69">
        <v>8</v>
      </c>
      <c r="F69">
        <v>21</v>
      </c>
      <c r="G69">
        <v>1</v>
      </c>
      <c r="H69" t="s">
        <v>840</v>
      </c>
      <c r="I69" t="s">
        <v>840</v>
      </c>
      <c r="J69" t="s">
        <v>840</v>
      </c>
      <c r="K69" t="s">
        <v>841</v>
      </c>
    </row>
  </sheetData>
  <conditionalFormatting sqref="C1:C1048576">
    <cfRule type="duplicateValues" dxfId="6" priority="2"/>
  </conditionalFormatting>
  <conditionalFormatting sqref="D1:D1048576">
    <cfRule type="duplicateValues" dxfId="5" priority="3"/>
  </conditionalFormatting>
  <conditionalFormatting sqref="K1:K1048576">
    <cfRule type="cellIs" dxfId="4" priority="1" operator="equal">
      <formula>"passed"</formula>
    </cfRule>
  </conditionalFormatting>
  <pageMargins left="0.7" right="0.7" top="0.75" bottom="0.75" header="0.3" footer="0.3"/>
  <pageSetup paperSize="9" scale="87" fitToHeight="0" orientation="landscape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FC37-6DAE-4D7A-B4FD-4C7DFD776FFC}">
  <sheetPr>
    <tabColor rgb="FF92D050"/>
    <pageSetUpPr fitToPage="1"/>
  </sheetPr>
  <dimension ref="A1:N21"/>
  <sheetViews>
    <sheetView topLeftCell="B1" workbookViewId="0">
      <selection activeCell="J28" sqref="J28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2" width="6.5546875" bestFit="1" customWidth="1"/>
    <col min="13" max="13" width="5.77734375" bestFit="1" customWidth="1"/>
    <col min="14" max="14" width="9.77734375" bestFit="1" customWidth="1"/>
  </cols>
  <sheetData>
    <row r="1" spans="1:14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2222</v>
      </c>
      <c r="M1" t="s">
        <v>2221</v>
      </c>
      <c r="N1" t="s">
        <v>2223</v>
      </c>
    </row>
    <row r="2" spans="1:14" x14ac:dyDescent="0.3">
      <c r="A2">
        <v>1803</v>
      </c>
      <c r="B2" t="s">
        <v>2075</v>
      </c>
      <c r="C2" t="s">
        <v>1331</v>
      </c>
      <c r="D2" t="s">
        <v>396</v>
      </c>
      <c r="E2">
        <v>25</v>
      </c>
      <c r="F2">
        <v>50</v>
      </c>
      <c r="G2">
        <v>17</v>
      </c>
      <c r="H2" t="s">
        <v>840</v>
      </c>
      <c r="I2" t="s">
        <v>840</v>
      </c>
      <c r="J2" t="s">
        <v>840</v>
      </c>
      <c r="K2" t="s">
        <v>841</v>
      </c>
      <c r="L2" t="s">
        <v>2183</v>
      </c>
      <c r="N2">
        <v>1</v>
      </c>
    </row>
    <row r="3" spans="1:14" x14ac:dyDescent="0.3">
      <c r="A3">
        <v>1804</v>
      </c>
      <c r="B3" t="s">
        <v>2076</v>
      </c>
      <c r="C3" t="s">
        <v>784</v>
      </c>
      <c r="D3" t="s">
        <v>588</v>
      </c>
      <c r="E3">
        <v>7</v>
      </c>
      <c r="F3">
        <v>50</v>
      </c>
      <c r="G3">
        <v>32</v>
      </c>
      <c r="H3" t="s">
        <v>840</v>
      </c>
      <c r="I3" t="s">
        <v>840</v>
      </c>
      <c r="J3" t="s">
        <v>840</v>
      </c>
      <c r="K3" t="s">
        <v>841</v>
      </c>
      <c r="L3" t="s">
        <v>2183</v>
      </c>
      <c r="M3">
        <v>270</v>
      </c>
    </row>
    <row r="4" spans="1:14" x14ac:dyDescent="0.3">
      <c r="A4">
        <v>1805</v>
      </c>
      <c r="B4" t="s">
        <v>2077</v>
      </c>
      <c r="C4" t="s">
        <v>785</v>
      </c>
      <c r="D4" t="s">
        <v>655</v>
      </c>
      <c r="E4">
        <v>7</v>
      </c>
      <c r="F4">
        <v>50</v>
      </c>
      <c r="G4">
        <v>16</v>
      </c>
      <c r="H4" t="s">
        <v>840</v>
      </c>
      <c r="I4" t="s">
        <v>840</v>
      </c>
      <c r="J4" t="s">
        <v>840</v>
      </c>
      <c r="K4" t="s">
        <v>841</v>
      </c>
      <c r="L4" t="s">
        <v>2183</v>
      </c>
      <c r="M4">
        <v>270</v>
      </c>
    </row>
    <row r="5" spans="1:14" x14ac:dyDescent="0.3">
      <c r="A5">
        <v>1806</v>
      </c>
      <c r="B5" t="s">
        <v>2078</v>
      </c>
      <c r="C5" t="s">
        <v>826</v>
      </c>
      <c r="D5" t="s">
        <v>2079</v>
      </c>
      <c r="E5">
        <v>7</v>
      </c>
      <c r="F5">
        <v>50</v>
      </c>
      <c r="G5">
        <v>32</v>
      </c>
      <c r="H5" t="s">
        <v>840</v>
      </c>
      <c r="I5" t="s">
        <v>840</v>
      </c>
      <c r="J5" t="s">
        <v>840</v>
      </c>
      <c r="K5" t="s">
        <v>841</v>
      </c>
      <c r="L5" t="s">
        <v>2183</v>
      </c>
    </row>
    <row r="6" spans="1:14" x14ac:dyDescent="0.3">
      <c r="A6">
        <v>1807</v>
      </c>
      <c r="B6" t="s">
        <v>2080</v>
      </c>
      <c r="C6" t="s">
        <v>978</v>
      </c>
      <c r="D6" t="s">
        <v>1346</v>
      </c>
      <c r="E6">
        <v>25</v>
      </c>
      <c r="F6">
        <v>50</v>
      </c>
      <c r="G6">
        <v>17</v>
      </c>
      <c r="H6" t="s">
        <v>840</v>
      </c>
      <c r="I6" t="s">
        <v>840</v>
      </c>
      <c r="J6" t="s">
        <v>840</v>
      </c>
      <c r="K6" t="s">
        <v>841</v>
      </c>
      <c r="L6" t="s">
        <v>2183</v>
      </c>
      <c r="N6">
        <v>1</v>
      </c>
    </row>
    <row r="7" spans="1:14" x14ac:dyDescent="0.3">
      <c r="A7">
        <v>1808</v>
      </c>
      <c r="B7" t="s">
        <v>2081</v>
      </c>
      <c r="C7" t="s">
        <v>942</v>
      </c>
      <c r="D7" t="s">
        <v>394</v>
      </c>
      <c r="E7">
        <v>25</v>
      </c>
      <c r="F7">
        <v>50</v>
      </c>
      <c r="G7">
        <v>17</v>
      </c>
      <c r="H7" t="s">
        <v>840</v>
      </c>
      <c r="I7" t="s">
        <v>840</v>
      </c>
      <c r="J7" t="s">
        <v>840</v>
      </c>
      <c r="K7" t="s">
        <v>841</v>
      </c>
      <c r="L7" t="s">
        <v>2183</v>
      </c>
      <c r="N7">
        <v>1</v>
      </c>
    </row>
    <row r="8" spans="1:14" x14ac:dyDescent="0.3">
      <c r="A8">
        <v>1809</v>
      </c>
      <c r="B8" t="s">
        <v>2082</v>
      </c>
      <c r="C8" t="s">
        <v>755</v>
      </c>
      <c r="D8" t="s">
        <v>2083</v>
      </c>
      <c r="E8">
        <v>7</v>
      </c>
      <c r="F8">
        <v>53</v>
      </c>
      <c r="G8">
        <v>16</v>
      </c>
      <c r="H8" t="s">
        <v>840</v>
      </c>
      <c r="I8" t="s">
        <v>840</v>
      </c>
      <c r="J8" t="s">
        <v>840</v>
      </c>
      <c r="K8" t="s">
        <v>841</v>
      </c>
      <c r="L8" t="s">
        <v>2183</v>
      </c>
      <c r="M8">
        <v>270</v>
      </c>
    </row>
    <row r="9" spans="1:14" x14ac:dyDescent="0.3">
      <c r="A9">
        <v>1810</v>
      </c>
      <c r="B9" t="s">
        <v>2084</v>
      </c>
      <c r="C9" t="s">
        <v>756</v>
      </c>
      <c r="D9" t="s">
        <v>2085</v>
      </c>
      <c r="E9">
        <v>7</v>
      </c>
      <c r="F9">
        <v>53</v>
      </c>
      <c r="G9">
        <v>16</v>
      </c>
      <c r="H9" t="s">
        <v>840</v>
      </c>
      <c r="I9" t="s">
        <v>840</v>
      </c>
      <c r="J9" t="s">
        <v>840</v>
      </c>
      <c r="K9" t="s">
        <v>841</v>
      </c>
      <c r="L9" t="s">
        <v>2183</v>
      </c>
      <c r="M9">
        <v>270</v>
      </c>
    </row>
    <row r="10" spans="1:14" x14ac:dyDescent="0.3">
      <c r="A10">
        <v>1811</v>
      </c>
      <c r="B10" t="s">
        <v>2086</v>
      </c>
      <c r="C10" t="s">
        <v>761</v>
      </c>
      <c r="D10" t="s">
        <v>2087</v>
      </c>
      <c r="E10">
        <v>7</v>
      </c>
      <c r="F10">
        <v>53</v>
      </c>
      <c r="G10">
        <v>32</v>
      </c>
      <c r="H10" t="s">
        <v>840</v>
      </c>
      <c r="I10" t="s">
        <v>840</v>
      </c>
      <c r="J10" t="s">
        <v>840</v>
      </c>
      <c r="K10" t="s">
        <v>841</v>
      </c>
      <c r="L10" t="s">
        <v>2183</v>
      </c>
      <c r="M10">
        <v>270</v>
      </c>
    </row>
    <row r="11" spans="1:14" x14ac:dyDescent="0.3">
      <c r="A11">
        <v>1812</v>
      </c>
      <c r="B11" t="s">
        <v>2088</v>
      </c>
      <c r="C11" t="s">
        <v>763</v>
      </c>
      <c r="D11" t="s">
        <v>2089</v>
      </c>
      <c r="E11">
        <v>7</v>
      </c>
      <c r="F11">
        <v>53</v>
      </c>
      <c r="G11">
        <v>16</v>
      </c>
      <c r="H11" t="s">
        <v>840</v>
      </c>
      <c r="I11" t="s">
        <v>840</v>
      </c>
      <c r="J11" t="s">
        <v>840</v>
      </c>
      <c r="K11" t="s">
        <v>841</v>
      </c>
      <c r="L11" t="s">
        <v>2183</v>
      </c>
      <c r="M11">
        <v>270</v>
      </c>
    </row>
    <row r="12" spans="1:14" x14ac:dyDescent="0.3">
      <c r="A12">
        <v>1818</v>
      </c>
      <c r="B12" t="s">
        <v>2090</v>
      </c>
      <c r="C12" t="s">
        <v>210</v>
      </c>
      <c r="D12" t="s">
        <v>824</v>
      </c>
      <c r="E12">
        <v>7</v>
      </c>
      <c r="F12">
        <v>52</v>
      </c>
      <c r="G12">
        <v>96</v>
      </c>
      <c r="H12" t="s">
        <v>840</v>
      </c>
      <c r="I12" t="s">
        <v>840</v>
      </c>
      <c r="J12" t="s">
        <v>840</v>
      </c>
      <c r="K12" t="s">
        <v>841</v>
      </c>
      <c r="L12" t="s">
        <v>2183</v>
      </c>
    </row>
    <row r="13" spans="1:14" x14ac:dyDescent="0.3">
      <c r="A13">
        <v>1819</v>
      </c>
      <c r="B13" t="s">
        <v>2091</v>
      </c>
      <c r="C13" t="s">
        <v>2069</v>
      </c>
      <c r="D13" t="s">
        <v>2092</v>
      </c>
      <c r="E13">
        <v>7</v>
      </c>
      <c r="F13">
        <v>52</v>
      </c>
      <c r="G13">
        <v>36</v>
      </c>
      <c r="H13" t="s">
        <v>840</v>
      </c>
      <c r="I13" t="s">
        <v>840</v>
      </c>
      <c r="J13" t="s">
        <v>840</v>
      </c>
      <c r="K13" t="s">
        <v>841</v>
      </c>
      <c r="L13">
        <v>10162</v>
      </c>
      <c r="M13">
        <v>270</v>
      </c>
    </row>
    <row r="14" spans="1:14" x14ac:dyDescent="0.3">
      <c r="A14">
        <v>1820</v>
      </c>
      <c r="B14" t="s">
        <v>2093</v>
      </c>
      <c r="C14" t="s">
        <v>2068</v>
      </c>
      <c r="D14" t="s">
        <v>2094</v>
      </c>
      <c r="E14">
        <v>7</v>
      </c>
      <c r="F14">
        <v>52</v>
      </c>
      <c r="G14">
        <v>36</v>
      </c>
      <c r="H14" t="s">
        <v>840</v>
      </c>
      <c r="I14" t="s">
        <v>840</v>
      </c>
      <c r="J14" t="s">
        <v>840</v>
      </c>
      <c r="K14" t="s">
        <v>841</v>
      </c>
      <c r="L14">
        <v>10162</v>
      </c>
      <c r="M14">
        <v>270</v>
      </c>
    </row>
    <row r="15" spans="1:14" x14ac:dyDescent="0.3">
      <c r="A15">
        <v>1821</v>
      </c>
      <c r="B15" t="s">
        <v>2095</v>
      </c>
      <c r="C15" t="s">
        <v>2071</v>
      </c>
      <c r="D15" t="s">
        <v>2089</v>
      </c>
      <c r="E15">
        <v>7</v>
      </c>
      <c r="F15">
        <v>52</v>
      </c>
      <c r="G15">
        <v>18</v>
      </c>
      <c r="H15" t="s">
        <v>840</v>
      </c>
      <c r="I15" t="s">
        <v>840</v>
      </c>
      <c r="J15" t="s">
        <v>840</v>
      </c>
      <c r="K15" t="s">
        <v>841</v>
      </c>
      <c r="L15">
        <v>10162</v>
      </c>
      <c r="N15" s="56">
        <v>1</v>
      </c>
    </row>
    <row r="16" spans="1:14" x14ac:dyDescent="0.3">
      <c r="A16">
        <v>1822</v>
      </c>
      <c r="B16" t="s">
        <v>2096</v>
      </c>
      <c r="C16" t="s">
        <v>2072</v>
      </c>
      <c r="D16" t="s">
        <v>2097</v>
      </c>
      <c r="E16">
        <v>7</v>
      </c>
      <c r="F16">
        <v>52</v>
      </c>
      <c r="G16">
        <v>18</v>
      </c>
      <c r="H16" t="s">
        <v>840</v>
      </c>
      <c r="I16" t="s">
        <v>840</v>
      </c>
      <c r="J16" t="s">
        <v>840</v>
      </c>
      <c r="K16" t="s">
        <v>841</v>
      </c>
      <c r="L16">
        <v>10162</v>
      </c>
      <c r="M16">
        <v>270</v>
      </c>
    </row>
    <row r="17" spans="1:14" x14ac:dyDescent="0.3">
      <c r="A17">
        <v>1823</v>
      </c>
      <c r="B17" t="s">
        <v>2098</v>
      </c>
      <c r="C17" t="s">
        <v>2073</v>
      </c>
      <c r="D17" t="s">
        <v>2085</v>
      </c>
      <c r="E17">
        <v>7</v>
      </c>
      <c r="F17">
        <v>52</v>
      </c>
      <c r="G17">
        <v>18</v>
      </c>
      <c r="H17" t="s">
        <v>840</v>
      </c>
      <c r="I17" t="s">
        <v>840</v>
      </c>
      <c r="J17" t="s">
        <v>840</v>
      </c>
      <c r="K17" t="s">
        <v>841</v>
      </c>
      <c r="L17">
        <v>10162</v>
      </c>
      <c r="M17">
        <v>270</v>
      </c>
    </row>
    <row r="18" spans="1:14" x14ac:dyDescent="0.3">
      <c r="A18">
        <v>1830</v>
      </c>
      <c r="B18" t="s">
        <v>2103</v>
      </c>
      <c r="C18" t="s">
        <v>2099</v>
      </c>
      <c r="D18" t="s">
        <v>2065</v>
      </c>
      <c r="E18">
        <v>7</v>
      </c>
      <c r="F18">
        <v>51</v>
      </c>
      <c r="G18">
        <v>17</v>
      </c>
      <c r="H18" t="s">
        <v>840</v>
      </c>
      <c r="I18" t="s">
        <v>840</v>
      </c>
      <c r="J18" t="s">
        <v>840</v>
      </c>
      <c r="K18" t="s">
        <v>841</v>
      </c>
      <c r="L18" t="s">
        <v>2183</v>
      </c>
      <c r="N18">
        <v>1</v>
      </c>
    </row>
    <row r="19" spans="1:14" x14ac:dyDescent="0.3">
      <c r="A19">
        <v>1831</v>
      </c>
      <c r="B19" t="s">
        <v>2104</v>
      </c>
      <c r="C19" t="s">
        <v>2100</v>
      </c>
      <c r="D19" t="s">
        <v>2105</v>
      </c>
      <c r="E19">
        <v>7</v>
      </c>
      <c r="F19">
        <v>51</v>
      </c>
      <c r="G19">
        <v>34</v>
      </c>
      <c r="H19" t="s">
        <v>840</v>
      </c>
      <c r="I19" t="s">
        <v>840</v>
      </c>
      <c r="J19" t="s">
        <v>840</v>
      </c>
      <c r="K19" t="s">
        <v>841</v>
      </c>
      <c r="L19" t="s">
        <v>2183</v>
      </c>
      <c r="N19">
        <v>1</v>
      </c>
    </row>
    <row r="20" spans="1:14" x14ac:dyDescent="0.3">
      <c r="A20">
        <v>1832</v>
      </c>
      <c r="B20" t="s">
        <v>2106</v>
      </c>
      <c r="C20" t="s">
        <v>2102</v>
      </c>
      <c r="D20" t="s">
        <v>2107</v>
      </c>
      <c r="E20">
        <v>7</v>
      </c>
      <c r="F20">
        <v>51</v>
      </c>
      <c r="G20">
        <v>17</v>
      </c>
      <c r="H20" t="s">
        <v>840</v>
      </c>
      <c r="I20" t="s">
        <v>840</v>
      </c>
      <c r="J20" t="s">
        <v>840</v>
      </c>
      <c r="K20" t="s">
        <v>841</v>
      </c>
    </row>
    <row r="21" spans="1:14" x14ac:dyDescent="0.3">
      <c r="A21">
        <v>1873</v>
      </c>
      <c r="B21" t="s">
        <v>2231</v>
      </c>
      <c r="C21" t="s">
        <v>784</v>
      </c>
      <c r="D21" t="s">
        <v>588</v>
      </c>
      <c r="E21">
        <v>7</v>
      </c>
      <c r="F21">
        <v>54</v>
      </c>
      <c r="G21">
        <v>16</v>
      </c>
      <c r="H21" t="s">
        <v>840</v>
      </c>
      <c r="I21" t="s">
        <v>840</v>
      </c>
      <c r="J21" t="s">
        <v>840</v>
      </c>
      <c r="K21" t="s">
        <v>841</v>
      </c>
      <c r="L21" t="s">
        <v>2230</v>
      </c>
    </row>
  </sheetData>
  <phoneticPr fontId="1" type="noConversion"/>
  <conditionalFormatting sqref="C1:C1048576">
    <cfRule type="duplicateValues" dxfId="3" priority="2"/>
  </conditionalFormatting>
  <conditionalFormatting sqref="D1:D1048576">
    <cfRule type="duplicateValues" dxfId="2" priority="3"/>
  </conditionalFormatting>
  <conditionalFormatting sqref="K1:K1048576">
    <cfRule type="cellIs" dxfId="1" priority="1" operator="equal">
      <formula>"passed"</formula>
    </cfRule>
  </conditionalFormatting>
  <pageMargins left="0.7" right="0.7" top="0.75" bottom="0.75" header="0.3" footer="0.3"/>
  <pageSetup paperSize="9" scale="84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product_list</vt:lpstr>
      <vt:lpstr>c174_calc</vt:lpstr>
      <vt:lpstr>C174LHD</vt:lpstr>
      <vt:lpstr>projects</vt:lpstr>
      <vt:lpstr>3d</vt:lpstr>
      <vt:lpstr>batch_lhd</vt:lpstr>
      <vt:lpstr>clabel</vt:lpstr>
      <vt:lpstr>LHD1-7</vt:lpstr>
      <vt:lpstr>batch_rhd</vt:lpstr>
      <vt:lpstr>lhd28NotInProd</vt:lpstr>
      <vt:lpstr>batchs</vt:lpstr>
      <vt:lpstr>H248 SA BOARDS CSUB-14</vt:lpstr>
      <vt:lpstr>h248LHDstatus</vt:lpstr>
      <vt:lpstr>h248RHDstatus</vt:lpstr>
      <vt:lpstr>H248ClipPosition (R)</vt:lpstr>
      <vt:lpstr>H248ClipPosition</vt:lpstr>
      <vt:lpstr>H248_SC35H (R)</vt:lpstr>
      <vt:lpstr>H248_SC35H</vt:lpstr>
      <vt:lpstr>dn</vt:lpstr>
      <vt:lpstr>type_list</vt:lpstr>
      <vt:lpstr>McDonalds</vt:lpstr>
      <vt:lpstr>Sheet1</vt:lpstr>
      <vt:lpstr>price_offer_list</vt:lpstr>
      <vt:lpstr>color_list</vt:lpstr>
      <vt:lpstr>material_list</vt:lpstr>
      <vt:lpstr>barcode</vt:lpstr>
      <vt:lpstr>sps calc</vt:lpstr>
      <vt:lpstr>Sheet3</vt:lpstr>
      <vt:lpstr>pch</vt:lpstr>
      <vt:lpstr>h248SABoardsCCB</vt:lpstr>
      <vt:lpstr>h248EngineAdd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2026-10-02T05:22:23Z</cp:lastPrinted>
  <dcterms:created xsi:type="dcterms:W3CDTF">2015-06-05T18:17:20Z</dcterms:created>
  <dcterms:modified xsi:type="dcterms:W3CDTF">2026-10-08T08:23:31Z</dcterms:modified>
</cp:coreProperties>
</file>